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definedName name="AUFTEILER_TPL_V2">'Verkauf Cashflow'!$A$1</definedName>
    <definedName name="AUFTEILER_TPL_LAYOUT">3</definedName>
  </definedNames>
  <calcPr calcId="191029" fullCalcOnLoad="1"/>
</workbook>
</file>

<file path=xl/styles.xml><?xml version="1.0" encoding="utf-8"?>
<styleSheet xmlns="http://schemas.openxmlformats.org/spreadsheetml/2006/main">
  <numFmts count="28">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 numFmtId="189" formatCode="#,##0.00&quot; €&quot;;[Red]\-#,##0.00&quot; €&quot;"/>
    <numFmt numFmtId="190" formatCode="[Red]#,##0&quot; €/m²&quot;;-#,##0&quot; €/m²&quot;"/>
    <numFmt numFmtId="191" formatCode="0.0"/>
  </numFmts>
  <fonts count="86">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
      <name val="Cambria"/>
      <color rgb="FF0000FF"/>
      <sz val="10"/>
    </font>
    <font>
      <name val="Cambria"/>
      <color rgb="FF000000"/>
      <sz val="10"/>
    </font>
    <font>
      <name val="Cambria"/>
      <b val="1"/>
      <color rgb="FFFFFFFF"/>
      <sz val="9"/>
    </font>
    <font>
      <name val="Cambria"/>
      <b val="1"/>
      <sz val="10"/>
    </font>
    <font>
      <name val="Calibri"/>
      <color rgb="FF404040"/>
      <sz val="10"/>
    </font>
    <font>
      <name val="Calibri"/>
      <b val="1"/>
      <color rgb="FF404040"/>
      <sz val="10"/>
    </font>
    <font>
      <name val="Calibri"/>
      <b val="1"/>
      <color rgb="FF404040"/>
      <sz val="9"/>
    </font>
    <font>
      <name val="Calibri"/>
      <color rgb="FF1F4E79"/>
      <sz val="10"/>
    </font>
    <font>
      <name val="Calibri"/>
      <color rgb="FF404040"/>
      <sz val="9"/>
    </font>
    <font>
      <name val="Calibri"/>
      <b val="1"/>
      <color rgb="FF1F4E79"/>
      <sz val="9"/>
    </font>
  </fonts>
  <fills count="38">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
      <patternFill patternType="solid">
        <fgColor rgb="FFE7E6E6"/>
        <bgColor rgb="FFE7E6E6"/>
      </patternFill>
    </fill>
    <fill>
      <patternFill patternType="solid">
        <fgColor rgb="FFDDEBF7"/>
        <bgColor rgb="FFDDEBF7"/>
      </patternFill>
    </fill>
    <fill>
      <patternFill patternType="solid">
        <fgColor rgb="FFE4DFEC"/>
        <bgColor rgb="FFE4DFEC"/>
      </patternFill>
    </fill>
    <fill>
      <patternFill patternType="solid">
        <fgColor rgb="FFFCE4D6"/>
        <bgColor rgb="FFFCE4D6"/>
      </patternFill>
    </fill>
    <fill>
      <patternFill patternType="solid">
        <fgColor rgb="FFF7F7F7"/>
        <bgColor rgb="FFF7F7F7"/>
      </patternFill>
    </fill>
    <fill>
      <patternFill patternType="solid">
        <fgColor rgb="FFEDEDED"/>
        <bgColor rgb="FFEDEDED"/>
      </patternFill>
    </fill>
    <fill>
      <patternFill patternType="solid">
        <fgColor rgb="FFFFFBE6"/>
        <bgColor rgb="FFFFFBE6"/>
      </patternFill>
    </fill>
    <fill>
      <patternFill patternType="solid">
        <fgColor rgb="FFFFE699"/>
        <bgColor rgb="FFFFE699"/>
      </patternFill>
    </fill>
    <fill>
      <patternFill patternType="solid">
        <fgColor rgb="FFA9D08E"/>
        <bgColor rgb="FFA9D08E"/>
      </patternFill>
    </fill>
    <fill>
      <patternFill patternType="solid">
        <fgColor rgb="FFFFE0B2"/>
        <bgColor rgb="FFFFE0B2"/>
      </patternFill>
    </fill>
  </fills>
  <borders count="68">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
    <border>
      <left style="thin">
        <color rgb="FFD9D9D9"/>
      </left>
      <right style="thin">
        <color rgb="FFD9D9D9"/>
      </right>
      <top style="thin">
        <color rgb="FFD9D9D9"/>
      </top>
      <bottom style="thin">
        <color rgb="FFD9D9D9"/>
      </bottom>
    </border>
    <border>
      <top style="thin">
        <color rgb="FF808080"/>
      </top>
    </border>
    <border>
      <right/>
      <bottom/>
    </border>
  </borders>
  <cellStyleXfs count="1">
    <xf numFmtId="0" fontId="0" fillId="0" borderId="9"/>
  </cellStyleXfs>
  <cellXfs count="1063">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xf numFmtId="0" fontId="6" fillId="0" borderId="9" pivotButton="0" quotePrefix="0" xfId="0"/>
    <xf numFmtId="10" fontId="76" fillId="18" borderId="54" applyAlignment="1" pivotButton="0" quotePrefix="0" xfId="0">
      <alignment horizontal="center" vertical="center"/>
    </xf>
    <xf numFmtId="0" fontId="54" fillId="0" borderId="9" pivotButton="0" quotePrefix="0" xfId="0"/>
    <xf numFmtId="10" fontId="76" fillId="18" borderId="0" pivotButton="0" quotePrefix="0" xfId="0"/>
    <xf numFmtId="188" fontId="76" fillId="18" borderId="0" pivotButton="0" quotePrefix="0" xfId="0"/>
    <xf numFmtId="168" fontId="76" fillId="18" borderId="0" pivotButton="0" quotePrefix="0" xfId="0"/>
    <xf numFmtId="10" fontId="77" fillId="0" borderId="54" applyAlignment="1" pivotButton="0" quotePrefix="0" xfId="0">
      <alignment horizontal="center"/>
    </xf>
    <xf numFmtId="1" fontId="76" fillId="18" borderId="0" pivotButton="0" quotePrefix="0" xfId="0"/>
    <xf numFmtId="169" fontId="77" fillId="0" borderId="0" pivotButton="0" quotePrefix="0" xfId="0"/>
    <xf numFmtId="169" fontId="76" fillId="18" borderId="54" applyAlignment="1" pivotButton="0" quotePrefix="0" xfId="0">
      <alignment horizontal="center" vertical="center"/>
    </xf>
    <xf numFmtId="1" fontId="76" fillId="18" borderId="54" applyAlignment="1" pivotButton="0" quotePrefix="0" xfId="0">
      <alignment horizontal="center" vertical="center"/>
    </xf>
    <xf numFmtId="171" fontId="76" fillId="18" borderId="0" pivotButton="0" quotePrefix="0" xfId="0"/>
    <xf numFmtId="179" fontId="77" fillId="0" borderId="0" applyAlignment="1" pivotButton="0" quotePrefix="0" xfId="0">
      <alignment horizontal="center" vertical="center"/>
    </xf>
    <xf numFmtId="179" fontId="77" fillId="0" borderId="0" pivotButton="0" quotePrefix="0" xfId="0"/>
    <xf numFmtId="180" fontId="77" fillId="0" borderId="0" applyAlignment="1" pivotButton="0" quotePrefix="0" xfId="0">
      <alignment horizontal="center" vertical="center"/>
    </xf>
    <xf numFmtId="0" fontId="78" fillId="17" borderId="54" applyAlignment="1" pivotButton="0" quotePrefix="0" xfId="0">
      <alignment horizontal="center" vertical="center" wrapText="1"/>
    </xf>
    <xf numFmtId="0" fontId="78" fillId="17" borderId="0" applyAlignment="1" pivotButton="0" quotePrefix="0" xfId="0">
      <alignment horizontal="center" vertical="center" wrapText="1"/>
    </xf>
    <xf numFmtId="1" fontId="77" fillId="0" borderId="54" applyAlignment="1" pivotButton="0" quotePrefix="0" xfId="0">
      <alignment horizontal="center" vertical="center"/>
    </xf>
    <xf numFmtId="0" fontId="77" fillId="0" borderId="54" applyAlignment="1" pivotButton="0" quotePrefix="0" xfId="0">
      <alignment horizontal="center" vertical="center"/>
    </xf>
    <xf numFmtId="2" fontId="77" fillId="0" borderId="54" applyAlignment="1" pivotButton="0" quotePrefix="0" xfId="0">
      <alignment horizontal="center" vertical="center"/>
    </xf>
    <xf numFmtId="0" fontId="76" fillId="18" borderId="54" applyAlignment="1" pivotButton="0" quotePrefix="0" xfId="0">
      <alignment horizontal="right" vertical="center"/>
    </xf>
    <xf numFmtId="1" fontId="76" fillId="18" borderId="54" applyAlignment="1" pivotButton="0" quotePrefix="0" xfId="0">
      <alignment horizontal="right" vertical="center"/>
    </xf>
    <xf numFmtId="10" fontId="77" fillId="0" borderId="54" applyAlignment="1" pivotButton="0" quotePrefix="0" xfId="0">
      <alignment horizontal="right" vertical="center"/>
    </xf>
    <xf numFmtId="168" fontId="76" fillId="18" borderId="54" applyAlignment="1" pivotButton="0" quotePrefix="0" xfId="0">
      <alignment horizontal="right" vertical="center"/>
    </xf>
    <xf numFmtId="168" fontId="77" fillId="0" borderId="54" applyAlignment="1" pivotButton="0" quotePrefix="0" xfId="0">
      <alignment horizontal="right" vertical="center"/>
    </xf>
    <xf numFmtId="182" fontId="77" fillId="0" borderId="54" applyAlignment="1" pivotButton="0" quotePrefix="0" xfId="0">
      <alignment horizontal="right" vertical="center"/>
    </xf>
    <xf numFmtId="165" fontId="76" fillId="18" borderId="0" pivotButton="0" quotePrefix="0" xfId="0"/>
    <xf numFmtId="169" fontId="76" fillId="18" borderId="0" pivotButton="0" quotePrefix="0" xfId="0"/>
    <xf numFmtId="10" fontId="77" fillId="0" borderId="0" pivotButton="0" quotePrefix="0" xfId="0"/>
    <xf numFmtId="168" fontId="77" fillId="0" borderId="0" pivotButton="0" quotePrefix="0" xfId="0"/>
    <xf numFmtId="181" fontId="76" fillId="18" borderId="0" pivotButton="0" quotePrefix="0" xfId="0"/>
    <xf numFmtId="181" fontId="77" fillId="0" borderId="0" pivotButton="0" quotePrefix="0" xfId="0"/>
    <xf numFmtId="187" fontId="77" fillId="0" borderId="0" pivotButton="0" quotePrefix="0" xfId="0"/>
    <xf numFmtId="178" fontId="77" fillId="0" borderId="0" pivotButton="0" quotePrefix="0" xfId="0"/>
    <xf numFmtId="1" fontId="77" fillId="0" borderId="0" pivotButton="0" quotePrefix="0" xfId="0"/>
    <xf numFmtId="171" fontId="77" fillId="0" borderId="0" pivotButton="0" quotePrefix="0" xfId="0"/>
    <xf numFmtId="0" fontId="77" fillId="0" borderId="0" pivotButton="0" quotePrefix="0" xfId="0"/>
    <xf numFmtId="189" fontId="77" fillId="0" borderId="0" pivotButton="0" quotePrefix="0" xfId="0"/>
    <xf numFmtId="165" fontId="77" fillId="0" borderId="0" pivotButton="0" quotePrefix="0" xfId="0"/>
    <xf numFmtId="180" fontId="77" fillId="0" borderId="0" pivotButton="0" quotePrefix="0" xfId="0"/>
    <xf numFmtId="190" fontId="77" fillId="0" borderId="0" pivotButton="0" quotePrefix="0" xfId="0"/>
    <xf numFmtId="191" fontId="77" fillId="0" borderId="0" pivotButton="0" quotePrefix="0" xfId="0"/>
    <xf numFmtId="1" fontId="79" fillId="0" borderId="54" pivotButton="0" quotePrefix="0" xfId="0"/>
    <xf numFmtId="0" fontId="79" fillId="0" borderId="54" pivotButton="0" quotePrefix="0" xfId="0"/>
    <xf numFmtId="2" fontId="79" fillId="0" borderId="54" pivotButton="0" quotePrefix="0" xfId="0"/>
    <xf numFmtId="10" fontId="79" fillId="0" borderId="54" pivotButton="0" quotePrefix="0" xfId="0"/>
    <xf numFmtId="168" fontId="79" fillId="0" borderId="54" pivotButton="0" quotePrefix="0" xfId="0"/>
    <xf numFmtId="182" fontId="79" fillId="0" borderId="54" pivotButton="0" quotePrefix="0" xfId="0"/>
    <xf numFmtId="165" fontId="79" fillId="0" borderId="0" pivotButton="0" quotePrefix="0" xfId="0"/>
    <xf numFmtId="169" fontId="79" fillId="0" borderId="0" pivotButton="0" quotePrefix="0" xfId="0"/>
    <xf numFmtId="10" fontId="79" fillId="0" borderId="0" pivotButton="0" quotePrefix="0" xfId="0"/>
    <xf numFmtId="168" fontId="79" fillId="0" borderId="0" pivotButton="0" quotePrefix="0" xfId="0"/>
    <xf numFmtId="181" fontId="79" fillId="0" borderId="0" pivotButton="0" quotePrefix="0" xfId="0"/>
    <xf numFmtId="187" fontId="79" fillId="0" borderId="0" pivotButton="0" quotePrefix="0" xfId="0"/>
    <xf numFmtId="178" fontId="79" fillId="0" borderId="0" pivotButton="0" quotePrefix="0" xfId="0"/>
    <xf numFmtId="1" fontId="79" fillId="0" borderId="0" pivotButton="0" quotePrefix="0" xfId="0"/>
    <xf numFmtId="171" fontId="79" fillId="0" borderId="0" pivotButton="0" quotePrefix="0" xfId="0"/>
    <xf numFmtId="0" fontId="79" fillId="0" borderId="0" pivotButton="0" quotePrefix="0" xfId="0"/>
    <xf numFmtId="189" fontId="79" fillId="0" borderId="0" pivotButton="0" quotePrefix="0" xfId="0"/>
    <xf numFmtId="180" fontId="79" fillId="0" borderId="0" pivotButton="0" quotePrefix="0" xfId="0"/>
    <xf numFmtId="190" fontId="79" fillId="0" borderId="0" pivotButton="0" quotePrefix="0" xfId="0"/>
    <xf numFmtId="191" fontId="79" fillId="0" borderId="0" pivotButton="0" quotePrefix="0" xfId="0"/>
    <xf numFmtId="169" fontId="77" fillId="0" borderId="0" applyAlignment="1" pivotButton="0" quotePrefix="0" xfId="0">
      <alignment horizontal="right" vertical="center"/>
    </xf>
    <xf numFmtId="3" fontId="76" fillId="18" borderId="0" applyAlignment="1" pivotButton="0" quotePrefix="0" xfId="0">
      <alignment horizontal="center"/>
    </xf>
    <xf numFmtId="1" fontId="77" fillId="0" borderId="0" applyAlignment="1" pivotButton="0" quotePrefix="0" xfId="0">
      <alignment horizontal="center"/>
    </xf>
    <xf numFmtId="188" fontId="76" fillId="18" borderId="0" applyAlignment="1" pivotButton="0" quotePrefix="0" xfId="0">
      <alignment horizontal="center"/>
    </xf>
    <xf numFmtId="188" fontId="77" fillId="0" borderId="0" applyAlignment="1" pivotButton="0" quotePrefix="0" xfId="0">
      <alignment horizontal="center"/>
    </xf>
    <xf numFmtId="3" fontId="77" fillId="0" borderId="0" applyAlignment="1" pivotButton="0" quotePrefix="0" xfId="0">
      <alignment horizontal="center"/>
    </xf>
    <xf numFmtId="0" fontId="81" fillId="28" borderId="64" applyAlignment="1" pivotButton="0" quotePrefix="0" xfId="0">
      <alignment horizontal="center" vertical="center"/>
    </xf>
    <xf numFmtId="0" fontId="0" fillId="0" borderId="9" pivotButton="0" quotePrefix="0" xfId="0"/>
    <xf numFmtId="0" fontId="81" fillId="29" borderId="64" applyAlignment="1" pivotButton="0" quotePrefix="0" xfId="0">
      <alignment horizontal="center" vertical="center"/>
    </xf>
    <xf numFmtId="0" fontId="81" fillId="19" borderId="64" applyAlignment="1" pivotButton="0" quotePrefix="0" xfId="0">
      <alignment horizontal="center" vertical="center"/>
    </xf>
    <xf numFmtId="0" fontId="81" fillId="18" borderId="64" applyAlignment="1" pivotButton="0" quotePrefix="0" xfId="0">
      <alignment horizontal="center" vertical="center"/>
    </xf>
    <xf numFmtId="0" fontId="81" fillId="30" borderId="64" applyAlignment="1" pivotButton="0" quotePrefix="0" xfId="0">
      <alignment horizontal="center" vertical="center"/>
    </xf>
    <xf numFmtId="0" fontId="81" fillId="31" borderId="64" applyAlignment="1" pivotButton="0" quotePrefix="0" xfId="0">
      <alignment horizontal="center" vertical="center"/>
    </xf>
    <xf numFmtId="0" fontId="82" fillId="28" borderId="65" applyAlignment="1" pivotButton="0" quotePrefix="0" xfId="0">
      <alignment horizontal="center" vertical="center" wrapText="1"/>
    </xf>
    <xf numFmtId="0" fontId="82" fillId="29" borderId="65" applyAlignment="1" pivotButton="0" quotePrefix="0" xfId="0">
      <alignment horizontal="center" vertical="center" wrapText="1"/>
    </xf>
    <xf numFmtId="0" fontId="82" fillId="19" borderId="65" applyAlignment="1" pivotButton="0" quotePrefix="0" xfId="0">
      <alignment horizontal="center" vertical="center" wrapText="1"/>
    </xf>
    <xf numFmtId="0" fontId="82" fillId="18" borderId="65" applyAlignment="1" pivotButton="0" quotePrefix="0" xfId="0">
      <alignment horizontal="center" vertical="center" wrapText="1"/>
    </xf>
    <xf numFmtId="0" fontId="82" fillId="30" borderId="65" applyAlignment="1" pivotButton="0" quotePrefix="0" xfId="0">
      <alignment horizontal="center" vertical="center" wrapText="1"/>
    </xf>
    <xf numFmtId="0" fontId="82" fillId="31" borderId="65" applyAlignment="1" pivotButton="0" quotePrefix="0" xfId="0">
      <alignment horizontal="center" vertical="center" wrapText="1"/>
    </xf>
    <xf numFmtId="1" fontId="80" fillId="0" borderId="65" pivotButton="0" quotePrefix="0" xfId="0"/>
    <xf numFmtId="0" fontId="80" fillId="0" borderId="65" pivotButton="0" quotePrefix="0" xfId="0"/>
    <xf numFmtId="2" fontId="80" fillId="0" borderId="65" pivotButton="0" quotePrefix="0" xfId="0"/>
    <xf numFmtId="0" fontId="83" fillId="34" borderId="65" pivotButton="0" quotePrefix="0" xfId="0"/>
    <xf numFmtId="1" fontId="83" fillId="34" borderId="65" pivotButton="0" quotePrefix="0" xfId="0"/>
    <xf numFmtId="10" fontId="80" fillId="0" borderId="65" pivotButton="0" quotePrefix="0" xfId="0"/>
    <xf numFmtId="168" fontId="83" fillId="34" borderId="65" pivotButton="0" quotePrefix="0" xfId="0"/>
    <xf numFmtId="168" fontId="80" fillId="0" borderId="65" pivotButton="0" quotePrefix="0" xfId="0"/>
    <xf numFmtId="171" fontId="80" fillId="0" borderId="65" pivotButton="0" quotePrefix="0" xfId="0"/>
    <xf numFmtId="165" fontId="83" fillId="34" borderId="65" pivotButton="0" quotePrefix="0" xfId="0"/>
    <xf numFmtId="169" fontId="80" fillId="0" borderId="65" pivotButton="0" quotePrefix="0" xfId="0"/>
    <xf numFmtId="169" fontId="83" fillId="34" borderId="65" pivotButton="0" quotePrefix="0" xfId="0"/>
    <xf numFmtId="10" fontId="83" fillId="34" borderId="65" pivotButton="0" quotePrefix="0" xfId="0"/>
    <xf numFmtId="181" fontId="83" fillId="34" borderId="65" pivotButton="0" quotePrefix="0" xfId="0"/>
    <xf numFmtId="181" fontId="80" fillId="0" borderId="65" pivotButton="0" quotePrefix="0" xfId="0"/>
    <xf numFmtId="187" fontId="80" fillId="0" borderId="65" pivotButton="0" quotePrefix="0" xfId="0"/>
    <xf numFmtId="178" fontId="80" fillId="0" borderId="65" pivotButton="0" quotePrefix="0" xfId="0"/>
    <xf numFmtId="171" fontId="83" fillId="34" borderId="65" pivotButton="0" quotePrefix="0" xfId="0"/>
    <xf numFmtId="189" fontId="80" fillId="0" borderId="65" pivotButton="0" quotePrefix="0" xfId="0"/>
    <xf numFmtId="165" fontId="80" fillId="0" borderId="65" pivotButton="0" quotePrefix="0" xfId="0"/>
    <xf numFmtId="180" fontId="80" fillId="0" borderId="65" pivotButton="0" quotePrefix="0" xfId="0"/>
    <xf numFmtId="190" fontId="80" fillId="0" borderId="65" pivotButton="0" quotePrefix="0" xfId="0"/>
    <xf numFmtId="191" fontId="80" fillId="0" borderId="65" pivotButton="0" quotePrefix="0" xfId="0"/>
    <xf numFmtId="1" fontId="80" fillId="32" borderId="65" pivotButton="0" quotePrefix="0" xfId="0"/>
    <xf numFmtId="0" fontId="80" fillId="32" borderId="65" pivotButton="0" quotePrefix="0" xfId="0"/>
    <xf numFmtId="2" fontId="80" fillId="32" borderId="65" pivotButton="0" quotePrefix="0" xfId="0"/>
    <xf numFmtId="10" fontId="80" fillId="32" borderId="65" pivotButton="0" quotePrefix="0" xfId="0"/>
    <xf numFmtId="168" fontId="80" fillId="32" borderId="65" pivotButton="0" quotePrefix="0" xfId="0"/>
    <xf numFmtId="171" fontId="80" fillId="32" borderId="65" pivotButton="0" quotePrefix="0" xfId="0"/>
    <xf numFmtId="169" fontId="80" fillId="32" borderId="65" pivotButton="0" quotePrefix="0" xfId="0"/>
    <xf numFmtId="181" fontId="80" fillId="32" borderId="65" pivotButton="0" quotePrefix="0" xfId="0"/>
    <xf numFmtId="187" fontId="80" fillId="32" borderId="65" pivotButton="0" quotePrefix="0" xfId="0"/>
    <xf numFmtId="178" fontId="80" fillId="32" borderId="65" pivotButton="0" quotePrefix="0" xfId="0"/>
    <xf numFmtId="189" fontId="80" fillId="32" borderId="65" pivotButton="0" quotePrefix="0" xfId="0"/>
    <xf numFmtId="165" fontId="80" fillId="32" borderId="65" pivotButton="0" quotePrefix="0" xfId="0"/>
    <xf numFmtId="180" fontId="80" fillId="32" borderId="65" pivotButton="0" quotePrefix="0" xfId="0"/>
    <xf numFmtId="190" fontId="80" fillId="32" borderId="65" pivotButton="0" quotePrefix="0" xfId="0"/>
    <xf numFmtId="191" fontId="80" fillId="32" borderId="65" pivotButton="0" quotePrefix="0" xfId="0"/>
    <xf numFmtId="1" fontId="81" fillId="33" borderId="66" pivotButton="0" quotePrefix="0" xfId="0"/>
    <xf numFmtId="0" fontId="81" fillId="33" borderId="66" pivotButton="0" quotePrefix="0" xfId="0"/>
    <xf numFmtId="2" fontId="81" fillId="33" borderId="66" pivotButton="0" quotePrefix="0" xfId="0"/>
    <xf numFmtId="10" fontId="81" fillId="33" borderId="66" pivotButton="0" quotePrefix="0" xfId="0"/>
    <xf numFmtId="168" fontId="81" fillId="33" borderId="66" pivotButton="0" quotePrefix="0" xfId="0"/>
    <xf numFmtId="171" fontId="81" fillId="33" borderId="66" pivotButton="0" quotePrefix="0" xfId="0"/>
    <xf numFmtId="165" fontId="81" fillId="33" borderId="66" pivotButton="0" quotePrefix="0" xfId="0"/>
    <xf numFmtId="169" fontId="81" fillId="33" borderId="66" pivotButton="0" quotePrefix="0" xfId="0"/>
    <xf numFmtId="181" fontId="81" fillId="33" borderId="66" pivotButton="0" quotePrefix="0" xfId="0"/>
    <xf numFmtId="187" fontId="81" fillId="33" borderId="66" pivotButton="0" quotePrefix="0" xfId="0"/>
    <xf numFmtId="178" fontId="81" fillId="33" borderId="66" pivotButton="0" quotePrefix="0" xfId="0"/>
    <xf numFmtId="189" fontId="81" fillId="33" borderId="66" pivotButton="0" quotePrefix="0" xfId="0"/>
    <xf numFmtId="180" fontId="81" fillId="33" borderId="66" pivotButton="0" quotePrefix="0" xfId="0"/>
    <xf numFmtId="190" fontId="81" fillId="33" borderId="66" pivotButton="0" quotePrefix="0" xfId="0"/>
    <xf numFmtId="191" fontId="81" fillId="33" borderId="66" pivotButton="0" quotePrefix="0" xfId="0"/>
    <xf numFmtId="0" fontId="80" fillId="0" borderId="64" pivotButton="0" quotePrefix="0" xfId="0"/>
    <xf numFmtId="0" fontId="81" fillId="29" borderId="64" applyAlignment="1" pivotButton="0" quotePrefix="0" xfId="0">
      <alignment vertical="center"/>
    </xf>
    <xf numFmtId="0" fontId="81" fillId="29" borderId="64" pivotButton="0" quotePrefix="0" xfId="0"/>
    <xf numFmtId="0" fontId="84" fillId="0" borderId="64" applyAlignment="1" pivotButton="0" quotePrefix="0" xfId="0">
      <alignment vertical="center" wrapText="1"/>
    </xf>
    <xf numFmtId="10" fontId="83" fillId="34" borderId="65" applyAlignment="1" pivotButton="0" quotePrefix="0" xfId="0">
      <alignment vertical="center"/>
    </xf>
    <xf numFmtId="0" fontId="82" fillId="0" borderId="64" applyAlignment="1" pivotButton="0" quotePrefix="0" xfId="0">
      <alignment vertical="center" wrapText="1"/>
    </xf>
    <xf numFmtId="188" fontId="83" fillId="34" borderId="65" applyAlignment="1" pivotButton="0" quotePrefix="0" xfId="0">
      <alignment vertical="center"/>
    </xf>
    <xf numFmtId="168" fontId="83" fillId="34" borderId="65" applyAlignment="1" pivotButton="0" quotePrefix="0" xfId="0">
      <alignment vertical="center"/>
    </xf>
    <xf numFmtId="10" fontId="80" fillId="0" borderId="65" applyAlignment="1" pivotButton="0" quotePrefix="0" xfId="0">
      <alignment vertical="center"/>
    </xf>
    <xf numFmtId="1" fontId="83" fillId="34" borderId="65" applyAlignment="1" pivotButton="0" quotePrefix="0" xfId="0">
      <alignment vertical="center"/>
    </xf>
    <xf numFmtId="169" fontId="80" fillId="0" borderId="65" applyAlignment="1" pivotButton="0" quotePrefix="0" xfId="0">
      <alignment vertical="center"/>
    </xf>
    <xf numFmtId="169" fontId="83" fillId="34" borderId="65" applyAlignment="1" pivotButton="0" quotePrefix="0" xfId="0">
      <alignment vertical="center"/>
    </xf>
    <xf numFmtId="171" fontId="83" fillId="34" borderId="65" applyAlignment="1" pivotButton="0" quotePrefix="0" xfId="0">
      <alignment vertical="center"/>
    </xf>
    <xf numFmtId="179" fontId="80" fillId="0" borderId="65" applyAlignment="1" pivotButton="0" quotePrefix="0" xfId="0">
      <alignment vertical="center"/>
    </xf>
    <xf numFmtId="180" fontId="80" fillId="0" borderId="65" applyAlignment="1" pivotButton="0" quotePrefix="0" xfId="0">
      <alignment vertical="center"/>
    </xf>
    <xf numFmtId="0" fontId="84" fillId="0" borderId="0" applyAlignment="1" pivotButton="0" quotePrefix="0" xfId="0">
      <alignment vertical="center" wrapText="1"/>
    </xf>
    <xf numFmtId="3" fontId="83" fillId="34" borderId="65" applyAlignment="1" pivotButton="0" quotePrefix="0" xfId="0">
      <alignment vertical="center"/>
    </xf>
    <xf numFmtId="1" fontId="80" fillId="0" borderId="65" applyAlignment="1" pivotButton="0" quotePrefix="0" xfId="0">
      <alignment vertical="center"/>
    </xf>
    <xf numFmtId="188" fontId="80" fillId="0" borderId="65" applyAlignment="1" pivotButton="0" quotePrefix="0" xfId="0">
      <alignment vertical="center"/>
    </xf>
    <xf numFmtId="3" fontId="80" fillId="0" borderId="65" applyAlignment="1" pivotButton="0" quotePrefix="0" xfId="0">
      <alignment vertical="center"/>
    </xf>
    <xf numFmtId="0" fontId="83" fillId="35" borderId="65" pivotButton="0" quotePrefix="0" xfId="0"/>
    <xf numFmtId="1" fontId="83" fillId="35" borderId="65" pivotButton="0" quotePrefix="0" xfId="0"/>
    <xf numFmtId="168" fontId="83" fillId="35" borderId="65" pivotButton="0" quotePrefix="0" xfId="0"/>
    <xf numFmtId="10" fontId="83" fillId="35" borderId="65" pivotButton="0" quotePrefix="0" xfId="0"/>
    <xf numFmtId="165" fontId="83" fillId="35" borderId="65" pivotButton="0" quotePrefix="0" xfId="0"/>
    <xf numFmtId="169" fontId="83" fillId="35" borderId="65" pivotButton="0" quotePrefix="0" xfId="0"/>
    <xf numFmtId="181" fontId="83" fillId="35" borderId="65" pivotButton="0" quotePrefix="0" xfId="0"/>
    <xf numFmtId="171" fontId="83" fillId="35" borderId="65" pivotButton="0" quotePrefix="0" xfId="0"/>
    <xf numFmtId="10" fontId="83" fillId="35" borderId="65" applyAlignment="1" pivotButton="0" quotePrefix="0" xfId="0">
      <alignment vertical="center"/>
    </xf>
    <xf numFmtId="1" fontId="83" fillId="35" borderId="65" applyAlignment="1" pivotButton="0" quotePrefix="0" xfId="0">
      <alignment vertical="center"/>
    </xf>
    <xf numFmtId="188" fontId="83" fillId="35" borderId="65" applyAlignment="1" pivotButton="0" quotePrefix="0" xfId="0">
      <alignment vertical="center"/>
    </xf>
    <xf numFmtId="0" fontId="80" fillId="0" borderId="65" applyAlignment="1" pivotButton="0" quotePrefix="0" xfId="0">
      <alignment vertical="center"/>
    </xf>
    <xf numFmtId="168" fontId="83" fillId="35" borderId="65" applyAlignment="1" pivotButton="0" quotePrefix="0" xfId="0">
      <alignment vertical="center"/>
    </xf>
    <xf numFmtId="165" fontId="83" fillId="35" borderId="65" applyAlignment="1" pivotButton="0" quotePrefix="0" xfId="0">
      <alignment vertical="center"/>
    </xf>
    <xf numFmtId="0" fontId="85" fillId="35" borderId="65" applyAlignment="1" pivotButton="0" quotePrefix="0" xfId="0">
      <alignment horizontal="center" vertical="center"/>
    </xf>
    <xf numFmtId="0" fontId="84" fillId="0" borderId="64" applyAlignment="1" pivotButton="0" quotePrefix="0" xfId="0">
      <alignment vertical="center"/>
    </xf>
    <xf numFmtId="0" fontId="82" fillId="0" borderId="65" applyAlignment="1" pivotButton="0" quotePrefix="0" xfId="0">
      <alignment horizontal="center" vertical="center"/>
    </xf>
    <xf numFmtId="0" fontId="82" fillId="36" borderId="65" applyAlignment="1" pivotButton="0" quotePrefix="0" xfId="0">
      <alignment horizontal="center" vertical="center"/>
    </xf>
    <xf numFmtId="0" fontId="82" fillId="37" borderId="65" applyAlignment="1" pivotButton="0" quotePrefix="0" xfId="0">
      <alignment horizontal="center" vertical="center"/>
    </xf>
    <xf numFmtId="0" fontId="80" fillId="0" borderId="64" applyAlignment="1" pivotButton="0" quotePrefix="0" xfId="0">
      <alignment horizontal="center" vertical="center"/>
    </xf>
    <xf numFmtId="0" fontId="80" fillId="0" borderId="64" applyAlignment="1" pivotButton="0" quotePrefix="0" xfId="0">
      <alignment horizontal="right" vertical="center"/>
    </xf>
    <xf numFmtId="3" fontId="83" fillId="35" borderId="65" applyAlignment="1" pivotButton="0" quotePrefix="0" xfId="0">
      <alignment vertical="center"/>
    </xf>
    <xf numFmtId="0" fontId="81" fillId="28" borderId="67" applyAlignment="1" pivotButton="0" quotePrefix="0" xfId="0">
      <alignment horizontal="center" vertical="center"/>
    </xf>
    <xf numFmtId="0" fontId="81" fillId="29" borderId="67" applyAlignment="1" pivotButton="0" quotePrefix="0" xfId="0">
      <alignment horizontal="center" vertical="center"/>
    </xf>
    <xf numFmtId="0" fontId="81" fillId="19" borderId="67" applyAlignment="1" pivotButton="0" quotePrefix="0" xfId="0">
      <alignment horizontal="center" vertical="center"/>
    </xf>
    <xf numFmtId="0" fontId="81" fillId="18" borderId="67" applyAlignment="1" pivotButton="0" quotePrefix="0" xfId="0">
      <alignment horizontal="center" vertical="center"/>
    </xf>
    <xf numFmtId="0" fontId="81" fillId="30" borderId="67" applyAlignment="1" pivotButton="0" quotePrefix="0" xfId="0">
      <alignment horizontal="center" vertical="center"/>
    </xf>
    <xf numFmtId="0" fontId="81" fillId="31" borderId="67" applyAlignment="1" pivotButton="0" quotePrefix="0" xfId="0">
      <alignment horizontal="center" vertical="center"/>
    </xf>
    <xf numFmtId="0" fontId="81" fillId="29" borderId="67" applyAlignment="1" pivotButton="0" quotePrefix="0" xfId="0">
      <alignment vertical="center"/>
    </xf>
    <xf numFmtId="0" fontId="84" fillId="0" borderId="67" applyAlignment="1" pivotButton="0" quotePrefix="0" xfId="0">
      <alignment vertical="center" wrapText="1"/>
    </xf>
    <xf numFmtId="0" fontId="84" fillId="0" borderId="67" applyAlignment="1" pivotButton="0" quotePrefix="0" xfId="0">
      <alignment vertical="center"/>
    </xf>
  </cellXfs>
  <cellStyles count="1">
    <cellStyle name="Standard" xfId="0" builtinId="0"/>
  </cellStyles>
  <dxfs count="28">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
      <fill>
        <patternFill patternType="solid">
          <fgColor rgb="FF9BD0C2"/>
          <bgColor rgb="FF9BD0C2"/>
        </patternFill>
      </fill>
    </dxf>
    <dxf>
      <fill>
        <patternFill patternType="solid">
          <fgColor rgb="FFF8696B"/>
          <bgColor rgb="FFF8696B"/>
        </patternFill>
      </fill>
    </dxf>
    <dxf>
      <fill>
        <patternFill patternType="solid">
          <fgColor rgb="FFFFF2CC"/>
          <bgColor rgb="FFFFF2CC"/>
        </patternFill>
      </fill>
    </dxf>
    <dxf>
      <fill>
        <patternFill patternType="solid">
          <fgColor rgb="FFF4B183"/>
          <bgColor rgb="FFF4B183"/>
        </patternFill>
      </fill>
    </dxf>
    <dxf>
      <fill>
        <patternFill patternType="solid">
          <fgColor rgb="FF63BE7B"/>
          <bgColor rgb="FF63BE7B"/>
        </patternFill>
      </fill>
    </dxf>
    <dxf>
      <fill>
        <patternFill patternType="solid">
          <fgColor rgb="FFFFEB84"/>
          <bgColor rgb="FFFFEB84"/>
        </patternFill>
      </fill>
    </dxf>
    <dxf>
      <fill>
        <patternFill patternType="solid">
          <fgColor rgb="FFD9D9D9"/>
          <bgColor rgb="FFD9D9D9"/>
        </patternFill>
      </fill>
    </dxf>
    <dxf>
      <fill>
        <patternFill patternType="solid">
          <fgColor rgb="FFE2EFDA"/>
          <bgColor rgb="FFE2EFDA"/>
        </patternFill>
      </fill>
    </dxf>
    <dxf>
      <fill>
        <patternFill patternType="solid">
          <fgColor rgb="FFFFC7CE"/>
          <bgColor rgb="FFFFC7CE"/>
        </patternFill>
      </fill>
    </dxf>
    <dxf>
      <fill>
        <patternFill patternType="solid">
          <fgColor rgb="FFFFE0B2"/>
          <bgColor rgb="FFFFE0B2"/>
        </patternFill>
      </fill>
    </dxf>
    <dxf>
      <fill>
        <patternFill patternType="solid">
          <fgColor rgb="FFC6EFCE"/>
          <bgColor rgb="FFC6EFCE"/>
        </patternFill>
      </fill>
    </dxf>
    <dxf>
      <fill>
        <patternFill patternType="solid">
          <fgColor rgb="FFFFEB9C"/>
          <bgColor rgb="FFFFEB9C"/>
        </patternFill>
      </fill>
    </dxf>
    <dxf>
      <fill>
        <patternFill patternType="solid">
          <fgColor rgb="FFEDEDED"/>
          <bgColor rgb="FFEDEDED"/>
        </patternFill>
      </fill>
    </dxf>
    <dxf>
      <font>
        <b val="1"/>
      </font>
      <fill>
        <patternFill patternType="solid">
          <fgColor rgb="FFA9D08E"/>
          <bgColor rgb="FFA9D08E"/>
        </patternFill>
      </fill>
    </dxf>
    <dxf>
      <font>
        <color rgb="FFA6A6A6"/>
      </font>
      <fill>
        <patternFill patternType="solid">
          <fgColor rgb="FFEDEDED"/>
          <bgColor rgb="FFEDEDE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Aufteiler-Skill</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K7" authorId="1" shapeId="0">
      <text>
        <t>Formel-Spiegel aus Verkauf Cashflow (Miete Garage + Stellplatz) - dort eintragen</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Aufteiler-Skill</author>
  </authors>
  <commentList>
    <comment ref="G5" authorId="0" shapeId="0">
      <text>
        <t>Wert kommt aus Tabellenblatt KALKU
======</t>
      </text>
    </comment>
    <comment ref="H5" authorId="0" shapeId="0">
      <text>
        <t>Wert kommt aus Tabellenblatt KALKU
======</t>
      </text>
    </comment>
    <comment ref="V5" authorId="1" shapeId="0">
      <text>
        <t>Spiegel aus Verkauf Cashflow Q+R - dort eintragen</t>
      </text>
    </comment>
    <comment ref="X5" authorId="1" shapeId="0">
      <text>
        <t>Eingabe im Reiter Verkauf Cashflow (Auf-/Abschlag); wirkt nur im Regler-Weg</t>
      </text>
    </comment>
    <comment ref="Y5" authorId="1" shapeId="0">
      <text>
        <t>= Abgabepreis gesamt aus Verkauf Cashflow - je nach Eingabe-Weg aus Regler, Ziel-Rendite oder Ziel-Cashflow</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Aufteiler-Skill</author>
  </authors>
  <commentList>
    <comment ref="G2" authorId="0" shapeId="0">
      <text>
        <t>(Export schreibt "ja"/"nein" aus dem boolean; leer = vermietet; None, nie "" oder 0)</t>
      </text>
    </comment>
    <comment ref="H2" authorId="0" shapeId="0">
      <text>
        <t>(leer = keine Garage, None)</t>
      </text>
    </comment>
    <comment ref="I2" authorId="0" shapeId="0">
      <text>
        <t>(leer = kein Stellplatz, None)</t>
      </text>
    </comment>
    <comment ref="J2" authorId="0" shapeId="0">
      <text>
        <t>(leer = kein MEA -&gt; Gebaeudeanteil faellt auf BF bzw. C10 zurueck)</t>
      </text>
    </comment>
    <comment ref="L2" authorId="0" shapeId="0">
      <text>
        <t>(Eingabe-Weg 1: setzt den Abgabepreis der WOHNUNG - was Andre bekommt. Im Rendite-/Cashflow-Weg Rueckfall fuer Zeilen ohne Miete.)</t>
      </text>
    </comment>
    <comment ref="M2" authorId="0" shapeId="0">
      <text>
        <t>(leer = Ziel-Rendite aus dem Block EINGABE-WEG, None. Wirkt nur im Eingabe-Weg 2.)</t>
      </text>
    </comment>
    <comment ref="N2" authorId="0" shapeId="0">
      <text>
        <t>(leer = Ziel-Cashflow aus dem Block EINGABE-WEG, None. Wirkt nur im Eingabe-Weg 3.)</t>
      </text>
    </comment>
    <comment ref="S2" authorId="0" shapeId="0">
      <text>
        <t>(leer = 0, None; negativ = Abschlag. Wirkt nur im Regler-Weg - im Rendite-/Cashflow-Weg bestimmt das Ziel den Preis allein.)</t>
      </text>
    </comment>
    <comment ref="U2" authorId="0" shapeId="0">
      <text>
        <t>(Export-Write aus Anzahl x Preis je Einheit; leer = keine, None)</t>
      </text>
    </comment>
    <comment ref="V2" authorId="0" shapeId="0">
      <text>
        <t>(Export-Write aus Anzahl x Preis je Einheit; leer = keine, None)</t>
      </text>
    </comment>
    <comment ref="X2" authorId="0" shapeId="0">
      <text>
        <t>(leer = N5 greift, None; 0 = provisionsfrei)</t>
      </text>
    </comment>
    <comment ref="AK2" authorId="0" shapeId="0">
      <text>
        <t>(leer = MIETER!J gilt, None. Wirkt nur nach OBEN: MAX(MIETER!J, Eingabe))</t>
      </text>
    </comment>
    <comment ref="AM2" authorId="0" shapeId="0">
      <text>
        <t>(Export-Write; leer = keine Subvention, Rendite-Weg faellt fuer diese Zeile auf den Regler zurueck, None)</t>
      </text>
    </comment>
    <comment ref="AO2" authorId="0" shapeId="0">
      <text>
        <t>(Export-Write; leer = AJ als Obergrenze in AU, None)</t>
      </text>
    </comment>
    <comment ref="AP2" authorId="0" shapeId="0">
      <text>
        <t>(Export-Write; leer = keine, None)</t>
      </text>
    </comment>
    <comment ref="AQ2" authorId="0" shapeId="0">
      <text>
        <t>(Export-Write; leer = keine, None)</t>
      </text>
    </comment>
    <comment ref="AW2" authorId="0" shapeId="0">
      <text>
        <t>(Export-Write; leer = Formel-Fallback in AT, None)</t>
      </text>
    </comment>
    <comment ref="BA2" authorId="0" shapeId="0">
      <text>
        <t>(leer = aus Euro bzw. Standard, None)</t>
      </text>
    </comment>
    <comment ref="BB2" authorId="0" shapeId="0">
      <text>
        <t>(leer = Prozent bzw. Standard, None; 0 = kein Hausgeld, z.B. CRM-Objekt ohne Angabe; bei Leerstand VOLLES Hausgeld eintragen)</t>
      </text>
    </comment>
    <comment ref="BD2" authorId="0" shapeId="0">
      <text>
        <t>(leer = Flaechen-Standard als Obergrenze, None)</t>
      </text>
    </comment>
    <comment ref="BJ2" authorId="0" shapeId="0">
      <text>
        <t>(leer = berechnet bzw. C10, None; 0,5..1)</t>
      </text>
    </comment>
    <comment ref="BN2" authorId="0" shapeId="0">
      <text>
        <t>(leer = C9, None; 0,01..0,06)</t>
      </text>
    </comment>
    <comment ref="C26" authorId="0" shapeId="0">
      <text>
        <t>Template-Default / User-Eingabe (unveraendert)</t>
      </text>
    </comment>
    <comment ref="H26" authorId="0" shapeId="0">
      <text>
        <t>Provision Standard (% vom Abgabepreis) | NEU - Eingabe. CRM ANNAHMEN_DEFAULTS.provision_default. Greift je Zeile, wenn T leer.</t>
      </text>
    </comment>
    <comment ref="O26" authorId="0" shapeId="0">
      <text>
        <t>Schalter fuer das ganze Blatt (Andre 2026-10-25): 1 = Regler EUR/m2 je Wohnung, 2 = Ziel-Bruttomietrendite (Soll-Miete inkl. Subvention), 3 = Ziel-Cashflow nach Steuern mit Subvention. Zielwert unten, je Wohnung ueberschreibbar. Zeilen ohne Miete fallen auf den Regler zurueck.</t>
      </text>
    </comment>
    <comment ref="C27" authorId="0" shapeId="0">
      <text>
        <t>Template-Default / User-Eingabe (unveraendert)</t>
      </text>
    </comment>
    <comment ref="H27" authorId="0" shapeId="0">
      <text>
        <t>Grundstuecksflaeche gesamt (m2) | NEU - Export-Write aus modul_2.grundstuecksflaeche_qm (Grundbuch Bestandsverzeichnis vor Flurkarte vor Expose; Quelle modul_2.grundstuecksflaeche_quelle als Zellkommentar). CRM grundstuecksflaeche_m2.</t>
      </text>
    </comment>
    <comment ref="O27" authorId="0" shapeId="0">
      <text>
        <t>Klartext des Schalters, Formel</t>
      </text>
    </comment>
    <comment ref="C28" authorId="0" shapeId="0">
      <text>
        <t>Template-Default / User-Eingabe (unveraendert)</t>
      </text>
    </comment>
    <comment ref="H28" authorId="0" shapeId="0">
      <text>
        <t>Bodenrichtwert (EUR/m2) | NEU - Export-Write aus modul_2.brw_eur_pro_qm. CRM bodenrichtwert_qm.</t>
      </text>
    </comment>
    <comment ref="O28" authorId="0" shapeId="0">
      <text>
        <t>Eingabe-Weg 2: Kaufpreis gesamt = Soll-Miete inkl. Subvention x 12 / Ziel-Rendite. Je Wohnung ueberschreibbar (Spalte Ziel-Rendite je WE). 5 % ist ein Platzhalter.</t>
      </text>
    </comment>
    <comment ref="C29" authorId="0" shapeId="0">
      <text>
        <t>Bewirtschaftungsquote gesamt (ALT-KONTROLLE, speist nur Sektion Z.73-87) | Formel, nicht schreiben. IFERROR-Default 0,2 entfernt (stiller Fallback). Vorwaertsrechnung nutzt je WE Spalte BB.</t>
      </text>
    </comment>
    <comment ref="H29" authorId="0" shapeId="0">
      <text>
        <t>MEA-Nenner (Teilungserklaerung; ohne TE = Wohnflaeche x 100) | NEU - Export-Write aus modul_2.mea_nenner; modul_2.mea_quelle als Zellkommentar. CRM mea_nenner.</t>
      </text>
    </comment>
    <comment ref="O29" authorId="0" shapeId="0">
      <text>
        <t>Eingabe-Weg 3: Preis je Wohnung so, dass der Cashflow nach Steuern (mit Subvention) diesen Wert trifft (+-1 EUR Rundung). Je Wohnung ueberschreibbar. Speist ausserdem den Ruecklagen-Topf Z.73-87.</t>
      </text>
    </comment>
    <comment ref="C30" authorId="0" shapeId="0">
      <text>
        <t>AfA-Satz Wohnung (p.a.) - Standard, je WE ueberschreibbar in BJ | modul_3.afa_empfehlung_prozent/100 (Export-Write, unveraendert)</t>
      </text>
    </comment>
    <comment ref="H30" authorId="0" shapeId="0">
      <text>
        <t>Bodenwert Haus gesamt (EUR) | NEU - Formel, nicht schreiben. Rautenstrauch 1.341 x 235 = 315.135.</t>
      </text>
    </comment>
    <comment ref="C31" authorId="0" shapeId="0">
      <text>
        <t>Gebaeudeanteil STANDARD (Stufe 3 der Rangfolge vertrag &gt; berechnet &gt; standard) | modul_2.gebaeude_anteil_prozent/100 (Export-Write). Greift nur, wenn BF leer und kein Bodenwert je WE rechenbar (CRM gebaeude_anteil_default).</t>
      </text>
    </comment>
    <comment ref="H31" authorId="0" shapeId="0">
      <text>
        <t>AfA-Satz GARAGE (p.a.) | NEU - Eingabe, Entscheidung 5. CRM afa_satz_garage.</t>
      </text>
    </comment>
    <comment ref="C32" authorId="0" shapeId="0">
      <text>
        <t>Finanzierungsannahme (1 = 100 % Kaufpreis, KNK aus Eigenkapital; 2 = alles finanziert = Kaufpreis x (1 + KNK)). Steuert Darlehen, Eigenkapital, Zins, Annuitaet, Cashflow und den Cashflow-Weg. CRM-Mapping: schnellblick_alles_finanziert 1 -&gt; 2; 0 -&gt; 1.</t>
      </text>
    </comment>
    <comment ref="H32" authorId="0" shapeId="0">
      <text>
        <t>AfA-Satz AUSSENSTELLPLATZ (p.a.) - bewusst 0 | NEU - Eingabe, Entscheidung 5 (kein abnutzbares Gebaeude). CRM afa_satz_stellplatz = 0. Zellkommentar sagt das.</t>
      </text>
    </comment>
    <comment ref="C33" authorId="0" shapeId="0">
      <text>
        <t>Loan-Faktor alles finanziert = 1 + KNK (1,085 bei 8,5 %) | Formel, nicht schreiben. Andre 2026-10-25 (ersetzt 1/(1-KNK) = 1,0929 aus Entscheidung 8); gleich mit CRM financingQuote seit 2026-09-16. Vault-Regel LRN-aufteiler-knk-loan-faktor-c13.</t>
      </text>
    </comment>
    <comment ref="H33" authorId="0" shapeId="0">
      <text>
        <t>Loan-Faktor der Vorwaertsrechnung (aus der Finanzierung im Kaeuferprofil) | Formel, nicht schreiben. = CRM financingQuote (1 oder 1 + KNK).</t>
      </text>
    </comment>
    <comment ref="C34" authorId="0" shapeId="0">
      <text>
        <t>k-Faktor global (ALT-KONTROLLE fuer den Ruecklagen-Topf Z.73-87) | Formel. Loan-Faktor nur auf dem Kapitaldienst, AfA-Term mit (1+KNK) ohne Quote (beurkundet = Kaufpreis). Identisch zur Spalte k (Finanzierung) bei Standard-Anteil.</t>
      </text>
    </comment>
    <comment ref="H34" authorId="0" shapeId="0">
      <text>
        <t>Sperrfrist Mieterhoehung (Monate) | Eingabe (M9), speist "naechste Erhoehung ab". MIETER!N8:N27 bleibt unangetastet.</t>
      </text>
    </comment>
    <comment ref="C35" authorId="0" shapeId="0">
      <text>
        <t>Kaufnebenkosten-Quote (GrESt NRW 6,5 % + Notar/GB 2,0 %, OHNE Makler) | Entscheidung 4. CRM knk_quote = 0.085. Speist Loan-Faktor, KNK, AfA-Basis und die Rechenhilfen.</t>
      </text>
    </comment>
    <comment ref="C45" authorId="0" shapeId="0">
      <text>
        <t>Kaufpreis Garagen + Stellplaetze gesamt (EUR), Vergleichsblock. Roh-Preise wie im CRM (garage_preis/stellplatz_preis werden vom Kaufpreis gesamt abgezogen, keine eigene Provisionsspalte).</t>
      </text>
    </comment>
    <comment ref="C62" authorId="0" shapeId="0">
      <text>
        <t>Template-Default / User-Eingabe (bestehend)</t>
      </text>
    </comment>
    <comment ref="C63" authorId="0" shapeId="0">
      <text>
        <t>Formel, unveraendert (F bleibt an Ort und Stelle)</t>
      </text>
    </comment>
    <comment ref="C64" authorId="0" shapeId="0">
      <text>
        <t>RND-Staffel 10/14/18 aus modul_3.rnd_jahre (Export-Write, bestehend)</t>
      </text>
    </comment>
    <comment ref="C65" authorId="0" shapeId="0">
      <text>
        <t>Formel, unveraendert</t>
      </text>
    </comment>
    <comment ref="C69" authorId="0" shapeId="0">
      <text>
        <t>GEAENDERT: zeigte auf G38 (alte Mietspalte, jetzt Leerstands-Zaehler). Neue Quelle AH38 = Summe Kaltmiete IST (inkl. Override).</t>
      </text>
    </comment>
  </commentList>
</comments>
</file>

<file path=xl/comments/comment6.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61:B69"/>
    <mergeCell ref="B106:I106"/>
    <mergeCell ref="B2:P2"/>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Garagen-/Stellpl.-
miete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v>62</v>
      </c>
      <c r="G8" s="365" t="n"/>
      <c r="H8" s="825" t="n"/>
      <c r="I8" s="826" t="n">
        <v>45352</v>
      </c>
      <c r="J8" s="368" t="n">
        <v>380</v>
      </c>
      <c r="K8" s="368">
        <f>IF(AND(NOT(ISNUMBER('Verkauf Cashflow'!AP3)),NOT(ISNUMBER('Verkauf Cashflow'!AQ3))),"",N('Verkauf Cashflow'!AP3)+N('Verkauf Cashflow'!AQ3))</f>
        <v/>
      </c>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v>7.2581</v>
      </c>
    </row>
    <row r="9" ht="15" customHeight="1" s="545">
      <c r="A9" s="361" t="n"/>
      <c r="B9" s="361" t="n"/>
      <c r="C9" s="362" t="n"/>
      <c r="D9" s="362" t="n"/>
      <c r="E9" s="363" t="n"/>
      <c r="F9" s="364" t="n"/>
      <c r="G9" s="365" t="n"/>
      <c r="H9" s="825" t="n"/>
      <c r="I9" s="826" t="n"/>
      <c r="J9" s="368" t="n"/>
      <c r="K9" s="368">
        <f>IF(AND(NOT(ISNUMBER('Verkauf Cashflow'!AP4)),NOT(ISNUMBER('Verkauf Cashflow'!AQ4))),"",N('Verkauf Cashflow'!AP4)+N('Verkauf Cashflow'!AQ4))</f>
        <v/>
      </c>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f>IF(AND(NOT(ISNUMBER('Verkauf Cashflow'!AP5)),NOT(ISNUMBER('Verkauf Cashflow'!AQ5))),"",N('Verkauf Cashflow'!AP5)+N('Verkauf Cashflow'!AQ5))</f>
        <v/>
      </c>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f>IF(AND(NOT(ISNUMBER('Verkauf Cashflow'!AP6)),NOT(ISNUMBER('Verkauf Cashflow'!AQ6))),"",N('Verkauf Cashflow'!AP6)+N('Verkauf Cashflow'!AQ6))</f>
        <v/>
      </c>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f>IF(AND(NOT(ISNUMBER('Verkauf Cashflow'!AP7)),NOT(ISNUMBER('Verkauf Cashflow'!AQ7))),"",N('Verkauf Cashflow'!AP7)+N('Verkauf Cashflow'!AQ7))</f>
        <v/>
      </c>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f>IF(AND(NOT(ISNUMBER('Verkauf Cashflow'!AP8)),NOT(ISNUMBER('Verkauf Cashflow'!AQ8))),"",N('Verkauf Cashflow'!AP8)+N('Verkauf Cashflow'!AQ8))</f>
        <v/>
      </c>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f>IF(AND(NOT(ISNUMBER('Verkauf Cashflow'!AP9)),NOT(ISNUMBER('Verkauf Cashflow'!AQ9))),"",N('Verkauf Cashflow'!AP9)+N('Verkauf Cashflow'!AQ9))</f>
        <v/>
      </c>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f>IF(AND(NOT(ISNUMBER('Verkauf Cashflow'!AP10)),NOT(ISNUMBER('Verkauf Cashflow'!AQ10))),"",N('Verkauf Cashflow'!AP10)+N('Verkauf Cashflow'!AQ10))</f>
        <v/>
      </c>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f>IF(AND(NOT(ISNUMBER('Verkauf Cashflow'!AP11)),NOT(ISNUMBER('Verkauf Cashflow'!AQ11))),"",N('Verkauf Cashflow'!AP11)+N('Verkauf Cashflow'!AQ11))</f>
        <v/>
      </c>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f>IF(AND(NOT(ISNUMBER('Verkauf Cashflow'!AP12)),NOT(ISNUMBER('Verkauf Cashflow'!AQ12))),"",N('Verkauf Cashflow'!AP12)+N('Verkauf Cashflow'!AQ12))</f>
        <v/>
      </c>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826" t="n"/>
      <c r="I18" s="826" t="n"/>
      <c r="J18" s="368" t="n"/>
      <c r="K18" s="368">
        <f>IF(AND(NOT(ISNUMBER('Verkauf Cashflow'!AP13)),NOT(ISNUMBER('Verkauf Cashflow'!AQ13))),"",N('Verkauf Cashflow'!AP13)+N('Verkauf Cashflow'!AQ13))</f>
        <v/>
      </c>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826" t="n"/>
      <c r="I19" s="826" t="n"/>
      <c r="J19" s="368" t="n"/>
      <c r="K19" s="368">
        <f>IF(AND(NOT(ISNUMBER('Verkauf Cashflow'!AP14)),NOT(ISNUMBER('Verkauf Cashflow'!AQ14))),"",N('Verkauf Cashflow'!AP14)+N('Verkauf Cashflow'!AQ14))</f>
        <v/>
      </c>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826" t="n"/>
      <c r="I20" s="826" t="n"/>
      <c r="J20" s="363" t="n"/>
      <c r="K20" s="363">
        <f>IF(AND(NOT(ISNUMBER('Verkauf Cashflow'!AP15)),NOT(ISNUMBER('Verkauf Cashflow'!AQ15))),"",N('Verkauf Cashflow'!AP15)+N('Verkauf Cashflow'!AQ15))</f>
        <v/>
      </c>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826" t="n"/>
      <c r="I21" s="826" t="n"/>
      <c r="J21" s="363" t="n"/>
      <c r="K21" s="363">
        <f>IF(AND(NOT(ISNUMBER('Verkauf Cashflow'!AP16)),NOT(ISNUMBER('Verkauf Cashflow'!AQ16))),"",N('Verkauf Cashflow'!AP16)+N('Verkauf Cashflow'!AQ16))</f>
        <v/>
      </c>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826" t="n"/>
      <c r="I22" s="826" t="n"/>
      <c r="J22" s="363" t="n"/>
      <c r="K22" s="363">
        <f>IF(AND(NOT(ISNUMBER('Verkauf Cashflow'!AP17)),NOT(ISNUMBER('Verkauf Cashflow'!AQ17))),"",N('Verkauf Cashflow'!AP17)+N('Verkauf Cashflow'!AQ17))</f>
        <v/>
      </c>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826" t="n"/>
      <c r="I23" s="826" t="n"/>
      <c r="J23" s="363" t="n"/>
      <c r="K23" s="363">
        <f>IF(AND(NOT(ISNUMBER('Verkauf Cashflow'!AP18)),NOT(ISNUMBER('Verkauf Cashflow'!AQ18))),"",N('Verkauf Cashflow'!AP18)+N('Verkauf Cashflow'!AQ18))</f>
        <v/>
      </c>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826" t="n"/>
      <c r="I24" s="826" t="n"/>
      <c r="J24" s="363" t="n"/>
      <c r="K24" s="363">
        <f>IF(AND(NOT(ISNUMBER('Verkauf Cashflow'!AP19)),NOT(ISNUMBER('Verkauf Cashflow'!AQ19))),"",N('Verkauf Cashflow'!AP19)+N('Verkauf Cashflow'!AQ19))</f>
        <v/>
      </c>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826" t="n"/>
      <c r="I25" s="826" t="n"/>
      <c r="J25" s="363" t="n"/>
      <c r="K25" s="363">
        <f>IF(AND(NOT(ISNUMBER('Verkauf Cashflow'!AP20)),NOT(ISNUMBER('Verkauf Cashflow'!AQ20))),"",N('Verkauf Cashflow'!AP20)+N('Verkauf Cashflow'!AQ20))</f>
        <v/>
      </c>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826" t="n"/>
      <c r="I26" s="826" t="n"/>
      <c r="J26" s="363" t="n"/>
      <c r="K26" s="363">
        <f>IF(AND(NOT(ISNUMBER('Verkauf Cashflow'!AP21)),NOT(ISNUMBER('Verkauf Cashflow'!AQ21))),"",N('Verkauf Cashflow'!AP21)+N('Verkauf Cashflow'!AQ21))</f>
        <v/>
      </c>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826" t="n"/>
      <c r="I27" s="826" t="n"/>
      <c r="J27" s="363" t="n"/>
      <c r="K27" s="363">
        <f>IF(AND(NOT(ISNUMBER('Verkauf Cashflow'!AP22)),NOT(ISNUMBER('Verkauf Cashflow'!AQ22))),"",N('Verkauf Cashflow'!AP22)+N('Verkauf Cashflow'!AQ22))</f>
        <v/>
      </c>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f>IF(NOT(ISNUMBER(H6)),"",IF(M6="Kein Balkon",H6*(-0.05),H6*0))</f>
        <v/>
      </c>
      <c r="O6" s="416" t="n"/>
      <c r="P6" s="838">
        <f>IF(NOT(ISNUMBER(H6)),"",IF(ISBLANK(O6),0,H6*MIN((YEAR(TODAY())-O6)*0.003,0.09)*-1))</f>
        <v/>
      </c>
      <c r="Q6" s="414" t="n"/>
      <c r="R6" s="415">
        <f>IF(ISNUMBER(MIETER!F8),IF(Q6="renoviert",H6*0.05,IF(Q6="teilweise renoviert",H6*0,IF(Q6="unrenoviert",H6*-0.05,0))),"")</f>
        <v/>
      </c>
      <c r="S6" s="418">
        <f>IF(ISNUMBER(MIETER!F8),C6,"")</f>
        <v/>
      </c>
      <c r="T6" s="419">
        <f>IF(ISNUMBER(MIETER!F8),IF(OR(S6="EG",S6="1.OG",S6="2.OG",S6="OG",S6="über 2.OG mit Aufzug"),H6*0,IF(OR(S6="UG",S6="über 2.OG ohne Aufzug"),H6*(-0.05),0)),"")</f>
        <v/>
      </c>
      <c r="U6" s="420">
        <f>IF(ISNUMBER(MIETER!F8),IFERROR(F6*(H6+J6+L6+N6+P6+R6+T6),""),"")</f>
        <v/>
      </c>
      <c r="V6" s="421">
        <f>IF(NOT(ISNUMBER(MIETER!F8)),"",N('Verkauf Cashflow'!U3)+N('Verkauf Cashflow'!V3))</f>
        <v/>
      </c>
      <c r="W6" s="422">
        <f>IF(ISNUMBER(MIETER!F8),U6+V6,"")</f>
        <v/>
      </c>
      <c r="X6" s="421">
        <f>IF(AND(ISNUMBER('Verkauf Cashflow'!S3),LEFT('Verkauf Cashflow'!O3,6)="Regler"),'Verkauf Cashflow'!S3,"")</f>
        <v/>
      </c>
      <c r="Y6" s="422">
        <f>IF(ISNUMBER('Verkauf Cashflow'!W3),'Verkauf Cashflow'!W3,"")</f>
        <v/>
      </c>
      <c r="Z6" s="420">
        <f>IF(ISNUMBER(MIETER!F8),IFERROR(Y6/F6,""),"")</f>
        <v/>
      </c>
      <c r="AA6" s="423">
        <f>IF(ISNUMBER('Verkauf Cashflow'!CA3),'Verkauf Cashflow'!CA3,"")</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f>IF(NOT(ISNUMBER(H7)),"",IF(M7="Kein Balkon",H7*(-0.05),H7*0))</f>
        <v/>
      </c>
      <c r="O7" s="416" t="n"/>
      <c r="P7" s="838">
        <f>IF(NOT(ISNUMBER(H7)),"",IF(ISBLANK(O7),0,H7*MIN((YEAR(TODAY())-O7)*0.003,0.09)*-1))</f>
        <v/>
      </c>
      <c r="Q7" s="414" t="n"/>
      <c r="R7" s="415">
        <f>IF(ISNUMBER(MIETER!F9),IF(Q7="renoviert",H7*0.05,IF(Q7="teilweise renoviert",H7*0,IF(Q7="unrenoviert",H7*-0.05,0))),"")</f>
        <v/>
      </c>
      <c r="S7" s="418">
        <f>IF(ISNUMBER(MIETER!F9),C7,"")</f>
        <v/>
      </c>
      <c r="T7" s="419">
        <f>IF(ISNUMBER(MIETER!F9),IF(OR(S7="EG",S7="1.OG",S7="2.OG",S7="OG",S7="über 2.OG mit Aufzug"),H7*0,IF(OR(S7="UG",S7="über 2.OG ohne Aufzug"),H7*(-0.05),0)),"")</f>
        <v/>
      </c>
      <c r="U7" s="420">
        <f>IF(ISNUMBER(MIETER!F9),IFERROR(F7*(H7+J7+L7+N7+P7+R7+T7),""),"")</f>
        <v/>
      </c>
      <c r="V7" s="421">
        <f>IF(NOT(ISNUMBER(MIETER!F9)),"",N('Verkauf Cashflow'!U4)+N('Verkauf Cashflow'!V4))</f>
        <v/>
      </c>
      <c r="W7" s="422">
        <f>IF(ISNUMBER(MIETER!F9),U7+V7,"")</f>
        <v/>
      </c>
      <c r="X7" s="421">
        <f>IF(AND(ISNUMBER('Verkauf Cashflow'!S4),LEFT('Verkauf Cashflow'!O4,6)="Regler"),'Verkauf Cashflow'!S4,"")</f>
        <v/>
      </c>
      <c r="Y7" s="422">
        <f>IF(ISNUMBER('Verkauf Cashflow'!W4),'Verkauf Cashflow'!W4,"")</f>
        <v/>
      </c>
      <c r="Z7" s="420">
        <f>IF(ISNUMBER(MIETER!F9),IFERROR(Y7/F7,""),"")</f>
        <v/>
      </c>
      <c r="AA7" s="423">
        <f>IF(ISNUMBER('Verkauf Cashflow'!CA4),'Verkauf Cashflow'!CA4,"")</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f>IF(NOT(ISNUMBER(H8)),"",IF(M8="Kein Balkon",H8*(-0.05),H8*0))</f>
        <v/>
      </c>
      <c r="O8" s="416" t="n"/>
      <c r="P8" s="838">
        <f>IF(NOT(ISNUMBER(H8)),"",IF(ISBLANK(O8),0,H8*MIN((YEAR(TODAY())-O8)*0.003,0.09)*-1))</f>
        <v/>
      </c>
      <c r="Q8" s="414" t="n"/>
      <c r="R8" s="415">
        <f>IF(ISNUMBER(MIETER!F10),IF(Q8="renoviert",H8*0.05,IF(Q8="teilweise renoviert",H8*0,IF(Q8="unrenoviert",H8*-0.05,0))),"")</f>
        <v/>
      </c>
      <c r="S8" s="418">
        <f>IF(ISNUMBER(MIETER!F10),C8,"")</f>
        <v/>
      </c>
      <c r="T8" s="419">
        <f>IF(ISNUMBER(MIETER!F10),IF(OR(S8="EG",S8="1.OG",S8="2.OG",S8="OG",S8="über 2.OG mit Aufzug"),H8*0,IF(OR(S8="UG",S8="über 2.OG ohne Aufzug"),H8*(-0.05),0)),"")</f>
        <v/>
      </c>
      <c r="U8" s="420">
        <f>IF(ISNUMBER(MIETER!F10),IFERROR(F8*(H8+J8+L8+N8+P8+R8+T8),""),"")</f>
        <v/>
      </c>
      <c r="V8" s="421">
        <f>IF(NOT(ISNUMBER(MIETER!F10)),"",N('Verkauf Cashflow'!U5)+N('Verkauf Cashflow'!V5))</f>
        <v/>
      </c>
      <c r="W8" s="422">
        <f>IF(ISNUMBER(MIETER!F10),U8+V8,"")</f>
        <v/>
      </c>
      <c r="X8" s="421">
        <f>IF(AND(ISNUMBER('Verkauf Cashflow'!S5),LEFT('Verkauf Cashflow'!O5,6)="Regler"),'Verkauf Cashflow'!S5,"")</f>
        <v/>
      </c>
      <c r="Y8" s="422">
        <f>IF(ISNUMBER('Verkauf Cashflow'!W5),'Verkauf Cashflow'!W5,"")</f>
        <v/>
      </c>
      <c r="Z8" s="420">
        <f>IF(ISNUMBER(MIETER!F10),IFERROR(Y8/F8,""),"")</f>
        <v/>
      </c>
      <c r="AA8" s="423">
        <f>IF(ISNUMBER('Verkauf Cashflow'!CA5),'Verkauf Cashflow'!CA5,"")</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f>IF(NOT(ISNUMBER(H9)),"",IF(M9="Kein Balkon",H9*(-0.05),H9*0))</f>
        <v/>
      </c>
      <c r="O9" s="416" t="n"/>
      <c r="P9" s="838">
        <f>IF(NOT(ISNUMBER(H9)),"",IF(ISBLANK(O9),0,H9*MIN((YEAR(TODAY())-O9)*0.003,0.09)*-1))</f>
        <v/>
      </c>
      <c r="Q9" s="414" t="n"/>
      <c r="R9" s="415">
        <f>IF(ISNUMBER(MIETER!F11),IF(Q9="renoviert",H9*0.05,IF(Q9="teilweise renoviert",H9*0,IF(Q9="unrenoviert",H9*-0.05,0))),"")</f>
        <v/>
      </c>
      <c r="S9" s="418">
        <f>IF(ISNUMBER(MIETER!F11),C9,"")</f>
        <v/>
      </c>
      <c r="T9" s="419">
        <f>IF(ISNUMBER(MIETER!F11),IF(OR(S9="EG",S9="1.OG",S9="2.OG",S9="OG",S9="über 2.OG mit Aufzug"),H9*0,IF(OR(S9="UG",S9="über 2.OG ohne Aufzug"),H9*(-0.05),0)),"")</f>
        <v/>
      </c>
      <c r="U9" s="420">
        <f>IF(ISNUMBER(MIETER!F11),IFERROR(F9*(H9+J9+L9+N9+P9+R9+T9),""),"")</f>
        <v/>
      </c>
      <c r="V9" s="421">
        <f>IF(NOT(ISNUMBER(MIETER!F11)),"",N('Verkauf Cashflow'!U6)+N('Verkauf Cashflow'!V6))</f>
        <v/>
      </c>
      <c r="W9" s="422">
        <f>IF(ISNUMBER(MIETER!F11),U9+V9,"")</f>
        <v/>
      </c>
      <c r="X9" s="421">
        <f>IF(AND(ISNUMBER('Verkauf Cashflow'!S6),LEFT('Verkauf Cashflow'!O6,6)="Regler"),'Verkauf Cashflow'!S6,"")</f>
        <v/>
      </c>
      <c r="Y9" s="422">
        <f>IF(ISNUMBER('Verkauf Cashflow'!W6),'Verkauf Cashflow'!W6,"")</f>
        <v/>
      </c>
      <c r="Z9" s="420">
        <f>IF(ISNUMBER(MIETER!F11),IFERROR(Y9/F9,""),"")</f>
        <v/>
      </c>
      <c r="AA9" s="423">
        <f>IF(ISNUMBER('Verkauf Cashflow'!CA6),'Verkauf Cashflow'!CA6,"")</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f>IF(NOT(ISNUMBER(H10)),"",IF(M10="Kein Balkon",H10*(-0.05),H10*0))</f>
        <v/>
      </c>
      <c r="O10" s="416" t="n"/>
      <c r="P10" s="838">
        <f>IF(NOT(ISNUMBER(H10)),"",IF(ISBLANK(O10),0,H10*MIN((YEAR(TODAY())-O10)*0.003,0.09)*-1))</f>
        <v/>
      </c>
      <c r="Q10" s="414" t="n"/>
      <c r="R10" s="415">
        <f>IF(ISNUMBER(MIETER!F12),IF(Q10="renoviert",H10*0.05,IF(Q10="teilweise renoviert",H10*0,IF(Q10="unrenoviert",H10*-0.05,0))),"")</f>
        <v/>
      </c>
      <c r="S10" s="418">
        <f>IF(ISNUMBER(MIETER!F12),C10,"")</f>
        <v/>
      </c>
      <c r="T10" s="419">
        <f>IF(ISNUMBER(MIETER!F12),IF(OR(S10="EG",S10="1.OG",S10="2.OG",S10="OG",S10="über 2.OG mit Aufzug"),H10*0,IF(OR(S10="UG",S10="über 2.OG ohne Aufzug"),H10*(-0.05),0)),"")</f>
        <v/>
      </c>
      <c r="U10" s="420">
        <f>IF(ISNUMBER(MIETER!F12),IFERROR(F10*(H10+J10+L10+N10+P10+R10+T10),""),"")</f>
        <v/>
      </c>
      <c r="V10" s="421">
        <f>IF(NOT(ISNUMBER(MIETER!F12)),"",N('Verkauf Cashflow'!U7)+N('Verkauf Cashflow'!V7))</f>
        <v/>
      </c>
      <c r="W10" s="422">
        <f>IF(ISNUMBER(MIETER!F12),U10+V10,"")</f>
        <v/>
      </c>
      <c r="X10" s="421">
        <f>IF(AND(ISNUMBER('Verkauf Cashflow'!S7),LEFT('Verkauf Cashflow'!O7,6)="Regler"),'Verkauf Cashflow'!S7,"")</f>
        <v/>
      </c>
      <c r="Y10" s="422">
        <f>IF(ISNUMBER('Verkauf Cashflow'!W7),'Verkauf Cashflow'!W7,"")</f>
        <v/>
      </c>
      <c r="Z10" s="420">
        <f>IF(ISNUMBER(MIETER!F12),IFERROR(Y10/F10,""),"")</f>
        <v/>
      </c>
      <c r="AA10" s="423">
        <f>IF(ISNUMBER('Verkauf Cashflow'!CA7),'Verkauf Cashflow'!CA7,"")</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f>IF(NOT(ISNUMBER(H11)),"",IF(M11="Kein Balkon",H11*(-0.05),H11*0))</f>
        <v/>
      </c>
      <c r="O11" s="416" t="n"/>
      <c r="P11" s="838">
        <f>IF(NOT(ISNUMBER(H11)),"",IF(ISBLANK(O11),0,H11*MIN((YEAR(TODAY())-O11)*0.003,0.09)*-1))</f>
        <v/>
      </c>
      <c r="Q11" s="414" t="n"/>
      <c r="R11" s="415">
        <f>IF(ISNUMBER(MIETER!F13),IF(Q11="renoviert",H11*0.05,IF(Q11="teilweise renoviert",H11*0,IF(Q11="unrenoviert",H11*-0.05,0))),"")</f>
        <v/>
      </c>
      <c r="S11" s="418">
        <f>IF(ISNUMBER(MIETER!F13),C11,"")</f>
        <v/>
      </c>
      <c r="T11" s="419">
        <f>IF(ISNUMBER(MIETER!F13),IF(OR(S11="EG",S11="1.OG",S11="2.OG",S11="OG",S11="über 2.OG mit Aufzug"),H11*0,IF(OR(S11="UG",S11="über 2.OG ohne Aufzug"),H11*(-0.05),0)),"")</f>
        <v/>
      </c>
      <c r="U11" s="420">
        <f>IF(ISNUMBER(MIETER!F13),IFERROR(F11*(H11+J11+L11+N11+P11+R11+T11),""),"")</f>
        <v/>
      </c>
      <c r="V11" s="421">
        <f>IF(NOT(ISNUMBER(MIETER!F13)),"",N('Verkauf Cashflow'!U8)+N('Verkauf Cashflow'!V8))</f>
        <v/>
      </c>
      <c r="W11" s="422">
        <f>IF(ISNUMBER(MIETER!F13),U11+V11,"")</f>
        <v/>
      </c>
      <c r="X11" s="421">
        <f>IF(AND(ISNUMBER('Verkauf Cashflow'!S8),LEFT('Verkauf Cashflow'!O8,6)="Regler"),'Verkauf Cashflow'!S8,"")</f>
        <v/>
      </c>
      <c r="Y11" s="422">
        <f>IF(ISNUMBER('Verkauf Cashflow'!W8),'Verkauf Cashflow'!W8,"")</f>
        <v/>
      </c>
      <c r="Z11" s="420">
        <f>IF(ISNUMBER(MIETER!F13),IFERROR(Y11/F11,""),"")</f>
        <v/>
      </c>
      <c r="AA11" s="423">
        <f>IF(ISNUMBER('Verkauf Cashflow'!CA8),'Verkauf Cashflow'!CA8,"")</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f>IF(NOT(ISNUMBER(H12)),"",IF(M12="Kein Balkon",H12*(-0.05),H12*0))</f>
        <v/>
      </c>
      <c r="O12" s="416" t="n"/>
      <c r="P12" s="838">
        <f>IF(NOT(ISNUMBER(H12)),"",IF(ISBLANK(O12),0,H12*MIN((YEAR(TODAY())-O12)*0.003,0.09)*-1))</f>
        <v/>
      </c>
      <c r="Q12" s="414" t="n"/>
      <c r="R12" s="415">
        <f>IF(ISNUMBER(MIETER!F14),IF(Q12="renoviert",H12*0.05,IF(Q12="teilweise renoviert",H12*0,IF(Q12="unrenoviert",H12*-0.05,0))),"")</f>
        <v/>
      </c>
      <c r="S12" s="418">
        <f>IF(ISNUMBER(MIETER!F14),C12,"")</f>
        <v/>
      </c>
      <c r="T12" s="419">
        <f>IF(ISNUMBER(MIETER!F14),IF(OR(S12="EG",S12="1.OG",S12="2.OG",S12="OG",S12="über 2.OG mit Aufzug"),H12*0,IF(OR(S12="UG",S12="über 2.OG ohne Aufzug"),H12*(-0.05),0)),"")</f>
        <v/>
      </c>
      <c r="U12" s="420">
        <f>IF(ISNUMBER(MIETER!F14),IFERROR(F12*(H12+J12+L12+N12+P12+R12+T12),""),"")</f>
        <v/>
      </c>
      <c r="V12" s="421">
        <f>IF(NOT(ISNUMBER(MIETER!F14)),"",N('Verkauf Cashflow'!U9)+N('Verkauf Cashflow'!V9))</f>
        <v/>
      </c>
      <c r="W12" s="422">
        <f>IF(ISNUMBER(MIETER!F14),U12+V12,"")</f>
        <v/>
      </c>
      <c r="X12" s="421">
        <f>IF(AND(ISNUMBER('Verkauf Cashflow'!S9),LEFT('Verkauf Cashflow'!O9,6)="Regler"),'Verkauf Cashflow'!S9,"")</f>
        <v/>
      </c>
      <c r="Y12" s="422">
        <f>IF(ISNUMBER('Verkauf Cashflow'!W9),'Verkauf Cashflow'!W9,"")</f>
        <v/>
      </c>
      <c r="Z12" s="420">
        <f>IF(ISNUMBER(MIETER!F14),IFERROR(Y12/F12,""),"")</f>
        <v/>
      </c>
      <c r="AA12" s="423">
        <f>IF(ISNUMBER('Verkauf Cashflow'!CA9),'Verkauf Cashflow'!CA9,"")</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f>IF(NOT(ISNUMBER(H13)),"",IF(M13="Kein Balkon",H13*(-0.05),H13*0))</f>
        <v/>
      </c>
      <c r="O13" s="416" t="n"/>
      <c r="P13" s="838">
        <f>IF(NOT(ISNUMBER(H13)),"",IF(ISBLANK(O13),0,H13*MIN((YEAR(TODAY())-O13)*0.003,0.09)*-1))</f>
        <v/>
      </c>
      <c r="Q13" s="414" t="n"/>
      <c r="R13" s="415">
        <f>IF(ISNUMBER(MIETER!F15),IF(Q13="renoviert",H13*0.05,IF(Q13="teilweise renoviert",H13*0,IF(Q13="unrenoviert",H13*-0.05,0))),"")</f>
        <v/>
      </c>
      <c r="S13" s="418">
        <f>IF(ISNUMBER(MIETER!F15),C13,"")</f>
        <v/>
      </c>
      <c r="T13" s="419">
        <f>IF(ISNUMBER(MIETER!F15),IF(OR(S13="EG",S13="1.OG",S13="2.OG",S13="OG",S13="über 2.OG mit Aufzug"),H13*0,IF(OR(S13="UG",S13="über 2.OG ohne Aufzug"),H13*(-0.05),0)),"")</f>
        <v/>
      </c>
      <c r="U13" s="420">
        <f>IF(ISNUMBER(MIETER!F15),IFERROR(F13*(H13+J13+L13+N13+P13+R13+T13),""),"")</f>
        <v/>
      </c>
      <c r="V13" s="421">
        <f>IF(NOT(ISNUMBER(MIETER!F15)),"",N('Verkauf Cashflow'!U10)+N('Verkauf Cashflow'!V10))</f>
        <v/>
      </c>
      <c r="W13" s="422">
        <f>IF(ISNUMBER(MIETER!F15),U13+V13,"")</f>
        <v/>
      </c>
      <c r="X13" s="421">
        <f>IF(AND(ISNUMBER('Verkauf Cashflow'!S10),LEFT('Verkauf Cashflow'!O10,6)="Regler"),'Verkauf Cashflow'!S10,"")</f>
        <v/>
      </c>
      <c r="Y13" s="422">
        <f>IF(ISNUMBER('Verkauf Cashflow'!W10),'Verkauf Cashflow'!W10,"")</f>
        <v/>
      </c>
      <c r="Z13" s="420">
        <f>IF(ISNUMBER(MIETER!F15),IFERROR(Y13/F13,""),"")</f>
        <v/>
      </c>
      <c r="AA13" s="423">
        <f>IF(ISNUMBER('Verkauf Cashflow'!CA10),'Verkauf Cashflow'!CA10,"")</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f>IF(NOT(ISNUMBER(H14)),"",IF(M14="Kein Balkon",H14*(-0.05),H14*0))</f>
        <v/>
      </c>
      <c r="O14" s="416" t="n"/>
      <c r="P14" s="838">
        <f>IF(NOT(ISNUMBER(H14)),"",IF(ISBLANK(O14),0,H14*MIN((YEAR(TODAY())-O14)*0.003,0.09)*-1))</f>
        <v/>
      </c>
      <c r="Q14" s="414" t="n"/>
      <c r="R14" s="415">
        <f>IF(ISNUMBER(MIETER!F16),IF(Q14="renoviert",H14*0.05,IF(Q14="teilweise renoviert",H14*0,IF(Q14="unrenoviert",H14*-0.05,0))),"")</f>
        <v/>
      </c>
      <c r="S14" s="418">
        <f>IF(ISNUMBER(MIETER!F16),C14,"")</f>
        <v/>
      </c>
      <c r="T14" s="419">
        <f>IF(ISNUMBER(MIETER!F16),IF(OR(S14="EG",S14="1.OG",S14="2.OG",S14="OG",S14="über 2.OG mit Aufzug"),H14*0,IF(OR(S14="UG",S14="über 2.OG ohne Aufzug"),H14*(-0.05),0)),"")</f>
        <v/>
      </c>
      <c r="U14" s="420">
        <f>IF(ISNUMBER(MIETER!F16),IFERROR(F14*(H14+J14+L14+N14+P14+R14+T14),""),"")</f>
        <v/>
      </c>
      <c r="V14" s="421">
        <f>IF(NOT(ISNUMBER(MIETER!F16)),"",N('Verkauf Cashflow'!U11)+N('Verkauf Cashflow'!V11))</f>
        <v/>
      </c>
      <c r="W14" s="422">
        <f>IF(ISNUMBER(MIETER!F16),U14+V14,"")</f>
        <v/>
      </c>
      <c r="X14" s="421">
        <f>IF(AND(ISNUMBER('Verkauf Cashflow'!S11),LEFT('Verkauf Cashflow'!O11,6)="Regler"),'Verkauf Cashflow'!S11,"")</f>
        <v/>
      </c>
      <c r="Y14" s="422">
        <f>IF(ISNUMBER('Verkauf Cashflow'!W11),'Verkauf Cashflow'!W11,"")</f>
        <v/>
      </c>
      <c r="Z14" s="420">
        <f>IF(ISNUMBER(MIETER!F16),IFERROR(Y14/F14,""),"")</f>
        <v/>
      </c>
      <c r="AA14" s="423">
        <f>IF(ISNUMBER('Verkauf Cashflow'!CA11),'Verkauf Cashflow'!CA11,"")</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f>IF(NOT(ISNUMBER(H15)),"",IF(M15="Kein Balkon",H15*(-0.05),H15*0))</f>
        <v/>
      </c>
      <c r="O15" s="416" t="n"/>
      <c r="P15" s="838">
        <f>IF(NOT(ISNUMBER(H15)),"",IF(ISBLANK(O15),0,H15*MIN((YEAR(TODAY())-O15)*0.003,0.09)*-1))</f>
        <v/>
      </c>
      <c r="Q15" s="414" t="n"/>
      <c r="R15" s="415">
        <f>IF(ISNUMBER(MIETER!F17),IF(Q15="renoviert",H15*0.05,IF(Q15="teilweise renoviert",H15*0,IF(Q15="unrenoviert",H15*-0.05,0))),"")</f>
        <v/>
      </c>
      <c r="S15" s="418">
        <f>IF(ISNUMBER(MIETER!F17),C15,"")</f>
        <v/>
      </c>
      <c r="T15" s="419">
        <f>IF(ISNUMBER(MIETER!F17),IF(OR(S15="EG",S15="1.OG",S15="2.OG",S15="OG",S15="über 2.OG mit Aufzug"),H15*0,IF(OR(S15="UG",S15="über 2.OG ohne Aufzug"),H15*(-0.05),0)),"")</f>
        <v/>
      </c>
      <c r="U15" s="420">
        <f>IF(ISNUMBER(MIETER!F17),IFERROR(F15*(H15+J15+L15+N15+P15+R15+T15),""),"")</f>
        <v/>
      </c>
      <c r="V15" s="421">
        <f>IF(NOT(ISNUMBER(MIETER!F17)),"",N('Verkauf Cashflow'!U12)+N('Verkauf Cashflow'!V12))</f>
        <v/>
      </c>
      <c r="W15" s="422">
        <f>IF(ISNUMBER(MIETER!F17),U15+V15,"")</f>
        <v/>
      </c>
      <c r="X15" s="421">
        <f>IF(AND(ISNUMBER('Verkauf Cashflow'!S12),LEFT('Verkauf Cashflow'!O12,6)="Regler"),'Verkauf Cashflow'!S12,"")</f>
        <v/>
      </c>
      <c r="Y15" s="422">
        <f>IF(ISNUMBER('Verkauf Cashflow'!W12),'Verkauf Cashflow'!W12,"")</f>
        <v/>
      </c>
      <c r="Z15" s="420">
        <f>IF(ISNUMBER(MIETER!F17),IFERROR(Y15/F15,""),"")</f>
        <v/>
      </c>
      <c r="AA15" s="423">
        <f>IF(ISNUMBER('Verkauf Cashflow'!CA12),'Verkauf Cashflow'!CA12,"")</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f>IF(NOT(ISNUMBER(H16)),"",IF(M16="Kein Balkon",H16*(-0.05),H16*0))</f>
        <v/>
      </c>
      <c r="O16" s="416" t="n"/>
      <c r="P16" s="838">
        <f>IF(NOT(ISNUMBER(H16)),"",IF(ISBLANK(O16),0,H16*MIN((YEAR(TODAY())-O16)*0.003,0.09)*-1))</f>
        <v/>
      </c>
      <c r="Q16" s="414" t="n"/>
      <c r="R16" s="415">
        <f>IF(ISNUMBER(MIETER!F18),IF(Q16="renoviert",H16*0.05,IF(Q16="teilweise renoviert",H16*0,IF(Q16="unrenoviert",H16*-0.05,0))),"")</f>
        <v/>
      </c>
      <c r="S16" s="418">
        <f>IF(ISNUMBER(MIETER!F18),C16,"")</f>
        <v/>
      </c>
      <c r="T16" s="419">
        <f>IF(ISNUMBER(MIETER!F18),IF(OR(S16="EG",S16="1.OG",S16="2.OG",S16="OG",S16="über 2.OG mit Aufzug"),H16*0,IF(OR(S16="UG",S16="über 2.OG ohne Aufzug"),H16*(-0.05),0)),"")</f>
        <v/>
      </c>
      <c r="U16" s="420">
        <f>IF(ISNUMBER(MIETER!F18),IFERROR(F16*(H16+J16+L16+N16+P16+R16+T16),""),"")</f>
        <v/>
      </c>
      <c r="V16" s="421">
        <f>IF(NOT(ISNUMBER(MIETER!F18)),"",N('Verkauf Cashflow'!U13)+N('Verkauf Cashflow'!V13))</f>
        <v/>
      </c>
      <c r="W16" s="422">
        <f>IF(ISNUMBER(MIETER!F18),U16+V16,"")</f>
        <v/>
      </c>
      <c r="X16" s="421">
        <f>IF(AND(ISNUMBER('Verkauf Cashflow'!S13),LEFT('Verkauf Cashflow'!O13,6)="Regler"),'Verkauf Cashflow'!S13,"")</f>
        <v/>
      </c>
      <c r="Y16" s="422">
        <f>IF(ISNUMBER('Verkauf Cashflow'!W13),'Verkauf Cashflow'!W13,"")</f>
        <v/>
      </c>
      <c r="Z16" s="420">
        <f>IF(ISNUMBER(MIETER!F18),IFERROR(Y16/F16,""),"")</f>
        <v/>
      </c>
      <c r="AA16" s="423">
        <f>IF(ISNUMBER('Verkauf Cashflow'!CA13),'Verkauf Cashflow'!CA13,"")</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f>IF(NOT(ISNUMBER(H17)),"",IF(M17="Kein Balkon",H17*(-0.05),H17*0))</f>
        <v/>
      </c>
      <c r="O17" s="416" t="n"/>
      <c r="P17" s="838">
        <f>IF(NOT(ISNUMBER(H17)),"",IF(ISBLANK(O17),0,H17*MIN((YEAR(TODAY())-O17)*0.003,0.09)*-1))</f>
        <v/>
      </c>
      <c r="Q17" s="414" t="n"/>
      <c r="R17" s="415">
        <f>IF(ISNUMBER(MIETER!F19),IF(Q17="renoviert",H17*0.05,IF(Q17="teilweise renoviert",H17*0,IF(Q17="unrenoviert",H17*-0.05,0))),"")</f>
        <v/>
      </c>
      <c r="S17" s="418">
        <f>IF(ISNUMBER(MIETER!F19),C17,"")</f>
        <v/>
      </c>
      <c r="T17" s="419">
        <f>IF(ISNUMBER(MIETER!F19),IF(OR(S17="EG",S17="1.OG",S17="2.OG",S17="OG",S17="über 2.OG mit Aufzug"),H17*0,IF(OR(S17="UG",S17="über 2.OG ohne Aufzug"),H17*(-0.05),0)),"")</f>
        <v/>
      </c>
      <c r="U17" s="420">
        <f>IF(ISNUMBER(MIETER!F19),IFERROR(F17*(H17+J17+L17+N17+P17+R17+T17),""),"")</f>
        <v/>
      </c>
      <c r="V17" s="421">
        <f>IF(NOT(ISNUMBER(MIETER!F19)),"",N('Verkauf Cashflow'!U14)+N('Verkauf Cashflow'!V14))</f>
        <v/>
      </c>
      <c r="W17" s="422">
        <f>IF(ISNUMBER(MIETER!F19),U17+V17,"")</f>
        <v/>
      </c>
      <c r="X17" s="421">
        <f>IF(AND(ISNUMBER('Verkauf Cashflow'!S14),LEFT('Verkauf Cashflow'!O14,6)="Regler"),'Verkauf Cashflow'!S14,"")</f>
        <v/>
      </c>
      <c r="Y17" s="422">
        <f>IF(ISNUMBER('Verkauf Cashflow'!W14),'Verkauf Cashflow'!W14,"")</f>
        <v/>
      </c>
      <c r="Z17" s="420">
        <f>IF(ISNUMBER(MIETER!F19),IFERROR(Y17/F17,""),"")</f>
        <v/>
      </c>
      <c r="AA17" s="423">
        <f>IF(ISNUMBER('Verkauf Cashflow'!CA14),'Verkauf Cashflow'!CA14,"")</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f>IF(NOT(ISNUMBER(H18)),"",IF(M18="Kein Balkon",H18*(-0.05),H18*0))</f>
        <v/>
      </c>
      <c r="O18" s="416" t="n"/>
      <c r="P18" s="838">
        <f>IF(NOT(ISNUMBER(H18)),"",IF(ISBLANK(O18),0,H18*MIN((YEAR(TODAY())-O18)*0.003,0.09)*-1))</f>
        <v/>
      </c>
      <c r="Q18" s="414" t="n"/>
      <c r="R18" s="415">
        <f>IF(ISNUMBER(MIETER!F20),IF(Q18="renoviert",H18*0.05,IF(Q18="teilweise renoviert",H18*0,IF(Q18="unrenoviert",H18*-0.05,0))),"")</f>
        <v/>
      </c>
      <c r="S18" s="418">
        <f>IF(ISNUMBER(MIETER!F20),C18,"")</f>
        <v/>
      </c>
      <c r="T18" s="419">
        <f>IF(ISNUMBER(MIETER!F20),IF(OR(S18="EG",S18="1.OG",S18="2.OG",S18="OG",S18="über 2.OG mit Aufzug"),H18*0,IF(OR(S18="UG",S18="über 2.OG ohne Aufzug"),H18*(-0.05),0)),"")</f>
        <v/>
      </c>
      <c r="U18" s="420">
        <f>IF(ISNUMBER(MIETER!F20),IFERROR(F18*(H18+J18+L18+N18+P18+R18+T18),""),"")</f>
        <v/>
      </c>
      <c r="V18" s="421">
        <f>IF(NOT(ISNUMBER(MIETER!F20)),"",N('Verkauf Cashflow'!U15)+N('Verkauf Cashflow'!V15))</f>
        <v/>
      </c>
      <c r="W18" s="422">
        <f>IF(ISNUMBER(MIETER!F20),U18+V18,"")</f>
        <v/>
      </c>
      <c r="X18" s="421">
        <f>IF(AND(ISNUMBER('Verkauf Cashflow'!S15),LEFT('Verkauf Cashflow'!O15,6)="Regler"),'Verkauf Cashflow'!S15,"")</f>
        <v/>
      </c>
      <c r="Y18" s="422">
        <f>IF(ISNUMBER('Verkauf Cashflow'!W15),'Verkauf Cashflow'!W15,"")</f>
        <v/>
      </c>
      <c r="Z18" s="420">
        <f>IF(ISNUMBER(MIETER!F20),IFERROR(Y18/F18,""),"")</f>
        <v/>
      </c>
      <c r="AA18" s="423">
        <f>IF(ISNUMBER('Verkauf Cashflow'!CA15),'Verkauf Cashflow'!CA15,"")</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f>IF(NOT(ISNUMBER(H19)),"",IF(M19="Kein Balkon",H19*(-0.05),H19*0))</f>
        <v/>
      </c>
      <c r="O19" s="416" t="n"/>
      <c r="P19" s="838">
        <f>IF(NOT(ISNUMBER(H19)),"",IF(ISBLANK(O19),0,H19*MIN((YEAR(TODAY())-O19)*0.003,0.09)*-1))</f>
        <v/>
      </c>
      <c r="Q19" s="414" t="n"/>
      <c r="R19" s="415">
        <f>IF(ISNUMBER(MIETER!F21),IF(Q19="renoviert",H19*0.05,IF(Q19="teilweise renoviert",H19*0,IF(Q19="unrenoviert",H19*-0.05,0))),"")</f>
        <v/>
      </c>
      <c r="S19" s="418">
        <f>IF(ISNUMBER(MIETER!F21),C19,"")</f>
        <v/>
      </c>
      <c r="T19" s="419">
        <f>IF(ISNUMBER(MIETER!F21),IF(OR(S19="EG",S19="1.OG",S19="2.OG",S19="OG",S19="über 2.OG mit Aufzug"),H19*0,IF(OR(S19="UG",S19="über 2.OG ohne Aufzug"),H19*(-0.05),0)),"")</f>
        <v/>
      </c>
      <c r="U19" s="420">
        <f>IF(ISNUMBER(MIETER!F21),IFERROR(F19*(H19+J19+L19+N19+P19+R19+T19),""),"")</f>
        <v/>
      </c>
      <c r="V19" s="421">
        <f>IF(NOT(ISNUMBER(MIETER!F21)),"",N('Verkauf Cashflow'!U16)+N('Verkauf Cashflow'!V16))</f>
        <v/>
      </c>
      <c r="W19" s="422">
        <f>IF(ISNUMBER(MIETER!F21),U19+V19,"")</f>
        <v/>
      </c>
      <c r="X19" s="421">
        <f>IF(AND(ISNUMBER('Verkauf Cashflow'!S16),LEFT('Verkauf Cashflow'!O16,6)="Regler"),'Verkauf Cashflow'!S16,"")</f>
        <v/>
      </c>
      <c r="Y19" s="422">
        <f>IF(ISNUMBER('Verkauf Cashflow'!W16),'Verkauf Cashflow'!W16,"")</f>
        <v/>
      </c>
      <c r="Z19" s="420">
        <f>IF(ISNUMBER(MIETER!F21),IFERROR(Y19/F19,""),"")</f>
        <v/>
      </c>
      <c r="AA19" s="423">
        <f>IF(ISNUMBER('Verkauf Cashflow'!CA16),'Verkauf Cashflow'!CA16,"")</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f>IF(NOT(ISNUMBER(H20)),"",IF(M20="Kein Balkon",H20*(-0.05),H20*0))</f>
        <v/>
      </c>
      <c r="O20" s="416" t="n"/>
      <c r="P20" s="838">
        <f>IF(NOT(ISNUMBER(H20)),"",IF(ISBLANK(O20),0,H20*MIN((YEAR(TODAY())-O20)*0.003,0.09)*-1))</f>
        <v/>
      </c>
      <c r="Q20" s="414" t="n"/>
      <c r="R20" s="415">
        <f>IF(ISNUMBER(MIETER!F22),IF(Q20="renoviert",H20*0.05,IF(Q20="teilweise renoviert",H20*0,IF(Q20="unrenoviert",H20*-0.05,0))),"")</f>
        <v/>
      </c>
      <c r="S20" s="418">
        <f>IF(ISNUMBER(MIETER!F22),C20,"")</f>
        <v/>
      </c>
      <c r="T20" s="419">
        <f>IF(ISNUMBER(MIETER!F22),IF(OR(S20="EG",S20="1.OG",S20="2.OG",S20="OG",S20="über 2.OG mit Aufzug"),H20*0,IF(OR(S20="UG",S20="über 2.OG ohne Aufzug"),H20*(-0.05),0)),"")</f>
        <v/>
      </c>
      <c r="U20" s="420">
        <f>IF(ISNUMBER(MIETER!F22),IFERROR(F20*(H20+J20+L20+N20+P20+R20+T20),""),"")</f>
        <v/>
      </c>
      <c r="V20" s="421">
        <f>IF(NOT(ISNUMBER(MIETER!F22)),"",N('Verkauf Cashflow'!U17)+N('Verkauf Cashflow'!V17))</f>
        <v/>
      </c>
      <c r="W20" s="422">
        <f>IF(ISNUMBER(MIETER!F22),U20+V20,"")</f>
        <v/>
      </c>
      <c r="X20" s="421">
        <f>IF(AND(ISNUMBER('Verkauf Cashflow'!S17),LEFT('Verkauf Cashflow'!O17,6)="Regler"),'Verkauf Cashflow'!S17,"")</f>
        <v/>
      </c>
      <c r="Y20" s="422">
        <f>IF(ISNUMBER('Verkauf Cashflow'!W17),'Verkauf Cashflow'!W17,"")</f>
        <v/>
      </c>
      <c r="Z20" s="420">
        <f>IF(ISNUMBER(MIETER!F22),IFERROR(Y20/F20,""),"")</f>
        <v/>
      </c>
      <c r="AA20" s="423">
        <f>IF(ISNUMBER('Verkauf Cashflow'!CA17),'Verkauf Cashflow'!CA17,"")</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f>IF(NOT(ISNUMBER(H21)),"",IF(M21="Kein Balkon",H21*(-0.05),H21*0))</f>
        <v/>
      </c>
      <c r="O21" s="416" t="n"/>
      <c r="P21" s="838">
        <f>IF(NOT(ISNUMBER(H21)),"",IF(ISBLANK(O21),0,H21*MIN((YEAR(TODAY())-O21)*0.003,0.09)*-1))</f>
        <v/>
      </c>
      <c r="Q21" s="414" t="n"/>
      <c r="R21" s="415">
        <f>IF(ISNUMBER(MIETER!F23),IF(Q21="renoviert",H21*0.05,IF(Q21="teilweise renoviert",H21*0,IF(Q21="unrenoviert",H21*-0.05,0))),"")</f>
        <v/>
      </c>
      <c r="S21" s="418">
        <f>IF(ISNUMBER(MIETER!F23),C21,"")</f>
        <v/>
      </c>
      <c r="T21" s="419">
        <f>IF(ISNUMBER(MIETER!F23),IF(OR(S21="EG",S21="1.OG",S21="2.OG",S21="OG",S21="über 2.OG mit Aufzug"),H21*0,IF(OR(S21="UG",S21="über 2.OG ohne Aufzug"),H21*(-0.05),0)),"")</f>
        <v/>
      </c>
      <c r="U21" s="420">
        <f>IF(ISNUMBER(MIETER!F23),IFERROR(F21*(H21+J21+L21+N21+P21+R21+T21),""),"")</f>
        <v/>
      </c>
      <c r="V21" s="421">
        <f>IF(NOT(ISNUMBER(MIETER!F23)),"",N('Verkauf Cashflow'!U18)+N('Verkauf Cashflow'!V18))</f>
        <v/>
      </c>
      <c r="W21" s="422">
        <f>IF(ISNUMBER(MIETER!F23),U21+V21,"")</f>
        <v/>
      </c>
      <c r="X21" s="421">
        <f>IF(AND(ISNUMBER('Verkauf Cashflow'!S18),LEFT('Verkauf Cashflow'!O18,6)="Regler"),'Verkauf Cashflow'!S18,"")</f>
        <v/>
      </c>
      <c r="Y21" s="422">
        <f>IF(ISNUMBER('Verkauf Cashflow'!W18),'Verkauf Cashflow'!W18,"")</f>
        <v/>
      </c>
      <c r="Z21" s="420">
        <f>IF(ISNUMBER(MIETER!F23),IFERROR(Y21/F21,""),"")</f>
        <v/>
      </c>
      <c r="AA21" s="423">
        <f>IF(ISNUMBER('Verkauf Cashflow'!CA18),'Verkauf Cashflow'!CA18,"")</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IF(NOT(ISNUMBER(H22)),"",IF(M22="Kein Balkon",H22*(-0.05),H22*0))</f>
        <v/>
      </c>
      <c r="O22" s="416" t="n"/>
      <c r="P22" s="838">
        <f>IF(NOT(ISNUMBER(H22)),"",IF(ISBLANK(O22),0,H22*MIN((YEAR(TODAY())-O22)*0.003,0.09)*-1))</f>
        <v/>
      </c>
      <c r="Q22" s="414" t="n"/>
      <c r="R22" s="415">
        <f>IF(ISNUMBER(MIETER!F24),IF(Q22="renoviert",H22*0.05,IF(Q22="teilweise renoviert",H22*0,IF(Q22="unrenoviert",H22*-0.05,0))),"")</f>
        <v/>
      </c>
      <c r="S22" s="418">
        <f>IF(ISNUMBER(MIETER!F24),C22,"")</f>
        <v/>
      </c>
      <c r="T22" s="419">
        <f>IF(ISNUMBER(MIETER!F24),IF(OR(S22="EG",S22="1.OG",S22="2.OG",S22="OG",S22="über 2.OG mit Aufzug"),H22*0,IF(OR(S22="UG",S22="über 2.OG ohne Aufzug"),H22*(-0.05),0)),"")</f>
        <v/>
      </c>
      <c r="U22" s="420">
        <f>IF(ISNUMBER(MIETER!F24),IFERROR(F22*(H22+J22+L22+N22+P22+R22+T22),""),"")</f>
        <v/>
      </c>
      <c r="V22" s="421">
        <f>IF(NOT(ISNUMBER(MIETER!F24)),"",N('Verkauf Cashflow'!U19)+N('Verkauf Cashflow'!V19))</f>
        <v/>
      </c>
      <c r="W22" s="422">
        <f>IF(ISNUMBER(MIETER!F24),U22+V22,"")</f>
        <v/>
      </c>
      <c r="X22" s="421">
        <f>IF(AND(ISNUMBER('Verkauf Cashflow'!S19),LEFT('Verkauf Cashflow'!O19,6)="Regler"),'Verkauf Cashflow'!S19,"")</f>
        <v/>
      </c>
      <c r="Y22" s="422">
        <f>IF(ISNUMBER('Verkauf Cashflow'!W19),'Verkauf Cashflow'!W19,"")</f>
        <v/>
      </c>
      <c r="Z22" s="420">
        <f>IF(ISNUMBER(MIETER!F24),IFERROR(Y22/F22,""),"")</f>
        <v/>
      </c>
      <c r="AA22" s="423">
        <f>IF(ISNUMBER('Verkauf Cashflow'!CA19),'Verkauf Cashflow'!CA19,"")</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IF(NOT(ISNUMBER(H23)),"",IF(M23="Kein Balkon",H23*(-0.05),H23*0))</f>
        <v/>
      </c>
      <c r="O23" s="416" t="n"/>
      <c r="P23" s="838">
        <f>IF(NOT(ISNUMBER(H23)),"",IF(ISBLANK(O23),0,H23*MIN((YEAR(TODAY())-O23)*0.003,0.09)*-1))</f>
        <v/>
      </c>
      <c r="Q23" s="414" t="n"/>
      <c r="R23" s="415">
        <f>IF(ISNUMBER(MIETER!F25),IF(Q23="renoviert",H23*0.05,IF(Q23="teilweise renoviert",H23*0,IF(Q23="unrenoviert",H23*-0.05,0))),"")</f>
        <v/>
      </c>
      <c r="S23" s="418">
        <f>IF(ISNUMBER(MIETER!F25),C23,"")</f>
        <v/>
      </c>
      <c r="T23" s="419">
        <f>IF(ISNUMBER(MIETER!F25),IF(OR(S23="EG",S23="1.OG",S23="2.OG",S23="OG",S23="über 2.OG mit Aufzug"),H23*0,IF(OR(S23="UG",S23="über 2.OG ohne Aufzug"),H23*(-0.05),0)),"")</f>
        <v/>
      </c>
      <c r="U23" s="420">
        <f>IF(ISNUMBER(MIETER!F25),IFERROR(F23*(H23+J23+L23+N23+P23+R23+T23),""),"")</f>
        <v/>
      </c>
      <c r="V23" s="421">
        <f>IF(NOT(ISNUMBER(MIETER!F25)),"",N('Verkauf Cashflow'!U20)+N('Verkauf Cashflow'!V20))</f>
        <v/>
      </c>
      <c r="W23" s="422">
        <f>IF(ISNUMBER(MIETER!F25),U23+V23,"")</f>
        <v/>
      </c>
      <c r="X23" s="421">
        <f>IF(AND(ISNUMBER('Verkauf Cashflow'!S20),LEFT('Verkauf Cashflow'!O20,6)="Regler"),'Verkauf Cashflow'!S20,"")</f>
        <v/>
      </c>
      <c r="Y23" s="422">
        <f>IF(ISNUMBER('Verkauf Cashflow'!W20),'Verkauf Cashflow'!W20,"")</f>
        <v/>
      </c>
      <c r="Z23" s="420">
        <f>IF(ISNUMBER(MIETER!F25),IFERROR(Y23/F23,""),"")</f>
        <v/>
      </c>
      <c r="AA23" s="423">
        <f>IF(ISNUMBER('Verkauf Cashflow'!CA20),'Verkauf Cashflow'!CA20,"")</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IF(NOT(ISNUMBER(H24)),"",IF(M24="Kein Balkon",H24*(-0.05),H24*0))</f>
        <v/>
      </c>
      <c r="O24" s="416" t="n"/>
      <c r="P24" s="838">
        <f>IF(NOT(ISNUMBER(H24)),"",IF(ISBLANK(O24),0,H24*MIN((YEAR(TODAY())-O24)*0.003,0.09)*-1))</f>
        <v/>
      </c>
      <c r="Q24" s="414" t="n"/>
      <c r="R24" s="415">
        <f>IF(ISNUMBER(MIETER!F26),IF(Q24="renoviert",H24*0.05,IF(Q24="teilweise renoviert",H24*0,IF(Q24="unrenoviert",H24*-0.05,0))),"")</f>
        <v/>
      </c>
      <c r="S24" s="418">
        <f>IF(ISNUMBER(MIETER!F26),C24,"")</f>
        <v/>
      </c>
      <c r="T24" s="419">
        <f>IF(ISNUMBER(MIETER!F26),IF(OR(S24="EG",S24="1.OG",S24="2.OG",S24="OG",S24="über 2.OG mit Aufzug"),H24*0,IF(OR(S24="UG",S24="über 2.OG ohne Aufzug"),H24*(-0.05),0)),"")</f>
        <v/>
      </c>
      <c r="U24" s="420">
        <f>IF(ISNUMBER(MIETER!F26),IFERROR(F24*(H24+J24+L24+N24+P24+R24+T24),""),"")</f>
        <v/>
      </c>
      <c r="V24" s="421">
        <f>IF(NOT(ISNUMBER(MIETER!F26)),"",N('Verkauf Cashflow'!U21)+N('Verkauf Cashflow'!V21))</f>
        <v/>
      </c>
      <c r="W24" s="422">
        <f>IF(ISNUMBER(MIETER!F26),U24+V24,"")</f>
        <v/>
      </c>
      <c r="X24" s="421">
        <f>IF(AND(ISNUMBER('Verkauf Cashflow'!S21),LEFT('Verkauf Cashflow'!O21,6)="Regler"),'Verkauf Cashflow'!S21,"")</f>
        <v/>
      </c>
      <c r="Y24" s="422">
        <f>IF(ISNUMBER('Verkauf Cashflow'!W21),'Verkauf Cashflow'!W21,"")</f>
        <v/>
      </c>
      <c r="Z24" s="420">
        <f>IF(ISNUMBER(MIETER!F26),IFERROR(Y24/F24,""),"")</f>
        <v/>
      </c>
      <c r="AA24" s="423">
        <f>IF(ISNUMBER('Verkauf Cashflow'!CA21),'Verkauf Cashflow'!CA21,"")</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IF(NOT(ISNUMBER(H25)),"",IF(M25="Kein Balkon",H25*(-0.05),H25*0))</f>
        <v/>
      </c>
      <c r="O25" s="416" t="n"/>
      <c r="P25" s="838">
        <f>IF(NOT(ISNUMBER(H25)),"",IF(ISBLANK(O25),0,H25*MIN((YEAR(TODAY())-O25)*0.003,0.09)*-1))</f>
        <v/>
      </c>
      <c r="Q25" s="414" t="n"/>
      <c r="R25" s="415">
        <f>IF(ISNUMBER(MIETER!F27),IF(Q25="renoviert",H25*0.05,IF(Q25="teilweise renoviert",H25*0,IF(Q25="unrenoviert",H25*-0.05,0))),"")</f>
        <v/>
      </c>
      <c r="S25" s="418">
        <f>IF(ISNUMBER(MIETER!F27),C25,"")</f>
        <v/>
      </c>
      <c r="T25" s="419">
        <f>IF(ISNUMBER(MIETER!F27),IF(OR(S25="EG",S25="1.OG",S25="2.OG",S25="OG",S25="über 2.OG mit Aufzug"),H25*0,IF(OR(S25="UG",S25="über 2.OG ohne Aufzug"),H25*(-0.05),0)),"")</f>
        <v/>
      </c>
      <c r="U25" s="420">
        <f>IF(ISNUMBER(MIETER!F27),IFERROR(F25*(H25+J25+L25+N25+P25+R25+T25),""),"")</f>
        <v/>
      </c>
      <c r="V25" s="421">
        <f>IF(NOT(ISNUMBER(MIETER!F27)),"",N('Verkauf Cashflow'!U22)+N('Verkauf Cashflow'!V22))</f>
        <v/>
      </c>
      <c r="W25" s="422">
        <f>IF(ISNUMBER(MIETER!F27),U25+V25,"")</f>
        <v/>
      </c>
      <c r="X25" s="421">
        <f>IF(AND(ISNUMBER('Verkauf Cashflow'!S22),LEFT('Verkauf Cashflow'!O22,6)="Regler"),'Verkauf Cashflow'!S22,"")</f>
        <v/>
      </c>
      <c r="Y25" s="422">
        <f>IF(ISNUMBER('Verkauf Cashflow'!W22),'Verkauf Cashflow'!W22,"")</f>
        <v/>
      </c>
      <c r="Z25" s="420">
        <f>IF(ISNUMBER(MIETER!F27),IFERROR(Y25/F25,""),"")</f>
        <v/>
      </c>
      <c r="AA25" s="423">
        <f>IF(ISNUMBER('Verkauf Cashflow'!CA22),'Verkauf Cashflow'!CA22,"")</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0"/>
    <pageSetUpPr/>
  </sheetPr>
  <dimension ref="A1:CH1000"/>
  <sheetViews>
    <sheetView showGridLines="0" tabSelected="1" workbookViewId="0">
      <pane xSplit="6" ySplit="2" topLeftCell="G3"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C13" sqref="C13"/>
    </sheetView>
  </sheetViews>
  <sheetFormatPr baseColWidth="10" defaultColWidth="14.4609375" defaultRowHeight="15" customHeight="1"/>
  <cols>
    <col width="28" customWidth="1" style="545" min="1" max="1"/>
    <col width="6" customWidth="1" style="545" min="2" max="2"/>
    <col width="10" customWidth="1" style="545" min="3" max="3"/>
    <col width="8" customWidth="1" style="545" min="4" max="4"/>
    <col width="9" customWidth="1" style="545" min="5" max="5"/>
    <col width="10" customWidth="1" style="545" min="6" max="6"/>
    <col width="8" customWidth="1" style="545" min="7" max="7"/>
    <col width="12" customWidth="1" style="545" min="8" max="8"/>
    <col width="6" customWidth="1" style="545" min="9" max="9"/>
    <col width="8" customWidth="1" style="545" min="10" max="10"/>
    <col hidden="1" outlineLevel="1" width="9" customWidth="1" style="545" min="11" max="12"/>
    <col width="12" customWidth="1" style="545" min="12" max="12"/>
    <col width="11" customWidth="1" style="545" min="13" max="14"/>
    <col width="11" customWidth="1" style="545" min="14" max="14"/>
    <col width="10" customWidth="1" style="545" min="15" max="26"/>
    <col width="11" customWidth="1" style="545" min="16" max="16"/>
    <col width="12" customWidth="1" style="545" min="17" max="17"/>
    <col width="9" customWidth="1" style="545" min="18" max="18"/>
    <col width="11" customWidth="1" style="545" min="19" max="19"/>
    <col width="13" customWidth="1" style="545" min="20" max="20"/>
    <col width="12" customWidth="1" style="545" min="21" max="21"/>
    <col width="12" customWidth="1" style="545" min="22" max="22"/>
    <col width="13" customWidth="1" style="545" min="23" max="23"/>
    <col width="9" customWidth="1" style="545" min="24" max="24"/>
    <col width="9" customWidth="1" style="545" min="25" max="25"/>
    <col width="12" customWidth="1" style="545" min="26" max="26"/>
    <col width="13" customWidth="1" style="545" min="27" max="27"/>
    <col width="13" customWidth="1" style="545" min="28" max="28"/>
    <col hidden="1" outlineLevel="1" width="11" customWidth="1" style="545" min="29" max="29"/>
    <col hidden="1" outlineLevel="1" width="11" customWidth="1" style="545" min="30" max="30"/>
    <col hidden="1" outlineLevel="1" width="13" customWidth="1" style="545" min="31" max="31"/>
    <col width="12" customWidth="1" style="545" min="32" max="32"/>
    <col width="13" customWidth="1" style="545" min="33" max="33"/>
    <col width="13" customWidth="1" style="545" min="34" max="34"/>
    <col width="12" customWidth="1" style="545" min="35" max="35"/>
    <col width="12" customWidth="1" style="545" min="36" max="36"/>
    <col width="12" customWidth="1" style="545" min="37" max="37"/>
    <col width="12" customWidth="1" style="545" min="38" max="38"/>
    <col width="12" customWidth="1" style="545" min="39" max="39"/>
    <col width="11" customWidth="1" style="545" min="40" max="40"/>
    <col width="12" customWidth="1" style="545" min="41" max="41"/>
    <col width="10" customWidth="1" style="545" min="42" max="42"/>
    <col width="10" customWidth="1" style="545" min="43" max="43"/>
    <col width="12" customWidth="1" style="545" min="44" max="44"/>
    <col width="12" customWidth="1" style="545" min="45" max="45"/>
    <col hidden="1" outlineLevel="1" width="10" customWidth="1" style="545" min="46" max="46"/>
    <col width="11" customWidth="1" style="545" min="47" max="47"/>
    <col width="11" customWidth="1" style="545" min="48" max="48"/>
    <col width="9" customWidth="1" style="545" min="49" max="49"/>
    <col width="8" customWidth="1" style="545" min="50" max="50"/>
    <col width="12" customWidth="1" style="545" min="51" max="51"/>
    <col hidden="1" outlineLevel="1" width="11" customWidth="1" style="545" min="52" max="52"/>
    <col width="10" customWidth="1" style="545" min="53" max="53"/>
    <col width="12" customWidth="1" style="545" min="54" max="54"/>
    <col width="12" customWidth="1" style="545" min="55" max="55"/>
    <col width="11" customWidth="1" style="545" min="56" max="56"/>
    <col width="11" customWidth="1" style="545" min="57" max="57"/>
    <col hidden="1" outlineLevel="1" width="9" customWidth="1" style="545" min="58" max="58"/>
    <col hidden="1" outlineLevel="1" width="10" customWidth="1" style="545" min="59" max="59"/>
    <col hidden="1" outlineLevel="1" width="12" customWidth="1" style="545" min="60" max="60"/>
    <col width="12" customWidth="1" style="545" min="61" max="61"/>
    <col width="11" customWidth="1" style="545" min="62" max="62"/>
    <col hidden="1" outlineLevel="1" width="11" customWidth="1" style="545" min="63" max="63"/>
    <col width="11" customWidth="1" style="545" min="64" max="64"/>
    <col hidden="1" outlineLevel="1" width="9" customWidth="1" style="545" min="65" max="65"/>
    <col width="9" customWidth="1" style="545" min="66" max="66"/>
    <col hidden="1" outlineLevel="1" width="8" customWidth="1" style="545" min="67" max="67"/>
    <col width="13" customWidth="1" style="545" min="68" max="68"/>
    <col width="11" customWidth="1" style="545" min="69" max="69"/>
    <col width="11" customWidth="1" style="545" min="70" max="70"/>
    <col width="11" customWidth="1" style="545" min="71" max="71"/>
    <col width="12" customWidth="1" style="545" min="72" max="72"/>
    <col width="11" customWidth="1" style="545" min="73" max="73"/>
    <col hidden="1" outlineLevel="1" width="12" customWidth="1" style="545" min="74" max="74"/>
    <col width="12" customWidth="1" style="545" min="75" max="75"/>
    <col width="12" customWidth="1" style="545" min="76" max="76"/>
    <col width="12" customWidth="1" style="545" min="77" max="77"/>
    <col width="9" customWidth="1" style="545" min="78" max="78"/>
    <col width="10" customWidth="1" style="545" min="79" max="79"/>
    <col hidden="1" outlineLevel="1" width="13" customWidth="1" style="545" min="80" max="80"/>
    <col hidden="1" outlineLevel="1" width="13" customWidth="1" style="545" min="81" max="81"/>
    <col hidden="1" outlineLevel="1" width="10" customWidth="1" style="545" min="82" max="82"/>
    <col hidden="1" outlineLevel="1" width="12" customWidth="1" style="545" min="83" max="83"/>
  </cols>
  <sheetData>
    <row r="1" ht="20" customHeight="1" s="545">
      <c r="A1" s="1054" t="inlineStr">
        <is>
          <t>STAMM</t>
        </is>
      </c>
      <c r="B1" s="947" t="n"/>
      <c r="C1" s="947" t="n"/>
      <c r="D1" s="947" t="n"/>
      <c r="E1" s="947" t="n"/>
      <c r="F1" s="947" t="n"/>
      <c r="G1" s="947" t="n"/>
      <c r="H1" s="947" t="n"/>
      <c r="I1" s="947" t="n"/>
      <c r="J1" s="947" t="n"/>
      <c r="K1" s="947" t="n"/>
      <c r="L1" s="1055" t="inlineStr">
        <is>
          <t>PREIS</t>
        </is>
      </c>
      <c r="M1" s="947" t="n"/>
      <c r="N1" s="947" t="n"/>
      <c r="O1" s="947" t="n"/>
      <c r="P1" s="947" t="n"/>
      <c r="Q1" s="947" t="n"/>
      <c r="R1" s="947" t="n"/>
      <c r="S1" s="947" t="n"/>
      <c r="T1" s="947" t="n"/>
      <c r="U1" s="947" t="n"/>
      <c r="V1" s="947" t="n"/>
      <c r="W1" s="947" t="n"/>
      <c r="X1" s="947" t="n"/>
      <c r="Y1" s="947" t="n"/>
      <c r="Z1" s="947" t="n"/>
      <c r="AA1" s="947" t="n"/>
      <c r="AB1" s="947" t="n"/>
      <c r="AC1" s="947" t="n"/>
      <c r="AD1" s="947" t="n"/>
      <c r="AE1" s="947" t="n"/>
      <c r="AF1" s="947" t="n"/>
      <c r="AG1" s="947" t="n"/>
      <c r="AH1" s="947" t="n"/>
      <c r="AI1" s="947" t="n"/>
      <c r="AJ1" s="947" t="n"/>
      <c r="AK1" s="1056" t="inlineStr">
        <is>
          <t>MIETE</t>
        </is>
      </c>
      <c r="AL1" s="947" t="n"/>
      <c r="AM1" s="947" t="n"/>
      <c r="AN1" s="947" t="n"/>
      <c r="AO1" s="947" t="n"/>
      <c r="AP1" s="947" t="n"/>
      <c r="AQ1" s="947" t="n"/>
      <c r="AR1" s="947" t="n"/>
      <c r="AS1" s="947" t="n"/>
      <c r="AT1" s="947" t="n"/>
      <c r="AU1" s="947" t="n"/>
      <c r="AV1" s="947" t="n"/>
      <c r="AW1" s="947" t="n"/>
      <c r="AX1" s="947" t="n"/>
      <c r="AY1" s="947" t="n"/>
      <c r="AZ1" s="947" t="n"/>
      <c r="BA1" s="1057" t="inlineStr">
        <is>
          <t>BEWIRTSCHAFTUNG</t>
        </is>
      </c>
      <c r="BB1" s="947" t="n"/>
      <c r="BC1" s="947" t="n"/>
      <c r="BD1" s="947" t="n"/>
      <c r="BE1" s="947" t="n"/>
      <c r="BF1" s="947" t="n"/>
      <c r="BG1" s="947" t="n"/>
      <c r="BH1" s="947" t="n"/>
      <c r="BI1" s="1058" t="inlineStr">
        <is>
          <t>STEUER</t>
        </is>
      </c>
      <c r="BJ1" s="947" t="n"/>
      <c r="BK1" s="947" t="n"/>
      <c r="BL1" s="947" t="n"/>
      <c r="BM1" s="947" t="n"/>
      <c r="BN1" s="947" t="n"/>
      <c r="BO1" s="947" t="n"/>
      <c r="BP1" s="947" t="n"/>
      <c r="BQ1" s="947" t="n"/>
      <c r="BR1" s="947" t="n"/>
      <c r="BS1" s="947" t="n"/>
      <c r="BT1" s="947" t="n"/>
      <c r="BU1" s="947" t="n"/>
      <c r="BV1" s="947" t="n"/>
      <c r="BW1" s="1059" t="inlineStr">
        <is>
          <t>ERGEBNIS</t>
        </is>
      </c>
      <c r="BX1" s="947" t="n"/>
      <c r="BY1" s="947" t="n"/>
      <c r="BZ1" s="947" t="n"/>
      <c r="CA1" s="947" t="n"/>
      <c r="CB1" s="947" t="n"/>
      <c r="CC1" s="947" t="n"/>
      <c r="CD1" s="947" t="n"/>
      <c r="CE1" s="947" t="n"/>
      <c r="CF1" s="1012" t="n"/>
      <c r="CG1" s="1012" t="n"/>
      <c r="CH1" s="1012" t="n"/>
    </row>
    <row r="2" ht="44" customHeight="1" s="545">
      <c r="A2" s="953" t="inlineStr">
        <is>
          <t>WE</t>
        </is>
      </c>
      <c r="B2" s="953" t="inlineStr">
        <is>
          <t>Haus</t>
        </is>
      </c>
      <c r="C2" s="953" t="inlineStr">
        <is>
          <t>WHG</t>
        </is>
      </c>
      <c r="D2" s="953" t="inlineStr">
        <is>
          <t>Etage</t>
        </is>
      </c>
      <c r="E2" s="953" t="inlineStr">
        <is>
          <t>Lage</t>
        </is>
      </c>
      <c r="F2" s="953" t="inlineStr">
        <is>
          <t>Wohnfläche
m2</t>
        </is>
      </c>
      <c r="G2" s="953" t="inlineStr">
        <is>
          <t>Leer-
stand</t>
        </is>
      </c>
      <c r="H2" s="953" t="inlineStr">
        <is>
          <t>Gar.
Anz.</t>
        </is>
      </c>
      <c r="I2" s="953" t="inlineStr">
        <is>
          <t>Stpl.
Anz.</t>
        </is>
      </c>
      <c r="J2" s="953" t="inlineStr">
        <is>
          <t>MEA
Zähler</t>
        </is>
      </c>
      <c r="K2" s="953" t="inlineStr">
        <is>
          <t>MEA-
Anteil</t>
        </is>
      </c>
      <c r="L2" s="954" t="inlineStr">
        <is>
          <t>REGLER
Abgabe €/m²</t>
        </is>
      </c>
      <c r="M2" s="954" t="inlineStr">
        <is>
          <t>Ziel-Rendite
je WE (leer=oben)</t>
        </is>
      </c>
      <c r="N2" s="954" t="inlineStr">
        <is>
          <t>Ziel-CF n.St.
je WE (leer=oben)</t>
        </is>
      </c>
      <c r="O2" s="954" t="inlineStr">
        <is>
          <t>Preis
aus</t>
        </is>
      </c>
      <c r="P2" s="954" t="inlineStr">
        <is>
          <t>Ergebnis
€/m² Wohnung</t>
        </is>
      </c>
      <c r="Q2" s="954" t="inlineStr">
        <is>
          <t>Markt
€/m²</t>
        </is>
      </c>
      <c r="R2" s="954" t="inlineStr">
        <is>
          <t>Delta
zu Markt</t>
        </is>
      </c>
      <c r="S2" s="954" t="inlineStr">
        <is>
          <t>Indiv. Auf-/
Abschlag €</t>
        </is>
      </c>
      <c r="T2" s="954" t="inlineStr">
        <is>
          <t>Abgabepreis
Wohnung</t>
        </is>
      </c>
      <c r="U2" s="954" t="inlineStr">
        <is>
          <t>Abgabepreis
Garage</t>
        </is>
      </c>
      <c r="V2" s="954" t="inlineStr">
        <is>
          <t>Abgabepreis
Stellplatz</t>
        </is>
      </c>
      <c r="W2" s="954" t="inlineStr">
        <is>
          <t>Abgabepreis
gesamt</t>
        </is>
      </c>
      <c r="X2" s="954" t="inlineStr">
        <is>
          <t>Provision %
(leer=Std.)</t>
        </is>
      </c>
      <c r="Y2" s="954" t="inlineStr">
        <is>
          <t>Provision
effektiv</t>
        </is>
      </c>
      <c r="Z2" s="954" t="inlineStr">
        <is>
          <t>Provision
EUR</t>
        </is>
      </c>
      <c r="AA2" s="954" t="inlineStr">
        <is>
          <t>Kaufpreis
gesamt</t>
        </is>
      </c>
      <c r="AB2" s="954" t="inlineStr">
        <is>
          <t>Kaufpreis
Wohnung</t>
        </is>
      </c>
      <c r="AC2" s="954" t="inlineStr">
        <is>
          <t>Abgabe ges.
€/m² (CRM)</t>
        </is>
      </c>
      <c r="AD2" s="954" t="inlineStr">
        <is>
          <t>Kaufpreis Whg
€/m²</t>
        </is>
      </c>
      <c r="AE2" s="954" t="inlineStr">
        <is>
          <t>Beurkundeter
KP Wohnung</t>
        </is>
      </c>
      <c r="AF2" s="954" t="inlineStr">
        <is>
          <t>Kauf-
nebenkosten</t>
        </is>
      </c>
      <c r="AG2" s="954" t="inlineStr">
        <is>
          <t>Kapital-
bedarf</t>
        </is>
      </c>
      <c r="AH2" s="954" t="inlineStr">
        <is>
          <t>Darlehen
(Finanzierung)</t>
        </is>
      </c>
      <c r="AI2" s="954" t="inlineStr">
        <is>
          <t>Eigen-
kapital</t>
        </is>
      </c>
      <c r="AJ2" s="954" t="inlineStr">
        <is>
          <t>Nebenkosten
finanziert</t>
        </is>
      </c>
      <c r="AK2" s="955" t="inlineStr">
        <is>
          <t>Kaltmiete
manuell €/Mo</t>
        </is>
      </c>
      <c r="AL2" s="955" t="inlineStr">
        <is>
          <t>Kaltmiete IST
€/Mo</t>
        </is>
      </c>
      <c r="AM2" s="955" t="inlineStr">
        <is>
          <t>Soll-/Zielmiete
€/Mo</t>
        </is>
      </c>
      <c r="AN2" s="955" t="inlineStr">
        <is>
          <t>Subvention
Tag 1 €/Mo</t>
        </is>
      </c>
      <c r="AO2" s="955" t="inlineStr">
        <is>
          <t>Subvention Ø
Modul 5 €/Mo</t>
        </is>
      </c>
      <c r="AP2" s="955" t="inlineStr">
        <is>
          <t>Miete
Garage</t>
        </is>
      </c>
      <c r="AQ2" s="955" t="inlineStr">
        <is>
          <t>Miete
Stellplatz</t>
        </is>
      </c>
      <c r="AR2" s="955" t="inlineStr">
        <is>
          <t>Miete gesamt
ohne Subv.</t>
        </is>
      </c>
      <c r="AS2" s="955" t="inlineStr">
        <is>
          <t>Einnahmen CF
(inkl. Subv.)</t>
        </is>
      </c>
      <c r="AT2" s="955" t="inlineStr">
        <is>
          <t>Kaltmiete
€/m²</t>
        </is>
      </c>
      <c r="AU2" s="955" t="inlineStr">
        <is>
          <t>letzte
Erhöhung</t>
        </is>
      </c>
      <c r="AV2" s="955" t="inlineStr">
        <is>
          <t>nächste
Erhöhung ab</t>
        </is>
      </c>
      <c r="AW2" s="955" t="inlineStr">
        <is>
          <t>Reach-Time
Mo (Modul 5)</t>
        </is>
      </c>
      <c r="AX2" s="955" t="inlineStr">
        <is>
          <t>Rest-
monate</t>
        </is>
      </c>
      <c r="AY2" s="955" t="inlineStr">
        <is>
          <t>Subvention
gesamt €</t>
        </is>
      </c>
      <c r="AZ2" s="955" t="inlineStr">
        <is>
          <t>Soll-Vorschlag
2 Kappungen</t>
        </is>
      </c>
      <c r="BA2" s="956" t="inlineStr">
        <is>
          <t>Bewirt. %
(Schaetzung)</t>
        </is>
      </c>
      <c r="BB2" s="956" t="inlineStr">
        <is>
          <t>Hausgeld n.u.
(leer=Std.)</t>
        </is>
      </c>
      <c r="BC2" s="956" t="inlineStr">
        <is>
          <t>Hausgeld n.u.
€/Mo</t>
        </is>
      </c>
      <c r="BD2" s="956" t="inlineStr">
        <is>
          <t>davon Rücklage
(leer=Std.)</t>
        </is>
      </c>
      <c r="BE2" s="956" t="inlineStr">
        <is>
          <t>davon Rücklage
€/Mo</t>
        </is>
      </c>
      <c r="BF2" s="956" t="inlineStr">
        <is>
          <t>Bewirt.quote
% v. NKM IST</t>
        </is>
      </c>
      <c r="BG2" s="956" t="inlineStr">
        <is>
          <t>1 % Bewirt.
€/Mo v. NKM</t>
        </is>
      </c>
      <c r="BH2" s="956" t="inlineStr">
        <is>
          <t>1 %-Pkt Bewirt.
= € Kaufpreis</t>
        </is>
      </c>
      <c r="BI2" s="957" t="inlineStr">
        <is>
          <t>Bodenwert
WE €</t>
        </is>
      </c>
      <c r="BJ2" s="957" t="inlineStr">
        <is>
          <t>Gebäudeanteil
lt. Vertrag</t>
        </is>
      </c>
      <c r="BK2" s="957" t="inlineStr">
        <is>
          <t>Gebäudeanteil
aus BRW (100 %)</t>
        </is>
      </c>
      <c r="BL2" s="957" t="inlineStr">
        <is>
          <t>Gebäudeanteil
effektiv (Quote)</t>
        </is>
      </c>
      <c r="BM2" s="957" t="inlineStr">
        <is>
          <t>Anteil-
Quelle</t>
        </is>
      </c>
      <c r="BN2" s="957" t="inlineStr">
        <is>
          <t>AfA-Satz WE
(leer=Std.)</t>
        </is>
      </c>
      <c r="BO2" s="957" t="inlineStr">
        <is>
          <t>AfA-Satz
effektiv</t>
        </is>
      </c>
      <c r="BP2" s="957" t="inlineStr">
        <is>
          <t>AfA-Basis
Wohnung</t>
        </is>
      </c>
      <c r="BQ2" s="957" t="inlineStr">
        <is>
          <t>AfA
€/Mo</t>
        </is>
      </c>
      <c r="BR2" s="957" t="inlineStr">
        <is>
          <t>Zinsen
€/Mo</t>
        </is>
      </c>
      <c r="BS2" s="957" t="inlineStr">
        <is>
          <t>Annuitaet
€/Mo</t>
        </is>
      </c>
      <c r="BT2" s="957" t="inlineStr">
        <is>
          <t>Steuerbasis
€/Mo</t>
        </is>
      </c>
      <c r="BU2" s="957" t="inlineStr">
        <is>
          <t>Erstattung (+)
Steuer (-)</t>
        </is>
      </c>
      <c r="BV2" s="957" t="inlineStr">
        <is>
          <t>Rücklage spaeter
abziehbar €/Mo</t>
        </is>
      </c>
      <c r="BW2" s="958" t="inlineStr">
        <is>
          <t>CF vor Steuern
€/Mo</t>
        </is>
      </c>
      <c r="BX2" s="958" t="inlineStr">
        <is>
          <t>CF nach Steuern
€/Mo</t>
        </is>
      </c>
      <c r="BY2" s="958" t="inlineStr">
        <is>
          <t>CF n.St. ohne
Subvention</t>
        </is>
      </c>
      <c r="BZ2" s="958" t="inlineStr">
        <is>
          <t>Faktor
(Soll inkl. Subv.)</t>
        </is>
      </c>
      <c r="CA2" s="958" t="inlineStr">
        <is>
          <t>Brutto-
mietrendite (Soll)</t>
        </is>
      </c>
      <c r="CB2" s="958" t="inlineStr">
        <is>
          <t>Rechenhilfe:
Ertrag n.St. o. Fin.</t>
        </is>
      </c>
      <c r="CC2" s="958" t="inlineStr">
        <is>
          <t>Rechenhilfe:
Garage/Stpl. netto</t>
        </is>
      </c>
      <c r="CD2" s="958" t="inlineStr">
        <is>
          <t>Rechenhilfe:
k (Finanzierung)</t>
        </is>
      </c>
      <c r="CE2" s="958" t="inlineStr">
        <is>
          <t>Rechenhilfe:
KP Whg aus Ziel</t>
        </is>
      </c>
      <c r="CF2" s="1012" t="n"/>
      <c r="CG2" s="1012" t="n"/>
      <c r="CH2" s="1012" t="n"/>
    </row>
    <row r="3" s="545">
      <c r="A3" s="959">
        <f>IF(NOT(ISNUMBER(MIETER!F8)),"",ROW()-2)</f>
        <v/>
      </c>
      <c r="B3" s="960">
        <f>IF(NOT(ISNUMBER(MIETER!F8)),"",IF(MIETER!A8="","",MIETER!A8))</f>
        <v/>
      </c>
      <c r="C3" s="960">
        <f>IF(NOT(ISNUMBER(MIETER!F8)),"",IF(MIETER!B8="","",MIETER!B8))</f>
        <v/>
      </c>
      <c r="D3" s="960">
        <f>IF(NOT(ISNUMBER(MIETER!F8)),"",IF(MIETER!C8="","",MIETER!C8))</f>
        <v/>
      </c>
      <c r="E3" s="960">
        <f>IF(NOT(ISNUMBER(MIETER!F8)),"",IF(MIETER!D8="","",MIETER!D8))</f>
        <v/>
      </c>
      <c r="F3" s="961">
        <f>IF(NOT(ISNUMBER(MIETER!F8)),"",MIETER!F8)</f>
        <v/>
      </c>
      <c r="G3" s="1032" t="n"/>
      <c r="H3" s="1033" t="n">
        <v>1</v>
      </c>
      <c r="I3" s="1033" t="n"/>
      <c r="J3" s="1033" t="n">
        <v>103</v>
      </c>
      <c r="K3" s="964">
        <f>IF(OR(NOT(ISNUMBER(F3)),NOT(ISNUMBER(J3)),NOT(ISNUMBER($H$29)),$H$29=0),"",J3/$H$29)</f>
        <v/>
      </c>
      <c r="L3" s="1034" t="n">
        <v>2270.9677</v>
      </c>
      <c r="M3" s="1035" t="n"/>
      <c r="N3" s="1036" t="n"/>
      <c r="O3" s="960">
        <f>IF(NOT(ISNUMBER(F3)),"",IF(NOT(ISNUMBER(T3)),"kein Preis",IF(ISNUMBER(CE3),IF(N($O$26)=2,"Rendite","Cashflow"),IF(OR(N($O$26)=2,N($O$26)=3),"Regler (Rückfall)","Regler"))))</f>
        <v/>
      </c>
      <c r="P3" s="966">
        <f>IF(OR(NOT(ISNUMBER(T3)),NOT(ISNUMBER(F3)),F3=0),"",T3/F3)</f>
        <v/>
      </c>
      <c r="Q3" s="966">
        <f>IF(OR(NOT(ISNUMBER(F3)),F3=0,NOT(ISNUMBER(VERKAUFSMATRIX!U6))),"",VERKAUFSMATRIX!U6/F3)</f>
        <v/>
      </c>
      <c r="R3" s="967">
        <f>IF(OR(NOT(ISNUMBER(P3)),NOT(ISNUMBER(Q3)),Q3=0),"",P3/Q3-1)</f>
        <v/>
      </c>
      <c r="S3" s="1036" t="n"/>
      <c r="T3" s="969">
        <f>IF(NOT(ISNUMBER(F3)),"",IF(ISNUMBER(CE3),IF(NOT(ISNUMBER(Y3)),"",(CE3+N(U3)+N(V3))/(1+Y3)-N(U3)-N(V3)),IF(NOT(ISNUMBER(L3)),"",F3*L3+N(S3))))</f>
        <v/>
      </c>
      <c r="U3" s="1037" t="n">
        <v>8000</v>
      </c>
      <c r="V3" s="1037" t="n"/>
      <c r="W3" s="969">
        <f>IF(NOT(ISNUMBER(T3)),"",T3+N(U3)+N(V3))</f>
        <v/>
      </c>
      <c r="X3" s="1035" t="n"/>
      <c r="Y3" s="964">
        <f>IF(NOT(ISNUMBER(F3)),"",IF(ISNUMBER(X3),X3,IF(NOT(ISNUMBER($H$26)),"",$H$26)))</f>
        <v/>
      </c>
      <c r="Z3" s="969">
        <f>IF(OR(NOT(ISNUMBER(W3)),NOT(ISNUMBER(Y3))),"",W3*Y3)</f>
        <v/>
      </c>
      <c r="AA3" s="969">
        <f>IF(OR(NOT(ISNUMBER(W3)),NOT(ISNUMBER(Y3))),"",W3*(1+Y3))</f>
        <v/>
      </c>
      <c r="AB3" s="969">
        <f>IF(NOT(ISNUMBER(AA3)),"",AA3-N(U3)-N(V3))</f>
        <v/>
      </c>
      <c r="AC3" s="966">
        <f>IF(OR(NOT(ISNUMBER(W3)),NOT(ISNUMBER(F3)),F3=0),"",W3/F3)</f>
        <v/>
      </c>
      <c r="AD3" s="966">
        <f>IF(OR(NOT(ISNUMBER(AB3)),NOT(ISNUMBER(F3)),F3=0),"",AB3/F3)</f>
        <v/>
      </c>
      <c r="AE3" s="969">
        <f>IF(NOT(ISNUMBER(AB3)),"",AB3)</f>
        <v/>
      </c>
      <c r="AF3" s="969">
        <f>IF(OR(NOT(ISNUMBER(AA3)),NOT(ISNUMBER($C$35))),"",AA3*$C$35)</f>
        <v/>
      </c>
      <c r="AG3" s="969">
        <f>IF(OR(NOT(ISNUMBER(AA3)),NOT(ISNUMBER(AF3))),"",AA3+AF3)</f>
        <v/>
      </c>
      <c r="AH3" s="969">
        <f>IF(OR(NOT(ISNUMBER(AA3)),NOT(ISNUMBER($H$33))),"",AA3*$H$33)</f>
        <v/>
      </c>
      <c r="AI3" s="969">
        <f>IF(OR(NOT(ISNUMBER(AG3)),NOT(ISNUMBER(AH3))),"",MAX(0,AG3-AH3))</f>
        <v/>
      </c>
      <c r="AJ3" s="969">
        <f>IF(OR(NOT(ISNUMBER(AH3)),NOT(ISNUMBER(AA3))),"",AH3-AA3)</f>
        <v/>
      </c>
      <c r="AK3" s="1038" t="n"/>
      <c r="AL3" s="973">
        <f>IF(OR(NOT(ISNUMBER(MIETER!F8)),$G3="ja"),"",IF(NOT(ISNUMBER(MIETER!J8)),"",IF(ISNUMBER(AK3),MAX(MIETER!J8,AK3),MIETER!J8)))</f>
        <v/>
      </c>
      <c r="AM3" s="1038" t="n">
        <v>450</v>
      </c>
      <c r="AN3" s="973">
        <f>IF(OR(NOT(ISNUMBER(AL3)),NOT(ISNUMBER(AM3))),"",MAX(0,AM3-AL3))</f>
        <v/>
      </c>
      <c r="AO3" s="1038" t="n"/>
      <c r="AP3" s="1038" t="n">
        <v>50</v>
      </c>
      <c r="AQ3" s="1038" t="n"/>
      <c r="AR3" s="973">
        <f>IF(NOT(ISNUMBER(F3)),"",IF(AND(NOT(ISNUMBER(AL3)),NOT(ISNUMBER(AP3)),NOT(ISNUMBER(AQ3))),"",N(AL3)+N(AP3)+N(AQ3)))</f>
        <v/>
      </c>
      <c r="AS3" s="973">
        <f>IF(OR($G3="ja",NOT(ISNUMBER(AL3)),NOT(ISNUMBER(AR3))),"",AR3+N(AN3))</f>
        <v/>
      </c>
      <c r="AT3" s="974">
        <f>IF(OR(NOT(ISNUMBER(AL3)),NOT(ISNUMBER(F3)),F3=0),"",AL3/F3)</f>
        <v/>
      </c>
      <c r="AU3" s="975">
        <f>IF(OR(NOT(ISNUMBER(MIETER!F8)),NOT(ISNUMBER(MIETER!I8))),"",MIETER!I8)</f>
        <v/>
      </c>
      <c r="AV3" s="975">
        <f>IF(OR(NOT(ISNUMBER(AU3)),$G3="ja",NOT(ISNUMBER($H$34))),"",EDATE(AU3,$H$34))</f>
        <v/>
      </c>
      <c r="AW3" s="1033" t="n"/>
      <c r="AX3" s="959">
        <f>IF(NOT(ISNUMBER(F3)),"",IF(ISNUMBER(AW3),AW3,IF(NOT(ISNUMBER(AV3)),"",MAX(0,(YEAR(AV3)-YEAR(TODAY()))*12+MONTH(AV3)-MONTH(TODAY())))))</f>
        <v/>
      </c>
      <c r="AY3" s="969">
        <f>IF(NOT(ISNUMBER(AX3)),"",IF(ISNUMBER(AO3),AO3*AX3,IF(NOT(ISNUMBER(AN3)),"",AN3*AX3)))</f>
        <v/>
      </c>
      <c r="AZ3" s="969">
        <f>IF(OR(NOT(ISNUMBER(AL3)),NOT(ISNUMBER(MIETER!$P$6))),"",ROUND(AL3*(1+MIETER!$P$6)^2,0))</f>
        <v/>
      </c>
      <c r="BA3" s="1039" t="n"/>
      <c r="BB3" s="1038" t="n"/>
      <c r="BC3" s="973">
        <f>IF(NOT(ISNUMBER(F3)),"",IF(ISNUMBER(BB3),BB3,IF(AND(ISNUMBER(BA3),ISNUMBER(AL3),AL3&gt;0),AL3*BA3,IF(OR(NOT(ISNUMBER($C$62)),NOT(ISNUMBER($C$64))),"",$C$62+$C$64*F3/12))))</f>
        <v/>
      </c>
      <c r="BD3" s="1038" t="n"/>
      <c r="BE3" s="973">
        <f>IF(NOT(ISNUMBER(BC3)),"",IF(ISNUMBER(BD3),MIN(BC3,BD3),IF(OR(NOT(ISNUMBER(F3)),NOT(ISNUMBER($C$64))),0,MIN(BC3,$C$64*F3/12))))</f>
        <v/>
      </c>
      <c r="BF3" s="967">
        <f>IF(OR(NOT(ISNUMBER(BC3)),NOT(ISNUMBER(AL3)),AL3=0),"",BC3/AL3)</f>
        <v/>
      </c>
      <c r="BG3" s="973">
        <f>IF(NOT(ISNUMBER(AL3)),"",AL3*0.01)</f>
        <v/>
      </c>
      <c r="BH3" s="969">
        <f>IF(OR(NOT(ISNUMBER(AL3)),NOT(ISNUMBER($C$28)),NOT(ISNUMBER(CD3)),CD3&lt;=0),"",AL3*0.01*(1-$C$28)/CD3)</f>
        <v/>
      </c>
      <c r="BI3" s="969">
        <f>IF(OR(NOT(ISNUMBER(K3)),NOT(ISNUMBER($H$30))),"",$H$30*K3)</f>
        <v/>
      </c>
      <c r="BJ3" s="1035" t="n"/>
      <c r="BK3" s="964">
        <f>IF(OR(NOT(ISNUMBER(BI3)),NOT(ISNUMBER(AB3)),AB3&lt;=0),"",1-BI3/AB3)</f>
        <v/>
      </c>
      <c r="BL3" s="964">
        <f>IF(NOT(ISNUMBER(AB3)),"",IF(ISNUMBER(BJ3),BJ3,IF(AND(ISNUMBER(BI3),ISNUMBER(AE3),AE3&gt;0),1-BI3/AE3,IF(NOT(ISNUMBER($C$31)),"",$C$31))))</f>
        <v/>
      </c>
      <c r="BM3" s="960">
        <f>IF(NOT(ISNUMBER(F3)),"",IF(ISNUMBER(BJ3),"vertrag",IF(ISNUMBER(BI3),"berechnet","standard")))</f>
        <v/>
      </c>
      <c r="BN3" s="1035" t="n"/>
      <c r="BO3" s="964">
        <f>IF(NOT(ISNUMBER(F3)),"",IF(ISNUMBER(BN3),BN3,IF(NOT(ISNUMBER($C$30)),"",$C$30)))</f>
        <v/>
      </c>
      <c r="BP3" s="969">
        <f>IF(OR(NOT(ISNUMBER(AE3)),NOT(ISNUMBER(BL3)),NOT(ISNUMBER($C$35))),"",AE3*(1+$C$35)*BL3)</f>
        <v/>
      </c>
      <c r="BQ3" s="973">
        <f>IF(OR(NOT(ISNUMBER(BP3)),NOT(ISNUMBER(BO3)),NOT(ISNUMBER($C$35))),"",(BP3*BO3+N(U3)*(1+$C$35)*N($H$31)+N(V3)*(1+$C$35)*N($H$32))/12)</f>
        <v/>
      </c>
      <c r="BR3" s="973">
        <f>IF(OR(NOT(ISNUMBER(AH3)),NOT(ISNUMBER($C$26))),"",AH3*$C$26/12)</f>
        <v/>
      </c>
      <c r="BS3" s="969">
        <f>IF(OR(NOT(ISNUMBER(AH3)),NOT(ISNUMBER($C$26)),NOT(ISNUMBER($C$27))),"",ROUND(AH3*($C$26+$C$27)/12,0))</f>
        <v/>
      </c>
      <c r="BT3" s="977">
        <f>IF(OR(NOT(ISNUMBER(AS3)),NOT(ISNUMBER(BQ3)),NOT(ISNUMBER(BR3)),NOT(ISNUMBER(BC3))),"",AS3-BR3-BQ3-(BC3-N(BE3)))</f>
        <v/>
      </c>
      <c r="BU3" s="978">
        <f>IF(OR(NOT(ISNUMBER(BT3)),NOT(ISNUMBER($C$28))),"",ROUND(-BT3*$C$28,0))</f>
        <v/>
      </c>
      <c r="BV3" s="973">
        <f>IF(OR(NOT(ISNUMBER(BE3)),NOT(ISNUMBER($C$28))),"",BE3*$C$28)</f>
        <v/>
      </c>
      <c r="BW3" s="978">
        <f>IF(OR(NOT(ISNUMBER(AS3)),NOT(ISNUMBER(BS3)),NOT(ISNUMBER(BC3))),"",ROUND(AS3,0)-BS3-ROUND(BC3,0))</f>
        <v/>
      </c>
      <c r="BX3" s="978">
        <f>IF(OR(NOT(ISNUMBER(BW3)),NOT(ISNUMBER(BU3))),"",BW3+BU3)</f>
        <v/>
      </c>
      <c r="BY3" s="978">
        <f>IF(OR(NOT(ISNUMBER(AR3)),NOT(ISNUMBER(BS3)),NOT(ISNUMBER(BC3)),NOT(ISNUMBER(BT3)),NOT(ISNUMBER($C$28))),"",ROUND(AR3,0)-BS3-ROUND(BC3,0)+ROUND(-(BT3-N(AN3))*$C$28,0))</f>
        <v/>
      </c>
      <c r="BZ3" s="981">
        <f>IF(OR(NOT(ISNUMBER(AA3)),NOT(ISNUMBER(AS3)),AS3=0),"",AA3/(AS3*12))</f>
        <v/>
      </c>
      <c r="CA3" s="964">
        <f>IF(OR(NOT(ISNUMBER(AA3)),NOT(ISNUMBER(AS3)),AA3=0),"",AS3*12/AA3)</f>
        <v/>
      </c>
      <c r="CB3" s="977">
        <f>IF(OR(NOT(ISNUMBER(AS3)),NOT(ISNUMBER(BC3)),NOT(ISNUMBER(BO3)),NOT(ISNUMBER($C$28)),NOT(ISNUMBER($C$35))),"",(AS3-BC3)*(1-$C$28)-$C$28*N(BE3)-IF(BM3="berechnet",$C$28*(1+$C$35)*BO3*N(BI3)/12,0))</f>
        <v/>
      </c>
      <c r="CC3" s="977">
        <f>IF(OR(NOT(ISNUMBER(F3)),NOT(ISNUMBER($C$26)),NOT(ISNUMBER($C$27)),NOT(ISNUMBER($C$28)),NOT(ISNUMBER($C$35)),NOT(ISNUMBER($H$33))),"",($C$28*(1+$C$35)*(N(U3)*N($H$31)+N(V3)*N($H$32))-(N(U3)+N(V3))*$H$33*(($C$26+$C$27)-$C$28*$C$26))/12)</f>
        <v/>
      </c>
      <c r="CD3" s="979">
        <f>IF(OR(NOT(ISNUMBER(BO3)),NOT(ISNUMBER($C$26)),NOT(ISNUMBER($C$27)),NOT(ISNUMBER($C$28)),NOT(ISNUMBER($C$35)),NOT(ISNUMBER($H$33)),BM3="",AND(BM3="standard",NOT(ISNUMBER($C$31)))),"",($H$33*(($C$26+$C$27)-$C$28*$C$26)-$C$28*(1+$C$35)*BO3*IF(BM3="berechnet",1,IF(BM3="vertrag",BJ3,$C$31)))/12)</f>
        <v/>
      </c>
      <c r="CE3" s="969">
        <f>IF(NOT(ISNUMBER(F3)),"",IF(N($O$26)=2,IF(OR(NOT(ISNUMBER(AS3)),NOT(ISNUMBER(AN3)),IF(ISNUMBER(M3),M3,N($O$28))&lt;=0),"",IF(AS3*12/IF(ISNUMBER(M3),M3,N($O$28))-N(U3)-N(V3)&lt;=0,"",AS3*12/IF(ISNUMBER(M3),M3,N($O$28))-N(U3)-N(V3))),IF(N($O$26)=3,IF(OR(NOT(ISNUMBER(CB3)),NOT(ISNUMBER(CC3)),NOT(ISNUMBER(CD3)),N(CD3)&lt;=0),"",IF((CB3+CC3+ROUND(AS3,0)-AS3-ROUND(BC3,0)+BC3-IF(ISNUMBER(N3),N3,N($O$29)))/CD3&lt;=0,"",(CB3+CC3+ROUND(AS3,0)-AS3-ROUND(BC3,0)+BC3-IF(ISNUMBER(N3),N3,N($O$29)))/CD3)),"")))</f>
        <v/>
      </c>
      <c r="CF3" s="1012" t="n"/>
      <c r="CG3" s="1012" t="n"/>
      <c r="CH3" s="1012" t="n"/>
    </row>
    <row r="4" s="545">
      <c r="A4" s="982">
        <f>IF(NOT(ISNUMBER(MIETER!F9)),"",ROW()-2)</f>
        <v/>
      </c>
      <c r="B4" s="983">
        <f>IF(NOT(ISNUMBER(MIETER!F9)),"",IF(MIETER!A9="","",MIETER!A9))</f>
        <v/>
      </c>
      <c r="C4" s="983">
        <f>IF(NOT(ISNUMBER(MIETER!F9)),"",IF(MIETER!B9="","",MIETER!B9))</f>
        <v/>
      </c>
      <c r="D4" s="983">
        <f>IF(NOT(ISNUMBER(MIETER!F9)),"",IF(MIETER!C9="","",MIETER!C9))</f>
        <v/>
      </c>
      <c r="E4" s="983">
        <f>IF(NOT(ISNUMBER(MIETER!F9)),"",IF(MIETER!D9="","",MIETER!D9))</f>
        <v/>
      </c>
      <c r="F4" s="984">
        <f>IF(NOT(ISNUMBER(MIETER!F9)),"",MIETER!F9)</f>
        <v/>
      </c>
      <c r="G4" s="1032" t="n"/>
      <c r="H4" s="1033" t="n"/>
      <c r="I4" s="1033" t="n"/>
      <c r="J4" s="1033" t="n"/>
      <c r="K4" s="985">
        <f>IF(OR(NOT(ISNUMBER(F4)),NOT(ISNUMBER(J4)),NOT(ISNUMBER($H$29)),$H$29=0),"",J4/$H$29)</f>
        <v/>
      </c>
      <c r="L4" s="1034" t="n"/>
      <c r="M4" s="1035" t="n"/>
      <c r="N4" s="1036" t="n"/>
      <c r="O4" s="983">
        <f>IF(NOT(ISNUMBER(F4)),"",IF(NOT(ISNUMBER(T4)),"kein Preis",IF(ISNUMBER(CE4),IF(N($O$26)=2,"Rendite","Cashflow"),IF(OR(N($O$26)=2,N($O$26)=3),"Regler (Rückfall)","Regler"))))</f>
        <v/>
      </c>
      <c r="P4" s="986">
        <f>IF(OR(NOT(ISNUMBER(T4)),NOT(ISNUMBER(F4)),F4=0),"",T4/F4)</f>
        <v/>
      </c>
      <c r="Q4" s="986">
        <f>IF(OR(NOT(ISNUMBER(F4)),F4=0,NOT(ISNUMBER(VERKAUFSMATRIX!U7))),"",VERKAUFSMATRIX!U7/F4)</f>
        <v/>
      </c>
      <c r="R4" s="987">
        <f>IF(OR(NOT(ISNUMBER(P4)),NOT(ISNUMBER(Q4)),Q4=0),"",P4/Q4-1)</f>
        <v/>
      </c>
      <c r="S4" s="1036" t="n"/>
      <c r="T4" s="988">
        <f>IF(NOT(ISNUMBER(F4)),"",IF(ISNUMBER(CE4),IF(NOT(ISNUMBER(Y4)),"",(CE4+N(U4)+N(V4))/(1+Y4)-N(U4)-N(V4)),IF(NOT(ISNUMBER(L4)),"",F4*L4+N(S4))))</f>
        <v/>
      </c>
      <c r="U4" s="1037" t="n"/>
      <c r="V4" s="1037" t="n"/>
      <c r="W4" s="988">
        <f>IF(NOT(ISNUMBER(T4)),"",T4+N(U4)+N(V4))</f>
        <v/>
      </c>
      <c r="X4" s="1035" t="n"/>
      <c r="Y4" s="985">
        <f>IF(NOT(ISNUMBER(F4)),"",IF(ISNUMBER(X4),X4,IF(NOT(ISNUMBER($H$26)),"",$H$26)))</f>
        <v/>
      </c>
      <c r="Z4" s="988">
        <f>IF(OR(NOT(ISNUMBER(W4)),NOT(ISNUMBER(Y4))),"",W4*Y4)</f>
        <v/>
      </c>
      <c r="AA4" s="988">
        <f>IF(OR(NOT(ISNUMBER(W4)),NOT(ISNUMBER(Y4))),"",W4*(1+Y4))</f>
        <v/>
      </c>
      <c r="AB4" s="988">
        <f>IF(NOT(ISNUMBER(AA4)),"",AA4-N(U4)-N(V4))</f>
        <v/>
      </c>
      <c r="AC4" s="986">
        <f>IF(OR(NOT(ISNUMBER(W4)),NOT(ISNUMBER(F4)),F4=0),"",W4/F4)</f>
        <v/>
      </c>
      <c r="AD4" s="986">
        <f>IF(OR(NOT(ISNUMBER(AB4)),NOT(ISNUMBER(F4)),F4=0),"",AB4/F4)</f>
        <v/>
      </c>
      <c r="AE4" s="988">
        <f>IF(NOT(ISNUMBER(AB4)),"",AB4)</f>
        <v/>
      </c>
      <c r="AF4" s="988">
        <f>IF(OR(NOT(ISNUMBER(AA4)),NOT(ISNUMBER($C$35))),"",AA4*$C$35)</f>
        <v/>
      </c>
      <c r="AG4" s="988">
        <f>IF(OR(NOT(ISNUMBER(AA4)),NOT(ISNUMBER(AF4))),"",AA4+AF4)</f>
        <v/>
      </c>
      <c r="AH4" s="988">
        <f>IF(OR(NOT(ISNUMBER(AA4)),NOT(ISNUMBER($H$33))),"",AA4*$H$33)</f>
        <v/>
      </c>
      <c r="AI4" s="988">
        <f>IF(OR(NOT(ISNUMBER(AG4)),NOT(ISNUMBER(AH4))),"",MAX(0,AG4-AH4))</f>
        <v/>
      </c>
      <c r="AJ4" s="988">
        <f>IF(OR(NOT(ISNUMBER(AH4)),NOT(ISNUMBER(AA4))),"",AH4-AA4)</f>
        <v/>
      </c>
      <c r="AK4" s="1038" t="n"/>
      <c r="AL4" s="989">
        <f>IF(OR(NOT(ISNUMBER(MIETER!F9)),$G4="ja"),"",IF(NOT(ISNUMBER(MIETER!J9)),"",IF(ISNUMBER(AK4),MAX(MIETER!J9,AK4),MIETER!J9)))</f>
        <v/>
      </c>
      <c r="AM4" s="1038" t="n"/>
      <c r="AN4" s="989">
        <f>IF(OR(NOT(ISNUMBER(AL4)),NOT(ISNUMBER(AM4))),"",MAX(0,AM4-AL4))</f>
        <v/>
      </c>
      <c r="AO4" s="1038" t="n"/>
      <c r="AP4" s="1038" t="n"/>
      <c r="AQ4" s="1038" t="n"/>
      <c r="AR4" s="989">
        <f>IF(NOT(ISNUMBER(F4)),"",IF(AND(NOT(ISNUMBER(AL4)),NOT(ISNUMBER(AP4)),NOT(ISNUMBER(AQ4))),"",N(AL4)+N(AP4)+N(AQ4)))</f>
        <v/>
      </c>
      <c r="AS4" s="989">
        <f>IF(OR($G4="ja",NOT(ISNUMBER(AL4)),NOT(ISNUMBER(AR4))),"",AR4+N(AN4))</f>
        <v/>
      </c>
      <c r="AT4" s="990">
        <f>IF(OR(NOT(ISNUMBER(AL4)),NOT(ISNUMBER(F4)),F4=0),"",AL4/F4)</f>
        <v/>
      </c>
      <c r="AU4" s="991">
        <f>IF(OR(NOT(ISNUMBER(MIETER!F9)),NOT(ISNUMBER(MIETER!I9))),"",MIETER!I9)</f>
        <v/>
      </c>
      <c r="AV4" s="991">
        <f>IF(OR(NOT(ISNUMBER(AU4)),$G4="ja",NOT(ISNUMBER($H$34))),"",EDATE(AU4,$H$34))</f>
        <v/>
      </c>
      <c r="AW4" s="1033" t="n"/>
      <c r="AX4" s="982">
        <f>IF(NOT(ISNUMBER(F4)),"",IF(ISNUMBER(AW4),AW4,IF(NOT(ISNUMBER(AV4)),"",MAX(0,(YEAR(AV4)-YEAR(TODAY()))*12+MONTH(AV4)-MONTH(TODAY())))))</f>
        <v/>
      </c>
      <c r="AY4" s="988">
        <f>IF(NOT(ISNUMBER(AX4)),"",IF(ISNUMBER(AO4),AO4*AX4,IF(NOT(ISNUMBER(AN4)),"",AN4*AX4)))</f>
        <v/>
      </c>
      <c r="AZ4" s="988">
        <f>IF(OR(NOT(ISNUMBER(AL4)),NOT(ISNUMBER(MIETER!$P$6))),"",ROUND(AL4*(1+MIETER!$P$6)^2,0))</f>
        <v/>
      </c>
      <c r="BA4" s="1039" t="n"/>
      <c r="BB4" s="1038" t="n"/>
      <c r="BC4" s="989">
        <f>IF(NOT(ISNUMBER(F4)),"",IF(ISNUMBER(BB4),BB4,IF(AND(ISNUMBER(BA4),ISNUMBER(AL4),AL4&gt;0),AL4*BA4,IF(OR(NOT(ISNUMBER($C$62)),NOT(ISNUMBER($C$64))),"",$C$62+$C$64*F4/12))))</f>
        <v/>
      </c>
      <c r="BD4" s="1038" t="n"/>
      <c r="BE4" s="989">
        <f>IF(NOT(ISNUMBER(BC4)),"",IF(ISNUMBER(BD4),MIN(BC4,BD4),IF(OR(NOT(ISNUMBER(F4)),NOT(ISNUMBER($C$64))),0,MIN(BC4,$C$64*F4/12))))</f>
        <v/>
      </c>
      <c r="BF4" s="987">
        <f>IF(OR(NOT(ISNUMBER(BC4)),NOT(ISNUMBER(AL4)),AL4=0),"",BC4/AL4)</f>
        <v/>
      </c>
      <c r="BG4" s="989">
        <f>IF(NOT(ISNUMBER(AL4)),"",AL4*0.01)</f>
        <v/>
      </c>
      <c r="BH4" s="988">
        <f>IF(OR(NOT(ISNUMBER(AL4)),NOT(ISNUMBER($C$28)),NOT(ISNUMBER(CD4)),CD4&lt;=0),"",AL4*0.01*(1-$C$28)/CD4)</f>
        <v/>
      </c>
      <c r="BI4" s="988">
        <f>IF(OR(NOT(ISNUMBER(K4)),NOT(ISNUMBER($H$30))),"",$H$30*K4)</f>
        <v/>
      </c>
      <c r="BJ4" s="1035" t="n"/>
      <c r="BK4" s="985">
        <f>IF(OR(NOT(ISNUMBER(BI4)),NOT(ISNUMBER(AB4)),AB4&lt;=0),"",1-BI4/AB4)</f>
        <v/>
      </c>
      <c r="BL4" s="985">
        <f>IF(NOT(ISNUMBER(AB4)),"",IF(ISNUMBER(BJ4),BJ4,IF(AND(ISNUMBER(BI4),ISNUMBER(AE4),AE4&gt;0),1-BI4/AE4,IF(NOT(ISNUMBER($C$31)),"",$C$31))))</f>
        <v/>
      </c>
      <c r="BM4" s="983">
        <f>IF(NOT(ISNUMBER(F4)),"",IF(ISNUMBER(BJ4),"vertrag",IF(ISNUMBER(BI4),"berechnet","standard")))</f>
        <v/>
      </c>
      <c r="BN4" s="1035" t="n"/>
      <c r="BO4" s="985">
        <f>IF(NOT(ISNUMBER(F4)),"",IF(ISNUMBER(BN4),BN4,IF(NOT(ISNUMBER($C$30)),"",$C$30)))</f>
        <v/>
      </c>
      <c r="BP4" s="988">
        <f>IF(OR(NOT(ISNUMBER(AE4)),NOT(ISNUMBER(BL4)),NOT(ISNUMBER($C$35))),"",AE4*(1+$C$35)*BL4)</f>
        <v/>
      </c>
      <c r="BQ4" s="989">
        <f>IF(OR(NOT(ISNUMBER(BP4)),NOT(ISNUMBER(BO4)),NOT(ISNUMBER($C$35))),"",(BP4*BO4+N(U4)*(1+$C$35)*N($H$31)+N(V4)*(1+$C$35)*N($H$32))/12)</f>
        <v/>
      </c>
      <c r="BR4" s="989">
        <f>IF(OR(NOT(ISNUMBER(AH4)),NOT(ISNUMBER($C$26))),"",AH4*$C$26/12)</f>
        <v/>
      </c>
      <c r="BS4" s="988">
        <f>IF(OR(NOT(ISNUMBER(AH4)),NOT(ISNUMBER($C$26)),NOT(ISNUMBER($C$27))),"",ROUND(AH4*($C$26+$C$27)/12,0))</f>
        <v/>
      </c>
      <c r="BT4" s="992">
        <f>IF(OR(NOT(ISNUMBER(AS4)),NOT(ISNUMBER(BQ4)),NOT(ISNUMBER(BR4)),NOT(ISNUMBER(BC4))),"",AS4-BR4-BQ4-(BC4-N(BE4)))</f>
        <v/>
      </c>
      <c r="BU4" s="993">
        <f>IF(OR(NOT(ISNUMBER(BT4)),NOT(ISNUMBER($C$28))),"",ROUND(-BT4*$C$28,0))</f>
        <v/>
      </c>
      <c r="BV4" s="989">
        <f>IF(OR(NOT(ISNUMBER(BE4)),NOT(ISNUMBER($C$28))),"",BE4*$C$28)</f>
        <v/>
      </c>
      <c r="BW4" s="993">
        <f>IF(OR(NOT(ISNUMBER(AS4)),NOT(ISNUMBER(BS4)),NOT(ISNUMBER(BC4))),"",ROUND(AS4,0)-BS4-ROUND(BC4,0))</f>
        <v/>
      </c>
      <c r="BX4" s="993">
        <f>IF(OR(NOT(ISNUMBER(BW4)),NOT(ISNUMBER(BU4))),"",BW4+BU4)</f>
        <v/>
      </c>
      <c r="BY4" s="993">
        <f>IF(OR(NOT(ISNUMBER(AR4)),NOT(ISNUMBER(BS4)),NOT(ISNUMBER(BC4)),NOT(ISNUMBER(BT4)),NOT(ISNUMBER($C$28))),"",ROUND(AR4,0)-BS4-ROUND(BC4,0)+ROUND(-(BT4-N(AN4))*$C$28,0))</f>
        <v/>
      </c>
      <c r="BZ4" s="996">
        <f>IF(OR(NOT(ISNUMBER(AA4)),NOT(ISNUMBER(AS4)),AS4=0),"",AA4/(AS4*12))</f>
        <v/>
      </c>
      <c r="CA4" s="985">
        <f>IF(OR(NOT(ISNUMBER(AA4)),NOT(ISNUMBER(AS4)),AA4=0),"",AS4*12/AA4)</f>
        <v/>
      </c>
      <c r="CB4" s="992">
        <f>IF(OR(NOT(ISNUMBER(AS4)),NOT(ISNUMBER(BC4)),NOT(ISNUMBER(BO4)),NOT(ISNUMBER($C$28)),NOT(ISNUMBER($C$35))),"",(AS4-BC4)*(1-$C$28)-$C$28*N(BE4)-IF(BM4="berechnet",$C$28*(1+$C$35)*BO4*N(BI4)/12,0))</f>
        <v/>
      </c>
      <c r="CC4" s="992">
        <f>IF(OR(NOT(ISNUMBER(F4)),NOT(ISNUMBER($C$26)),NOT(ISNUMBER($C$27)),NOT(ISNUMBER($C$28)),NOT(ISNUMBER($C$35)),NOT(ISNUMBER($H$33))),"",($C$28*(1+$C$35)*(N(U4)*N($H$31)+N(V4)*N($H$32))-(N(U4)+N(V4))*$H$33*(($C$26+$C$27)-$C$28*$C$26))/12)</f>
        <v/>
      </c>
      <c r="CD4" s="994">
        <f>IF(OR(NOT(ISNUMBER(BO4)),NOT(ISNUMBER($C$26)),NOT(ISNUMBER($C$27)),NOT(ISNUMBER($C$28)),NOT(ISNUMBER($C$35)),NOT(ISNUMBER($H$33)),BM4="",AND(BM4="standard",NOT(ISNUMBER($C$31)))),"",($H$33*(($C$26+$C$27)-$C$28*$C$26)-$C$28*(1+$C$35)*BO4*IF(BM4="berechnet",1,IF(BM4="vertrag",BJ4,$C$31)))/12)</f>
        <v/>
      </c>
      <c r="CE4" s="988">
        <f>IF(NOT(ISNUMBER(F4)),"",IF(N($O$26)=2,IF(OR(NOT(ISNUMBER(AS4)),NOT(ISNUMBER(AN4)),IF(ISNUMBER(M4),M4,N($O$28))&lt;=0),"",IF(AS4*12/IF(ISNUMBER(M4),M4,N($O$28))-N(U4)-N(V4)&lt;=0,"",AS4*12/IF(ISNUMBER(M4),M4,N($O$28))-N(U4)-N(V4))),IF(N($O$26)=3,IF(OR(NOT(ISNUMBER(CB4)),NOT(ISNUMBER(CC4)),NOT(ISNUMBER(CD4)),N(CD4)&lt;=0),"",IF((CB4+CC4+ROUND(AS4,0)-AS4-ROUND(BC4,0)+BC4-IF(ISNUMBER(N4),N4,N($O$29)))/CD4&lt;=0,"",(CB4+CC4+ROUND(AS4,0)-AS4-ROUND(BC4,0)+BC4-IF(ISNUMBER(N4),N4,N($O$29)))/CD4)),"")))</f>
        <v/>
      </c>
      <c r="CF4" s="1012" t="n"/>
      <c r="CG4" s="1012" t="n"/>
      <c r="CH4" s="1012" t="n"/>
    </row>
    <row r="5" s="545">
      <c r="A5" s="959">
        <f>IF(NOT(ISNUMBER(MIETER!F10)),"",ROW()-2)</f>
        <v/>
      </c>
      <c r="B5" s="960">
        <f>IF(NOT(ISNUMBER(MIETER!F10)),"",IF(MIETER!A10="","",MIETER!A10))</f>
        <v/>
      </c>
      <c r="C5" s="960">
        <f>IF(NOT(ISNUMBER(MIETER!F10)),"",IF(MIETER!B10="","",MIETER!B10))</f>
        <v/>
      </c>
      <c r="D5" s="960">
        <f>IF(NOT(ISNUMBER(MIETER!F10)),"",IF(MIETER!C10="","",MIETER!C10))</f>
        <v/>
      </c>
      <c r="E5" s="960">
        <f>IF(NOT(ISNUMBER(MIETER!F10)),"",IF(MIETER!D10="","",MIETER!D10))</f>
        <v/>
      </c>
      <c r="F5" s="961">
        <f>IF(NOT(ISNUMBER(MIETER!F10)),"",MIETER!F10)</f>
        <v/>
      </c>
      <c r="G5" s="1032" t="n"/>
      <c r="H5" s="1033" t="n"/>
      <c r="I5" s="1033" t="n"/>
      <c r="J5" s="1033" t="n"/>
      <c r="K5" s="964">
        <f>IF(OR(NOT(ISNUMBER(F5)),NOT(ISNUMBER(J5)),NOT(ISNUMBER($H$29)),$H$29=0),"",J5/$H$29)</f>
        <v/>
      </c>
      <c r="L5" s="1034" t="n"/>
      <c r="M5" s="1035" t="n"/>
      <c r="N5" s="1036" t="n"/>
      <c r="O5" s="960">
        <f>IF(NOT(ISNUMBER(F5)),"",IF(NOT(ISNUMBER(T5)),"kein Preis",IF(ISNUMBER(CE5),IF(N($O$26)=2,"Rendite","Cashflow"),IF(OR(N($O$26)=2,N($O$26)=3),"Regler (Rückfall)","Regler"))))</f>
        <v/>
      </c>
      <c r="P5" s="966">
        <f>IF(OR(NOT(ISNUMBER(T5)),NOT(ISNUMBER(F5)),F5=0),"",T5/F5)</f>
        <v/>
      </c>
      <c r="Q5" s="966">
        <f>IF(OR(NOT(ISNUMBER(F5)),F5=0,NOT(ISNUMBER(VERKAUFSMATRIX!U8))),"",VERKAUFSMATRIX!U8/F5)</f>
        <v/>
      </c>
      <c r="R5" s="967">
        <f>IF(OR(NOT(ISNUMBER(P5)),NOT(ISNUMBER(Q5)),Q5=0),"",P5/Q5-1)</f>
        <v/>
      </c>
      <c r="S5" s="1036" t="n"/>
      <c r="T5" s="969">
        <f>IF(NOT(ISNUMBER(F5)),"",IF(ISNUMBER(CE5),IF(NOT(ISNUMBER(Y5)),"",(CE5+N(U5)+N(V5))/(1+Y5)-N(U5)-N(V5)),IF(NOT(ISNUMBER(L5)),"",F5*L5+N(S5))))</f>
        <v/>
      </c>
      <c r="U5" s="1037" t="n"/>
      <c r="V5" s="1037" t="n"/>
      <c r="W5" s="969">
        <f>IF(NOT(ISNUMBER(T5)),"",T5+N(U5)+N(V5))</f>
        <v/>
      </c>
      <c r="X5" s="1035" t="n"/>
      <c r="Y5" s="964">
        <f>IF(NOT(ISNUMBER(F5)),"",IF(ISNUMBER(X5),X5,IF(NOT(ISNUMBER($H$26)),"",$H$26)))</f>
        <v/>
      </c>
      <c r="Z5" s="969">
        <f>IF(OR(NOT(ISNUMBER(W5)),NOT(ISNUMBER(Y5))),"",W5*Y5)</f>
        <v/>
      </c>
      <c r="AA5" s="969">
        <f>IF(OR(NOT(ISNUMBER(W5)),NOT(ISNUMBER(Y5))),"",W5*(1+Y5))</f>
        <v/>
      </c>
      <c r="AB5" s="969">
        <f>IF(NOT(ISNUMBER(AA5)),"",AA5-N(U5)-N(V5))</f>
        <v/>
      </c>
      <c r="AC5" s="966">
        <f>IF(OR(NOT(ISNUMBER(W5)),NOT(ISNUMBER(F5)),F5=0),"",W5/F5)</f>
        <v/>
      </c>
      <c r="AD5" s="966">
        <f>IF(OR(NOT(ISNUMBER(AB5)),NOT(ISNUMBER(F5)),F5=0),"",AB5/F5)</f>
        <v/>
      </c>
      <c r="AE5" s="969">
        <f>IF(NOT(ISNUMBER(AB5)),"",AB5)</f>
        <v/>
      </c>
      <c r="AF5" s="969">
        <f>IF(OR(NOT(ISNUMBER(AA5)),NOT(ISNUMBER($C$35))),"",AA5*$C$35)</f>
        <v/>
      </c>
      <c r="AG5" s="969">
        <f>IF(OR(NOT(ISNUMBER(AA5)),NOT(ISNUMBER(AF5))),"",AA5+AF5)</f>
        <v/>
      </c>
      <c r="AH5" s="969">
        <f>IF(OR(NOT(ISNUMBER(AA5)),NOT(ISNUMBER($H$33))),"",AA5*$H$33)</f>
        <v/>
      </c>
      <c r="AI5" s="969">
        <f>IF(OR(NOT(ISNUMBER(AG5)),NOT(ISNUMBER(AH5))),"",MAX(0,AG5-AH5))</f>
        <v/>
      </c>
      <c r="AJ5" s="969">
        <f>IF(OR(NOT(ISNUMBER(AH5)),NOT(ISNUMBER(AA5))),"",AH5-AA5)</f>
        <v/>
      </c>
      <c r="AK5" s="1038" t="n"/>
      <c r="AL5" s="973">
        <f>IF(OR(NOT(ISNUMBER(MIETER!F10)),$G5="ja"),"",IF(NOT(ISNUMBER(MIETER!J10)),"",IF(ISNUMBER(AK5),MAX(MIETER!J10,AK5),MIETER!J10)))</f>
        <v/>
      </c>
      <c r="AM5" s="1038" t="n"/>
      <c r="AN5" s="973">
        <f>IF(OR(NOT(ISNUMBER(AL5)),NOT(ISNUMBER(AM5))),"",MAX(0,AM5-AL5))</f>
        <v/>
      </c>
      <c r="AO5" s="1038" t="n"/>
      <c r="AP5" s="1038" t="n"/>
      <c r="AQ5" s="1038" t="n"/>
      <c r="AR5" s="973">
        <f>IF(NOT(ISNUMBER(F5)),"",IF(AND(NOT(ISNUMBER(AL5)),NOT(ISNUMBER(AP5)),NOT(ISNUMBER(AQ5))),"",N(AL5)+N(AP5)+N(AQ5)))</f>
        <v/>
      </c>
      <c r="AS5" s="973">
        <f>IF(OR($G5="ja",NOT(ISNUMBER(AL5)),NOT(ISNUMBER(AR5))),"",AR5+N(AN5))</f>
        <v/>
      </c>
      <c r="AT5" s="974">
        <f>IF(OR(NOT(ISNUMBER(AL5)),NOT(ISNUMBER(F5)),F5=0),"",AL5/F5)</f>
        <v/>
      </c>
      <c r="AU5" s="975">
        <f>IF(OR(NOT(ISNUMBER(MIETER!F10)),NOT(ISNUMBER(MIETER!I10))),"",MIETER!I10)</f>
        <v/>
      </c>
      <c r="AV5" s="975">
        <f>IF(OR(NOT(ISNUMBER(AU5)),$G5="ja",NOT(ISNUMBER($H$34))),"",EDATE(AU5,$H$34))</f>
        <v/>
      </c>
      <c r="AW5" s="1033" t="n"/>
      <c r="AX5" s="959">
        <f>IF(NOT(ISNUMBER(F5)),"",IF(ISNUMBER(AW5),AW5,IF(NOT(ISNUMBER(AV5)),"",MAX(0,(YEAR(AV5)-YEAR(TODAY()))*12+MONTH(AV5)-MONTH(TODAY())))))</f>
        <v/>
      </c>
      <c r="AY5" s="969">
        <f>IF(NOT(ISNUMBER(AX5)),"",IF(ISNUMBER(AO5),AO5*AX5,IF(NOT(ISNUMBER(AN5)),"",AN5*AX5)))</f>
        <v/>
      </c>
      <c r="AZ5" s="969">
        <f>IF(OR(NOT(ISNUMBER(AL5)),NOT(ISNUMBER(MIETER!$P$6))),"",ROUND(AL5*(1+MIETER!$P$6)^2,0))</f>
        <v/>
      </c>
      <c r="BA5" s="1039" t="n"/>
      <c r="BB5" s="1038" t="n"/>
      <c r="BC5" s="973">
        <f>IF(NOT(ISNUMBER(F5)),"",IF(ISNUMBER(BB5),BB5,IF(AND(ISNUMBER(BA5),ISNUMBER(AL5),AL5&gt;0),AL5*BA5,IF(OR(NOT(ISNUMBER($C$62)),NOT(ISNUMBER($C$64))),"",$C$62+$C$64*F5/12))))</f>
        <v/>
      </c>
      <c r="BD5" s="1038" t="n"/>
      <c r="BE5" s="973">
        <f>IF(NOT(ISNUMBER(BC5)),"",IF(ISNUMBER(BD5),MIN(BC5,BD5),IF(OR(NOT(ISNUMBER(F5)),NOT(ISNUMBER($C$64))),0,MIN(BC5,$C$64*F5/12))))</f>
        <v/>
      </c>
      <c r="BF5" s="967">
        <f>IF(OR(NOT(ISNUMBER(BC5)),NOT(ISNUMBER(AL5)),AL5=0),"",BC5/AL5)</f>
        <v/>
      </c>
      <c r="BG5" s="973">
        <f>IF(NOT(ISNUMBER(AL5)),"",AL5*0.01)</f>
        <v/>
      </c>
      <c r="BH5" s="969">
        <f>IF(OR(NOT(ISNUMBER(AL5)),NOT(ISNUMBER($C$28)),NOT(ISNUMBER(CD5)),CD5&lt;=0),"",AL5*0.01*(1-$C$28)/CD5)</f>
        <v/>
      </c>
      <c r="BI5" s="969">
        <f>IF(OR(NOT(ISNUMBER(K5)),NOT(ISNUMBER($H$30))),"",$H$30*K5)</f>
        <v/>
      </c>
      <c r="BJ5" s="1035" t="n"/>
      <c r="BK5" s="964">
        <f>IF(OR(NOT(ISNUMBER(BI5)),NOT(ISNUMBER(AB5)),AB5&lt;=0),"",1-BI5/AB5)</f>
        <v/>
      </c>
      <c r="BL5" s="964">
        <f>IF(NOT(ISNUMBER(AB5)),"",IF(ISNUMBER(BJ5),BJ5,IF(AND(ISNUMBER(BI5),ISNUMBER(AE5),AE5&gt;0),1-BI5/AE5,IF(NOT(ISNUMBER($C$31)),"",$C$31))))</f>
        <v/>
      </c>
      <c r="BM5" s="960">
        <f>IF(NOT(ISNUMBER(F5)),"",IF(ISNUMBER(BJ5),"vertrag",IF(ISNUMBER(BI5),"berechnet","standard")))</f>
        <v/>
      </c>
      <c r="BN5" s="1035" t="n"/>
      <c r="BO5" s="964">
        <f>IF(NOT(ISNUMBER(F5)),"",IF(ISNUMBER(BN5),BN5,IF(NOT(ISNUMBER($C$30)),"",$C$30)))</f>
        <v/>
      </c>
      <c r="BP5" s="969">
        <f>IF(OR(NOT(ISNUMBER(AE5)),NOT(ISNUMBER(BL5)),NOT(ISNUMBER($C$35))),"",AE5*(1+$C$35)*BL5)</f>
        <v/>
      </c>
      <c r="BQ5" s="973">
        <f>IF(OR(NOT(ISNUMBER(BP5)),NOT(ISNUMBER(BO5)),NOT(ISNUMBER($C$35))),"",(BP5*BO5+N(U5)*(1+$C$35)*N($H$31)+N(V5)*(1+$C$35)*N($H$32))/12)</f>
        <v/>
      </c>
      <c r="BR5" s="973">
        <f>IF(OR(NOT(ISNUMBER(AH5)),NOT(ISNUMBER($C$26))),"",AH5*$C$26/12)</f>
        <v/>
      </c>
      <c r="BS5" s="969">
        <f>IF(OR(NOT(ISNUMBER(AH5)),NOT(ISNUMBER($C$26)),NOT(ISNUMBER($C$27))),"",ROUND(AH5*($C$26+$C$27)/12,0))</f>
        <v/>
      </c>
      <c r="BT5" s="977">
        <f>IF(OR(NOT(ISNUMBER(AS5)),NOT(ISNUMBER(BQ5)),NOT(ISNUMBER(BR5)),NOT(ISNUMBER(BC5))),"",AS5-BR5-BQ5-(BC5-N(BE5)))</f>
        <v/>
      </c>
      <c r="BU5" s="978">
        <f>IF(OR(NOT(ISNUMBER(BT5)),NOT(ISNUMBER($C$28))),"",ROUND(-BT5*$C$28,0))</f>
        <v/>
      </c>
      <c r="BV5" s="973">
        <f>IF(OR(NOT(ISNUMBER(BE5)),NOT(ISNUMBER($C$28))),"",BE5*$C$28)</f>
        <v/>
      </c>
      <c r="BW5" s="978">
        <f>IF(OR(NOT(ISNUMBER(AS5)),NOT(ISNUMBER(BS5)),NOT(ISNUMBER(BC5))),"",ROUND(AS5,0)-BS5-ROUND(BC5,0))</f>
        <v/>
      </c>
      <c r="BX5" s="978">
        <f>IF(OR(NOT(ISNUMBER(BW5)),NOT(ISNUMBER(BU5))),"",BW5+BU5)</f>
        <v/>
      </c>
      <c r="BY5" s="978">
        <f>IF(OR(NOT(ISNUMBER(AR5)),NOT(ISNUMBER(BS5)),NOT(ISNUMBER(BC5)),NOT(ISNUMBER(BT5)),NOT(ISNUMBER($C$28))),"",ROUND(AR5,0)-BS5-ROUND(BC5,0)+ROUND(-(BT5-N(AN5))*$C$28,0))</f>
        <v/>
      </c>
      <c r="BZ5" s="981">
        <f>IF(OR(NOT(ISNUMBER(AA5)),NOT(ISNUMBER(AS5)),AS5=0),"",AA5/(AS5*12))</f>
        <v/>
      </c>
      <c r="CA5" s="964">
        <f>IF(OR(NOT(ISNUMBER(AA5)),NOT(ISNUMBER(AS5)),AA5=0),"",AS5*12/AA5)</f>
        <v/>
      </c>
      <c r="CB5" s="977">
        <f>IF(OR(NOT(ISNUMBER(AS5)),NOT(ISNUMBER(BC5)),NOT(ISNUMBER(BO5)),NOT(ISNUMBER($C$28)),NOT(ISNUMBER($C$35))),"",(AS5-BC5)*(1-$C$28)-$C$28*N(BE5)-IF(BM5="berechnet",$C$28*(1+$C$35)*BO5*N(BI5)/12,0))</f>
        <v/>
      </c>
      <c r="CC5" s="977">
        <f>IF(OR(NOT(ISNUMBER(F5)),NOT(ISNUMBER($C$26)),NOT(ISNUMBER($C$27)),NOT(ISNUMBER($C$28)),NOT(ISNUMBER($C$35)),NOT(ISNUMBER($H$33))),"",($C$28*(1+$C$35)*(N(U5)*N($H$31)+N(V5)*N($H$32))-(N(U5)+N(V5))*$H$33*(($C$26+$C$27)-$C$28*$C$26))/12)</f>
        <v/>
      </c>
      <c r="CD5" s="979">
        <f>IF(OR(NOT(ISNUMBER(BO5)),NOT(ISNUMBER($C$26)),NOT(ISNUMBER($C$27)),NOT(ISNUMBER($C$28)),NOT(ISNUMBER($C$35)),NOT(ISNUMBER($H$33)),BM5="",AND(BM5="standard",NOT(ISNUMBER($C$31)))),"",($H$33*(($C$26+$C$27)-$C$28*$C$26)-$C$28*(1+$C$35)*BO5*IF(BM5="berechnet",1,IF(BM5="vertrag",BJ5,$C$31)))/12)</f>
        <v/>
      </c>
      <c r="CE5" s="969">
        <f>IF(NOT(ISNUMBER(F5)),"",IF(N($O$26)=2,IF(OR(NOT(ISNUMBER(AS5)),NOT(ISNUMBER(AN5)),IF(ISNUMBER(M5),M5,N($O$28))&lt;=0),"",IF(AS5*12/IF(ISNUMBER(M5),M5,N($O$28))-N(U5)-N(V5)&lt;=0,"",AS5*12/IF(ISNUMBER(M5),M5,N($O$28))-N(U5)-N(V5))),IF(N($O$26)=3,IF(OR(NOT(ISNUMBER(CB5)),NOT(ISNUMBER(CC5)),NOT(ISNUMBER(CD5)),N(CD5)&lt;=0),"",IF((CB5+CC5+ROUND(AS5,0)-AS5-ROUND(BC5,0)+BC5-IF(ISNUMBER(N5),N5,N($O$29)))/CD5&lt;=0,"",(CB5+CC5+ROUND(AS5,0)-AS5-ROUND(BC5,0)+BC5-IF(ISNUMBER(N5),N5,N($O$29)))/CD5)),"")))</f>
        <v/>
      </c>
      <c r="CF5" s="1012" t="n"/>
      <c r="CG5" s="1012" t="n"/>
      <c r="CH5" s="1012" t="n"/>
    </row>
    <row r="6" s="545">
      <c r="A6" s="982">
        <f>IF(NOT(ISNUMBER(MIETER!F11)),"",ROW()-2)</f>
        <v/>
      </c>
      <c r="B6" s="983">
        <f>IF(NOT(ISNUMBER(MIETER!F11)),"",IF(MIETER!A11="","",MIETER!A11))</f>
        <v/>
      </c>
      <c r="C6" s="983">
        <f>IF(NOT(ISNUMBER(MIETER!F11)),"",IF(MIETER!B11="","",MIETER!B11))</f>
        <v/>
      </c>
      <c r="D6" s="983">
        <f>IF(NOT(ISNUMBER(MIETER!F11)),"",IF(MIETER!C11="","",MIETER!C11))</f>
        <v/>
      </c>
      <c r="E6" s="983">
        <f>IF(NOT(ISNUMBER(MIETER!F11)),"",IF(MIETER!D11="","",MIETER!D11))</f>
        <v/>
      </c>
      <c r="F6" s="984">
        <f>IF(NOT(ISNUMBER(MIETER!F11)),"",MIETER!F11)</f>
        <v/>
      </c>
      <c r="G6" s="1032" t="n"/>
      <c r="H6" s="1033" t="n"/>
      <c r="I6" s="1033" t="n"/>
      <c r="J6" s="1033" t="n"/>
      <c r="K6" s="985">
        <f>IF(OR(NOT(ISNUMBER(F6)),NOT(ISNUMBER(J6)),NOT(ISNUMBER($H$29)),$H$29=0),"",J6/$H$29)</f>
        <v/>
      </c>
      <c r="L6" s="1034" t="n"/>
      <c r="M6" s="1035" t="n"/>
      <c r="N6" s="1036" t="n"/>
      <c r="O6" s="983">
        <f>IF(NOT(ISNUMBER(F6)),"",IF(NOT(ISNUMBER(T6)),"kein Preis",IF(ISNUMBER(CE6),IF(N($O$26)=2,"Rendite","Cashflow"),IF(OR(N($O$26)=2,N($O$26)=3),"Regler (Rückfall)","Regler"))))</f>
        <v/>
      </c>
      <c r="P6" s="986">
        <f>IF(OR(NOT(ISNUMBER(T6)),NOT(ISNUMBER(F6)),F6=0),"",T6/F6)</f>
        <v/>
      </c>
      <c r="Q6" s="986">
        <f>IF(OR(NOT(ISNUMBER(F6)),F6=0,NOT(ISNUMBER(VERKAUFSMATRIX!U9))),"",VERKAUFSMATRIX!U9/F6)</f>
        <v/>
      </c>
      <c r="R6" s="987">
        <f>IF(OR(NOT(ISNUMBER(P6)),NOT(ISNUMBER(Q6)),Q6=0),"",P6/Q6-1)</f>
        <v/>
      </c>
      <c r="S6" s="1036" t="n"/>
      <c r="T6" s="988">
        <f>IF(NOT(ISNUMBER(F6)),"",IF(ISNUMBER(CE6),IF(NOT(ISNUMBER(Y6)),"",(CE6+N(U6)+N(V6))/(1+Y6)-N(U6)-N(V6)),IF(NOT(ISNUMBER(L6)),"",F6*L6+N(S6))))</f>
        <v/>
      </c>
      <c r="U6" s="1037" t="n"/>
      <c r="V6" s="1037" t="n"/>
      <c r="W6" s="988">
        <f>IF(NOT(ISNUMBER(T6)),"",T6+N(U6)+N(V6))</f>
        <v/>
      </c>
      <c r="X6" s="1035" t="n"/>
      <c r="Y6" s="985">
        <f>IF(NOT(ISNUMBER(F6)),"",IF(ISNUMBER(X6),X6,IF(NOT(ISNUMBER($H$26)),"",$H$26)))</f>
        <v/>
      </c>
      <c r="Z6" s="988">
        <f>IF(OR(NOT(ISNUMBER(W6)),NOT(ISNUMBER(Y6))),"",W6*Y6)</f>
        <v/>
      </c>
      <c r="AA6" s="988">
        <f>IF(OR(NOT(ISNUMBER(W6)),NOT(ISNUMBER(Y6))),"",W6*(1+Y6))</f>
        <v/>
      </c>
      <c r="AB6" s="988">
        <f>IF(NOT(ISNUMBER(AA6)),"",AA6-N(U6)-N(V6))</f>
        <v/>
      </c>
      <c r="AC6" s="986">
        <f>IF(OR(NOT(ISNUMBER(W6)),NOT(ISNUMBER(F6)),F6=0),"",W6/F6)</f>
        <v/>
      </c>
      <c r="AD6" s="986">
        <f>IF(OR(NOT(ISNUMBER(AB6)),NOT(ISNUMBER(F6)),F6=0),"",AB6/F6)</f>
        <v/>
      </c>
      <c r="AE6" s="988">
        <f>IF(NOT(ISNUMBER(AB6)),"",AB6)</f>
        <v/>
      </c>
      <c r="AF6" s="988">
        <f>IF(OR(NOT(ISNUMBER(AA6)),NOT(ISNUMBER($C$35))),"",AA6*$C$35)</f>
        <v/>
      </c>
      <c r="AG6" s="988">
        <f>IF(OR(NOT(ISNUMBER(AA6)),NOT(ISNUMBER(AF6))),"",AA6+AF6)</f>
        <v/>
      </c>
      <c r="AH6" s="988">
        <f>IF(OR(NOT(ISNUMBER(AA6)),NOT(ISNUMBER($H$33))),"",AA6*$H$33)</f>
        <v/>
      </c>
      <c r="AI6" s="988">
        <f>IF(OR(NOT(ISNUMBER(AG6)),NOT(ISNUMBER(AH6))),"",MAX(0,AG6-AH6))</f>
        <v/>
      </c>
      <c r="AJ6" s="988">
        <f>IF(OR(NOT(ISNUMBER(AH6)),NOT(ISNUMBER(AA6))),"",AH6-AA6)</f>
        <v/>
      </c>
      <c r="AK6" s="1038" t="n"/>
      <c r="AL6" s="989">
        <f>IF(OR(NOT(ISNUMBER(MIETER!F11)),$G6="ja"),"",IF(NOT(ISNUMBER(MIETER!J11)),"",IF(ISNUMBER(AK6),MAX(MIETER!J11,AK6),MIETER!J11)))</f>
        <v/>
      </c>
      <c r="AM6" s="1038" t="n"/>
      <c r="AN6" s="989">
        <f>IF(OR(NOT(ISNUMBER(AL6)),NOT(ISNUMBER(AM6))),"",MAX(0,AM6-AL6))</f>
        <v/>
      </c>
      <c r="AO6" s="1038" t="n"/>
      <c r="AP6" s="1038" t="n"/>
      <c r="AQ6" s="1038" t="n"/>
      <c r="AR6" s="989">
        <f>IF(NOT(ISNUMBER(F6)),"",IF(AND(NOT(ISNUMBER(AL6)),NOT(ISNUMBER(AP6)),NOT(ISNUMBER(AQ6))),"",N(AL6)+N(AP6)+N(AQ6)))</f>
        <v/>
      </c>
      <c r="AS6" s="989">
        <f>IF(OR($G6="ja",NOT(ISNUMBER(AL6)),NOT(ISNUMBER(AR6))),"",AR6+N(AN6))</f>
        <v/>
      </c>
      <c r="AT6" s="990">
        <f>IF(OR(NOT(ISNUMBER(AL6)),NOT(ISNUMBER(F6)),F6=0),"",AL6/F6)</f>
        <v/>
      </c>
      <c r="AU6" s="991">
        <f>IF(OR(NOT(ISNUMBER(MIETER!F11)),NOT(ISNUMBER(MIETER!I11))),"",MIETER!I11)</f>
        <v/>
      </c>
      <c r="AV6" s="991">
        <f>IF(OR(NOT(ISNUMBER(AU6)),$G6="ja",NOT(ISNUMBER($H$34))),"",EDATE(AU6,$H$34))</f>
        <v/>
      </c>
      <c r="AW6" s="1033" t="n"/>
      <c r="AX6" s="982">
        <f>IF(NOT(ISNUMBER(F6)),"",IF(ISNUMBER(AW6),AW6,IF(NOT(ISNUMBER(AV6)),"",MAX(0,(YEAR(AV6)-YEAR(TODAY()))*12+MONTH(AV6)-MONTH(TODAY())))))</f>
        <v/>
      </c>
      <c r="AY6" s="988">
        <f>IF(NOT(ISNUMBER(AX6)),"",IF(ISNUMBER(AO6),AO6*AX6,IF(NOT(ISNUMBER(AN6)),"",AN6*AX6)))</f>
        <v/>
      </c>
      <c r="AZ6" s="988">
        <f>IF(OR(NOT(ISNUMBER(AL6)),NOT(ISNUMBER(MIETER!$P$6))),"",ROUND(AL6*(1+MIETER!$P$6)^2,0))</f>
        <v/>
      </c>
      <c r="BA6" s="1039" t="n"/>
      <c r="BB6" s="1038" t="n"/>
      <c r="BC6" s="989">
        <f>IF(NOT(ISNUMBER(F6)),"",IF(ISNUMBER(BB6),BB6,IF(AND(ISNUMBER(BA6),ISNUMBER(AL6),AL6&gt;0),AL6*BA6,IF(OR(NOT(ISNUMBER($C$62)),NOT(ISNUMBER($C$64))),"",$C$62+$C$64*F6/12))))</f>
        <v/>
      </c>
      <c r="BD6" s="1038" t="n"/>
      <c r="BE6" s="989">
        <f>IF(NOT(ISNUMBER(BC6)),"",IF(ISNUMBER(BD6),MIN(BC6,BD6),IF(OR(NOT(ISNUMBER(F6)),NOT(ISNUMBER($C$64))),0,MIN(BC6,$C$64*F6/12))))</f>
        <v/>
      </c>
      <c r="BF6" s="987">
        <f>IF(OR(NOT(ISNUMBER(BC6)),NOT(ISNUMBER(AL6)),AL6=0),"",BC6/AL6)</f>
        <v/>
      </c>
      <c r="BG6" s="989">
        <f>IF(NOT(ISNUMBER(AL6)),"",AL6*0.01)</f>
        <v/>
      </c>
      <c r="BH6" s="988">
        <f>IF(OR(NOT(ISNUMBER(AL6)),NOT(ISNUMBER($C$28)),NOT(ISNUMBER(CD6)),CD6&lt;=0),"",AL6*0.01*(1-$C$28)/CD6)</f>
        <v/>
      </c>
      <c r="BI6" s="988">
        <f>IF(OR(NOT(ISNUMBER(K6)),NOT(ISNUMBER($H$30))),"",$H$30*K6)</f>
        <v/>
      </c>
      <c r="BJ6" s="1035" t="n"/>
      <c r="BK6" s="985">
        <f>IF(OR(NOT(ISNUMBER(BI6)),NOT(ISNUMBER(AB6)),AB6&lt;=0),"",1-BI6/AB6)</f>
        <v/>
      </c>
      <c r="BL6" s="985">
        <f>IF(NOT(ISNUMBER(AB6)),"",IF(ISNUMBER(BJ6),BJ6,IF(AND(ISNUMBER(BI6),ISNUMBER(AE6),AE6&gt;0),1-BI6/AE6,IF(NOT(ISNUMBER($C$31)),"",$C$31))))</f>
        <v/>
      </c>
      <c r="BM6" s="983">
        <f>IF(NOT(ISNUMBER(F6)),"",IF(ISNUMBER(BJ6),"vertrag",IF(ISNUMBER(BI6),"berechnet","standard")))</f>
        <v/>
      </c>
      <c r="BN6" s="1035" t="n"/>
      <c r="BO6" s="985">
        <f>IF(NOT(ISNUMBER(F6)),"",IF(ISNUMBER(BN6),BN6,IF(NOT(ISNUMBER($C$30)),"",$C$30)))</f>
        <v/>
      </c>
      <c r="BP6" s="988">
        <f>IF(OR(NOT(ISNUMBER(AE6)),NOT(ISNUMBER(BL6)),NOT(ISNUMBER($C$35))),"",AE6*(1+$C$35)*BL6)</f>
        <v/>
      </c>
      <c r="BQ6" s="989">
        <f>IF(OR(NOT(ISNUMBER(BP6)),NOT(ISNUMBER(BO6)),NOT(ISNUMBER($C$35))),"",(BP6*BO6+N(U6)*(1+$C$35)*N($H$31)+N(V6)*(1+$C$35)*N($H$32))/12)</f>
        <v/>
      </c>
      <c r="BR6" s="989">
        <f>IF(OR(NOT(ISNUMBER(AH6)),NOT(ISNUMBER($C$26))),"",AH6*$C$26/12)</f>
        <v/>
      </c>
      <c r="BS6" s="988">
        <f>IF(OR(NOT(ISNUMBER(AH6)),NOT(ISNUMBER($C$26)),NOT(ISNUMBER($C$27))),"",ROUND(AH6*($C$26+$C$27)/12,0))</f>
        <v/>
      </c>
      <c r="BT6" s="992">
        <f>IF(OR(NOT(ISNUMBER(AS6)),NOT(ISNUMBER(BQ6)),NOT(ISNUMBER(BR6)),NOT(ISNUMBER(BC6))),"",AS6-BR6-BQ6-(BC6-N(BE6)))</f>
        <v/>
      </c>
      <c r="BU6" s="993">
        <f>IF(OR(NOT(ISNUMBER(BT6)),NOT(ISNUMBER($C$28))),"",ROUND(-BT6*$C$28,0))</f>
        <v/>
      </c>
      <c r="BV6" s="989">
        <f>IF(OR(NOT(ISNUMBER(BE6)),NOT(ISNUMBER($C$28))),"",BE6*$C$28)</f>
        <v/>
      </c>
      <c r="BW6" s="993">
        <f>IF(OR(NOT(ISNUMBER(AS6)),NOT(ISNUMBER(BS6)),NOT(ISNUMBER(BC6))),"",ROUND(AS6,0)-BS6-ROUND(BC6,0))</f>
        <v/>
      </c>
      <c r="BX6" s="993">
        <f>IF(OR(NOT(ISNUMBER(BW6)),NOT(ISNUMBER(BU6))),"",BW6+BU6)</f>
        <v/>
      </c>
      <c r="BY6" s="993">
        <f>IF(OR(NOT(ISNUMBER(AR6)),NOT(ISNUMBER(BS6)),NOT(ISNUMBER(BC6)),NOT(ISNUMBER(BT6)),NOT(ISNUMBER($C$28))),"",ROUND(AR6,0)-BS6-ROUND(BC6,0)+ROUND(-(BT6-N(AN6))*$C$28,0))</f>
        <v/>
      </c>
      <c r="BZ6" s="996">
        <f>IF(OR(NOT(ISNUMBER(AA6)),NOT(ISNUMBER(AS6)),AS6=0),"",AA6/(AS6*12))</f>
        <v/>
      </c>
      <c r="CA6" s="985">
        <f>IF(OR(NOT(ISNUMBER(AA6)),NOT(ISNUMBER(AS6)),AA6=0),"",AS6*12/AA6)</f>
        <v/>
      </c>
      <c r="CB6" s="992">
        <f>IF(OR(NOT(ISNUMBER(AS6)),NOT(ISNUMBER(BC6)),NOT(ISNUMBER(BO6)),NOT(ISNUMBER($C$28)),NOT(ISNUMBER($C$35))),"",(AS6-BC6)*(1-$C$28)-$C$28*N(BE6)-IF(BM6="berechnet",$C$28*(1+$C$35)*BO6*N(BI6)/12,0))</f>
        <v/>
      </c>
      <c r="CC6" s="992">
        <f>IF(OR(NOT(ISNUMBER(F6)),NOT(ISNUMBER($C$26)),NOT(ISNUMBER($C$27)),NOT(ISNUMBER($C$28)),NOT(ISNUMBER($C$35)),NOT(ISNUMBER($H$33))),"",($C$28*(1+$C$35)*(N(U6)*N($H$31)+N(V6)*N($H$32))-(N(U6)+N(V6))*$H$33*(($C$26+$C$27)-$C$28*$C$26))/12)</f>
        <v/>
      </c>
      <c r="CD6" s="994">
        <f>IF(OR(NOT(ISNUMBER(BO6)),NOT(ISNUMBER($C$26)),NOT(ISNUMBER($C$27)),NOT(ISNUMBER($C$28)),NOT(ISNUMBER($C$35)),NOT(ISNUMBER($H$33)),BM6="",AND(BM6="standard",NOT(ISNUMBER($C$31)))),"",($H$33*(($C$26+$C$27)-$C$28*$C$26)-$C$28*(1+$C$35)*BO6*IF(BM6="berechnet",1,IF(BM6="vertrag",BJ6,$C$31)))/12)</f>
        <v/>
      </c>
      <c r="CE6" s="988">
        <f>IF(NOT(ISNUMBER(F6)),"",IF(N($O$26)=2,IF(OR(NOT(ISNUMBER(AS6)),NOT(ISNUMBER(AN6)),IF(ISNUMBER(M6),M6,N($O$28))&lt;=0),"",IF(AS6*12/IF(ISNUMBER(M6),M6,N($O$28))-N(U6)-N(V6)&lt;=0,"",AS6*12/IF(ISNUMBER(M6),M6,N($O$28))-N(U6)-N(V6))),IF(N($O$26)=3,IF(OR(NOT(ISNUMBER(CB6)),NOT(ISNUMBER(CC6)),NOT(ISNUMBER(CD6)),N(CD6)&lt;=0),"",IF((CB6+CC6+ROUND(AS6,0)-AS6-ROUND(BC6,0)+BC6-IF(ISNUMBER(N6),N6,N($O$29)))/CD6&lt;=0,"",(CB6+CC6+ROUND(AS6,0)-AS6-ROUND(BC6,0)+BC6-IF(ISNUMBER(N6),N6,N($O$29)))/CD6)),"")))</f>
        <v/>
      </c>
      <c r="CF6" s="1012" t="n"/>
      <c r="CG6" s="1012" t="n"/>
      <c r="CH6" s="1012" t="n"/>
    </row>
    <row r="7" s="545">
      <c r="A7" s="959">
        <f>IF(NOT(ISNUMBER(MIETER!F12)),"",ROW()-2)</f>
        <v/>
      </c>
      <c r="B7" s="960">
        <f>IF(NOT(ISNUMBER(MIETER!F12)),"",IF(MIETER!A12="","",MIETER!A12))</f>
        <v/>
      </c>
      <c r="C7" s="960">
        <f>IF(NOT(ISNUMBER(MIETER!F12)),"",IF(MIETER!B12="","",MIETER!B12))</f>
        <v/>
      </c>
      <c r="D7" s="960">
        <f>IF(NOT(ISNUMBER(MIETER!F12)),"",IF(MIETER!C12="","",MIETER!C12))</f>
        <v/>
      </c>
      <c r="E7" s="960">
        <f>IF(NOT(ISNUMBER(MIETER!F12)),"",IF(MIETER!D12="","",MIETER!D12))</f>
        <v/>
      </c>
      <c r="F7" s="961">
        <f>IF(NOT(ISNUMBER(MIETER!F12)),"",MIETER!F12)</f>
        <v/>
      </c>
      <c r="G7" s="1032" t="n"/>
      <c r="H7" s="1033" t="n"/>
      <c r="I7" s="1033" t="n"/>
      <c r="J7" s="1033" t="n"/>
      <c r="K7" s="964">
        <f>IF(OR(NOT(ISNUMBER(F7)),NOT(ISNUMBER(J7)),NOT(ISNUMBER($H$29)),$H$29=0),"",J7/$H$29)</f>
        <v/>
      </c>
      <c r="L7" s="1034" t="n"/>
      <c r="M7" s="1035" t="n"/>
      <c r="N7" s="1036" t="n"/>
      <c r="O7" s="960">
        <f>IF(NOT(ISNUMBER(F7)),"",IF(NOT(ISNUMBER(T7)),"kein Preis",IF(ISNUMBER(CE7),IF(N($O$26)=2,"Rendite","Cashflow"),IF(OR(N($O$26)=2,N($O$26)=3),"Regler (Rückfall)","Regler"))))</f>
        <v/>
      </c>
      <c r="P7" s="966">
        <f>IF(OR(NOT(ISNUMBER(T7)),NOT(ISNUMBER(F7)),F7=0),"",T7/F7)</f>
        <v/>
      </c>
      <c r="Q7" s="966">
        <f>IF(OR(NOT(ISNUMBER(F7)),F7=0,NOT(ISNUMBER(VERKAUFSMATRIX!U10))),"",VERKAUFSMATRIX!U10/F7)</f>
        <v/>
      </c>
      <c r="R7" s="967">
        <f>IF(OR(NOT(ISNUMBER(P7)),NOT(ISNUMBER(Q7)),Q7=0),"",P7/Q7-1)</f>
        <v/>
      </c>
      <c r="S7" s="1036" t="n"/>
      <c r="T7" s="969">
        <f>IF(NOT(ISNUMBER(F7)),"",IF(ISNUMBER(CE7),IF(NOT(ISNUMBER(Y7)),"",(CE7+N(U7)+N(V7))/(1+Y7)-N(U7)-N(V7)),IF(NOT(ISNUMBER(L7)),"",F7*L7+N(S7))))</f>
        <v/>
      </c>
      <c r="U7" s="1037" t="n"/>
      <c r="V7" s="1037" t="n"/>
      <c r="W7" s="969">
        <f>IF(NOT(ISNUMBER(T7)),"",T7+N(U7)+N(V7))</f>
        <v/>
      </c>
      <c r="X7" s="1035" t="n"/>
      <c r="Y7" s="964">
        <f>IF(NOT(ISNUMBER(F7)),"",IF(ISNUMBER(X7),X7,IF(NOT(ISNUMBER($H$26)),"",$H$26)))</f>
        <v/>
      </c>
      <c r="Z7" s="969">
        <f>IF(OR(NOT(ISNUMBER(W7)),NOT(ISNUMBER(Y7))),"",W7*Y7)</f>
        <v/>
      </c>
      <c r="AA7" s="969">
        <f>IF(OR(NOT(ISNUMBER(W7)),NOT(ISNUMBER(Y7))),"",W7*(1+Y7))</f>
        <v/>
      </c>
      <c r="AB7" s="969">
        <f>IF(NOT(ISNUMBER(AA7)),"",AA7-N(U7)-N(V7))</f>
        <v/>
      </c>
      <c r="AC7" s="966">
        <f>IF(OR(NOT(ISNUMBER(W7)),NOT(ISNUMBER(F7)),F7=0),"",W7/F7)</f>
        <v/>
      </c>
      <c r="AD7" s="966">
        <f>IF(OR(NOT(ISNUMBER(AB7)),NOT(ISNUMBER(F7)),F7=0),"",AB7/F7)</f>
        <v/>
      </c>
      <c r="AE7" s="969">
        <f>IF(NOT(ISNUMBER(AB7)),"",AB7)</f>
        <v/>
      </c>
      <c r="AF7" s="969">
        <f>IF(OR(NOT(ISNUMBER(AA7)),NOT(ISNUMBER($C$35))),"",AA7*$C$35)</f>
        <v/>
      </c>
      <c r="AG7" s="969">
        <f>IF(OR(NOT(ISNUMBER(AA7)),NOT(ISNUMBER(AF7))),"",AA7+AF7)</f>
        <v/>
      </c>
      <c r="AH7" s="969">
        <f>IF(OR(NOT(ISNUMBER(AA7)),NOT(ISNUMBER($H$33))),"",AA7*$H$33)</f>
        <v/>
      </c>
      <c r="AI7" s="969">
        <f>IF(OR(NOT(ISNUMBER(AG7)),NOT(ISNUMBER(AH7))),"",MAX(0,AG7-AH7))</f>
        <v/>
      </c>
      <c r="AJ7" s="969">
        <f>IF(OR(NOT(ISNUMBER(AH7)),NOT(ISNUMBER(AA7))),"",AH7-AA7)</f>
        <v/>
      </c>
      <c r="AK7" s="1038" t="n"/>
      <c r="AL7" s="973">
        <f>IF(OR(NOT(ISNUMBER(MIETER!F12)),$G7="ja"),"",IF(NOT(ISNUMBER(MIETER!J12)),"",IF(ISNUMBER(AK7),MAX(MIETER!J12,AK7),MIETER!J12)))</f>
        <v/>
      </c>
      <c r="AM7" s="1038" t="n"/>
      <c r="AN7" s="973">
        <f>IF(OR(NOT(ISNUMBER(AL7)),NOT(ISNUMBER(AM7))),"",MAX(0,AM7-AL7))</f>
        <v/>
      </c>
      <c r="AO7" s="1038" t="n"/>
      <c r="AP7" s="1038" t="n"/>
      <c r="AQ7" s="1038" t="n"/>
      <c r="AR7" s="973">
        <f>IF(NOT(ISNUMBER(F7)),"",IF(AND(NOT(ISNUMBER(AL7)),NOT(ISNUMBER(AP7)),NOT(ISNUMBER(AQ7))),"",N(AL7)+N(AP7)+N(AQ7)))</f>
        <v/>
      </c>
      <c r="AS7" s="973">
        <f>IF(OR($G7="ja",NOT(ISNUMBER(AL7)),NOT(ISNUMBER(AR7))),"",AR7+N(AN7))</f>
        <v/>
      </c>
      <c r="AT7" s="974">
        <f>IF(OR(NOT(ISNUMBER(AL7)),NOT(ISNUMBER(F7)),F7=0),"",AL7/F7)</f>
        <v/>
      </c>
      <c r="AU7" s="975">
        <f>IF(OR(NOT(ISNUMBER(MIETER!F12)),NOT(ISNUMBER(MIETER!I12))),"",MIETER!I12)</f>
        <v/>
      </c>
      <c r="AV7" s="975">
        <f>IF(OR(NOT(ISNUMBER(AU7)),$G7="ja",NOT(ISNUMBER($H$34))),"",EDATE(AU7,$H$34))</f>
        <v/>
      </c>
      <c r="AW7" s="1033" t="n"/>
      <c r="AX7" s="959">
        <f>IF(NOT(ISNUMBER(F7)),"",IF(ISNUMBER(AW7),AW7,IF(NOT(ISNUMBER(AV7)),"",MAX(0,(YEAR(AV7)-YEAR(TODAY()))*12+MONTH(AV7)-MONTH(TODAY())))))</f>
        <v/>
      </c>
      <c r="AY7" s="969">
        <f>IF(NOT(ISNUMBER(AX7)),"",IF(ISNUMBER(AO7),AO7*AX7,IF(NOT(ISNUMBER(AN7)),"",AN7*AX7)))</f>
        <v/>
      </c>
      <c r="AZ7" s="969">
        <f>IF(OR(NOT(ISNUMBER(AL7)),NOT(ISNUMBER(MIETER!$P$6))),"",ROUND(AL7*(1+MIETER!$P$6)^2,0))</f>
        <v/>
      </c>
      <c r="BA7" s="1039" t="n"/>
      <c r="BB7" s="1038" t="n"/>
      <c r="BC7" s="973">
        <f>IF(NOT(ISNUMBER(F7)),"",IF(ISNUMBER(BB7),BB7,IF(AND(ISNUMBER(BA7),ISNUMBER(AL7),AL7&gt;0),AL7*BA7,IF(OR(NOT(ISNUMBER($C$62)),NOT(ISNUMBER($C$64))),"",$C$62+$C$64*F7/12))))</f>
        <v/>
      </c>
      <c r="BD7" s="1038" t="n"/>
      <c r="BE7" s="973">
        <f>IF(NOT(ISNUMBER(BC7)),"",IF(ISNUMBER(BD7),MIN(BC7,BD7),IF(OR(NOT(ISNUMBER(F7)),NOT(ISNUMBER($C$64))),0,MIN(BC7,$C$64*F7/12))))</f>
        <v/>
      </c>
      <c r="BF7" s="967">
        <f>IF(OR(NOT(ISNUMBER(BC7)),NOT(ISNUMBER(AL7)),AL7=0),"",BC7/AL7)</f>
        <v/>
      </c>
      <c r="BG7" s="973">
        <f>IF(NOT(ISNUMBER(AL7)),"",AL7*0.01)</f>
        <v/>
      </c>
      <c r="BH7" s="969">
        <f>IF(OR(NOT(ISNUMBER(AL7)),NOT(ISNUMBER($C$28)),NOT(ISNUMBER(CD7)),CD7&lt;=0),"",AL7*0.01*(1-$C$28)/CD7)</f>
        <v/>
      </c>
      <c r="BI7" s="969">
        <f>IF(OR(NOT(ISNUMBER(K7)),NOT(ISNUMBER($H$30))),"",$H$30*K7)</f>
        <v/>
      </c>
      <c r="BJ7" s="1035" t="n"/>
      <c r="BK7" s="964">
        <f>IF(OR(NOT(ISNUMBER(BI7)),NOT(ISNUMBER(AB7)),AB7&lt;=0),"",1-BI7/AB7)</f>
        <v/>
      </c>
      <c r="BL7" s="964">
        <f>IF(NOT(ISNUMBER(AB7)),"",IF(ISNUMBER(BJ7),BJ7,IF(AND(ISNUMBER(BI7),ISNUMBER(AE7),AE7&gt;0),1-BI7/AE7,IF(NOT(ISNUMBER($C$31)),"",$C$31))))</f>
        <v/>
      </c>
      <c r="BM7" s="960">
        <f>IF(NOT(ISNUMBER(F7)),"",IF(ISNUMBER(BJ7),"vertrag",IF(ISNUMBER(BI7),"berechnet","standard")))</f>
        <v/>
      </c>
      <c r="BN7" s="1035" t="n"/>
      <c r="BO7" s="964">
        <f>IF(NOT(ISNUMBER(F7)),"",IF(ISNUMBER(BN7),BN7,IF(NOT(ISNUMBER($C$30)),"",$C$30)))</f>
        <v/>
      </c>
      <c r="BP7" s="969">
        <f>IF(OR(NOT(ISNUMBER(AE7)),NOT(ISNUMBER(BL7)),NOT(ISNUMBER($C$35))),"",AE7*(1+$C$35)*BL7)</f>
        <v/>
      </c>
      <c r="BQ7" s="973">
        <f>IF(OR(NOT(ISNUMBER(BP7)),NOT(ISNUMBER(BO7)),NOT(ISNUMBER($C$35))),"",(BP7*BO7+N(U7)*(1+$C$35)*N($H$31)+N(V7)*(1+$C$35)*N($H$32))/12)</f>
        <v/>
      </c>
      <c r="BR7" s="973">
        <f>IF(OR(NOT(ISNUMBER(AH7)),NOT(ISNUMBER($C$26))),"",AH7*$C$26/12)</f>
        <v/>
      </c>
      <c r="BS7" s="969">
        <f>IF(OR(NOT(ISNUMBER(AH7)),NOT(ISNUMBER($C$26)),NOT(ISNUMBER($C$27))),"",ROUND(AH7*($C$26+$C$27)/12,0))</f>
        <v/>
      </c>
      <c r="BT7" s="977">
        <f>IF(OR(NOT(ISNUMBER(AS7)),NOT(ISNUMBER(BQ7)),NOT(ISNUMBER(BR7)),NOT(ISNUMBER(BC7))),"",AS7-BR7-BQ7-(BC7-N(BE7)))</f>
        <v/>
      </c>
      <c r="BU7" s="978">
        <f>IF(OR(NOT(ISNUMBER(BT7)),NOT(ISNUMBER($C$28))),"",ROUND(-BT7*$C$28,0))</f>
        <v/>
      </c>
      <c r="BV7" s="973">
        <f>IF(OR(NOT(ISNUMBER(BE7)),NOT(ISNUMBER($C$28))),"",BE7*$C$28)</f>
        <v/>
      </c>
      <c r="BW7" s="978">
        <f>IF(OR(NOT(ISNUMBER(AS7)),NOT(ISNUMBER(BS7)),NOT(ISNUMBER(BC7))),"",ROUND(AS7,0)-BS7-ROUND(BC7,0))</f>
        <v/>
      </c>
      <c r="BX7" s="978">
        <f>IF(OR(NOT(ISNUMBER(BW7)),NOT(ISNUMBER(BU7))),"",BW7+BU7)</f>
        <v/>
      </c>
      <c r="BY7" s="978">
        <f>IF(OR(NOT(ISNUMBER(AR7)),NOT(ISNUMBER(BS7)),NOT(ISNUMBER(BC7)),NOT(ISNUMBER(BT7)),NOT(ISNUMBER($C$28))),"",ROUND(AR7,0)-BS7-ROUND(BC7,0)+ROUND(-(BT7-N(AN7))*$C$28,0))</f>
        <v/>
      </c>
      <c r="BZ7" s="981">
        <f>IF(OR(NOT(ISNUMBER(AA7)),NOT(ISNUMBER(AS7)),AS7=0),"",AA7/(AS7*12))</f>
        <v/>
      </c>
      <c r="CA7" s="964">
        <f>IF(OR(NOT(ISNUMBER(AA7)),NOT(ISNUMBER(AS7)),AA7=0),"",AS7*12/AA7)</f>
        <v/>
      </c>
      <c r="CB7" s="977">
        <f>IF(OR(NOT(ISNUMBER(AS7)),NOT(ISNUMBER(BC7)),NOT(ISNUMBER(BO7)),NOT(ISNUMBER($C$28)),NOT(ISNUMBER($C$35))),"",(AS7-BC7)*(1-$C$28)-$C$28*N(BE7)-IF(BM7="berechnet",$C$28*(1+$C$35)*BO7*N(BI7)/12,0))</f>
        <v/>
      </c>
      <c r="CC7" s="977">
        <f>IF(OR(NOT(ISNUMBER(F7)),NOT(ISNUMBER($C$26)),NOT(ISNUMBER($C$27)),NOT(ISNUMBER($C$28)),NOT(ISNUMBER($C$35)),NOT(ISNUMBER($H$33))),"",($C$28*(1+$C$35)*(N(U7)*N($H$31)+N(V7)*N($H$32))-(N(U7)+N(V7))*$H$33*(($C$26+$C$27)-$C$28*$C$26))/12)</f>
        <v/>
      </c>
      <c r="CD7" s="979">
        <f>IF(OR(NOT(ISNUMBER(BO7)),NOT(ISNUMBER($C$26)),NOT(ISNUMBER($C$27)),NOT(ISNUMBER($C$28)),NOT(ISNUMBER($C$35)),NOT(ISNUMBER($H$33)),BM7="",AND(BM7="standard",NOT(ISNUMBER($C$31)))),"",($H$33*(($C$26+$C$27)-$C$28*$C$26)-$C$28*(1+$C$35)*BO7*IF(BM7="berechnet",1,IF(BM7="vertrag",BJ7,$C$31)))/12)</f>
        <v/>
      </c>
      <c r="CE7" s="969">
        <f>IF(NOT(ISNUMBER(F7)),"",IF(N($O$26)=2,IF(OR(NOT(ISNUMBER(AS7)),NOT(ISNUMBER(AN7)),IF(ISNUMBER(M7),M7,N($O$28))&lt;=0),"",IF(AS7*12/IF(ISNUMBER(M7),M7,N($O$28))-N(U7)-N(V7)&lt;=0,"",AS7*12/IF(ISNUMBER(M7),M7,N($O$28))-N(U7)-N(V7))),IF(N($O$26)=3,IF(OR(NOT(ISNUMBER(CB7)),NOT(ISNUMBER(CC7)),NOT(ISNUMBER(CD7)),N(CD7)&lt;=0),"",IF((CB7+CC7+ROUND(AS7,0)-AS7-ROUND(BC7,0)+BC7-IF(ISNUMBER(N7),N7,N($O$29)))/CD7&lt;=0,"",(CB7+CC7+ROUND(AS7,0)-AS7-ROUND(BC7,0)+BC7-IF(ISNUMBER(N7),N7,N($O$29)))/CD7)),"")))</f>
        <v/>
      </c>
      <c r="CF7" s="1012" t="n"/>
      <c r="CG7" s="1012" t="n"/>
      <c r="CH7" s="1012" t="n"/>
    </row>
    <row r="8" s="545">
      <c r="A8" s="982">
        <f>IF(NOT(ISNUMBER(MIETER!F13)),"",ROW()-2)</f>
        <v/>
      </c>
      <c r="B8" s="983">
        <f>IF(NOT(ISNUMBER(MIETER!F13)),"",IF(MIETER!A13="","",MIETER!A13))</f>
        <v/>
      </c>
      <c r="C8" s="983">
        <f>IF(NOT(ISNUMBER(MIETER!F13)),"",IF(MIETER!B13="","",MIETER!B13))</f>
        <v/>
      </c>
      <c r="D8" s="983">
        <f>IF(NOT(ISNUMBER(MIETER!F13)),"",IF(MIETER!C13="","",MIETER!C13))</f>
        <v/>
      </c>
      <c r="E8" s="983">
        <f>IF(NOT(ISNUMBER(MIETER!F13)),"",IF(MIETER!D13="","",MIETER!D13))</f>
        <v/>
      </c>
      <c r="F8" s="984">
        <f>IF(NOT(ISNUMBER(MIETER!F13)),"",MIETER!F13)</f>
        <v/>
      </c>
      <c r="G8" s="1032" t="n"/>
      <c r="H8" s="1033" t="n"/>
      <c r="I8" s="1033" t="n"/>
      <c r="J8" s="1033" t="n"/>
      <c r="K8" s="985">
        <f>IF(OR(NOT(ISNUMBER(F8)),NOT(ISNUMBER(J8)),NOT(ISNUMBER($H$29)),$H$29=0),"",J8/$H$29)</f>
        <v/>
      </c>
      <c r="L8" s="1034" t="n"/>
      <c r="M8" s="1035" t="n"/>
      <c r="N8" s="1036" t="n"/>
      <c r="O8" s="983">
        <f>IF(NOT(ISNUMBER(F8)),"",IF(NOT(ISNUMBER(T8)),"kein Preis",IF(ISNUMBER(CE8),IF(N($O$26)=2,"Rendite","Cashflow"),IF(OR(N($O$26)=2,N($O$26)=3),"Regler (Rückfall)","Regler"))))</f>
        <v/>
      </c>
      <c r="P8" s="986">
        <f>IF(OR(NOT(ISNUMBER(T8)),NOT(ISNUMBER(F8)),F8=0),"",T8/F8)</f>
        <v/>
      </c>
      <c r="Q8" s="986">
        <f>IF(OR(NOT(ISNUMBER(F8)),F8=0,NOT(ISNUMBER(VERKAUFSMATRIX!U11))),"",VERKAUFSMATRIX!U11/F8)</f>
        <v/>
      </c>
      <c r="R8" s="987">
        <f>IF(OR(NOT(ISNUMBER(P8)),NOT(ISNUMBER(Q8)),Q8=0),"",P8/Q8-1)</f>
        <v/>
      </c>
      <c r="S8" s="1036" t="n"/>
      <c r="T8" s="988">
        <f>IF(NOT(ISNUMBER(F8)),"",IF(ISNUMBER(CE8),IF(NOT(ISNUMBER(Y8)),"",(CE8+N(U8)+N(V8))/(1+Y8)-N(U8)-N(V8)),IF(NOT(ISNUMBER(L8)),"",F8*L8+N(S8))))</f>
        <v/>
      </c>
      <c r="U8" s="1037" t="n"/>
      <c r="V8" s="1037" t="n"/>
      <c r="W8" s="988">
        <f>IF(NOT(ISNUMBER(T8)),"",T8+N(U8)+N(V8))</f>
        <v/>
      </c>
      <c r="X8" s="1035" t="n"/>
      <c r="Y8" s="985">
        <f>IF(NOT(ISNUMBER(F8)),"",IF(ISNUMBER(X8),X8,IF(NOT(ISNUMBER($H$26)),"",$H$26)))</f>
        <v/>
      </c>
      <c r="Z8" s="988">
        <f>IF(OR(NOT(ISNUMBER(W8)),NOT(ISNUMBER(Y8))),"",W8*Y8)</f>
        <v/>
      </c>
      <c r="AA8" s="988">
        <f>IF(OR(NOT(ISNUMBER(W8)),NOT(ISNUMBER(Y8))),"",W8*(1+Y8))</f>
        <v/>
      </c>
      <c r="AB8" s="988">
        <f>IF(NOT(ISNUMBER(AA8)),"",AA8-N(U8)-N(V8))</f>
        <v/>
      </c>
      <c r="AC8" s="986">
        <f>IF(OR(NOT(ISNUMBER(W8)),NOT(ISNUMBER(F8)),F8=0),"",W8/F8)</f>
        <v/>
      </c>
      <c r="AD8" s="986">
        <f>IF(OR(NOT(ISNUMBER(AB8)),NOT(ISNUMBER(F8)),F8=0),"",AB8/F8)</f>
        <v/>
      </c>
      <c r="AE8" s="988">
        <f>IF(NOT(ISNUMBER(AB8)),"",AB8)</f>
        <v/>
      </c>
      <c r="AF8" s="988">
        <f>IF(OR(NOT(ISNUMBER(AA8)),NOT(ISNUMBER($C$35))),"",AA8*$C$35)</f>
        <v/>
      </c>
      <c r="AG8" s="988">
        <f>IF(OR(NOT(ISNUMBER(AA8)),NOT(ISNUMBER(AF8))),"",AA8+AF8)</f>
        <v/>
      </c>
      <c r="AH8" s="988">
        <f>IF(OR(NOT(ISNUMBER(AA8)),NOT(ISNUMBER($H$33))),"",AA8*$H$33)</f>
        <v/>
      </c>
      <c r="AI8" s="988">
        <f>IF(OR(NOT(ISNUMBER(AG8)),NOT(ISNUMBER(AH8))),"",MAX(0,AG8-AH8))</f>
        <v/>
      </c>
      <c r="AJ8" s="988">
        <f>IF(OR(NOT(ISNUMBER(AH8)),NOT(ISNUMBER(AA8))),"",AH8-AA8)</f>
        <v/>
      </c>
      <c r="AK8" s="1038" t="n"/>
      <c r="AL8" s="989">
        <f>IF(OR(NOT(ISNUMBER(MIETER!F13)),$G8="ja"),"",IF(NOT(ISNUMBER(MIETER!J13)),"",IF(ISNUMBER(AK8),MAX(MIETER!J13,AK8),MIETER!J13)))</f>
        <v/>
      </c>
      <c r="AM8" s="1038" t="n"/>
      <c r="AN8" s="989">
        <f>IF(OR(NOT(ISNUMBER(AL8)),NOT(ISNUMBER(AM8))),"",MAX(0,AM8-AL8))</f>
        <v/>
      </c>
      <c r="AO8" s="1038" t="n"/>
      <c r="AP8" s="1038" t="n"/>
      <c r="AQ8" s="1038" t="n"/>
      <c r="AR8" s="989">
        <f>IF(NOT(ISNUMBER(F8)),"",IF(AND(NOT(ISNUMBER(AL8)),NOT(ISNUMBER(AP8)),NOT(ISNUMBER(AQ8))),"",N(AL8)+N(AP8)+N(AQ8)))</f>
        <v/>
      </c>
      <c r="AS8" s="989">
        <f>IF(OR($G8="ja",NOT(ISNUMBER(AL8)),NOT(ISNUMBER(AR8))),"",AR8+N(AN8))</f>
        <v/>
      </c>
      <c r="AT8" s="990">
        <f>IF(OR(NOT(ISNUMBER(AL8)),NOT(ISNUMBER(F8)),F8=0),"",AL8/F8)</f>
        <v/>
      </c>
      <c r="AU8" s="991">
        <f>IF(OR(NOT(ISNUMBER(MIETER!F13)),NOT(ISNUMBER(MIETER!I13))),"",MIETER!I13)</f>
        <v/>
      </c>
      <c r="AV8" s="991">
        <f>IF(OR(NOT(ISNUMBER(AU8)),$G8="ja",NOT(ISNUMBER($H$34))),"",EDATE(AU8,$H$34))</f>
        <v/>
      </c>
      <c r="AW8" s="1033" t="n"/>
      <c r="AX8" s="982">
        <f>IF(NOT(ISNUMBER(F8)),"",IF(ISNUMBER(AW8),AW8,IF(NOT(ISNUMBER(AV8)),"",MAX(0,(YEAR(AV8)-YEAR(TODAY()))*12+MONTH(AV8)-MONTH(TODAY())))))</f>
        <v/>
      </c>
      <c r="AY8" s="988">
        <f>IF(NOT(ISNUMBER(AX8)),"",IF(ISNUMBER(AO8),AO8*AX8,IF(NOT(ISNUMBER(AN8)),"",AN8*AX8)))</f>
        <v/>
      </c>
      <c r="AZ8" s="988">
        <f>IF(OR(NOT(ISNUMBER(AL8)),NOT(ISNUMBER(MIETER!$P$6))),"",ROUND(AL8*(1+MIETER!$P$6)^2,0))</f>
        <v/>
      </c>
      <c r="BA8" s="1039" t="n"/>
      <c r="BB8" s="1038" t="n"/>
      <c r="BC8" s="989">
        <f>IF(NOT(ISNUMBER(F8)),"",IF(ISNUMBER(BB8),BB8,IF(AND(ISNUMBER(BA8),ISNUMBER(AL8),AL8&gt;0),AL8*BA8,IF(OR(NOT(ISNUMBER($C$62)),NOT(ISNUMBER($C$64))),"",$C$62+$C$64*F8/12))))</f>
        <v/>
      </c>
      <c r="BD8" s="1038" t="n"/>
      <c r="BE8" s="989">
        <f>IF(NOT(ISNUMBER(BC8)),"",IF(ISNUMBER(BD8),MIN(BC8,BD8),IF(OR(NOT(ISNUMBER(F8)),NOT(ISNUMBER($C$64))),0,MIN(BC8,$C$64*F8/12))))</f>
        <v/>
      </c>
      <c r="BF8" s="987">
        <f>IF(OR(NOT(ISNUMBER(BC8)),NOT(ISNUMBER(AL8)),AL8=0),"",BC8/AL8)</f>
        <v/>
      </c>
      <c r="BG8" s="989">
        <f>IF(NOT(ISNUMBER(AL8)),"",AL8*0.01)</f>
        <v/>
      </c>
      <c r="BH8" s="988">
        <f>IF(OR(NOT(ISNUMBER(AL8)),NOT(ISNUMBER($C$28)),NOT(ISNUMBER(CD8)),CD8&lt;=0),"",AL8*0.01*(1-$C$28)/CD8)</f>
        <v/>
      </c>
      <c r="BI8" s="988">
        <f>IF(OR(NOT(ISNUMBER(K8)),NOT(ISNUMBER($H$30))),"",$H$30*K8)</f>
        <v/>
      </c>
      <c r="BJ8" s="1035" t="n"/>
      <c r="BK8" s="985">
        <f>IF(OR(NOT(ISNUMBER(BI8)),NOT(ISNUMBER(AB8)),AB8&lt;=0),"",1-BI8/AB8)</f>
        <v/>
      </c>
      <c r="BL8" s="985">
        <f>IF(NOT(ISNUMBER(AB8)),"",IF(ISNUMBER(BJ8),BJ8,IF(AND(ISNUMBER(BI8),ISNUMBER(AE8),AE8&gt;0),1-BI8/AE8,IF(NOT(ISNUMBER($C$31)),"",$C$31))))</f>
        <v/>
      </c>
      <c r="BM8" s="983">
        <f>IF(NOT(ISNUMBER(F8)),"",IF(ISNUMBER(BJ8),"vertrag",IF(ISNUMBER(BI8),"berechnet","standard")))</f>
        <v/>
      </c>
      <c r="BN8" s="1035" t="n"/>
      <c r="BO8" s="985">
        <f>IF(NOT(ISNUMBER(F8)),"",IF(ISNUMBER(BN8),BN8,IF(NOT(ISNUMBER($C$30)),"",$C$30)))</f>
        <v/>
      </c>
      <c r="BP8" s="988">
        <f>IF(OR(NOT(ISNUMBER(AE8)),NOT(ISNUMBER(BL8)),NOT(ISNUMBER($C$35))),"",AE8*(1+$C$35)*BL8)</f>
        <v/>
      </c>
      <c r="BQ8" s="989">
        <f>IF(OR(NOT(ISNUMBER(BP8)),NOT(ISNUMBER(BO8)),NOT(ISNUMBER($C$35))),"",(BP8*BO8+N(U8)*(1+$C$35)*N($H$31)+N(V8)*(1+$C$35)*N($H$32))/12)</f>
        <v/>
      </c>
      <c r="BR8" s="989">
        <f>IF(OR(NOT(ISNUMBER(AH8)),NOT(ISNUMBER($C$26))),"",AH8*$C$26/12)</f>
        <v/>
      </c>
      <c r="BS8" s="988">
        <f>IF(OR(NOT(ISNUMBER(AH8)),NOT(ISNUMBER($C$26)),NOT(ISNUMBER($C$27))),"",ROUND(AH8*($C$26+$C$27)/12,0))</f>
        <v/>
      </c>
      <c r="BT8" s="992">
        <f>IF(OR(NOT(ISNUMBER(AS8)),NOT(ISNUMBER(BQ8)),NOT(ISNUMBER(BR8)),NOT(ISNUMBER(BC8))),"",AS8-BR8-BQ8-(BC8-N(BE8)))</f>
        <v/>
      </c>
      <c r="BU8" s="993">
        <f>IF(OR(NOT(ISNUMBER(BT8)),NOT(ISNUMBER($C$28))),"",ROUND(-BT8*$C$28,0))</f>
        <v/>
      </c>
      <c r="BV8" s="989">
        <f>IF(OR(NOT(ISNUMBER(BE8)),NOT(ISNUMBER($C$28))),"",BE8*$C$28)</f>
        <v/>
      </c>
      <c r="BW8" s="993">
        <f>IF(OR(NOT(ISNUMBER(AS8)),NOT(ISNUMBER(BS8)),NOT(ISNUMBER(BC8))),"",ROUND(AS8,0)-BS8-ROUND(BC8,0))</f>
        <v/>
      </c>
      <c r="BX8" s="993">
        <f>IF(OR(NOT(ISNUMBER(BW8)),NOT(ISNUMBER(BU8))),"",BW8+BU8)</f>
        <v/>
      </c>
      <c r="BY8" s="993">
        <f>IF(OR(NOT(ISNUMBER(AR8)),NOT(ISNUMBER(BS8)),NOT(ISNUMBER(BC8)),NOT(ISNUMBER(BT8)),NOT(ISNUMBER($C$28))),"",ROUND(AR8,0)-BS8-ROUND(BC8,0)+ROUND(-(BT8-N(AN8))*$C$28,0))</f>
        <v/>
      </c>
      <c r="BZ8" s="996">
        <f>IF(OR(NOT(ISNUMBER(AA8)),NOT(ISNUMBER(AS8)),AS8=0),"",AA8/(AS8*12))</f>
        <v/>
      </c>
      <c r="CA8" s="985">
        <f>IF(OR(NOT(ISNUMBER(AA8)),NOT(ISNUMBER(AS8)),AA8=0),"",AS8*12/AA8)</f>
        <v/>
      </c>
      <c r="CB8" s="992">
        <f>IF(OR(NOT(ISNUMBER(AS8)),NOT(ISNUMBER(BC8)),NOT(ISNUMBER(BO8)),NOT(ISNUMBER($C$28)),NOT(ISNUMBER($C$35))),"",(AS8-BC8)*(1-$C$28)-$C$28*N(BE8)-IF(BM8="berechnet",$C$28*(1+$C$35)*BO8*N(BI8)/12,0))</f>
        <v/>
      </c>
      <c r="CC8" s="992">
        <f>IF(OR(NOT(ISNUMBER(F8)),NOT(ISNUMBER($C$26)),NOT(ISNUMBER($C$27)),NOT(ISNUMBER($C$28)),NOT(ISNUMBER($C$35)),NOT(ISNUMBER($H$33))),"",($C$28*(1+$C$35)*(N(U8)*N($H$31)+N(V8)*N($H$32))-(N(U8)+N(V8))*$H$33*(($C$26+$C$27)-$C$28*$C$26))/12)</f>
        <v/>
      </c>
      <c r="CD8" s="994">
        <f>IF(OR(NOT(ISNUMBER(BO8)),NOT(ISNUMBER($C$26)),NOT(ISNUMBER($C$27)),NOT(ISNUMBER($C$28)),NOT(ISNUMBER($C$35)),NOT(ISNUMBER($H$33)),BM8="",AND(BM8="standard",NOT(ISNUMBER($C$31)))),"",($H$33*(($C$26+$C$27)-$C$28*$C$26)-$C$28*(1+$C$35)*BO8*IF(BM8="berechnet",1,IF(BM8="vertrag",BJ8,$C$31)))/12)</f>
        <v/>
      </c>
      <c r="CE8" s="988">
        <f>IF(NOT(ISNUMBER(F8)),"",IF(N($O$26)=2,IF(OR(NOT(ISNUMBER(AS8)),NOT(ISNUMBER(AN8)),IF(ISNUMBER(M8),M8,N($O$28))&lt;=0),"",IF(AS8*12/IF(ISNUMBER(M8),M8,N($O$28))-N(U8)-N(V8)&lt;=0,"",AS8*12/IF(ISNUMBER(M8),M8,N($O$28))-N(U8)-N(V8))),IF(N($O$26)=3,IF(OR(NOT(ISNUMBER(CB8)),NOT(ISNUMBER(CC8)),NOT(ISNUMBER(CD8)),N(CD8)&lt;=0),"",IF((CB8+CC8+ROUND(AS8,0)-AS8-ROUND(BC8,0)+BC8-IF(ISNUMBER(N8),N8,N($O$29)))/CD8&lt;=0,"",(CB8+CC8+ROUND(AS8,0)-AS8-ROUND(BC8,0)+BC8-IF(ISNUMBER(N8),N8,N($O$29)))/CD8)),"")))</f>
        <v/>
      </c>
      <c r="CF8" s="1012" t="n"/>
      <c r="CG8" s="1012" t="n"/>
      <c r="CH8" s="1012" t="n"/>
    </row>
    <row r="9" s="545">
      <c r="A9" s="959">
        <f>IF(NOT(ISNUMBER(MIETER!F14)),"",ROW()-2)</f>
        <v/>
      </c>
      <c r="B9" s="960">
        <f>IF(NOT(ISNUMBER(MIETER!F14)),"",IF(MIETER!A14="","",MIETER!A14))</f>
        <v/>
      </c>
      <c r="C9" s="960">
        <f>IF(NOT(ISNUMBER(MIETER!F14)),"",IF(MIETER!B14="","",MIETER!B14))</f>
        <v/>
      </c>
      <c r="D9" s="960">
        <f>IF(NOT(ISNUMBER(MIETER!F14)),"",IF(MIETER!C14="","",MIETER!C14))</f>
        <v/>
      </c>
      <c r="E9" s="960">
        <f>IF(NOT(ISNUMBER(MIETER!F14)),"",IF(MIETER!D14="","",MIETER!D14))</f>
        <v/>
      </c>
      <c r="F9" s="961">
        <f>IF(NOT(ISNUMBER(MIETER!F14)),"",MIETER!F14)</f>
        <v/>
      </c>
      <c r="G9" s="1032" t="n"/>
      <c r="H9" s="1033" t="n"/>
      <c r="I9" s="1033" t="n"/>
      <c r="J9" s="1033" t="n"/>
      <c r="K9" s="964">
        <f>IF(OR(NOT(ISNUMBER(F9)),NOT(ISNUMBER(J9)),NOT(ISNUMBER($H$29)),$H$29=0),"",J9/$H$29)</f>
        <v/>
      </c>
      <c r="L9" s="1034" t="n"/>
      <c r="M9" s="1035" t="n"/>
      <c r="N9" s="1036" t="n"/>
      <c r="O9" s="960">
        <f>IF(NOT(ISNUMBER(F9)),"",IF(NOT(ISNUMBER(T9)),"kein Preis",IF(ISNUMBER(CE9),IF(N($O$26)=2,"Rendite","Cashflow"),IF(OR(N($O$26)=2,N($O$26)=3),"Regler (Rückfall)","Regler"))))</f>
        <v/>
      </c>
      <c r="P9" s="966">
        <f>IF(OR(NOT(ISNUMBER(T9)),NOT(ISNUMBER(F9)),F9=0),"",T9/F9)</f>
        <v/>
      </c>
      <c r="Q9" s="966">
        <f>IF(OR(NOT(ISNUMBER(F9)),F9=0,NOT(ISNUMBER(VERKAUFSMATRIX!U12))),"",VERKAUFSMATRIX!U12/F9)</f>
        <v/>
      </c>
      <c r="R9" s="967">
        <f>IF(OR(NOT(ISNUMBER(P9)),NOT(ISNUMBER(Q9)),Q9=0),"",P9/Q9-1)</f>
        <v/>
      </c>
      <c r="S9" s="1036" t="n"/>
      <c r="T9" s="969">
        <f>IF(NOT(ISNUMBER(F9)),"",IF(ISNUMBER(CE9),IF(NOT(ISNUMBER(Y9)),"",(CE9+N(U9)+N(V9))/(1+Y9)-N(U9)-N(V9)),IF(NOT(ISNUMBER(L9)),"",F9*L9+N(S9))))</f>
        <v/>
      </c>
      <c r="U9" s="1037" t="n"/>
      <c r="V9" s="1037" t="n"/>
      <c r="W9" s="969">
        <f>IF(NOT(ISNUMBER(T9)),"",T9+N(U9)+N(V9))</f>
        <v/>
      </c>
      <c r="X9" s="1035" t="n"/>
      <c r="Y9" s="964">
        <f>IF(NOT(ISNUMBER(F9)),"",IF(ISNUMBER(X9),X9,IF(NOT(ISNUMBER($H$26)),"",$H$26)))</f>
        <v/>
      </c>
      <c r="Z9" s="969">
        <f>IF(OR(NOT(ISNUMBER(W9)),NOT(ISNUMBER(Y9))),"",W9*Y9)</f>
        <v/>
      </c>
      <c r="AA9" s="969">
        <f>IF(OR(NOT(ISNUMBER(W9)),NOT(ISNUMBER(Y9))),"",W9*(1+Y9))</f>
        <v/>
      </c>
      <c r="AB9" s="969">
        <f>IF(NOT(ISNUMBER(AA9)),"",AA9-N(U9)-N(V9))</f>
        <v/>
      </c>
      <c r="AC9" s="966">
        <f>IF(OR(NOT(ISNUMBER(W9)),NOT(ISNUMBER(F9)),F9=0),"",W9/F9)</f>
        <v/>
      </c>
      <c r="AD9" s="966">
        <f>IF(OR(NOT(ISNUMBER(AB9)),NOT(ISNUMBER(F9)),F9=0),"",AB9/F9)</f>
        <v/>
      </c>
      <c r="AE9" s="969">
        <f>IF(NOT(ISNUMBER(AB9)),"",AB9)</f>
        <v/>
      </c>
      <c r="AF9" s="969">
        <f>IF(OR(NOT(ISNUMBER(AA9)),NOT(ISNUMBER($C$35))),"",AA9*$C$35)</f>
        <v/>
      </c>
      <c r="AG9" s="969">
        <f>IF(OR(NOT(ISNUMBER(AA9)),NOT(ISNUMBER(AF9))),"",AA9+AF9)</f>
        <v/>
      </c>
      <c r="AH9" s="969">
        <f>IF(OR(NOT(ISNUMBER(AA9)),NOT(ISNUMBER($H$33))),"",AA9*$H$33)</f>
        <v/>
      </c>
      <c r="AI9" s="969">
        <f>IF(OR(NOT(ISNUMBER(AG9)),NOT(ISNUMBER(AH9))),"",MAX(0,AG9-AH9))</f>
        <v/>
      </c>
      <c r="AJ9" s="969">
        <f>IF(OR(NOT(ISNUMBER(AH9)),NOT(ISNUMBER(AA9))),"",AH9-AA9)</f>
        <v/>
      </c>
      <c r="AK9" s="1038" t="n"/>
      <c r="AL9" s="973">
        <f>IF(OR(NOT(ISNUMBER(MIETER!F14)),$G9="ja"),"",IF(NOT(ISNUMBER(MIETER!J14)),"",IF(ISNUMBER(AK9),MAX(MIETER!J14,AK9),MIETER!J14)))</f>
        <v/>
      </c>
      <c r="AM9" s="1038" t="n"/>
      <c r="AN9" s="973">
        <f>IF(OR(NOT(ISNUMBER(AL9)),NOT(ISNUMBER(AM9))),"",MAX(0,AM9-AL9))</f>
        <v/>
      </c>
      <c r="AO9" s="1038" t="n"/>
      <c r="AP9" s="1038" t="n"/>
      <c r="AQ9" s="1038" t="n"/>
      <c r="AR9" s="973">
        <f>IF(NOT(ISNUMBER(F9)),"",IF(AND(NOT(ISNUMBER(AL9)),NOT(ISNUMBER(AP9)),NOT(ISNUMBER(AQ9))),"",N(AL9)+N(AP9)+N(AQ9)))</f>
        <v/>
      </c>
      <c r="AS9" s="973">
        <f>IF(OR($G9="ja",NOT(ISNUMBER(AL9)),NOT(ISNUMBER(AR9))),"",AR9+N(AN9))</f>
        <v/>
      </c>
      <c r="AT9" s="974">
        <f>IF(OR(NOT(ISNUMBER(AL9)),NOT(ISNUMBER(F9)),F9=0),"",AL9/F9)</f>
        <v/>
      </c>
      <c r="AU9" s="975">
        <f>IF(OR(NOT(ISNUMBER(MIETER!F14)),NOT(ISNUMBER(MIETER!I14))),"",MIETER!I14)</f>
        <v/>
      </c>
      <c r="AV9" s="975">
        <f>IF(OR(NOT(ISNUMBER(AU9)),$G9="ja",NOT(ISNUMBER($H$34))),"",EDATE(AU9,$H$34))</f>
        <v/>
      </c>
      <c r="AW9" s="1033" t="n"/>
      <c r="AX9" s="959">
        <f>IF(NOT(ISNUMBER(F9)),"",IF(ISNUMBER(AW9),AW9,IF(NOT(ISNUMBER(AV9)),"",MAX(0,(YEAR(AV9)-YEAR(TODAY()))*12+MONTH(AV9)-MONTH(TODAY())))))</f>
        <v/>
      </c>
      <c r="AY9" s="969">
        <f>IF(NOT(ISNUMBER(AX9)),"",IF(ISNUMBER(AO9),AO9*AX9,IF(NOT(ISNUMBER(AN9)),"",AN9*AX9)))</f>
        <v/>
      </c>
      <c r="AZ9" s="969">
        <f>IF(OR(NOT(ISNUMBER(AL9)),NOT(ISNUMBER(MIETER!$P$6))),"",ROUND(AL9*(1+MIETER!$P$6)^2,0))</f>
        <v/>
      </c>
      <c r="BA9" s="1039" t="n"/>
      <c r="BB9" s="1038" t="n"/>
      <c r="BC9" s="973">
        <f>IF(NOT(ISNUMBER(F9)),"",IF(ISNUMBER(BB9),BB9,IF(AND(ISNUMBER(BA9),ISNUMBER(AL9),AL9&gt;0),AL9*BA9,IF(OR(NOT(ISNUMBER($C$62)),NOT(ISNUMBER($C$64))),"",$C$62+$C$64*F9/12))))</f>
        <v/>
      </c>
      <c r="BD9" s="1038" t="n"/>
      <c r="BE9" s="973">
        <f>IF(NOT(ISNUMBER(BC9)),"",IF(ISNUMBER(BD9),MIN(BC9,BD9),IF(OR(NOT(ISNUMBER(F9)),NOT(ISNUMBER($C$64))),0,MIN(BC9,$C$64*F9/12))))</f>
        <v/>
      </c>
      <c r="BF9" s="967">
        <f>IF(OR(NOT(ISNUMBER(BC9)),NOT(ISNUMBER(AL9)),AL9=0),"",BC9/AL9)</f>
        <v/>
      </c>
      <c r="BG9" s="973">
        <f>IF(NOT(ISNUMBER(AL9)),"",AL9*0.01)</f>
        <v/>
      </c>
      <c r="BH9" s="969">
        <f>IF(OR(NOT(ISNUMBER(AL9)),NOT(ISNUMBER($C$28)),NOT(ISNUMBER(CD9)),CD9&lt;=0),"",AL9*0.01*(1-$C$28)/CD9)</f>
        <v/>
      </c>
      <c r="BI9" s="969">
        <f>IF(OR(NOT(ISNUMBER(K9)),NOT(ISNUMBER($H$30))),"",$H$30*K9)</f>
        <v/>
      </c>
      <c r="BJ9" s="1035" t="n"/>
      <c r="BK9" s="964">
        <f>IF(OR(NOT(ISNUMBER(BI9)),NOT(ISNUMBER(AB9)),AB9&lt;=0),"",1-BI9/AB9)</f>
        <v/>
      </c>
      <c r="BL9" s="964">
        <f>IF(NOT(ISNUMBER(AB9)),"",IF(ISNUMBER(BJ9),BJ9,IF(AND(ISNUMBER(BI9),ISNUMBER(AE9),AE9&gt;0),1-BI9/AE9,IF(NOT(ISNUMBER($C$31)),"",$C$31))))</f>
        <v/>
      </c>
      <c r="BM9" s="960">
        <f>IF(NOT(ISNUMBER(F9)),"",IF(ISNUMBER(BJ9),"vertrag",IF(ISNUMBER(BI9),"berechnet","standard")))</f>
        <v/>
      </c>
      <c r="BN9" s="1035" t="n"/>
      <c r="BO9" s="964">
        <f>IF(NOT(ISNUMBER(F9)),"",IF(ISNUMBER(BN9),BN9,IF(NOT(ISNUMBER($C$30)),"",$C$30)))</f>
        <v/>
      </c>
      <c r="BP9" s="969">
        <f>IF(OR(NOT(ISNUMBER(AE9)),NOT(ISNUMBER(BL9)),NOT(ISNUMBER($C$35))),"",AE9*(1+$C$35)*BL9)</f>
        <v/>
      </c>
      <c r="BQ9" s="973">
        <f>IF(OR(NOT(ISNUMBER(BP9)),NOT(ISNUMBER(BO9)),NOT(ISNUMBER($C$35))),"",(BP9*BO9+N(U9)*(1+$C$35)*N($H$31)+N(V9)*(1+$C$35)*N($H$32))/12)</f>
        <v/>
      </c>
      <c r="BR9" s="973">
        <f>IF(OR(NOT(ISNUMBER(AH9)),NOT(ISNUMBER($C$26))),"",AH9*$C$26/12)</f>
        <v/>
      </c>
      <c r="BS9" s="969">
        <f>IF(OR(NOT(ISNUMBER(AH9)),NOT(ISNUMBER($C$26)),NOT(ISNUMBER($C$27))),"",ROUND(AH9*($C$26+$C$27)/12,0))</f>
        <v/>
      </c>
      <c r="BT9" s="977">
        <f>IF(OR(NOT(ISNUMBER(AS9)),NOT(ISNUMBER(BQ9)),NOT(ISNUMBER(BR9)),NOT(ISNUMBER(BC9))),"",AS9-BR9-BQ9-(BC9-N(BE9)))</f>
        <v/>
      </c>
      <c r="BU9" s="978">
        <f>IF(OR(NOT(ISNUMBER(BT9)),NOT(ISNUMBER($C$28))),"",ROUND(-BT9*$C$28,0))</f>
        <v/>
      </c>
      <c r="BV9" s="973">
        <f>IF(OR(NOT(ISNUMBER(BE9)),NOT(ISNUMBER($C$28))),"",BE9*$C$28)</f>
        <v/>
      </c>
      <c r="BW9" s="978">
        <f>IF(OR(NOT(ISNUMBER(AS9)),NOT(ISNUMBER(BS9)),NOT(ISNUMBER(BC9))),"",ROUND(AS9,0)-BS9-ROUND(BC9,0))</f>
        <v/>
      </c>
      <c r="BX9" s="978">
        <f>IF(OR(NOT(ISNUMBER(BW9)),NOT(ISNUMBER(BU9))),"",BW9+BU9)</f>
        <v/>
      </c>
      <c r="BY9" s="978">
        <f>IF(OR(NOT(ISNUMBER(AR9)),NOT(ISNUMBER(BS9)),NOT(ISNUMBER(BC9)),NOT(ISNUMBER(BT9)),NOT(ISNUMBER($C$28))),"",ROUND(AR9,0)-BS9-ROUND(BC9,0)+ROUND(-(BT9-N(AN9))*$C$28,0))</f>
        <v/>
      </c>
      <c r="BZ9" s="981">
        <f>IF(OR(NOT(ISNUMBER(AA9)),NOT(ISNUMBER(AS9)),AS9=0),"",AA9/(AS9*12))</f>
        <v/>
      </c>
      <c r="CA9" s="964">
        <f>IF(OR(NOT(ISNUMBER(AA9)),NOT(ISNUMBER(AS9)),AA9=0),"",AS9*12/AA9)</f>
        <v/>
      </c>
      <c r="CB9" s="977">
        <f>IF(OR(NOT(ISNUMBER(AS9)),NOT(ISNUMBER(BC9)),NOT(ISNUMBER(BO9)),NOT(ISNUMBER($C$28)),NOT(ISNUMBER($C$35))),"",(AS9-BC9)*(1-$C$28)-$C$28*N(BE9)-IF(BM9="berechnet",$C$28*(1+$C$35)*BO9*N(BI9)/12,0))</f>
        <v/>
      </c>
      <c r="CC9" s="977">
        <f>IF(OR(NOT(ISNUMBER(F9)),NOT(ISNUMBER($C$26)),NOT(ISNUMBER($C$27)),NOT(ISNUMBER($C$28)),NOT(ISNUMBER($C$35)),NOT(ISNUMBER($H$33))),"",($C$28*(1+$C$35)*(N(U9)*N($H$31)+N(V9)*N($H$32))-(N(U9)+N(V9))*$H$33*(($C$26+$C$27)-$C$28*$C$26))/12)</f>
        <v/>
      </c>
      <c r="CD9" s="979">
        <f>IF(OR(NOT(ISNUMBER(BO9)),NOT(ISNUMBER($C$26)),NOT(ISNUMBER($C$27)),NOT(ISNUMBER($C$28)),NOT(ISNUMBER($C$35)),NOT(ISNUMBER($H$33)),BM9="",AND(BM9="standard",NOT(ISNUMBER($C$31)))),"",($H$33*(($C$26+$C$27)-$C$28*$C$26)-$C$28*(1+$C$35)*BO9*IF(BM9="berechnet",1,IF(BM9="vertrag",BJ9,$C$31)))/12)</f>
        <v/>
      </c>
      <c r="CE9" s="969">
        <f>IF(NOT(ISNUMBER(F9)),"",IF(N($O$26)=2,IF(OR(NOT(ISNUMBER(AS9)),NOT(ISNUMBER(AN9)),IF(ISNUMBER(M9),M9,N($O$28))&lt;=0),"",IF(AS9*12/IF(ISNUMBER(M9),M9,N($O$28))-N(U9)-N(V9)&lt;=0,"",AS9*12/IF(ISNUMBER(M9),M9,N($O$28))-N(U9)-N(V9))),IF(N($O$26)=3,IF(OR(NOT(ISNUMBER(CB9)),NOT(ISNUMBER(CC9)),NOT(ISNUMBER(CD9)),N(CD9)&lt;=0),"",IF((CB9+CC9+ROUND(AS9,0)-AS9-ROUND(BC9,0)+BC9-IF(ISNUMBER(N9),N9,N($O$29)))/CD9&lt;=0,"",(CB9+CC9+ROUND(AS9,0)-AS9-ROUND(BC9,0)+BC9-IF(ISNUMBER(N9),N9,N($O$29)))/CD9)),"")))</f>
        <v/>
      </c>
      <c r="CF9" s="1012" t="n"/>
      <c r="CG9" s="1012" t="n"/>
      <c r="CH9" s="1012" t="n"/>
    </row>
    <row r="10" s="545">
      <c r="A10" s="982">
        <f>IF(NOT(ISNUMBER(MIETER!F15)),"",ROW()-2)</f>
        <v/>
      </c>
      <c r="B10" s="983">
        <f>IF(NOT(ISNUMBER(MIETER!F15)),"",IF(MIETER!A15="","",MIETER!A15))</f>
        <v/>
      </c>
      <c r="C10" s="983">
        <f>IF(NOT(ISNUMBER(MIETER!F15)),"",IF(MIETER!B15="","",MIETER!B15))</f>
        <v/>
      </c>
      <c r="D10" s="983">
        <f>IF(NOT(ISNUMBER(MIETER!F15)),"",IF(MIETER!C15="","",MIETER!C15))</f>
        <v/>
      </c>
      <c r="E10" s="983">
        <f>IF(NOT(ISNUMBER(MIETER!F15)),"",IF(MIETER!D15="","",MIETER!D15))</f>
        <v/>
      </c>
      <c r="F10" s="984">
        <f>IF(NOT(ISNUMBER(MIETER!F15)),"",MIETER!F15)</f>
        <v/>
      </c>
      <c r="G10" s="1032" t="n"/>
      <c r="H10" s="1033" t="n"/>
      <c r="I10" s="1033" t="n"/>
      <c r="J10" s="1033" t="n"/>
      <c r="K10" s="985">
        <f>IF(OR(NOT(ISNUMBER(F10)),NOT(ISNUMBER(J10)),NOT(ISNUMBER($H$29)),$H$29=0),"",J10/$H$29)</f>
        <v/>
      </c>
      <c r="L10" s="1034" t="n"/>
      <c r="M10" s="1035" t="n"/>
      <c r="N10" s="1036" t="n"/>
      <c r="O10" s="983">
        <f>IF(NOT(ISNUMBER(F10)),"",IF(NOT(ISNUMBER(T10)),"kein Preis",IF(ISNUMBER(CE10),IF(N($O$26)=2,"Rendite","Cashflow"),IF(OR(N($O$26)=2,N($O$26)=3),"Regler (Rückfall)","Regler"))))</f>
        <v/>
      </c>
      <c r="P10" s="986">
        <f>IF(OR(NOT(ISNUMBER(T10)),NOT(ISNUMBER(F10)),F10=0),"",T10/F10)</f>
        <v/>
      </c>
      <c r="Q10" s="986">
        <f>IF(OR(NOT(ISNUMBER(F10)),F10=0,NOT(ISNUMBER(VERKAUFSMATRIX!U13))),"",VERKAUFSMATRIX!U13/F10)</f>
        <v/>
      </c>
      <c r="R10" s="987">
        <f>IF(OR(NOT(ISNUMBER(P10)),NOT(ISNUMBER(Q10)),Q10=0),"",P10/Q10-1)</f>
        <v/>
      </c>
      <c r="S10" s="1036" t="n"/>
      <c r="T10" s="988">
        <f>IF(NOT(ISNUMBER(F10)),"",IF(ISNUMBER(CE10),IF(NOT(ISNUMBER(Y10)),"",(CE10+N(U10)+N(V10))/(1+Y10)-N(U10)-N(V10)),IF(NOT(ISNUMBER(L10)),"",F10*L10+N(S10))))</f>
        <v/>
      </c>
      <c r="U10" s="1037" t="n"/>
      <c r="V10" s="1037" t="n"/>
      <c r="W10" s="988">
        <f>IF(NOT(ISNUMBER(T10)),"",T10+N(U10)+N(V10))</f>
        <v/>
      </c>
      <c r="X10" s="1035" t="n"/>
      <c r="Y10" s="985">
        <f>IF(NOT(ISNUMBER(F10)),"",IF(ISNUMBER(X10),X10,IF(NOT(ISNUMBER($H$26)),"",$H$26)))</f>
        <v/>
      </c>
      <c r="Z10" s="988">
        <f>IF(OR(NOT(ISNUMBER(W10)),NOT(ISNUMBER(Y10))),"",W10*Y10)</f>
        <v/>
      </c>
      <c r="AA10" s="988">
        <f>IF(OR(NOT(ISNUMBER(W10)),NOT(ISNUMBER(Y10))),"",W10*(1+Y10))</f>
        <v/>
      </c>
      <c r="AB10" s="988">
        <f>IF(NOT(ISNUMBER(AA10)),"",AA10-N(U10)-N(V10))</f>
        <v/>
      </c>
      <c r="AC10" s="986">
        <f>IF(OR(NOT(ISNUMBER(W10)),NOT(ISNUMBER(F10)),F10=0),"",W10/F10)</f>
        <v/>
      </c>
      <c r="AD10" s="986">
        <f>IF(OR(NOT(ISNUMBER(AB10)),NOT(ISNUMBER(F10)),F10=0),"",AB10/F10)</f>
        <v/>
      </c>
      <c r="AE10" s="988">
        <f>IF(NOT(ISNUMBER(AB10)),"",AB10)</f>
        <v/>
      </c>
      <c r="AF10" s="988">
        <f>IF(OR(NOT(ISNUMBER(AA10)),NOT(ISNUMBER($C$35))),"",AA10*$C$35)</f>
        <v/>
      </c>
      <c r="AG10" s="988">
        <f>IF(OR(NOT(ISNUMBER(AA10)),NOT(ISNUMBER(AF10))),"",AA10+AF10)</f>
        <v/>
      </c>
      <c r="AH10" s="988">
        <f>IF(OR(NOT(ISNUMBER(AA10)),NOT(ISNUMBER($H$33))),"",AA10*$H$33)</f>
        <v/>
      </c>
      <c r="AI10" s="988">
        <f>IF(OR(NOT(ISNUMBER(AG10)),NOT(ISNUMBER(AH10))),"",MAX(0,AG10-AH10))</f>
        <v/>
      </c>
      <c r="AJ10" s="988">
        <f>IF(OR(NOT(ISNUMBER(AH10)),NOT(ISNUMBER(AA10))),"",AH10-AA10)</f>
        <v/>
      </c>
      <c r="AK10" s="1038" t="n"/>
      <c r="AL10" s="989">
        <f>IF(OR(NOT(ISNUMBER(MIETER!F15)),$G10="ja"),"",IF(NOT(ISNUMBER(MIETER!J15)),"",IF(ISNUMBER(AK10),MAX(MIETER!J15,AK10),MIETER!J15)))</f>
        <v/>
      </c>
      <c r="AM10" s="1038" t="n"/>
      <c r="AN10" s="989">
        <f>IF(OR(NOT(ISNUMBER(AL10)),NOT(ISNUMBER(AM10))),"",MAX(0,AM10-AL10))</f>
        <v/>
      </c>
      <c r="AO10" s="1038" t="n"/>
      <c r="AP10" s="1038" t="n"/>
      <c r="AQ10" s="1038" t="n"/>
      <c r="AR10" s="989">
        <f>IF(NOT(ISNUMBER(F10)),"",IF(AND(NOT(ISNUMBER(AL10)),NOT(ISNUMBER(AP10)),NOT(ISNUMBER(AQ10))),"",N(AL10)+N(AP10)+N(AQ10)))</f>
        <v/>
      </c>
      <c r="AS10" s="989">
        <f>IF(OR($G10="ja",NOT(ISNUMBER(AL10)),NOT(ISNUMBER(AR10))),"",AR10+N(AN10))</f>
        <v/>
      </c>
      <c r="AT10" s="990">
        <f>IF(OR(NOT(ISNUMBER(AL10)),NOT(ISNUMBER(F10)),F10=0),"",AL10/F10)</f>
        <v/>
      </c>
      <c r="AU10" s="991">
        <f>IF(OR(NOT(ISNUMBER(MIETER!F15)),NOT(ISNUMBER(MIETER!I15))),"",MIETER!I15)</f>
        <v/>
      </c>
      <c r="AV10" s="991">
        <f>IF(OR(NOT(ISNUMBER(AU10)),$G10="ja",NOT(ISNUMBER($H$34))),"",EDATE(AU10,$H$34))</f>
        <v/>
      </c>
      <c r="AW10" s="1033" t="n"/>
      <c r="AX10" s="982">
        <f>IF(NOT(ISNUMBER(F10)),"",IF(ISNUMBER(AW10),AW10,IF(NOT(ISNUMBER(AV10)),"",MAX(0,(YEAR(AV10)-YEAR(TODAY()))*12+MONTH(AV10)-MONTH(TODAY())))))</f>
        <v/>
      </c>
      <c r="AY10" s="988">
        <f>IF(NOT(ISNUMBER(AX10)),"",IF(ISNUMBER(AO10),AO10*AX10,IF(NOT(ISNUMBER(AN10)),"",AN10*AX10)))</f>
        <v/>
      </c>
      <c r="AZ10" s="988">
        <f>IF(OR(NOT(ISNUMBER(AL10)),NOT(ISNUMBER(MIETER!$P$6))),"",ROUND(AL10*(1+MIETER!$P$6)^2,0))</f>
        <v/>
      </c>
      <c r="BA10" s="1039" t="n"/>
      <c r="BB10" s="1038" t="n"/>
      <c r="BC10" s="989">
        <f>IF(NOT(ISNUMBER(F10)),"",IF(ISNUMBER(BB10),BB10,IF(AND(ISNUMBER(BA10),ISNUMBER(AL10),AL10&gt;0),AL10*BA10,IF(OR(NOT(ISNUMBER($C$62)),NOT(ISNUMBER($C$64))),"",$C$62+$C$64*F10/12))))</f>
        <v/>
      </c>
      <c r="BD10" s="1038" t="n"/>
      <c r="BE10" s="989">
        <f>IF(NOT(ISNUMBER(BC10)),"",IF(ISNUMBER(BD10),MIN(BC10,BD10),IF(OR(NOT(ISNUMBER(F10)),NOT(ISNUMBER($C$64))),0,MIN(BC10,$C$64*F10/12))))</f>
        <v/>
      </c>
      <c r="BF10" s="987">
        <f>IF(OR(NOT(ISNUMBER(BC10)),NOT(ISNUMBER(AL10)),AL10=0),"",BC10/AL10)</f>
        <v/>
      </c>
      <c r="BG10" s="989">
        <f>IF(NOT(ISNUMBER(AL10)),"",AL10*0.01)</f>
        <v/>
      </c>
      <c r="BH10" s="988">
        <f>IF(OR(NOT(ISNUMBER(AL10)),NOT(ISNUMBER($C$28)),NOT(ISNUMBER(CD10)),CD10&lt;=0),"",AL10*0.01*(1-$C$28)/CD10)</f>
        <v/>
      </c>
      <c r="BI10" s="988">
        <f>IF(OR(NOT(ISNUMBER(K10)),NOT(ISNUMBER($H$30))),"",$H$30*K10)</f>
        <v/>
      </c>
      <c r="BJ10" s="1035" t="n"/>
      <c r="BK10" s="985">
        <f>IF(OR(NOT(ISNUMBER(BI10)),NOT(ISNUMBER(AB10)),AB10&lt;=0),"",1-BI10/AB10)</f>
        <v/>
      </c>
      <c r="BL10" s="985">
        <f>IF(NOT(ISNUMBER(AB10)),"",IF(ISNUMBER(BJ10),BJ10,IF(AND(ISNUMBER(BI10),ISNUMBER(AE10),AE10&gt;0),1-BI10/AE10,IF(NOT(ISNUMBER($C$31)),"",$C$31))))</f>
        <v/>
      </c>
      <c r="BM10" s="983">
        <f>IF(NOT(ISNUMBER(F10)),"",IF(ISNUMBER(BJ10),"vertrag",IF(ISNUMBER(BI10),"berechnet","standard")))</f>
        <v/>
      </c>
      <c r="BN10" s="1035" t="n"/>
      <c r="BO10" s="985">
        <f>IF(NOT(ISNUMBER(F10)),"",IF(ISNUMBER(BN10),BN10,IF(NOT(ISNUMBER($C$30)),"",$C$30)))</f>
        <v/>
      </c>
      <c r="BP10" s="988">
        <f>IF(OR(NOT(ISNUMBER(AE10)),NOT(ISNUMBER(BL10)),NOT(ISNUMBER($C$35))),"",AE10*(1+$C$35)*BL10)</f>
        <v/>
      </c>
      <c r="BQ10" s="989">
        <f>IF(OR(NOT(ISNUMBER(BP10)),NOT(ISNUMBER(BO10)),NOT(ISNUMBER($C$35))),"",(BP10*BO10+N(U10)*(1+$C$35)*N($H$31)+N(V10)*(1+$C$35)*N($H$32))/12)</f>
        <v/>
      </c>
      <c r="BR10" s="989">
        <f>IF(OR(NOT(ISNUMBER(AH10)),NOT(ISNUMBER($C$26))),"",AH10*$C$26/12)</f>
        <v/>
      </c>
      <c r="BS10" s="988">
        <f>IF(OR(NOT(ISNUMBER(AH10)),NOT(ISNUMBER($C$26)),NOT(ISNUMBER($C$27))),"",ROUND(AH10*($C$26+$C$27)/12,0))</f>
        <v/>
      </c>
      <c r="BT10" s="992">
        <f>IF(OR(NOT(ISNUMBER(AS10)),NOT(ISNUMBER(BQ10)),NOT(ISNUMBER(BR10)),NOT(ISNUMBER(BC10))),"",AS10-BR10-BQ10-(BC10-N(BE10)))</f>
        <v/>
      </c>
      <c r="BU10" s="993">
        <f>IF(OR(NOT(ISNUMBER(BT10)),NOT(ISNUMBER($C$28))),"",ROUND(-BT10*$C$28,0))</f>
        <v/>
      </c>
      <c r="BV10" s="989">
        <f>IF(OR(NOT(ISNUMBER(BE10)),NOT(ISNUMBER($C$28))),"",BE10*$C$28)</f>
        <v/>
      </c>
      <c r="BW10" s="993">
        <f>IF(OR(NOT(ISNUMBER(AS10)),NOT(ISNUMBER(BS10)),NOT(ISNUMBER(BC10))),"",ROUND(AS10,0)-BS10-ROUND(BC10,0))</f>
        <v/>
      </c>
      <c r="BX10" s="993">
        <f>IF(OR(NOT(ISNUMBER(BW10)),NOT(ISNUMBER(BU10))),"",BW10+BU10)</f>
        <v/>
      </c>
      <c r="BY10" s="993">
        <f>IF(OR(NOT(ISNUMBER(AR10)),NOT(ISNUMBER(BS10)),NOT(ISNUMBER(BC10)),NOT(ISNUMBER(BT10)),NOT(ISNUMBER($C$28))),"",ROUND(AR10,0)-BS10-ROUND(BC10,0)+ROUND(-(BT10-N(AN10))*$C$28,0))</f>
        <v/>
      </c>
      <c r="BZ10" s="996">
        <f>IF(OR(NOT(ISNUMBER(AA10)),NOT(ISNUMBER(AS10)),AS10=0),"",AA10/(AS10*12))</f>
        <v/>
      </c>
      <c r="CA10" s="985">
        <f>IF(OR(NOT(ISNUMBER(AA10)),NOT(ISNUMBER(AS10)),AA10=0),"",AS10*12/AA10)</f>
        <v/>
      </c>
      <c r="CB10" s="992">
        <f>IF(OR(NOT(ISNUMBER(AS10)),NOT(ISNUMBER(BC10)),NOT(ISNUMBER(BO10)),NOT(ISNUMBER($C$28)),NOT(ISNUMBER($C$35))),"",(AS10-BC10)*(1-$C$28)-$C$28*N(BE10)-IF(BM10="berechnet",$C$28*(1+$C$35)*BO10*N(BI10)/12,0))</f>
        <v/>
      </c>
      <c r="CC10" s="992">
        <f>IF(OR(NOT(ISNUMBER(F10)),NOT(ISNUMBER($C$26)),NOT(ISNUMBER($C$27)),NOT(ISNUMBER($C$28)),NOT(ISNUMBER($C$35)),NOT(ISNUMBER($H$33))),"",($C$28*(1+$C$35)*(N(U10)*N($H$31)+N(V10)*N($H$32))-(N(U10)+N(V10))*$H$33*(($C$26+$C$27)-$C$28*$C$26))/12)</f>
        <v/>
      </c>
      <c r="CD10" s="994">
        <f>IF(OR(NOT(ISNUMBER(BO10)),NOT(ISNUMBER($C$26)),NOT(ISNUMBER($C$27)),NOT(ISNUMBER($C$28)),NOT(ISNUMBER($C$35)),NOT(ISNUMBER($H$33)),BM10="",AND(BM10="standard",NOT(ISNUMBER($C$31)))),"",($H$33*(($C$26+$C$27)-$C$28*$C$26)-$C$28*(1+$C$35)*BO10*IF(BM10="berechnet",1,IF(BM10="vertrag",BJ10,$C$31)))/12)</f>
        <v/>
      </c>
      <c r="CE10" s="988">
        <f>IF(NOT(ISNUMBER(F10)),"",IF(N($O$26)=2,IF(OR(NOT(ISNUMBER(AS10)),NOT(ISNUMBER(AN10)),IF(ISNUMBER(M10),M10,N($O$28))&lt;=0),"",IF(AS10*12/IF(ISNUMBER(M10),M10,N($O$28))-N(U10)-N(V10)&lt;=0,"",AS10*12/IF(ISNUMBER(M10),M10,N($O$28))-N(U10)-N(V10))),IF(N($O$26)=3,IF(OR(NOT(ISNUMBER(CB10)),NOT(ISNUMBER(CC10)),NOT(ISNUMBER(CD10)),N(CD10)&lt;=0),"",IF((CB10+CC10+ROUND(AS10,0)-AS10-ROUND(BC10,0)+BC10-IF(ISNUMBER(N10),N10,N($O$29)))/CD10&lt;=0,"",(CB10+CC10+ROUND(AS10,0)-AS10-ROUND(BC10,0)+BC10-IF(ISNUMBER(N10),N10,N($O$29)))/CD10)),"")))</f>
        <v/>
      </c>
      <c r="CF10" s="1012" t="n"/>
      <c r="CG10" s="1012" t="n"/>
      <c r="CH10" s="1012" t="n"/>
    </row>
    <row r="11" s="545">
      <c r="A11" s="959">
        <f>IF(NOT(ISNUMBER(MIETER!F16)),"",ROW()-2)</f>
        <v/>
      </c>
      <c r="B11" s="960">
        <f>IF(NOT(ISNUMBER(MIETER!F16)),"",IF(MIETER!A16="","",MIETER!A16))</f>
        <v/>
      </c>
      <c r="C11" s="960">
        <f>IF(NOT(ISNUMBER(MIETER!F16)),"",IF(MIETER!B16="","",MIETER!B16))</f>
        <v/>
      </c>
      <c r="D11" s="960">
        <f>IF(NOT(ISNUMBER(MIETER!F16)),"",IF(MIETER!C16="","",MIETER!C16))</f>
        <v/>
      </c>
      <c r="E11" s="960">
        <f>IF(NOT(ISNUMBER(MIETER!F16)),"",IF(MIETER!D16="","",MIETER!D16))</f>
        <v/>
      </c>
      <c r="F11" s="961">
        <f>IF(NOT(ISNUMBER(MIETER!F16)),"",MIETER!F16)</f>
        <v/>
      </c>
      <c r="G11" s="1032" t="n"/>
      <c r="H11" s="1033" t="n"/>
      <c r="I11" s="1033" t="n"/>
      <c r="J11" s="1033" t="n"/>
      <c r="K11" s="964">
        <f>IF(OR(NOT(ISNUMBER(F11)),NOT(ISNUMBER(J11)),NOT(ISNUMBER($H$29)),$H$29=0),"",J11/$H$29)</f>
        <v/>
      </c>
      <c r="L11" s="1034" t="n"/>
      <c r="M11" s="1035" t="n"/>
      <c r="N11" s="1036" t="n"/>
      <c r="O11" s="960">
        <f>IF(NOT(ISNUMBER(F11)),"",IF(NOT(ISNUMBER(T11)),"kein Preis",IF(ISNUMBER(CE11),IF(N($O$26)=2,"Rendite","Cashflow"),IF(OR(N($O$26)=2,N($O$26)=3),"Regler (Rückfall)","Regler"))))</f>
        <v/>
      </c>
      <c r="P11" s="966">
        <f>IF(OR(NOT(ISNUMBER(T11)),NOT(ISNUMBER(F11)),F11=0),"",T11/F11)</f>
        <v/>
      </c>
      <c r="Q11" s="966">
        <f>IF(OR(NOT(ISNUMBER(F11)),F11=0,NOT(ISNUMBER(VERKAUFSMATRIX!U14))),"",VERKAUFSMATRIX!U14/F11)</f>
        <v/>
      </c>
      <c r="R11" s="967">
        <f>IF(OR(NOT(ISNUMBER(P11)),NOT(ISNUMBER(Q11)),Q11=0),"",P11/Q11-1)</f>
        <v/>
      </c>
      <c r="S11" s="1036" t="n"/>
      <c r="T11" s="969">
        <f>IF(NOT(ISNUMBER(F11)),"",IF(ISNUMBER(CE11),IF(NOT(ISNUMBER(Y11)),"",(CE11+N(U11)+N(V11))/(1+Y11)-N(U11)-N(V11)),IF(NOT(ISNUMBER(L11)),"",F11*L11+N(S11))))</f>
        <v/>
      </c>
      <c r="U11" s="1037" t="n"/>
      <c r="V11" s="1037" t="n"/>
      <c r="W11" s="969">
        <f>IF(NOT(ISNUMBER(T11)),"",T11+N(U11)+N(V11))</f>
        <v/>
      </c>
      <c r="X11" s="1035" t="n"/>
      <c r="Y11" s="964">
        <f>IF(NOT(ISNUMBER(F11)),"",IF(ISNUMBER(X11),X11,IF(NOT(ISNUMBER($H$26)),"",$H$26)))</f>
        <v/>
      </c>
      <c r="Z11" s="969">
        <f>IF(OR(NOT(ISNUMBER(W11)),NOT(ISNUMBER(Y11))),"",W11*Y11)</f>
        <v/>
      </c>
      <c r="AA11" s="969">
        <f>IF(OR(NOT(ISNUMBER(W11)),NOT(ISNUMBER(Y11))),"",W11*(1+Y11))</f>
        <v/>
      </c>
      <c r="AB11" s="969">
        <f>IF(NOT(ISNUMBER(AA11)),"",AA11-N(U11)-N(V11))</f>
        <v/>
      </c>
      <c r="AC11" s="966">
        <f>IF(OR(NOT(ISNUMBER(W11)),NOT(ISNUMBER(F11)),F11=0),"",W11/F11)</f>
        <v/>
      </c>
      <c r="AD11" s="966">
        <f>IF(OR(NOT(ISNUMBER(AB11)),NOT(ISNUMBER(F11)),F11=0),"",AB11/F11)</f>
        <v/>
      </c>
      <c r="AE11" s="969">
        <f>IF(NOT(ISNUMBER(AB11)),"",AB11)</f>
        <v/>
      </c>
      <c r="AF11" s="969">
        <f>IF(OR(NOT(ISNUMBER(AA11)),NOT(ISNUMBER($C$35))),"",AA11*$C$35)</f>
        <v/>
      </c>
      <c r="AG11" s="969">
        <f>IF(OR(NOT(ISNUMBER(AA11)),NOT(ISNUMBER(AF11))),"",AA11+AF11)</f>
        <v/>
      </c>
      <c r="AH11" s="969">
        <f>IF(OR(NOT(ISNUMBER(AA11)),NOT(ISNUMBER($H$33))),"",AA11*$H$33)</f>
        <v/>
      </c>
      <c r="AI11" s="969">
        <f>IF(OR(NOT(ISNUMBER(AG11)),NOT(ISNUMBER(AH11))),"",MAX(0,AG11-AH11))</f>
        <v/>
      </c>
      <c r="AJ11" s="969">
        <f>IF(OR(NOT(ISNUMBER(AH11)),NOT(ISNUMBER(AA11))),"",AH11-AA11)</f>
        <v/>
      </c>
      <c r="AK11" s="1038" t="n"/>
      <c r="AL11" s="973">
        <f>IF(OR(NOT(ISNUMBER(MIETER!F16)),$G11="ja"),"",IF(NOT(ISNUMBER(MIETER!J16)),"",IF(ISNUMBER(AK11),MAX(MIETER!J16,AK11),MIETER!J16)))</f>
        <v/>
      </c>
      <c r="AM11" s="1038" t="n"/>
      <c r="AN11" s="973">
        <f>IF(OR(NOT(ISNUMBER(AL11)),NOT(ISNUMBER(AM11))),"",MAX(0,AM11-AL11))</f>
        <v/>
      </c>
      <c r="AO11" s="1038" t="n"/>
      <c r="AP11" s="1038" t="n"/>
      <c r="AQ11" s="1038" t="n"/>
      <c r="AR11" s="973">
        <f>IF(NOT(ISNUMBER(F11)),"",IF(AND(NOT(ISNUMBER(AL11)),NOT(ISNUMBER(AP11)),NOT(ISNUMBER(AQ11))),"",N(AL11)+N(AP11)+N(AQ11)))</f>
        <v/>
      </c>
      <c r="AS11" s="973">
        <f>IF(OR($G11="ja",NOT(ISNUMBER(AL11)),NOT(ISNUMBER(AR11))),"",AR11+N(AN11))</f>
        <v/>
      </c>
      <c r="AT11" s="974">
        <f>IF(OR(NOT(ISNUMBER(AL11)),NOT(ISNUMBER(F11)),F11=0),"",AL11/F11)</f>
        <v/>
      </c>
      <c r="AU11" s="975">
        <f>IF(OR(NOT(ISNUMBER(MIETER!F16)),NOT(ISNUMBER(MIETER!I16))),"",MIETER!I16)</f>
        <v/>
      </c>
      <c r="AV11" s="975">
        <f>IF(OR(NOT(ISNUMBER(AU11)),$G11="ja",NOT(ISNUMBER($H$34))),"",EDATE(AU11,$H$34))</f>
        <v/>
      </c>
      <c r="AW11" s="1033" t="n"/>
      <c r="AX11" s="959">
        <f>IF(NOT(ISNUMBER(F11)),"",IF(ISNUMBER(AW11),AW11,IF(NOT(ISNUMBER(AV11)),"",MAX(0,(YEAR(AV11)-YEAR(TODAY()))*12+MONTH(AV11)-MONTH(TODAY())))))</f>
        <v/>
      </c>
      <c r="AY11" s="969">
        <f>IF(NOT(ISNUMBER(AX11)),"",IF(ISNUMBER(AO11),AO11*AX11,IF(NOT(ISNUMBER(AN11)),"",AN11*AX11)))</f>
        <v/>
      </c>
      <c r="AZ11" s="969">
        <f>IF(OR(NOT(ISNUMBER(AL11)),NOT(ISNUMBER(MIETER!$P$6))),"",ROUND(AL11*(1+MIETER!$P$6)^2,0))</f>
        <v/>
      </c>
      <c r="BA11" s="1039" t="n"/>
      <c r="BB11" s="1038" t="n"/>
      <c r="BC11" s="973">
        <f>IF(NOT(ISNUMBER(F11)),"",IF(ISNUMBER(BB11),BB11,IF(AND(ISNUMBER(BA11),ISNUMBER(AL11),AL11&gt;0),AL11*BA11,IF(OR(NOT(ISNUMBER($C$62)),NOT(ISNUMBER($C$64))),"",$C$62+$C$64*F11/12))))</f>
        <v/>
      </c>
      <c r="BD11" s="1038" t="n"/>
      <c r="BE11" s="973">
        <f>IF(NOT(ISNUMBER(BC11)),"",IF(ISNUMBER(BD11),MIN(BC11,BD11),IF(OR(NOT(ISNUMBER(F11)),NOT(ISNUMBER($C$64))),0,MIN(BC11,$C$64*F11/12))))</f>
        <v/>
      </c>
      <c r="BF11" s="967">
        <f>IF(OR(NOT(ISNUMBER(BC11)),NOT(ISNUMBER(AL11)),AL11=0),"",BC11/AL11)</f>
        <v/>
      </c>
      <c r="BG11" s="973">
        <f>IF(NOT(ISNUMBER(AL11)),"",AL11*0.01)</f>
        <v/>
      </c>
      <c r="BH11" s="969">
        <f>IF(OR(NOT(ISNUMBER(AL11)),NOT(ISNUMBER($C$28)),NOT(ISNUMBER(CD11)),CD11&lt;=0),"",AL11*0.01*(1-$C$28)/CD11)</f>
        <v/>
      </c>
      <c r="BI11" s="969">
        <f>IF(OR(NOT(ISNUMBER(K11)),NOT(ISNUMBER($H$30))),"",$H$30*K11)</f>
        <v/>
      </c>
      <c r="BJ11" s="1035" t="n"/>
      <c r="BK11" s="964">
        <f>IF(OR(NOT(ISNUMBER(BI11)),NOT(ISNUMBER(AB11)),AB11&lt;=0),"",1-BI11/AB11)</f>
        <v/>
      </c>
      <c r="BL11" s="964">
        <f>IF(NOT(ISNUMBER(AB11)),"",IF(ISNUMBER(BJ11),BJ11,IF(AND(ISNUMBER(BI11),ISNUMBER(AE11),AE11&gt;0),1-BI11/AE11,IF(NOT(ISNUMBER($C$31)),"",$C$31))))</f>
        <v/>
      </c>
      <c r="BM11" s="960">
        <f>IF(NOT(ISNUMBER(F11)),"",IF(ISNUMBER(BJ11),"vertrag",IF(ISNUMBER(BI11),"berechnet","standard")))</f>
        <v/>
      </c>
      <c r="BN11" s="1035" t="n"/>
      <c r="BO11" s="964">
        <f>IF(NOT(ISNUMBER(F11)),"",IF(ISNUMBER(BN11),BN11,IF(NOT(ISNUMBER($C$30)),"",$C$30)))</f>
        <v/>
      </c>
      <c r="BP11" s="969">
        <f>IF(OR(NOT(ISNUMBER(AE11)),NOT(ISNUMBER(BL11)),NOT(ISNUMBER($C$35))),"",AE11*(1+$C$35)*BL11)</f>
        <v/>
      </c>
      <c r="BQ11" s="973">
        <f>IF(OR(NOT(ISNUMBER(BP11)),NOT(ISNUMBER(BO11)),NOT(ISNUMBER($C$35))),"",(BP11*BO11+N(U11)*(1+$C$35)*N($H$31)+N(V11)*(1+$C$35)*N($H$32))/12)</f>
        <v/>
      </c>
      <c r="BR11" s="973">
        <f>IF(OR(NOT(ISNUMBER(AH11)),NOT(ISNUMBER($C$26))),"",AH11*$C$26/12)</f>
        <v/>
      </c>
      <c r="BS11" s="969">
        <f>IF(OR(NOT(ISNUMBER(AH11)),NOT(ISNUMBER($C$26)),NOT(ISNUMBER($C$27))),"",ROUND(AH11*($C$26+$C$27)/12,0))</f>
        <v/>
      </c>
      <c r="BT11" s="977">
        <f>IF(OR(NOT(ISNUMBER(AS11)),NOT(ISNUMBER(BQ11)),NOT(ISNUMBER(BR11)),NOT(ISNUMBER(BC11))),"",AS11-BR11-BQ11-(BC11-N(BE11)))</f>
        <v/>
      </c>
      <c r="BU11" s="978">
        <f>IF(OR(NOT(ISNUMBER(BT11)),NOT(ISNUMBER($C$28))),"",ROUND(-BT11*$C$28,0))</f>
        <v/>
      </c>
      <c r="BV11" s="973">
        <f>IF(OR(NOT(ISNUMBER(BE11)),NOT(ISNUMBER($C$28))),"",BE11*$C$28)</f>
        <v/>
      </c>
      <c r="BW11" s="978">
        <f>IF(OR(NOT(ISNUMBER(AS11)),NOT(ISNUMBER(BS11)),NOT(ISNUMBER(BC11))),"",ROUND(AS11,0)-BS11-ROUND(BC11,0))</f>
        <v/>
      </c>
      <c r="BX11" s="978">
        <f>IF(OR(NOT(ISNUMBER(BW11)),NOT(ISNUMBER(BU11))),"",BW11+BU11)</f>
        <v/>
      </c>
      <c r="BY11" s="978">
        <f>IF(OR(NOT(ISNUMBER(AR11)),NOT(ISNUMBER(BS11)),NOT(ISNUMBER(BC11)),NOT(ISNUMBER(BT11)),NOT(ISNUMBER($C$28))),"",ROUND(AR11,0)-BS11-ROUND(BC11,0)+ROUND(-(BT11-N(AN11))*$C$28,0))</f>
        <v/>
      </c>
      <c r="BZ11" s="981">
        <f>IF(OR(NOT(ISNUMBER(AA11)),NOT(ISNUMBER(AS11)),AS11=0),"",AA11/(AS11*12))</f>
        <v/>
      </c>
      <c r="CA11" s="964">
        <f>IF(OR(NOT(ISNUMBER(AA11)),NOT(ISNUMBER(AS11)),AA11=0),"",AS11*12/AA11)</f>
        <v/>
      </c>
      <c r="CB11" s="977">
        <f>IF(OR(NOT(ISNUMBER(AS11)),NOT(ISNUMBER(BC11)),NOT(ISNUMBER(BO11)),NOT(ISNUMBER($C$28)),NOT(ISNUMBER($C$35))),"",(AS11-BC11)*(1-$C$28)-$C$28*N(BE11)-IF(BM11="berechnet",$C$28*(1+$C$35)*BO11*N(BI11)/12,0))</f>
        <v/>
      </c>
      <c r="CC11" s="977">
        <f>IF(OR(NOT(ISNUMBER(F11)),NOT(ISNUMBER($C$26)),NOT(ISNUMBER($C$27)),NOT(ISNUMBER($C$28)),NOT(ISNUMBER($C$35)),NOT(ISNUMBER($H$33))),"",($C$28*(1+$C$35)*(N(U11)*N($H$31)+N(V11)*N($H$32))-(N(U11)+N(V11))*$H$33*(($C$26+$C$27)-$C$28*$C$26))/12)</f>
        <v/>
      </c>
      <c r="CD11" s="979">
        <f>IF(OR(NOT(ISNUMBER(BO11)),NOT(ISNUMBER($C$26)),NOT(ISNUMBER($C$27)),NOT(ISNUMBER($C$28)),NOT(ISNUMBER($C$35)),NOT(ISNUMBER($H$33)),BM11="",AND(BM11="standard",NOT(ISNUMBER($C$31)))),"",($H$33*(($C$26+$C$27)-$C$28*$C$26)-$C$28*(1+$C$35)*BO11*IF(BM11="berechnet",1,IF(BM11="vertrag",BJ11,$C$31)))/12)</f>
        <v/>
      </c>
      <c r="CE11" s="969">
        <f>IF(NOT(ISNUMBER(F11)),"",IF(N($O$26)=2,IF(OR(NOT(ISNUMBER(AS11)),NOT(ISNUMBER(AN11)),IF(ISNUMBER(M11),M11,N($O$28))&lt;=0),"",IF(AS11*12/IF(ISNUMBER(M11),M11,N($O$28))-N(U11)-N(V11)&lt;=0,"",AS11*12/IF(ISNUMBER(M11),M11,N($O$28))-N(U11)-N(V11))),IF(N($O$26)=3,IF(OR(NOT(ISNUMBER(CB11)),NOT(ISNUMBER(CC11)),NOT(ISNUMBER(CD11)),N(CD11)&lt;=0),"",IF((CB11+CC11+ROUND(AS11,0)-AS11-ROUND(BC11,0)+BC11-IF(ISNUMBER(N11),N11,N($O$29)))/CD11&lt;=0,"",(CB11+CC11+ROUND(AS11,0)-AS11-ROUND(BC11,0)+BC11-IF(ISNUMBER(N11),N11,N($O$29)))/CD11)),"")))</f>
        <v/>
      </c>
      <c r="CF11" s="1012" t="n"/>
      <c r="CG11" s="1012" t="n"/>
      <c r="CH11" s="1012" t="n"/>
    </row>
    <row r="12" s="545">
      <c r="A12" s="982">
        <f>IF(NOT(ISNUMBER(MIETER!F17)),"",ROW()-2)</f>
        <v/>
      </c>
      <c r="B12" s="983">
        <f>IF(NOT(ISNUMBER(MIETER!F17)),"",IF(MIETER!A17="","",MIETER!A17))</f>
        <v/>
      </c>
      <c r="C12" s="983">
        <f>IF(NOT(ISNUMBER(MIETER!F17)),"",IF(MIETER!B17="","",MIETER!B17))</f>
        <v/>
      </c>
      <c r="D12" s="983">
        <f>IF(NOT(ISNUMBER(MIETER!F17)),"",IF(MIETER!C17="","",MIETER!C17))</f>
        <v/>
      </c>
      <c r="E12" s="983">
        <f>IF(NOT(ISNUMBER(MIETER!F17)),"",IF(MIETER!D17="","",MIETER!D17))</f>
        <v/>
      </c>
      <c r="F12" s="984">
        <f>IF(NOT(ISNUMBER(MIETER!F17)),"",MIETER!F17)</f>
        <v/>
      </c>
      <c r="G12" s="1032" t="n"/>
      <c r="H12" s="1033" t="n"/>
      <c r="I12" s="1033" t="n"/>
      <c r="J12" s="1033" t="n"/>
      <c r="K12" s="985">
        <f>IF(OR(NOT(ISNUMBER(F12)),NOT(ISNUMBER(J12)),NOT(ISNUMBER($H$29)),$H$29=0),"",J12/$H$29)</f>
        <v/>
      </c>
      <c r="L12" s="1034" t="n"/>
      <c r="M12" s="1035" t="n"/>
      <c r="N12" s="1036" t="n"/>
      <c r="O12" s="983">
        <f>IF(NOT(ISNUMBER(F12)),"",IF(NOT(ISNUMBER(T12)),"kein Preis",IF(ISNUMBER(CE12),IF(N($O$26)=2,"Rendite","Cashflow"),IF(OR(N($O$26)=2,N($O$26)=3),"Regler (Rückfall)","Regler"))))</f>
        <v/>
      </c>
      <c r="P12" s="986">
        <f>IF(OR(NOT(ISNUMBER(T12)),NOT(ISNUMBER(F12)),F12=0),"",T12/F12)</f>
        <v/>
      </c>
      <c r="Q12" s="986">
        <f>IF(OR(NOT(ISNUMBER(F12)),F12=0,NOT(ISNUMBER(VERKAUFSMATRIX!U15))),"",VERKAUFSMATRIX!U15/F12)</f>
        <v/>
      </c>
      <c r="R12" s="987">
        <f>IF(OR(NOT(ISNUMBER(P12)),NOT(ISNUMBER(Q12)),Q12=0),"",P12/Q12-1)</f>
        <v/>
      </c>
      <c r="S12" s="1036" t="n"/>
      <c r="T12" s="988">
        <f>IF(NOT(ISNUMBER(F12)),"",IF(ISNUMBER(CE12),IF(NOT(ISNUMBER(Y12)),"",(CE12+N(U12)+N(V12))/(1+Y12)-N(U12)-N(V12)),IF(NOT(ISNUMBER(L12)),"",F12*L12+N(S12))))</f>
        <v/>
      </c>
      <c r="U12" s="1037" t="n"/>
      <c r="V12" s="1037" t="n"/>
      <c r="W12" s="988">
        <f>IF(NOT(ISNUMBER(T12)),"",T12+N(U12)+N(V12))</f>
        <v/>
      </c>
      <c r="X12" s="1035" t="n"/>
      <c r="Y12" s="985">
        <f>IF(NOT(ISNUMBER(F12)),"",IF(ISNUMBER(X12),X12,IF(NOT(ISNUMBER($H$26)),"",$H$26)))</f>
        <v/>
      </c>
      <c r="Z12" s="988">
        <f>IF(OR(NOT(ISNUMBER(W12)),NOT(ISNUMBER(Y12))),"",W12*Y12)</f>
        <v/>
      </c>
      <c r="AA12" s="988">
        <f>IF(OR(NOT(ISNUMBER(W12)),NOT(ISNUMBER(Y12))),"",W12*(1+Y12))</f>
        <v/>
      </c>
      <c r="AB12" s="988">
        <f>IF(NOT(ISNUMBER(AA12)),"",AA12-N(U12)-N(V12))</f>
        <v/>
      </c>
      <c r="AC12" s="986">
        <f>IF(OR(NOT(ISNUMBER(W12)),NOT(ISNUMBER(F12)),F12=0),"",W12/F12)</f>
        <v/>
      </c>
      <c r="AD12" s="986">
        <f>IF(OR(NOT(ISNUMBER(AB12)),NOT(ISNUMBER(F12)),F12=0),"",AB12/F12)</f>
        <v/>
      </c>
      <c r="AE12" s="988">
        <f>IF(NOT(ISNUMBER(AB12)),"",AB12)</f>
        <v/>
      </c>
      <c r="AF12" s="988">
        <f>IF(OR(NOT(ISNUMBER(AA12)),NOT(ISNUMBER($C$35))),"",AA12*$C$35)</f>
        <v/>
      </c>
      <c r="AG12" s="988">
        <f>IF(OR(NOT(ISNUMBER(AA12)),NOT(ISNUMBER(AF12))),"",AA12+AF12)</f>
        <v/>
      </c>
      <c r="AH12" s="988">
        <f>IF(OR(NOT(ISNUMBER(AA12)),NOT(ISNUMBER($H$33))),"",AA12*$H$33)</f>
        <v/>
      </c>
      <c r="AI12" s="988">
        <f>IF(OR(NOT(ISNUMBER(AG12)),NOT(ISNUMBER(AH12))),"",MAX(0,AG12-AH12))</f>
        <v/>
      </c>
      <c r="AJ12" s="988">
        <f>IF(OR(NOT(ISNUMBER(AH12)),NOT(ISNUMBER(AA12))),"",AH12-AA12)</f>
        <v/>
      </c>
      <c r="AK12" s="1038" t="n"/>
      <c r="AL12" s="989">
        <f>IF(OR(NOT(ISNUMBER(MIETER!F17)),$G12="ja"),"",IF(NOT(ISNUMBER(MIETER!J17)),"",IF(ISNUMBER(AK12),MAX(MIETER!J17,AK12),MIETER!J17)))</f>
        <v/>
      </c>
      <c r="AM12" s="1038" t="n"/>
      <c r="AN12" s="989">
        <f>IF(OR(NOT(ISNUMBER(AL12)),NOT(ISNUMBER(AM12))),"",MAX(0,AM12-AL12))</f>
        <v/>
      </c>
      <c r="AO12" s="1038" t="n"/>
      <c r="AP12" s="1038" t="n"/>
      <c r="AQ12" s="1038" t="n"/>
      <c r="AR12" s="989">
        <f>IF(NOT(ISNUMBER(F12)),"",IF(AND(NOT(ISNUMBER(AL12)),NOT(ISNUMBER(AP12)),NOT(ISNUMBER(AQ12))),"",N(AL12)+N(AP12)+N(AQ12)))</f>
        <v/>
      </c>
      <c r="AS12" s="989">
        <f>IF(OR($G12="ja",NOT(ISNUMBER(AL12)),NOT(ISNUMBER(AR12))),"",AR12+N(AN12))</f>
        <v/>
      </c>
      <c r="AT12" s="990">
        <f>IF(OR(NOT(ISNUMBER(AL12)),NOT(ISNUMBER(F12)),F12=0),"",AL12/F12)</f>
        <v/>
      </c>
      <c r="AU12" s="991">
        <f>IF(OR(NOT(ISNUMBER(MIETER!F17)),NOT(ISNUMBER(MIETER!I17))),"",MIETER!I17)</f>
        <v/>
      </c>
      <c r="AV12" s="991">
        <f>IF(OR(NOT(ISNUMBER(AU12)),$G12="ja",NOT(ISNUMBER($H$34))),"",EDATE(AU12,$H$34))</f>
        <v/>
      </c>
      <c r="AW12" s="1033" t="n"/>
      <c r="AX12" s="982">
        <f>IF(NOT(ISNUMBER(F12)),"",IF(ISNUMBER(AW12),AW12,IF(NOT(ISNUMBER(AV12)),"",MAX(0,(YEAR(AV12)-YEAR(TODAY()))*12+MONTH(AV12)-MONTH(TODAY())))))</f>
        <v/>
      </c>
      <c r="AY12" s="988">
        <f>IF(NOT(ISNUMBER(AX12)),"",IF(ISNUMBER(AO12),AO12*AX12,IF(NOT(ISNUMBER(AN12)),"",AN12*AX12)))</f>
        <v/>
      </c>
      <c r="AZ12" s="988">
        <f>IF(OR(NOT(ISNUMBER(AL12)),NOT(ISNUMBER(MIETER!$P$6))),"",ROUND(AL12*(1+MIETER!$P$6)^2,0))</f>
        <v/>
      </c>
      <c r="BA12" s="1039" t="n"/>
      <c r="BB12" s="1038" t="n"/>
      <c r="BC12" s="989">
        <f>IF(NOT(ISNUMBER(F12)),"",IF(ISNUMBER(BB12),BB12,IF(AND(ISNUMBER(BA12),ISNUMBER(AL12),AL12&gt;0),AL12*BA12,IF(OR(NOT(ISNUMBER($C$62)),NOT(ISNUMBER($C$64))),"",$C$62+$C$64*F12/12))))</f>
        <v/>
      </c>
      <c r="BD12" s="1038" t="n"/>
      <c r="BE12" s="989">
        <f>IF(NOT(ISNUMBER(BC12)),"",IF(ISNUMBER(BD12),MIN(BC12,BD12),IF(OR(NOT(ISNUMBER(F12)),NOT(ISNUMBER($C$64))),0,MIN(BC12,$C$64*F12/12))))</f>
        <v/>
      </c>
      <c r="BF12" s="987">
        <f>IF(OR(NOT(ISNUMBER(BC12)),NOT(ISNUMBER(AL12)),AL12=0),"",BC12/AL12)</f>
        <v/>
      </c>
      <c r="BG12" s="989">
        <f>IF(NOT(ISNUMBER(AL12)),"",AL12*0.01)</f>
        <v/>
      </c>
      <c r="BH12" s="988">
        <f>IF(OR(NOT(ISNUMBER(AL12)),NOT(ISNUMBER($C$28)),NOT(ISNUMBER(CD12)),CD12&lt;=0),"",AL12*0.01*(1-$C$28)/CD12)</f>
        <v/>
      </c>
      <c r="BI12" s="988">
        <f>IF(OR(NOT(ISNUMBER(K12)),NOT(ISNUMBER($H$30))),"",$H$30*K12)</f>
        <v/>
      </c>
      <c r="BJ12" s="1035" t="n"/>
      <c r="BK12" s="985">
        <f>IF(OR(NOT(ISNUMBER(BI12)),NOT(ISNUMBER(AB12)),AB12&lt;=0),"",1-BI12/AB12)</f>
        <v/>
      </c>
      <c r="BL12" s="985">
        <f>IF(NOT(ISNUMBER(AB12)),"",IF(ISNUMBER(BJ12),BJ12,IF(AND(ISNUMBER(BI12),ISNUMBER(AE12),AE12&gt;0),1-BI12/AE12,IF(NOT(ISNUMBER($C$31)),"",$C$31))))</f>
        <v/>
      </c>
      <c r="BM12" s="983">
        <f>IF(NOT(ISNUMBER(F12)),"",IF(ISNUMBER(BJ12),"vertrag",IF(ISNUMBER(BI12),"berechnet","standard")))</f>
        <v/>
      </c>
      <c r="BN12" s="1035" t="n"/>
      <c r="BO12" s="985">
        <f>IF(NOT(ISNUMBER(F12)),"",IF(ISNUMBER(BN12),BN12,IF(NOT(ISNUMBER($C$30)),"",$C$30)))</f>
        <v/>
      </c>
      <c r="BP12" s="988">
        <f>IF(OR(NOT(ISNUMBER(AE12)),NOT(ISNUMBER(BL12)),NOT(ISNUMBER($C$35))),"",AE12*(1+$C$35)*BL12)</f>
        <v/>
      </c>
      <c r="BQ12" s="989">
        <f>IF(OR(NOT(ISNUMBER(BP12)),NOT(ISNUMBER(BO12)),NOT(ISNUMBER($C$35))),"",(BP12*BO12+N(U12)*(1+$C$35)*N($H$31)+N(V12)*(1+$C$35)*N($H$32))/12)</f>
        <v/>
      </c>
      <c r="BR12" s="989">
        <f>IF(OR(NOT(ISNUMBER(AH12)),NOT(ISNUMBER($C$26))),"",AH12*$C$26/12)</f>
        <v/>
      </c>
      <c r="BS12" s="988">
        <f>IF(OR(NOT(ISNUMBER(AH12)),NOT(ISNUMBER($C$26)),NOT(ISNUMBER($C$27))),"",ROUND(AH12*($C$26+$C$27)/12,0))</f>
        <v/>
      </c>
      <c r="BT12" s="992">
        <f>IF(OR(NOT(ISNUMBER(AS12)),NOT(ISNUMBER(BQ12)),NOT(ISNUMBER(BR12)),NOT(ISNUMBER(BC12))),"",AS12-BR12-BQ12-(BC12-N(BE12)))</f>
        <v/>
      </c>
      <c r="BU12" s="993">
        <f>IF(OR(NOT(ISNUMBER(BT12)),NOT(ISNUMBER($C$28))),"",ROUND(-BT12*$C$28,0))</f>
        <v/>
      </c>
      <c r="BV12" s="989">
        <f>IF(OR(NOT(ISNUMBER(BE12)),NOT(ISNUMBER($C$28))),"",BE12*$C$28)</f>
        <v/>
      </c>
      <c r="BW12" s="993">
        <f>IF(OR(NOT(ISNUMBER(AS12)),NOT(ISNUMBER(BS12)),NOT(ISNUMBER(BC12))),"",ROUND(AS12,0)-BS12-ROUND(BC12,0))</f>
        <v/>
      </c>
      <c r="BX12" s="993">
        <f>IF(OR(NOT(ISNUMBER(BW12)),NOT(ISNUMBER(BU12))),"",BW12+BU12)</f>
        <v/>
      </c>
      <c r="BY12" s="993">
        <f>IF(OR(NOT(ISNUMBER(AR12)),NOT(ISNUMBER(BS12)),NOT(ISNUMBER(BC12)),NOT(ISNUMBER(BT12)),NOT(ISNUMBER($C$28))),"",ROUND(AR12,0)-BS12-ROUND(BC12,0)+ROUND(-(BT12-N(AN12))*$C$28,0))</f>
        <v/>
      </c>
      <c r="BZ12" s="996">
        <f>IF(OR(NOT(ISNUMBER(AA12)),NOT(ISNUMBER(AS12)),AS12=0),"",AA12/(AS12*12))</f>
        <v/>
      </c>
      <c r="CA12" s="985">
        <f>IF(OR(NOT(ISNUMBER(AA12)),NOT(ISNUMBER(AS12)),AA12=0),"",AS12*12/AA12)</f>
        <v/>
      </c>
      <c r="CB12" s="992">
        <f>IF(OR(NOT(ISNUMBER(AS12)),NOT(ISNUMBER(BC12)),NOT(ISNUMBER(BO12)),NOT(ISNUMBER($C$28)),NOT(ISNUMBER($C$35))),"",(AS12-BC12)*(1-$C$28)-$C$28*N(BE12)-IF(BM12="berechnet",$C$28*(1+$C$35)*BO12*N(BI12)/12,0))</f>
        <v/>
      </c>
      <c r="CC12" s="992">
        <f>IF(OR(NOT(ISNUMBER(F12)),NOT(ISNUMBER($C$26)),NOT(ISNUMBER($C$27)),NOT(ISNUMBER($C$28)),NOT(ISNUMBER($C$35)),NOT(ISNUMBER($H$33))),"",($C$28*(1+$C$35)*(N(U12)*N($H$31)+N(V12)*N($H$32))-(N(U12)+N(V12))*$H$33*(($C$26+$C$27)-$C$28*$C$26))/12)</f>
        <v/>
      </c>
      <c r="CD12" s="994">
        <f>IF(OR(NOT(ISNUMBER(BO12)),NOT(ISNUMBER($C$26)),NOT(ISNUMBER($C$27)),NOT(ISNUMBER($C$28)),NOT(ISNUMBER($C$35)),NOT(ISNUMBER($H$33)),BM12="",AND(BM12="standard",NOT(ISNUMBER($C$31)))),"",($H$33*(($C$26+$C$27)-$C$28*$C$26)-$C$28*(1+$C$35)*BO12*IF(BM12="berechnet",1,IF(BM12="vertrag",BJ12,$C$31)))/12)</f>
        <v/>
      </c>
      <c r="CE12" s="988">
        <f>IF(NOT(ISNUMBER(F12)),"",IF(N($O$26)=2,IF(OR(NOT(ISNUMBER(AS12)),NOT(ISNUMBER(AN12)),IF(ISNUMBER(M12),M12,N($O$28))&lt;=0),"",IF(AS12*12/IF(ISNUMBER(M12),M12,N($O$28))-N(U12)-N(V12)&lt;=0,"",AS12*12/IF(ISNUMBER(M12),M12,N($O$28))-N(U12)-N(V12))),IF(N($O$26)=3,IF(OR(NOT(ISNUMBER(CB12)),NOT(ISNUMBER(CC12)),NOT(ISNUMBER(CD12)),N(CD12)&lt;=0),"",IF((CB12+CC12+ROUND(AS12,0)-AS12-ROUND(BC12,0)+BC12-IF(ISNUMBER(N12),N12,N($O$29)))/CD12&lt;=0,"",(CB12+CC12+ROUND(AS12,0)-AS12-ROUND(BC12,0)+BC12-IF(ISNUMBER(N12),N12,N($O$29)))/CD12)),"")))</f>
        <v/>
      </c>
      <c r="CF12" s="1012" t="n"/>
      <c r="CG12" s="1012" t="n"/>
      <c r="CH12" s="1012" t="n"/>
    </row>
    <row r="13" s="545">
      <c r="A13" s="959">
        <f>IF(NOT(ISNUMBER(MIETER!F18)),"",ROW()-2)</f>
        <v/>
      </c>
      <c r="B13" s="960">
        <f>IF(NOT(ISNUMBER(MIETER!F18)),"",IF(MIETER!A18="","",MIETER!A18))</f>
        <v/>
      </c>
      <c r="C13" s="960">
        <f>IF(NOT(ISNUMBER(MIETER!F18)),"",IF(MIETER!B18="","",MIETER!B18))</f>
        <v/>
      </c>
      <c r="D13" s="960">
        <f>IF(NOT(ISNUMBER(MIETER!F18)),"",IF(MIETER!C18="","",MIETER!C18))</f>
        <v/>
      </c>
      <c r="E13" s="960">
        <f>IF(NOT(ISNUMBER(MIETER!F18)),"",IF(MIETER!D18="","",MIETER!D18))</f>
        <v/>
      </c>
      <c r="F13" s="961">
        <f>IF(NOT(ISNUMBER(MIETER!F18)),"",MIETER!F18)</f>
        <v/>
      </c>
      <c r="G13" s="1032" t="n"/>
      <c r="H13" s="1033" t="n"/>
      <c r="I13" s="1033" t="n"/>
      <c r="J13" s="1033" t="n"/>
      <c r="K13" s="964">
        <f>IF(OR(NOT(ISNUMBER(F13)),NOT(ISNUMBER(J13)),NOT(ISNUMBER($H$29)),$H$29=0),"",J13/$H$29)</f>
        <v/>
      </c>
      <c r="L13" s="1034" t="n"/>
      <c r="M13" s="1035" t="n"/>
      <c r="N13" s="1036" t="n"/>
      <c r="O13" s="960">
        <f>IF(NOT(ISNUMBER(F13)),"",IF(NOT(ISNUMBER(T13)),"kein Preis",IF(ISNUMBER(CE13),IF(N($O$26)=2,"Rendite","Cashflow"),IF(OR(N($O$26)=2,N($O$26)=3),"Regler (Rückfall)","Regler"))))</f>
        <v/>
      </c>
      <c r="P13" s="966">
        <f>IF(OR(NOT(ISNUMBER(T13)),NOT(ISNUMBER(F13)),F13=0),"",T13/F13)</f>
        <v/>
      </c>
      <c r="Q13" s="966">
        <f>IF(OR(NOT(ISNUMBER(F13)),F13=0,NOT(ISNUMBER(VERKAUFSMATRIX!U16))),"",VERKAUFSMATRIX!U16/F13)</f>
        <v/>
      </c>
      <c r="R13" s="967">
        <f>IF(OR(NOT(ISNUMBER(P13)),NOT(ISNUMBER(Q13)),Q13=0),"",P13/Q13-1)</f>
        <v/>
      </c>
      <c r="S13" s="1036" t="n"/>
      <c r="T13" s="969">
        <f>IF(NOT(ISNUMBER(F13)),"",IF(ISNUMBER(CE13),IF(NOT(ISNUMBER(Y13)),"",(CE13+N(U13)+N(V13))/(1+Y13)-N(U13)-N(V13)),IF(NOT(ISNUMBER(L13)),"",F13*L13+N(S13))))</f>
        <v/>
      </c>
      <c r="U13" s="1037" t="n"/>
      <c r="V13" s="1037" t="n"/>
      <c r="W13" s="969">
        <f>IF(NOT(ISNUMBER(T13)),"",T13+N(U13)+N(V13))</f>
        <v/>
      </c>
      <c r="X13" s="1035" t="n"/>
      <c r="Y13" s="964">
        <f>IF(NOT(ISNUMBER(F13)),"",IF(ISNUMBER(X13),X13,IF(NOT(ISNUMBER($H$26)),"",$H$26)))</f>
        <v/>
      </c>
      <c r="Z13" s="969">
        <f>IF(OR(NOT(ISNUMBER(W13)),NOT(ISNUMBER(Y13))),"",W13*Y13)</f>
        <v/>
      </c>
      <c r="AA13" s="969">
        <f>IF(OR(NOT(ISNUMBER(W13)),NOT(ISNUMBER(Y13))),"",W13*(1+Y13))</f>
        <v/>
      </c>
      <c r="AB13" s="969">
        <f>IF(NOT(ISNUMBER(AA13)),"",AA13-N(U13)-N(V13))</f>
        <v/>
      </c>
      <c r="AC13" s="966">
        <f>IF(OR(NOT(ISNUMBER(W13)),NOT(ISNUMBER(F13)),F13=0),"",W13/F13)</f>
        <v/>
      </c>
      <c r="AD13" s="966">
        <f>IF(OR(NOT(ISNUMBER(AB13)),NOT(ISNUMBER(F13)),F13=0),"",AB13/F13)</f>
        <v/>
      </c>
      <c r="AE13" s="969">
        <f>IF(NOT(ISNUMBER(AB13)),"",AB13)</f>
        <v/>
      </c>
      <c r="AF13" s="969">
        <f>IF(OR(NOT(ISNUMBER(AA13)),NOT(ISNUMBER($C$35))),"",AA13*$C$35)</f>
        <v/>
      </c>
      <c r="AG13" s="969">
        <f>IF(OR(NOT(ISNUMBER(AA13)),NOT(ISNUMBER(AF13))),"",AA13+AF13)</f>
        <v/>
      </c>
      <c r="AH13" s="969">
        <f>IF(OR(NOT(ISNUMBER(AA13)),NOT(ISNUMBER($H$33))),"",AA13*$H$33)</f>
        <v/>
      </c>
      <c r="AI13" s="969">
        <f>IF(OR(NOT(ISNUMBER(AG13)),NOT(ISNUMBER(AH13))),"",MAX(0,AG13-AH13))</f>
        <v/>
      </c>
      <c r="AJ13" s="969">
        <f>IF(OR(NOT(ISNUMBER(AH13)),NOT(ISNUMBER(AA13))),"",AH13-AA13)</f>
        <v/>
      </c>
      <c r="AK13" s="1038" t="n"/>
      <c r="AL13" s="973">
        <f>IF(OR(NOT(ISNUMBER(MIETER!F18)),$G13="ja"),"",IF(NOT(ISNUMBER(MIETER!J18)),"",IF(ISNUMBER(AK13),MAX(MIETER!J18,AK13),MIETER!J18)))</f>
        <v/>
      </c>
      <c r="AM13" s="1038" t="n"/>
      <c r="AN13" s="973">
        <f>IF(OR(NOT(ISNUMBER(AL13)),NOT(ISNUMBER(AM13))),"",MAX(0,AM13-AL13))</f>
        <v/>
      </c>
      <c r="AO13" s="1038" t="n"/>
      <c r="AP13" s="1038" t="n"/>
      <c r="AQ13" s="1038" t="n"/>
      <c r="AR13" s="973">
        <f>IF(NOT(ISNUMBER(F13)),"",IF(AND(NOT(ISNUMBER(AL13)),NOT(ISNUMBER(AP13)),NOT(ISNUMBER(AQ13))),"",N(AL13)+N(AP13)+N(AQ13)))</f>
        <v/>
      </c>
      <c r="AS13" s="973">
        <f>IF(OR($G13="ja",NOT(ISNUMBER(AL13)),NOT(ISNUMBER(AR13))),"",AR13+N(AN13))</f>
        <v/>
      </c>
      <c r="AT13" s="974">
        <f>IF(OR(NOT(ISNUMBER(AL13)),NOT(ISNUMBER(F13)),F13=0),"",AL13/F13)</f>
        <v/>
      </c>
      <c r="AU13" s="975">
        <f>IF(OR(NOT(ISNUMBER(MIETER!F18)),NOT(ISNUMBER(MIETER!I18))),"",MIETER!I18)</f>
        <v/>
      </c>
      <c r="AV13" s="975">
        <f>IF(OR(NOT(ISNUMBER(AU13)),$G13="ja",NOT(ISNUMBER($H$34))),"",EDATE(AU13,$H$34))</f>
        <v/>
      </c>
      <c r="AW13" s="1033" t="n"/>
      <c r="AX13" s="959">
        <f>IF(NOT(ISNUMBER(F13)),"",IF(ISNUMBER(AW13),AW13,IF(NOT(ISNUMBER(AV13)),"",MAX(0,(YEAR(AV13)-YEAR(TODAY()))*12+MONTH(AV13)-MONTH(TODAY())))))</f>
        <v/>
      </c>
      <c r="AY13" s="969">
        <f>IF(NOT(ISNUMBER(AX13)),"",IF(ISNUMBER(AO13),AO13*AX13,IF(NOT(ISNUMBER(AN13)),"",AN13*AX13)))</f>
        <v/>
      </c>
      <c r="AZ13" s="969">
        <f>IF(OR(NOT(ISNUMBER(AL13)),NOT(ISNUMBER(MIETER!$P$6))),"",ROUND(AL13*(1+MIETER!$P$6)^2,0))</f>
        <v/>
      </c>
      <c r="BA13" s="1039" t="n"/>
      <c r="BB13" s="1038" t="n"/>
      <c r="BC13" s="973">
        <f>IF(NOT(ISNUMBER(F13)),"",IF(ISNUMBER(BB13),BB13,IF(AND(ISNUMBER(BA13),ISNUMBER(AL13),AL13&gt;0),AL13*BA13,IF(OR(NOT(ISNUMBER($C$62)),NOT(ISNUMBER($C$64))),"",$C$62+$C$64*F13/12))))</f>
        <v/>
      </c>
      <c r="BD13" s="1038" t="n"/>
      <c r="BE13" s="973">
        <f>IF(NOT(ISNUMBER(BC13)),"",IF(ISNUMBER(BD13),MIN(BC13,BD13),IF(OR(NOT(ISNUMBER(F13)),NOT(ISNUMBER($C$64))),0,MIN(BC13,$C$64*F13/12))))</f>
        <v/>
      </c>
      <c r="BF13" s="967">
        <f>IF(OR(NOT(ISNUMBER(BC13)),NOT(ISNUMBER(AL13)),AL13=0),"",BC13/AL13)</f>
        <v/>
      </c>
      <c r="BG13" s="973">
        <f>IF(NOT(ISNUMBER(AL13)),"",AL13*0.01)</f>
        <v/>
      </c>
      <c r="BH13" s="969">
        <f>IF(OR(NOT(ISNUMBER(AL13)),NOT(ISNUMBER($C$28)),NOT(ISNUMBER(CD13)),CD13&lt;=0),"",AL13*0.01*(1-$C$28)/CD13)</f>
        <v/>
      </c>
      <c r="BI13" s="969">
        <f>IF(OR(NOT(ISNUMBER(K13)),NOT(ISNUMBER($H$30))),"",$H$30*K13)</f>
        <v/>
      </c>
      <c r="BJ13" s="1035" t="n"/>
      <c r="BK13" s="964">
        <f>IF(OR(NOT(ISNUMBER(BI13)),NOT(ISNUMBER(AB13)),AB13&lt;=0),"",1-BI13/AB13)</f>
        <v/>
      </c>
      <c r="BL13" s="964">
        <f>IF(NOT(ISNUMBER(AB13)),"",IF(ISNUMBER(BJ13),BJ13,IF(AND(ISNUMBER(BI13),ISNUMBER(AE13),AE13&gt;0),1-BI13/AE13,IF(NOT(ISNUMBER($C$31)),"",$C$31))))</f>
        <v/>
      </c>
      <c r="BM13" s="960">
        <f>IF(NOT(ISNUMBER(F13)),"",IF(ISNUMBER(BJ13),"vertrag",IF(ISNUMBER(BI13),"berechnet","standard")))</f>
        <v/>
      </c>
      <c r="BN13" s="1035" t="n"/>
      <c r="BO13" s="964">
        <f>IF(NOT(ISNUMBER(F13)),"",IF(ISNUMBER(BN13),BN13,IF(NOT(ISNUMBER($C$30)),"",$C$30)))</f>
        <v/>
      </c>
      <c r="BP13" s="969">
        <f>IF(OR(NOT(ISNUMBER(AE13)),NOT(ISNUMBER(BL13)),NOT(ISNUMBER($C$35))),"",AE13*(1+$C$35)*BL13)</f>
        <v/>
      </c>
      <c r="BQ13" s="973">
        <f>IF(OR(NOT(ISNUMBER(BP13)),NOT(ISNUMBER(BO13)),NOT(ISNUMBER($C$35))),"",(BP13*BO13+N(U13)*(1+$C$35)*N($H$31)+N(V13)*(1+$C$35)*N($H$32))/12)</f>
        <v/>
      </c>
      <c r="BR13" s="973">
        <f>IF(OR(NOT(ISNUMBER(AH13)),NOT(ISNUMBER($C$26))),"",AH13*$C$26/12)</f>
        <v/>
      </c>
      <c r="BS13" s="969">
        <f>IF(OR(NOT(ISNUMBER(AH13)),NOT(ISNUMBER($C$26)),NOT(ISNUMBER($C$27))),"",ROUND(AH13*($C$26+$C$27)/12,0))</f>
        <v/>
      </c>
      <c r="BT13" s="977">
        <f>IF(OR(NOT(ISNUMBER(AS13)),NOT(ISNUMBER(BQ13)),NOT(ISNUMBER(BR13)),NOT(ISNUMBER(BC13))),"",AS13-BR13-BQ13-(BC13-N(BE13)))</f>
        <v/>
      </c>
      <c r="BU13" s="978">
        <f>IF(OR(NOT(ISNUMBER(BT13)),NOT(ISNUMBER($C$28))),"",ROUND(-BT13*$C$28,0))</f>
        <v/>
      </c>
      <c r="BV13" s="973">
        <f>IF(OR(NOT(ISNUMBER(BE13)),NOT(ISNUMBER($C$28))),"",BE13*$C$28)</f>
        <v/>
      </c>
      <c r="BW13" s="978">
        <f>IF(OR(NOT(ISNUMBER(AS13)),NOT(ISNUMBER(BS13)),NOT(ISNUMBER(BC13))),"",ROUND(AS13,0)-BS13-ROUND(BC13,0))</f>
        <v/>
      </c>
      <c r="BX13" s="978">
        <f>IF(OR(NOT(ISNUMBER(BW13)),NOT(ISNUMBER(BU13))),"",BW13+BU13)</f>
        <v/>
      </c>
      <c r="BY13" s="978">
        <f>IF(OR(NOT(ISNUMBER(AR13)),NOT(ISNUMBER(BS13)),NOT(ISNUMBER(BC13)),NOT(ISNUMBER(BT13)),NOT(ISNUMBER($C$28))),"",ROUND(AR13,0)-BS13-ROUND(BC13,0)+ROUND(-(BT13-N(AN13))*$C$28,0))</f>
        <v/>
      </c>
      <c r="BZ13" s="981">
        <f>IF(OR(NOT(ISNUMBER(AA13)),NOT(ISNUMBER(AS13)),AS13=0),"",AA13/(AS13*12))</f>
        <v/>
      </c>
      <c r="CA13" s="964">
        <f>IF(OR(NOT(ISNUMBER(AA13)),NOT(ISNUMBER(AS13)),AA13=0),"",AS13*12/AA13)</f>
        <v/>
      </c>
      <c r="CB13" s="977">
        <f>IF(OR(NOT(ISNUMBER(AS13)),NOT(ISNUMBER(BC13)),NOT(ISNUMBER(BO13)),NOT(ISNUMBER($C$28)),NOT(ISNUMBER($C$35))),"",(AS13-BC13)*(1-$C$28)-$C$28*N(BE13)-IF(BM13="berechnet",$C$28*(1+$C$35)*BO13*N(BI13)/12,0))</f>
        <v/>
      </c>
      <c r="CC13" s="977">
        <f>IF(OR(NOT(ISNUMBER(F13)),NOT(ISNUMBER($C$26)),NOT(ISNUMBER($C$27)),NOT(ISNUMBER($C$28)),NOT(ISNUMBER($C$35)),NOT(ISNUMBER($H$33))),"",($C$28*(1+$C$35)*(N(U13)*N($H$31)+N(V13)*N($H$32))-(N(U13)+N(V13))*$H$33*(($C$26+$C$27)-$C$28*$C$26))/12)</f>
        <v/>
      </c>
      <c r="CD13" s="979">
        <f>IF(OR(NOT(ISNUMBER(BO13)),NOT(ISNUMBER($C$26)),NOT(ISNUMBER($C$27)),NOT(ISNUMBER($C$28)),NOT(ISNUMBER($C$35)),NOT(ISNUMBER($H$33)),BM13="",AND(BM13="standard",NOT(ISNUMBER($C$31)))),"",($H$33*(($C$26+$C$27)-$C$28*$C$26)-$C$28*(1+$C$35)*BO13*IF(BM13="berechnet",1,IF(BM13="vertrag",BJ13,$C$31)))/12)</f>
        <v/>
      </c>
      <c r="CE13" s="969">
        <f>IF(NOT(ISNUMBER(F13)),"",IF(N($O$26)=2,IF(OR(NOT(ISNUMBER(AS13)),NOT(ISNUMBER(AN13)),IF(ISNUMBER(M13),M13,N($O$28))&lt;=0),"",IF(AS13*12/IF(ISNUMBER(M13),M13,N($O$28))-N(U13)-N(V13)&lt;=0,"",AS13*12/IF(ISNUMBER(M13),M13,N($O$28))-N(U13)-N(V13))),IF(N($O$26)=3,IF(OR(NOT(ISNUMBER(CB13)),NOT(ISNUMBER(CC13)),NOT(ISNUMBER(CD13)),N(CD13)&lt;=0),"",IF((CB13+CC13+ROUND(AS13,0)-AS13-ROUND(BC13,0)+BC13-IF(ISNUMBER(N13),N13,N($O$29)))/CD13&lt;=0,"",(CB13+CC13+ROUND(AS13,0)-AS13-ROUND(BC13,0)+BC13-IF(ISNUMBER(N13),N13,N($O$29)))/CD13)),"")))</f>
        <v/>
      </c>
      <c r="CF13" s="1012" t="n"/>
      <c r="CG13" s="1012" t="n"/>
      <c r="CH13" s="1012" t="n"/>
    </row>
    <row r="14" s="545">
      <c r="A14" s="982">
        <f>IF(NOT(ISNUMBER(MIETER!F19)),"",ROW()-2)</f>
        <v/>
      </c>
      <c r="B14" s="983">
        <f>IF(NOT(ISNUMBER(MIETER!F19)),"",IF(MIETER!A19="","",MIETER!A19))</f>
        <v/>
      </c>
      <c r="C14" s="983">
        <f>IF(NOT(ISNUMBER(MIETER!F19)),"",IF(MIETER!B19="","",MIETER!B19))</f>
        <v/>
      </c>
      <c r="D14" s="983">
        <f>IF(NOT(ISNUMBER(MIETER!F19)),"",IF(MIETER!C19="","",MIETER!C19))</f>
        <v/>
      </c>
      <c r="E14" s="983">
        <f>IF(NOT(ISNUMBER(MIETER!F19)),"",IF(MIETER!D19="","",MIETER!D19))</f>
        <v/>
      </c>
      <c r="F14" s="984">
        <f>IF(NOT(ISNUMBER(MIETER!F19)),"",MIETER!F19)</f>
        <v/>
      </c>
      <c r="G14" s="1032" t="n"/>
      <c r="H14" s="1033" t="n"/>
      <c r="I14" s="1033" t="n"/>
      <c r="J14" s="1033" t="n"/>
      <c r="K14" s="985">
        <f>IF(OR(NOT(ISNUMBER(F14)),NOT(ISNUMBER(J14)),NOT(ISNUMBER($H$29)),$H$29=0),"",J14/$H$29)</f>
        <v/>
      </c>
      <c r="L14" s="1034" t="n"/>
      <c r="M14" s="1035" t="n"/>
      <c r="N14" s="1036" t="n"/>
      <c r="O14" s="983">
        <f>IF(NOT(ISNUMBER(F14)),"",IF(NOT(ISNUMBER(T14)),"kein Preis",IF(ISNUMBER(CE14),IF(N($O$26)=2,"Rendite","Cashflow"),IF(OR(N($O$26)=2,N($O$26)=3),"Regler (Rückfall)","Regler"))))</f>
        <v/>
      </c>
      <c r="P14" s="986">
        <f>IF(OR(NOT(ISNUMBER(T14)),NOT(ISNUMBER(F14)),F14=0),"",T14/F14)</f>
        <v/>
      </c>
      <c r="Q14" s="986">
        <f>IF(OR(NOT(ISNUMBER(F14)),F14=0,NOT(ISNUMBER(VERKAUFSMATRIX!U17))),"",VERKAUFSMATRIX!U17/F14)</f>
        <v/>
      </c>
      <c r="R14" s="987">
        <f>IF(OR(NOT(ISNUMBER(P14)),NOT(ISNUMBER(Q14)),Q14=0),"",P14/Q14-1)</f>
        <v/>
      </c>
      <c r="S14" s="1036" t="n"/>
      <c r="T14" s="988">
        <f>IF(NOT(ISNUMBER(F14)),"",IF(ISNUMBER(CE14),IF(NOT(ISNUMBER(Y14)),"",(CE14+N(U14)+N(V14))/(1+Y14)-N(U14)-N(V14)),IF(NOT(ISNUMBER(L14)),"",F14*L14+N(S14))))</f>
        <v/>
      </c>
      <c r="U14" s="1037" t="n"/>
      <c r="V14" s="1037" t="n"/>
      <c r="W14" s="988">
        <f>IF(NOT(ISNUMBER(T14)),"",T14+N(U14)+N(V14))</f>
        <v/>
      </c>
      <c r="X14" s="1035" t="n"/>
      <c r="Y14" s="985">
        <f>IF(NOT(ISNUMBER(F14)),"",IF(ISNUMBER(X14),X14,IF(NOT(ISNUMBER($H$26)),"",$H$26)))</f>
        <v/>
      </c>
      <c r="Z14" s="988">
        <f>IF(OR(NOT(ISNUMBER(W14)),NOT(ISNUMBER(Y14))),"",W14*Y14)</f>
        <v/>
      </c>
      <c r="AA14" s="988">
        <f>IF(OR(NOT(ISNUMBER(W14)),NOT(ISNUMBER(Y14))),"",W14*(1+Y14))</f>
        <v/>
      </c>
      <c r="AB14" s="988">
        <f>IF(NOT(ISNUMBER(AA14)),"",AA14-N(U14)-N(V14))</f>
        <v/>
      </c>
      <c r="AC14" s="986">
        <f>IF(OR(NOT(ISNUMBER(W14)),NOT(ISNUMBER(F14)),F14=0),"",W14/F14)</f>
        <v/>
      </c>
      <c r="AD14" s="986">
        <f>IF(OR(NOT(ISNUMBER(AB14)),NOT(ISNUMBER(F14)),F14=0),"",AB14/F14)</f>
        <v/>
      </c>
      <c r="AE14" s="988">
        <f>IF(NOT(ISNUMBER(AB14)),"",AB14)</f>
        <v/>
      </c>
      <c r="AF14" s="988">
        <f>IF(OR(NOT(ISNUMBER(AA14)),NOT(ISNUMBER($C$35))),"",AA14*$C$35)</f>
        <v/>
      </c>
      <c r="AG14" s="988">
        <f>IF(OR(NOT(ISNUMBER(AA14)),NOT(ISNUMBER(AF14))),"",AA14+AF14)</f>
        <v/>
      </c>
      <c r="AH14" s="988">
        <f>IF(OR(NOT(ISNUMBER(AA14)),NOT(ISNUMBER($H$33))),"",AA14*$H$33)</f>
        <v/>
      </c>
      <c r="AI14" s="988">
        <f>IF(OR(NOT(ISNUMBER(AG14)),NOT(ISNUMBER(AH14))),"",MAX(0,AG14-AH14))</f>
        <v/>
      </c>
      <c r="AJ14" s="988">
        <f>IF(OR(NOT(ISNUMBER(AH14)),NOT(ISNUMBER(AA14))),"",AH14-AA14)</f>
        <v/>
      </c>
      <c r="AK14" s="1038" t="n"/>
      <c r="AL14" s="989">
        <f>IF(OR(NOT(ISNUMBER(MIETER!F19)),$G14="ja"),"",IF(NOT(ISNUMBER(MIETER!J19)),"",IF(ISNUMBER(AK14),MAX(MIETER!J19,AK14),MIETER!J19)))</f>
        <v/>
      </c>
      <c r="AM14" s="1038" t="n"/>
      <c r="AN14" s="989">
        <f>IF(OR(NOT(ISNUMBER(AL14)),NOT(ISNUMBER(AM14))),"",MAX(0,AM14-AL14))</f>
        <v/>
      </c>
      <c r="AO14" s="1038" t="n"/>
      <c r="AP14" s="1038" t="n"/>
      <c r="AQ14" s="1038" t="n"/>
      <c r="AR14" s="989">
        <f>IF(NOT(ISNUMBER(F14)),"",IF(AND(NOT(ISNUMBER(AL14)),NOT(ISNUMBER(AP14)),NOT(ISNUMBER(AQ14))),"",N(AL14)+N(AP14)+N(AQ14)))</f>
        <v/>
      </c>
      <c r="AS14" s="989">
        <f>IF(OR($G14="ja",NOT(ISNUMBER(AL14)),NOT(ISNUMBER(AR14))),"",AR14+N(AN14))</f>
        <v/>
      </c>
      <c r="AT14" s="990">
        <f>IF(OR(NOT(ISNUMBER(AL14)),NOT(ISNUMBER(F14)),F14=0),"",AL14/F14)</f>
        <v/>
      </c>
      <c r="AU14" s="991">
        <f>IF(OR(NOT(ISNUMBER(MIETER!F19)),NOT(ISNUMBER(MIETER!I19))),"",MIETER!I19)</f>
        <v/>
      </c>
      <c r="AV14" s="991">
        <f>IF(OR(NOT(ISNUMBER(AU14)),$G14="ja",NOT(ISNUMBER($H$34))),"",EDATE(AU14,$H$34))</f>
        <v/>
      </c>
      <c r="AW14" s="1033" t="n"/>
      <c r="AX14" s="982">
        <f>IF(NOT(ISNUMBER(F14)),"",IF(ISNUMBER(AW14),AW14,IF(NOT(ISNUMBER(AV14)),"",MAX(0,(YEAR(AV14)-YEAR(TODAY()))*12+MONTH(AV14)-MONTH(TODAY())))))</f>
        <v/>
      </c>
      <c r="AY14" s="988">
        <f>IF(NOT(ISNUMBER(AX14)),"",IF(ISNUMBER(AO14),AO14*AX14,IF(NOT(ISNUMBER(AN14)),"",AN14*AX14)))</f>
        <v/>
      </c>
      <c r="AZ14" s="988">
        <f>IF(OR(NOT(ISNUMBER(AL14)),NOT(ISNUMBER(MIETER!$P$6))),"",ROUND(AL14*(1+MIETER!$P$6)^2,0))</f>
        <v/>
      </c>
      <c r="BA14" s="1039" t="n"/>
      <c r="BB14" s="1038" t="n"/>
      <c r="BC14" s="989">
        <f>IF(NOT(ISNUMBER(F14)),"",IF(ISNUMBER(BB14),BB14,IF(AND(ISNUMBER(BA14),ISNUMBER(AL14),AL14&gt;0),AL14*BA14,IF(OR(NOT(ISNUMBER($C$62)),NOT(ISNUMBER($C$64))),"",$C$62+$C$64*F14/12))))</f>
        <v/>
      </c>
      <c r="BD14" s="1038" t="n"/>
      <c r="BE14" s="989">
        <f>IF(NOT(ISNUMBER(BC14)),"",IF(ISNUMBER(BD14),MIN(BC14,BD14),IF(OR(NOT(ISNUMBER(F14)),NOT(ISNUMBER($C$64))),0,MIN(BC14,$C$64*F14/12))))</f>
        <v/>
      </c>
      <c r="BF14" s="987">
        <f>IF(OR(NOT(ISNUMBER(BC14)),NOT(ISNUMBER(AL14)),AL14=0),"",BC14/AL14)</f>
        <v/>
      </c>
      <c r="BG14" s="989">
        <f>IF(NOT(ISNUMBER(AL14)),"",AL14*0.01)</f>
        <v/>
      </c>
      <c r="BH14" s="988">
        <f>IF(OR(NOT(ISNUMBER(AL14)),NOT(ISNUMBER($C$28)),NOT(ISNUMBER(CD14)),CD14&lt;=0),"",AL14*0.01*(1-$C$28)/CD14)</f>
        <v/>
      </c>
      <c r="BI14" s="988">
        <f>IF(OR(NOT(ISNUMBER(K14)),NOT(ISNUMBER($H$30))),"",$H$30*K14)</f>
        <v/>
      </c>
      <c r="BJ14" s="1035" t="n"/>
      <c r="BK14" s="985">
        <f>IF(OR(NOT(ISNUMBER(BI14)),NOT(ISNUMBER(AB14)),AB14&lt;=0),"",1-BI14/AB14)</f>
        <v/>
      </c>
      <c r="BL14" s="985">
        <f>IF(NOT(ISNUMBER(AB14)),"",IF(ISNUMBER(BJ14),BJ14,IF(AND(ISNUMBER(BI14),ISNUMBER(AE14),AE14&gt;0),1-BI14/AE14,IF(NOT(ISNUMBER($C$31)),"",$C$31))))</f>
        <v/>
      </c>
      <c r="BM14" s="983">
        <f>IF(NOT(ISNUMBER(F14)),"",IF(ISNUMBER(BJ14),"vertrag",IF(ISNUMBER(BI14),"berechnet","standard")))</f>
        <v/>
      </c>
      <c r="BN14" s="1035" t="n"/>
      <c r="BO14" s="985">
        <f>IF(NOT(ISNUMBER(F14)),"",IF(ISNUMBER(BN14),BN14,IF(NOT(ISNUMBER($C$30)),"",$C$30)))</f>
        <v/>
      </c>
      <c r="BP14" s="988">
        <f>IF(OR(NOT(ISNUMBER(AE14)),NOT(ISNUMBER(BL14)),NOT(ISNUMBER($C$35))),"",AE14*(1+$C$35)*BL14)</f>
        <v/>
      </c>
      <c r="BQ14" s="989">
        <f>IF(OR(NOT(ISNUMBER(BP14)),NOT(ISNUMBER(BO14)),NOT(ISNUMBER($C$35))),"",(BP14*BO14+N(U14)*(1+$C$35)*N($H$31)+N(V14)*(1+$C$35)*N($H$32))/12)</f>
        <v/>
      </c>
      <c r="BR14" s="989">
        <f>IF(OR(NOT(ISNUMBER(AH14)),NOT(ISNUMBER($C$26))),"",AH14*$C$26/12)</f>
        <v/>
      </c>
      <c r="BS14" s="988">
        <f>IF(OR(NOT(ISNUMBER(AH14)),NOT(ISNUMBER($C$26)),NOT(ISNUMBER($C$27))),"",ROUND(AH14*($C$26+$C$27)/12,0))</f>
        <v/>
      </c>
      <c r="BT14" s="992">
        <f>IF(OR(NOT(ISNUMBER(AS14)),NOT(ISNUMBER(BQ14)),NOT(ISNUMBER(BR14)),NOT(ISNUMBER(BC14))),"",AS14-BR14-BQ14-(BC14-N(BE14)))</f>
        <v/>
      </c>
      <c r="BU14" s="993">
        <f>IF(OR(NOT(ISNUMBER(BT14)),NOT(ISNUMBER($C$28))),"",ROUND(-BT14*$C$28,0))</f>
        <v/>
      </c>
      <c r="BV14" s="989">
        <f>IF(OR(NOT(ISNUMBER(BE14)),NOT(ISNUMBER($C$28))),"",BE14*$C$28)</f>
        <v/>
      </c>
      <c r="BW14" s="993">
        <f>IF(OR(NOT(ISNUMBER(AS14)),NOT(ISNUMBER(BS14)),NOT(ISNUMBER(BC14))),"",ROUND(AS14,0)-BS14-ROUND(BC14,0))</f>
        <v/>
      </c>
      <c r="BX14" s="993">
        <f>IF(OR(NOT(ISNUMBER(BW14)),NOT(ISNUMBER(BU14))),"",BW14+BU14)</f>
        <v/>
      </c>
      <c r="BY14" s="993">
        <f>IF(OR(NOT(ISNUMBER(AR14)),NOT(ISNUMBER(BS14)),NOT(ISNUMBER(BC14)),NOT(ISNUMBER(BT14)),NOT(ISNUMBER($C$28))),"",ROUND(AR14,0)-BS14-ROUND(BC14,0)+ROUND(-(BT14-N(AN14))*$C$28,0))</f>
        <v/>
      </c>
      <c r="BZ14" s="996">
        <f>IF(OR(NOT(ISNUMBER(AA14)),NOT(ISNUMBER(AS14)),AS14=0),"",AA14/(AS14*12))</f>
        <v/>
      </c>
      <c r="CA14" s="985">
        <f>IF(OR(NOT(ISNUMBER(AA14)),NOT(ISNUMBER(AS14)),AA14=0),"",AS14*12/AA14)</f>
        <v/>
      </c>
      <c r="CB14" s="992">
        <f>IF(OR(NOT(ISNUMBER(AS14)),NOT(ISNUMBER(BC14)),NOT(ISNUMBER(BO14)),NOT(ISNUMBER($C$28)),NOT(ISNUMBER($C$35))),"",(AS14-BC14)*(1-$C$28)-$C$28*N(BE14)-IF(BM14="berechnet",$C$28*(1+$C$35)*BO14*N(BI14)/12,0))</f>
        <v/>
      </c>
      <c r="CC14" s="992">
        <f>IF(OR(NOT(ISNUMBER(F14)),NOT(ISNUMBER($C$26)),NOT(ISNUMBER($C$27)),NOT(ISNUMBER($C$28)),NOT(ISNUMBER($C$35)),NOT(ISNUMBER($H$33))),"",($C$28*(1+$C$35)*(N(U14)*N($H$31)+N(V14)*N($H$32))-(N(U14)+N(V14))*$H$33*(($C$26+$C$27)-$C$28*$C$26))/12)</f>
        <v/>
      </c>
      <c r="CD14" s="994">
        <f>IF(OR(NOT(ISNUMBER(BO14)),NOT(ISNUMBER($C$26)),NOT(ISNUMBER($C$27)),NOT(ISNUMBER($C$28)),NOT(ISNUMBER($C$35)),NOT(ISNUMBER($H$33)),BM14="",AND(BM14="standard",NOT(ISNUMBER($C$31)))),"",($H$33*(($C$26+$C$27)-$C$28*$C$26)-$C$28*(1+$C$35)*BO14*IF(BM14="berechnet",1,IF(BM14="vertrag",BJ14,$C$31)))/12)</f>
        <v/>
      </c>
      <c r="CE14" s="988">
        <f>IF(NOT(ISNUMBER(F14)),"",IF(N($O$26)=2,IF(OR(NOT(ISNUMBER(AS14)),NOT(ISNUMBER(AN14)),IF(ISNUMBER(M14),M14,N($O$28))&lt;=0),"",IF(AS14*12/IF(ISNUMBER(M14),M14,N($O$28))-N(U14)-N(V14)&lt;=0,"",AS14*12/IF(ISNUMBER(M14),M14,N($O$28))-N(U14)-N(V14))),IF(N($O$26)=3,IF(OR(NOT(ISNUMBER(CB14)),NOT(ISNUMBER(CC14)),NOT(ISNUMBER(CD14)),N(CD14)&lt;=0),"",IF((CB14+CC14+ROUND(AS14,0)-AS14-ROUND(BC14,0)+BC14-IF(ISNUMBER(N14),N14,N($O$29)))/CD14&lt;=0,"",(CB14+CC14+ROUND(AS14,0)-AS14-ROUND(BC14,0)+BC14-IF(ISNUMBER(N14),N14,N($O$29)))/CD14)),"")))</f>
        <v/>
      </c>
      <c r="CF14" s="1012" t="n"/>
      <c r="CG14" s="1012" t="n"/>
      <c r="CH14" s="1012" t="n"/>
    </row>
    <row r="15" s="545">
      <c r="A15" s="959">
        <f>IF(NOT(ISNUMBER(MIETER!F20)),"",ROW()-2)</f>
        <v/>
      </c>
      <c r="B15" s="960">
        <f>IF(NOT(ISNUMBER(MIETER!F20)),"",IF(MIETER!A20="","",MIETER!A20))</f>
        <v/>
      </c>
      <c r="C15" s="960">
        <f>IF(NOT(ISNUMBER(MIETER!F20)),"",IF(MIETER!B20="","",MIETER!B20))</f>
        <v/>
      </c>
      <c r="D15" s="960">
        <f>IF(NOT(ISNUMBER(MIETER!F20)),"",IF(MIETER!C20="","",MIETER!C20))</f>
        <v/>
      </c>
      <c r="E15" s="960">
        <f>IF(NOT(ISNUMBER(MIETER!F20)),"",IF(MIETER!D20="","",MIETER!D20))</f>
        <v/>
      </c>
      <c r="F15" s="961">
        <f>IF(NOT(ISNUMBER(MIETER!F20)),"",MIETER!F20)</f>
        <v/>
      </c>
      <c r="G15" s="1032" t="n"/>
      <c r="H15" s="1033" t="n"/>
      <c r="I15" s="1033" t="n"/>
      <c r="J15" s="1033" t="n"/>
      <c r="K15" s="964">
        <f>IF(OR(NOT(ISNUMBER(F15)),NOT(ISNUMBER(J15)),NOT(ISNUMBER($H$29)),$H$29=0),"",J15/$H$29)</f>
        <v/>
      </c>
      <c r="L15" s="1034" t="n"/>
      <c r="M15" s="1035" t="n"/>
      <c r="N15" s="1036" t="n"/>
      <c r="O15" s="960">
        <f>IF(NOT(ISNUMBER(F15)),"",IF(NOT(ISNUMBER(T15)),"kein Preis",IF(ISNUMBER(CE15),IF(N($O$26)=2,"Rendite","Cashflow"),IF(OR(N($O$26)=2,N($O$26)=3),"Regler (Rückfall)","Regler"))))</f>
        <v/>
      </c>
      <c r="P15" s="966">
        <f>IF(OR(NOT(ISNUMBER(T15)),NOT(ISNUMBER(F15)),F15=0),"",T15/F15)</f>
        <v/>
      </c>
      <c r="Q15" s="966">
        <f>IF(OR(NOT(ISNUMBER(F15)),F15=0,NOT(ISNUMBER(VERKAUFSMATRIX!U18))),"",VERKAUFSMATRIX!U18/F15)</f>
        <v/>
      </c>
      <c r="R15" s="967">
        <f>IF(OR(NOT(ISNUMBER(P15)),NOT(ISNUMBER(Q15)),Q15=0),"",P15/Q15-1)</f>
        <v/>
      </c>
      <c r="S15" s="1036" t="n"/>
      <c r="T15" s="969">
        <f>IF(NOT(ISNUMBER(F15)),"",IF(ISNUMBER(CE15),IF(NOT(ISNUMBER(Y15)),"",(CE15+N(U15)+N(V15))/(1+Y15)-N(U15)-N(V15)),IF(NOT(ISNUMBER(L15)),"",F15*L15+N(S15))))</f>
        <v/>
      </c>
      <c r="U15" s="1037" t="n"/>
      <c r="V15" s="1037" t="n"/>
      <c r="W15" s="969">
        <f>IF(NOT(ISNUMBER(T15)),"",T15+N(U15)+N(V15))</f>
        <v/>
      </c>
      <c r="X15" s="1035" t="n"/>
      <c r="Y15" s="964">
        <f>IF(NOT(ISNUMBER(F15)),"",IF(ISNUMBER(X15),X15,IF(NOT(ISNUMBER($H$26)),"",$H$26)))</f>
        <v/>
      </c>
      <c r="Z15" s="969">
        <f>IF(OR(NOT(ISNUMBER(W15)),NOT(ISNUMBER(Y15))),"",W15*Y15)</f>
        <v/>
      </c>
      <c r="AA15" s="969">
        <f>IF(OR(NOT(ISNUMBER(W15)),NOT(ISNUMBER(Y15))),"",W15*(1+Y15))</f>
        <v/>
      </c>
      <c r="AB15" s="969">
        <f>IF(NOT(ISNUMBER(AA15)),"",AA15-N(U15)-N(V15))</f>
        <v/>
      </c>
      <c r="AC15" s="966">
        <f>IF(OR(NOT(ISNUMBER(W15)),NOT(ISNUMBER(F15)),F15=0),"",W15/F15)</f>
        <v/>
      </c>
      <c r="AD15" s="966">
        <f>IF(OR(NOT(ISNUMBER(AB15)),NOT(ISNUMBER(F15)),F15=0),"",AB15/F15)</f>
        <v/>
      </c>
      <c r="AE15" s="969">
        <f>IF(NOT(ISNUMBER(AB15)),"",AB15)</f>
        <v/>
      </c>
      <c r="AF15" s="969">
        <f>IF(OR(NOT(ISNUMBER(AA15)),NOT(ISNUMBER($C$35))),"",AA15*$C$35)</f>
        <v/>
      </c>
      <c r="AG15" s="969">
        <f>IF(OR(NOT(ISNUMBER(AA15)),NOT(ISNUMBER(AF15))),"",AA15+AF15)</f>
        <v/>
      </c>
      <c r="AH15" s="969">
        <f>IF(OR(NOT(ISNUMBER(AA15)),NOT(ISNUMBER($H$33))),"",AA15*$H$33)</f>
        <v/>
      </c>
      <c r="AI15" s="969">
        <f>IF(OR(NOT(ISNUMBER(AG15)),NOT(ISNUMBER(AH15))),"",MAX(0,AG15-AH15))</f>
        <v/>
      </c>
      <c r="AJ15" s="969">
        <f>IF(OR(NOT(ISNUMBER(AH15)),NOT(ISNUMBER(AA15))),"",AH15-AA15)</f>
        <v/>
      </c>
      <c r="AK15" s="1038" t="n"/>
      <c r="AL15" s="973">
        <f>IF(OR(NOT(ISNUMBER(MIETER!F20)),$G15="ja"),"",IF(NOT(ISNUMBER(MIETER!J20)),"",IF(ISNUMBER(AK15),MAX(MIETER!J20,AK15),MIETER!J20)))</f>
        <v/>
      </c>
      <c r="AM15" s="1038" t="n"/>
      <c r="AN15" s="973">
        <f>IF(OR(NOT(ISNUMBER(AL15)),NOT(ISNUMBER(AM15))),"",MAX(0,AM15-AL15))</f>
        <v/>
      </c>
      <c r="AO15" s="1038" t="n"/>
      <c r="AP15" s="1038" t="n"/>
      <c r="AQ15" s="1038" t="n"/>
      <c r="AR15" s="973">
        <f>IF(NOT(ISNUMBER(F15)),"",IF(AND(NOT(ISNUMBER(AL15)),NOT(ISNUMBER(AP15)),NOT(ISNUMBER(AQ15))),"",N(AL15)+N(AP15)+N(AQ15)))</f>
        <v/>
      </c>
      <c r="AS15" s="973">
        <f>IF(OR($G15="ja",NOT(ISNUMBER(AL15)),NOT(ISNUMBER(AR15))),"",AR15+N(AN15))</f>
        <v/>
      </c>
      <c r="AT15" s="974">
        <f>IF(OR(NOT(ISNUMBER(AL15)),NOT(ISNUMBER(F15)),F15=0),"",AL15/F15)</f>
        <v/>
      </c>
      <c r="AU15" s="975">
        <f>IF(OR(NOT(ISNUMBER(MIETER!F20)),NOT(ISNUMBER(MIETER!I20))),"",MIETER!I20)</f>
        <v/>
      </c>
      <c r="AV15" s="975">
        <f>IF(OR(NOT(ISNUMBER(AU15)),$G15="ja",NOT(ISNUMBER($H$34))),"",EDATE(AU15,$H$34))</f>
        <v/>
      </c>
      <c r="AW15" s="1033" t="n"/>
      <c r="AX15" s="959">
        <f>IF(NOT(ISNUMBER(F15)),"",IF(ISNUMBER(AW15),AW15,IF(NOT(ISNUMBER(AV15)),"",MAX(0,(YEAR(AV15)-YEAR(TODAY()))*12+MONTH(AV15)-MONTH(TODAY())))))</f>
        <v/>
      </c>
      <c r="AY15" s="969">
        <f>IF(NOT(ISNUMBER(AX15)),"",IF(ISNUMBER(AO15),AO15*AX15,IF(NOT(ISNUMBER(AN15)),"",AN15*AX15)))</f>
        <v/>
      </c>
      <c r="AZ15" s="969">
        <f>IF(OR(NOT(ISNUMBER(AL15)),NOT(ISNUMBER(MIETER!$P$6))),"",ROUND(AL15*(1+MIETER!$P$6)^2,0))</f>
        <v/>
      </c>
      <c r="BA15" s="1039" t="n"/>
      <c r="BB15" s="1038" t="n"/>
      <c r="BC15" s="973">
        <f>IF(NOT(ISNUMBER(F15)),"",IF(ISNUMBER(BB15),BB15,IF(AND(ISNUMBER(BA15),ISNUMBER(AL15),AL15&gt;0),AL15*BA15,IF(OR(NOT(ISNUMBER($C$62)),NOT(ISNUMBER($C$64))),"",$C$62+$C$64*F15/12))))</f>
        <v/>
      </c>
      <c r="BD15" s="1038" t="n"/>
      <c r="BE15" s="973">
        <f>IF(NOT(ISNUMBER(BC15)),"",IF(ISNUMBER(BD15),MIN(BC15,BD15),IF(OR(NOT(ISNUMBER(F15)),NOT(ISNUMBER($C$64))),0,MIN(BC15,$C$64*F15/12))))</f>
        <v/>
      </c>
      <c r="BF15" s="967">
        <f>IF(OR(NOT(ISNUMBER(BC15)),NOT(ISNUMBER(AL15)),AL15=0),"",BC15/AL15)</f>
        <v/>
      </c>
      <c r="BG15" s="973">
        <f>IF(NOT(ISNUMBER(AL15)),"",AL15*0.01)</f>
        <v/>
      </c>
      <c r="BH15" s="969">
        <f>IF(OR(NOT(ISNUMBER(AL15)),NOT(ISNUMBER($C$28)),NOT(ISNUMBER(CD15)),CD15&lt;=0),"",AL15*0.01*(1-$C$28)/CD15)</f>
        <v/>
      </c>
      <c r="BI15" s="969">
        <f>IF(OR(NOT(ISNUMBER(K15)),NOT(ISNUMBER($H$30))),"",$H$30*K15)</f>
        <v/>
      </c>
      <c r="BJ15" s="1035" t="n"/>
      <c r="BK15" s="964">
        <f>IF(OR(NOT(ISNUMBER(BI15)),NOT(ISNUMBER(AB15)),AB15&lt;=0),"",1-BI15/AB15)</f>
        <v/>
      </c>
      <c r="BL15" s="964">
        <f>IF(NOT(ISNUMBER(AB15)),"",IF(ISNUMBER(BJ15),BJ15,IF(AND(ISNUMBER(BI15),ISNUMBER(AE15),AE15&gt;0),1-BI15/AE15,IF(NOT(ISNUMBER($C$31)),"",$C$31))))</f>
        <v/>
      </c>
      <c r="BM15" s="960">
        <f>IF(NOT(ISNUMBER(F15)),"",IF(ISNUMBER(BJ15),"vertrag",IF(ISNUMBER(BI15),"berechnet","standard")))</f>
        <v/>
      </c>
      <c r="BN15" s="1035" t="n"/>
      <c r="BO15" s="964">
        <f>IF(NOT(ISNUMBER(F15)),"",IF(ISNUMBER(BN15),BN15,IF(NOT(ISNUMBER($C$30)),"",$C$30)))</f>
        <v/>
      </c>
      <c r="BP15" s="969">
        <f>IF(OR(NOT(ISNUMBER(AE15)),NOT(ISNUMBER(BL15)),NOT(ISNUMBER($C$35))),"",AE15*(1+$C$35)*BL15)</f>
        <v/>
      </c>
      <c r="BQ15" s="973">
        <f>IF(OR(NOT(ISNUMBER(BP15)),NOT(ISNUMBER(BO15)),NOT(ISNUMBER($C$35))),"",(BP15*BO15+N(U15)*(1+$C$35)*N($H$31)+N(V15)*(1+$C$35)*N($H$32))/12)</f>
        <v/>
      </c>
      <c r="BR15" s="973">
        <f>IF(OR(NOT(ISNUMBER(AH15)),NOT(ISNUMBER($C$26))),"",AH15*$C$26/12)</f>
        <v/>
      </c>
      <c r="BS15" s="969">
        <f>IF(OR(NOT(ISNUMBER(AH15)),NOT(ISNUMBER($C$26)),NOT(ISNUMBER($C$27))),"",ROUND(AH15*($C$26+$C$27)/12,0))</f>
        <v/>
      </c>
      <c r="BT15" s="977">
        <f>IF(OR(NOT(ISNUMBER(AS15)),NOT(ISNUMBER(BQ15)),NOT(ISNUMBER(BR15)),NOT(ISNUMBER(BC15))),"",AS15-BR15-BQ15-(BC15-N(BE15)))</f>
        <v/>
      </c>
      <c r="BU15" s="978">
        <f>IF(OR(NOT(ISNUMBER(BT15)),NOT(ISNUMBER($C$28))),"",ROUND(-BT15*$C$28,0))</f>
        <v/>
      </c>
      <c r="BV15" s="973">
        <f>IF(OR(NOT(ISNUMBER(BE15)),NOT(ISNUMBER($C$28))),"",BE15*$C$28)</f>
        <v/>
      </c>
      <c r="BW15" s="978">
        <f>IF(OR(NOT(ISNUMBER(AS15)),NOT(ISNUMBER(BS15)),NOT(ISNUMBER(BC15))),"",ROUND(AS15,0)-BS15-ROUND(BC15,0))</f>
        <v/>
      </c>
      <c r="BX15" s="978">
        <f>IF(OR(NOT(ISNUMBER(BW15)),NOT(ISNUMBER(BU15))),"",BW15+BU15)</f>
        <v/>
      </c>
      <c r="BY15" s="978">
        <f>IF(OR(NOT(ISNUMBER(AR15)),NOT(ISNUMBER(BS15)),NOT(ISNUMBER(BC15)),NOT(ISNUMBER(BT15)),NOT(ISNUMBER($C$28))),"",ROUND(AR15,0)-BS15-ROUND(BC15,0)+ROUND(-(BT15-N(AN15))*$C$28,0))</f>
        <v/>
      </c>
      <c r="BZ15" s="981">
        <f>IF(OR(NOT(ISNUMBER(AA15)),NOT(ISNUMBER(AS15)),AS15=0),"",AA15/(AS15*12))</f>
        <v/>
      </c>
      <c r="CA15" s="964">
        <f>IF(OR(NOT(ISNUMBER(AA15)),NOT(ISNUMBER(AS15)),AA15=0),"",AS15*12/AA15)</f>
        <v/>
      </c>
      <c r="CB15" s="977">
        <f>IF(OR(NOT(ISNUMBER(AS15)),NOT(ISNUMBER(BC15)),NOT(ISNUMBER(BO15)),NOT(ISNUMBER($C$28)),NOT(ISNUMBER($C$35))),"",(AS15-BC15)*(1-$C$28)-$C$28*N(BE15)-IF(BM15="berechnet",$C$28*(1+$C$35)*BO15*N(BI15)/12,0))</f>
        <v/>
      </c>
      <c r="CC15" s="977">
        <f>IF(OR(NOT(ISNUMBER(F15)),NOT(ISNUMBER($C$26)),NOT(ISNUMBER($C$27)),NOT(ISNUMBER($C$28)),NOT(ISNUMBER($C$35)),NOT(ISNUMBER($H$33))),"",($C$28*(1+$C$35)*(N(U15)*N($H$31)+N(V15)*N($H$32))-(N(U15)+N(V15))*$H$33*(($C$26+$C$27)-$C$28*$C$26))/12)</f>
        <v/>
      </c>
      <c r="CD15" s="979">
        <f>IF(OR(NOT(ISNUMBER(BO15)),NOT(ISNUMBER($C$26)),NOT(ISNUMBER($C$27)),NOT(ISNUMBER($C$28)),NOT(ISNUMBER($C$35)),NOT(ISNUMBER($H$33)),BM15="",AND(BM15="standard",NOT(ISNUMBER($C$31)))),"",($H$33*(($C$26+$C$27)-$C$28*$C$26)-$C$28*(1+$C$35)*BO15*IF(BM15="berechnet",1,IF(BM15="vertrag",BJ15,$C$31)))/12)</f>
        <v/>
      </c>
      <c r="CE15" s="969">
        <f>IF(NOT(ISNUMBER(F15)),"",IF(N($O$26)=2,IF(OR(NOT(ISNUMBER(AS15)),NOT(ISNUMBER(AN15)),IF(ISNUMBER(M15),M15,N($O$28))&lt;=0),"",IF(AS15*12/IF(ISNUMBER(M15),M15,N($O$28))-N(U15)-N(V15)&lt;=0,"",AS15*12/IF(ISNUMBER(M15),M15,N($O$28))-N(U15)-N(V15))),IF(N($O$26)=3,IF(OR(NOT(ISNUMBER(CB15)),NOT(ISNUMBER(CC15)),NOT(ISNUMBER(CD15)),N(CD15)&lt;=0),"",IF((CB15+CC15+ROUND(AS15,0)-AS15-ROUND(BC15,0)+BC15-IF(ISNUMBER(N15),N15,N($O$29)))/CD15&lt;=0,"",(CB15+CC15+ROUND(AS15,0)-AS15-ROUND(BC15,0)+BC15-IF(ISNUMBER(N15),N15,N($O$29)))/CD15)),"")))</f>
        <v/>
      </c>
      <c r="CF15" s="1012" t="n"/>
      <c r="CG15" s="1012" t="n"/>
      <c r="CH15" s="1012" t="n"/>
    </row>
    <row r="16" s="545">
      <c r="A16" s="982">
        <f>IF(NOT(ISNUMBER(MIETER!F21)),"",ROW()-2)</f>
        <v/>
      </c>
      <c r="B16" s="983">
        <f>IF(NOT(ISNUMBER(MIETER!F21)),"",IF(MIETER!A21="","",MIETER!A21))</f>
        <v/>
      </c>
      <c r="C16" s="983">
        <f>IF(NOT(ISNUMBER(MIETER!F21)),"",IF(MIETER!B21="","",MIETER!B21))</f>
        <v/>
      </c>
      <c r="D16" s="983">
        <f>IF(NOT(ISNUMBER(MIETER!F21)),"",IF(MIETER!C21="","",MIETER!C21))</f>
        <v/>
      </c>
      <c r="E16" s="983">
        <f>IF(NOT(ISNUMBER(MIETER!F21)),"",IF(MIETER!D21="","",MIETER!D21))</f>
        <v/>
      </c>
      <c r="F16" s="984">
        <f>IF(NOT(ISNUMBER(MIETER!F21)),"",MIETER!F21)</f>
        <v/>
      </c>
      <c r="G16" s="1032" t="n"/>
      <c r="H16" s="1033" t="n"/>
      <c r="I16" s="1033" t="n"/>
      <c r="J16" s="1033" t="n"/>
      <c r="K16" s="985">
        <f>IF(OR(NOT(ISNUMBER(F16)),NOT(ISNUMBER(J16)),NOT(ISNUMBER($H$29)),$H$29=0),"",J16/$H$29)</f>
        <v/>
      </c>
      <c r="L16" s="1034" t="n"/>
      <c r="M16" s="1035" t="n"/>
      <c r="N16" s="1036" t="n"/>
      <c r="O16" s="983">
        <f>IF(NOT(ISNUMBER(F16)),"",IF(NOT(ISNUMBER(T16)),"kein Preis",IF(ISNUMBER(CE16),IF(N($O$26)=2,"Rendite","Cashflow"),IF(OR(N($O$26)=2,N($O$26)=3),"Regler (Rückfall)","Regler"))))</f>
        <v/>
      </c>
      <c r="P16" s="986">
        <f>IF(OR(NOT(ISNUMBER(T16)),NOT(ISNUMBER(F16)),F16=0),"",T16/F16)</f>
        <v/>
      </c>
      <c r="Q16" s="986">
        <f>IF(OR(NOT(ISNUMBER(F16)),F16=0,NOT(ISNUMBER(VERKAUFSMATRIX!U19))),"",VERKAUFSMATRIX!U19/F16)</f>
        <v/>
      </c>
      <c r="R16" s="987">
        <f>IF(OR(NOT(ISNUMBER(P16)),NOT(ISNUMBER(Q16)),Q16=0),"",P16/Q16-1)</f>
        <v/>
      </c>
      <c r="S16" s="1036" t="n"/>
      <c r="T16" s="988">
        <f>IF(NOT(ISNUMBER(F16)),"",IF(ISNUMBER(CE16),IF(NOT(ISNUMBER(Y16)),"",(CE16+N(U16)+N(V16))/(1+Y16)-N(U16)-N(V16)),IF(NOT(ISNUMBER(L16)),"",F16*L16+N(S16))))</f>
        <v/>
      </c>
      <c r="U16" s="1037" t="n"/>
      <c r="V16" s="1037" t="n"/>
      <c r="W16" s="988">
        <f>IF(NOT(ISNUMBER(T16)),"",T16+N(U16)+N(V16))</f>
        <v/>
      </c>
      <c r="X16" s="1035" t="n"/>
      <c r="Y16" s="985">
        <f>IF(NOT(ISNUMBER(F16)),"",IF(ISNUMBER(X16),X16,IF(NOT(ISNUMBER($H$26)),"",$H$26)))</f>
        <v/>
      </c>
      <c r="Z16" s="988">
        <f>IF(OR(NOT(ISNUMBER(W16)),NOT(ISNUMBER(Y16))),"",W16*Y16)</f>
        <v/>
      </c>
      <c r="AA16" s="988">
        <f>IF(OR(NOT(ISNUMBER(W16)),NOT(ISNUMBER(Y16))),"",W16*(1+Y16))</f>
        <v/>
      </c>
      <c r="AB16" s="988">
        <f>IF(NOT(ISNUMBER(AA16)),"",AA16-N(U16)-N(V16))</f>
        <v/>
      </c>
      <c r="AC16" s="986">
        <f>IF(OR(NOT(ISNUMBER(W16)),NOT(ISNUMBER(F16)),F16=0),"",W16/F16)</f>
        <v/>
      </c>
      <c r="AD16" s="986">
        <f>IF(OR(NOT(ISNUMBER(AB16)),NOT(ISNUMBER(F16)),F16=0),"",AB16/F16)</f>
        <v/>
      </c>
      <c r="AE16" s="988">
        <f>IF(NOT(ISNUMBER(AB16)),"",AB16)</f>
        <v/>
      </c>
      <c r="AF16" s="988">
        <f>IF(OR(NOT(ISNUMBER(AA16)),NOT(ISNUMBER($C$35))),"",AA16*$C$35)</f>
        <v/>
      </c>
      <c r="AG16" s="988">
        <f>IF(OR(NOT(ISNUMBER(AA16)),NOT(ISNUMBER(AF16))),"",AA16+AF16)</f>
        <v/>
      </c>
      <c r="AH16" s="988">
        <f>IF(OR(NOT(ISNUMBER(AA16)),NOT(ISNUMBER($H$33))),"",AA16*$H$33)</f>
        <v/>
      </c>
      <c r="AI16" s="988">
        <f>IF(OR(NOT(ISNUMBER(AG16)),NOT(ISNUMBER(AH16))),"",MAX(0,AG16-AH16))</f>
        <v/>
      </c>
      <c r="AJ16" s="988">
        <f>IF(OR(NOT(ISNUMBER(AH16)),NOT(ISNUMBER(AA16))),"",AH16-AA16)</f>
        <v/>
      </c>
      <c r="AK16" s="1038" t="n"/>
      <c r="AL16" s="989">
        <f>IF(OR(NOT(ISNUMBER(MIETER!F21)),$G16="ja"),"",IF(NOT(ISNUMBER(MIETER!J21)),"",IF(ISNUMBER(AK16),MAX(MIETER!J21,AK16),MIETER!J21)))</f>
        <v/>
      </c>
      <c r="AM16" s="1038" t="n"/>
      <c r="AN16" s="989">
        <f>IF(OR(NOT(ISNUMBER(AL16)),NOT(ISNUMBER(AM16))),"",MAX(0,AM16-AL16))</f>
        <v/>
      </c>
      <c r="AO16" s="1038" t="n"/>
      <c r="AP16" s="1038" t="n"/>
      <c r="AQ16" s="1038" t="n"/>
      <c r="AR16" s="989">
        <f>IF(NOT(ISNUMBER(F16)),"",IF(AND(NOT(ISNUMBER(AL16)),NOT(ISNUMBER(AP16)),NOT(ISNUMBER(AQ16))),"",N(AL16)+N(AP16)+N(AQ16)))</f>
        <v/>
      </c>
      <c r="AS16" s="989">
        <f>IF(OR($G16="ja",NOT(ISNUMBER(AL16)),NOT(ISNUMBER(AR16))),"",AR16+N(AN16))</f>
        <v/>
      </c>
      <c r="AT16" s="990">
        <f>IF(OR(NOT(ISNUMBER(AL16)),NOT(ISNUMBER(F16)),F16=0),"",AL16/F16)</f>
        <v/>
      </c>
      <c r="AU16" s="991">
        <f>IF(OR(NOT(ISNUMBER(MIETER!F21)),NOT(ISNUMBER(MIETER!I21))),"",MIETER!I21)</f>
        <v/>
      </c>
      <c r="AV16" s="991">
        <f>IF(OR(NOT(ISNUMBER(AU16)),$G16="ja",NOT(ISNUMBER($H$34))),"",EDATE(AU16,$H$34))</f>
        <v/>
      </c>
      <c r="AW16" s="1033" t="n"/>
      <c r="AX16" s="982">
        <f>IF(NOT(ISNUMBER(F16)),"",IF(ISNUMBER(AW16),AW16,IF(NOT(ISNUMBER(AV16)),"",MAX(0,(YEAR(AV16)-YEAR(TODAY()))*12+MONTH(AV16)-MONTH(TODAY())))))</f>
        <v/>
      </c>
      <c r="AY16" s="988">
        <f>IF(NOT(ISNUMBER(AX16)),"",IF(ISNUMBER(AO16),AO16*AX16,IF(NOT(ISNUMBER(AN16)),"",AN16*AX16)))</f>
        <v/>
      </c>
      <c r="AZ16" s="988">
        <f>IF(OR(NOT(ISNUMBER(AL16)),NOT(ISNUMBER(MIETER!$P$6))),"",ROUND(AL16*(1+MIETER!$P$6)^2,0))</f>
        <v/>
      </c>
      <c r="BA16" s="1039" t="n"/>
      <c r="BB16" s="1038" t="n"/>
      <c r="BC16" s="989">
        <f>IF(NOT(ISNUMBER(F16)),"",IF(ISNUMBER(BB16),BB16,IF(AND(ISNUMBER(BA16),ISNUMBER(AL16),AL16&gt;0),AL16*BA16,IF(OR(NOT(ISNUMBER($C$62)),NOT(ISNUMBER($C$64))),"",$C$62+$C$64*F16/12))))</f>
        <v/>
      </c>
      <c r="BD16" s="1038" t="n"/>
      <c r="BE16" s="989">
        <f>IF(NOT(ISNUMBER(BC16)),"",IF(ISNUMBER(BD16),MIN(BC16,BD16),IF(OR(NOT(ISNUMBER(F16)),NOT(ISNUMBER($C$64))),0,MIN(BC16,$C$64*F16/12))))</f>
        <v/>
      </c>
      <c r="BF16" s="987">
        <f>IF(OR(NOT(ISNUMBER(BC16)),NOT(ISNUMBER(AL16)),AL16=0),"",BC16/AL16)</f>
        <v/>
      </c>
      <c r="BG16" s="989">
        <f>IF(NOT(ISNUMBER(AL16)),"",AL16*0.01)</f>
        <v/>
      </c>
      <c r="BH16" s="988">
        <f>IF(OR(NOT(ISNUMBER(AL16)),NOT(ISNUMBER($C$28)),NOT(ISNUMBER(CD16)),CD16&lt;=0),"",AL16*0.01*(1-$C$28)/CD16)</f>
        <v/>
      </c>
      <c r="BI16" s="988">
        <f>IF(OR(NOT(ISNUMBER(K16)),NOT(ISNUMBER($H$30))),"",$H$30*K16)</f>
        <v/>
      </c>
      <c r="BJ16" s="1035" t="n"/>
      <c r="BK16" s="985">
        <f>IF(OR(NOT(ISNUMBER(BI16)),NOT(ISNUMBER(AB16)),AB16&lt;=0),"",1-BI16/AB16)</f>
        <v/>
      </c>
      <c r="BL16" s="985">
        <f>IF(NOT(ISNUMBER(AB16)),"",IF(ISNUMBER(BJ16),BJ16,IF(AND(ISNUMBER(BI16),ISNUMBER(AE16),AE16&gt;0),1-BI16/AE16,IF(NOT(ISNUMBER($C$31)),"",$C$31))))</f>
        <v/>
      </c>
      <c r="BM16" s="983">
        <f>IF(NOT(ISNUMBER(F16)),"",IF(ISNUMBER(BJ16),"vertrag",IF(ISNUMBER(BI16),"berechnet","standard")))</f>
        <v/>
      </c>
      <c r="BN16" s="1035" t="n"/>
      <c r="BO16" s="985">
        <f>IF(NOT(ISNUMBER(F16)),"",IF(ISNUMBER(BN16),BN16,IF(NOT(ISNUMBER($C$30)),"",$C$30)))</f>
        <v/>
      </c>
      <c r="BP16" s="988">
        <f>IF(OR(NOT(ISNUMBER(AE16)),NOT(ISNUMBER(BL16)),NOT(ISNUMBER($C$35))),"",AE16*(1+$C$35)*BL16)</f>
        <v/>
      </c>
      <c r="BQ16" s="989">
        <f>IF(OR(NOT(ISNUMBER(BP16)),NOT(ISNUMBER(BO16)),NOT(ISNUMBER($C$35))),"",(BP16*BO16+N(U16)*(1+$C$35)*N($H$31)+N(V16)*(1+$C$35)*N($H$32))/12)</f>
        <v/>
      </c>
      <c r="BR16" s="989">
        <f>IF(OR(NOT(ISNUMBER(AH16)),NOT(ISNUMBER($C$26))),"",AH16*$C$26/12)</f>
        <v/>
      </c>
      <c r="BS16" s="988">
        <f>IF(OR(NOT(ISNUMBER(AH16)),NOT(ISNUMBER($C$26)),NOT(ISNUMBER($C$27))),"",ROUND(AH16*($C$26+$C$27)/12,0))</f>
        <v/>
      </c>
      <c r="BT16" s="992">
        <f>IF(OR(NOT(ISNUMBER(AS16)),NOT(ISNUMBER(BQ16)),NOT(ISNUMBER(BR16)),NOT(ISNUMBER(BC16))),"",AS16-BR16-BQ16-(BC16-N(BE16)))</f>
        <v/>
      </c>
      <c r="BU16" s="993">
        <f>IF(OR(NOT(ISNUMBER(BT16)),NOT(ISNUMBER($C$28))),"",ROUND(-BT16*$C$28,0))</f>
        <v/>
      </c>
      <c r="BV16" s="989">
        <f>IF(OR(NOT(ISNUMBER(BE16)),NOT(ISNUMBER($C$28))),"",BE16*$C$28)</f>
        <v/>
      </c>
      <c r="BW16" s="993">
        <f>IF(OR(NOT(ISNUMBER(AS16)),NOT(ISNUMBER(BS16)),NOT(ISNUMBER(BC16))),"",ROUND(AS16,0)-BS16-ROUND(BC16,0))</f>
        <v/>
      </c>
      <c r="BX16" s="993">
        <f>IF(OR(NOT(ISNUMBER(BW16)),NOT(ISNUMBER(BU16))),"",BW16+BU16)</f>
        <v/>
      </c>
      <c r="BY16" s="993">
        <f>IF(OR(NOT(ISNUMBER(AR16)),NOT(ISNUMBER(BS16)),NOT(ISNUMBER(BC16)),NOT(ISNUMBER(BT16)),NOT(ISNUMBER($C$28))),"",ROUND(AR16,0)-BS16-ROUND(BC16,0)+ROUND(-(BT16-N(AN16))*$C$28,0))</f>
        <v/>
      </c>
      <c r="BZ16" s="996">
        <f>IF(OR(NOT(ISNUMBER(AA16)),NOT(ISNUMBER(AS16)),AS16=0),"",AA16/(AS16*12))</f>
        <v/>
      </c>
      <c r="CA16" s="985">
        <f>IF(OR(NOT(ISNUMBER(AA16)),NOT(ISNUMBER(AS16)),AA16=0),"",AS16*12/AA16)</f>
        <v/>
      </c>
      <c r="CB16" s="992">
        <f>IF(OR(NOT(ISNUMBER(AS16)),NOT(ISNUMBER(BC16)),NOT(ISNUMBER(BO16)),NOT(ISNUMBER($C$28)),NOT(ISNUMBER($C$35))),"",(AS16-BC16)*(1-$C$28)-$C$28*N(BE16)-IF(BM16="berechnet",$C$28*(1+$C$35)*BO16*N(BI16)/12,0))</f>
        <v/>
      </c>
      <c r="CC16" s="992">
        <f>IF(OR(NOT(ISNUMBER(F16)),NOT(ISNUMBER($C$26)),NOT(ISNUMBER($C$27)),NOT(ISNUMBER($C$28)),NOT(ISNUMBER($C$35)),NOT(ISNUMBER($H$33))),"",($C$28*(1+$C$35)*(N(U16)*N($H$31)+N(V16)*N($H$32))-(N(U16)+N(V16))*$H$33*(($C$26+$C$27)-$C$28*$C$26))/12)</f>
        <v/>
      </c>
      <c r="CD16" s="994">
        <f>IF(OR(NOT(ISNUMBER(BO16)),NOT(ISNUMBER($C$26)),NOT(ISNUMBER($C$27)),NOT(ISNUMBER($C$28)),NOT(ISNUMBER($C$35)),NOT(ISNUMBER($H$33)),BM16="",AND(BM16="standard",NOT(ISNUMBER($C$31)))),"",($H$33*(($C$26+$C$27)-$C$28*$C$26)-$C$28*(1+$C$35)*BO16*IF(BM16="berechnet",1,IF(BM16="vertrag",BJ16,$C$31)))/12)</f>
        <v/>
      </c>
      <c r="CE16" s="988">
        <f>IF(NOT(ISNUMBER(F16)),"",IF(N($O$26)=2,IF(OR(NOT(ISNUMBER(AS16)),NOT(ISNUMBER(AN16)),IF(ISNUMBER(M16),M16,N($O$28))&lt;=0),"",IF(AS16*12/IF(ISNUMBER(M16),M16,N($O$28))-N(U16)-N(V16)&lt;=0,"",AS16*12/IF(ISNUMBER(M16),M16,N($O$28))-N(U16)-N(V16))),IF(N($O$26)=3,IF(OR(NOT(ISNUMBER(CB16)),NOT(ISNUMBER(CC16)),NOT(ISNUMBER(CD16)),N(CD16)&lt;=0),"",IF((CB16+CC16+ROUND(AS16,0)-AS16-ROUND(BC16,0)+BC16-IF(ISNUMBER(N16),N16,N($O$29)))/CD16&lt;=0,"",(CB16+CC16+ROUND(AS16,0)-AS16-ROUND(BC16,0)+BC16-IF(ISNUMBER(N16),N16,N($O$29)))/CD16)),"")))</f>
        <v/>
      </c>
      <c r="CF16" s="1012" t="n"/>
      <c r="CG16" s="1012" t="n"/>
      <c r="CH16" s="1012" t="n"/>
    </row>
    <row r="17" s="545">
      <c r="A17" s="959">
        <f>IF(NOT(ISNUMBER(MIETER!F22)),"",ROW()-2)</f>
        <v/>
      </c>
      <c r="B17" s="960">
        <f>IF(NOT(ISNUMBER(MIETER!F22)),"",IF(MIETER!A22="","",MIETER!A22))</f>
        <v/>
      </c>
      <c r="C17" s="960">
        <f>IF(NOT(ISNUMBER(MIETER!F22)),"",IF(MIETER!B22="","",MIETER!B22))</f>
        <v/>
      </c>
      <c r="D17" s="960">
        <f>IF(NOT(ISNUMBER(MIETER!F22)),"",IF(MIETER!C22="","",MIETER!C22))</f>
        <v/>
      </c>
      <c r="E17" s="960">
        <f>IF(NOT(ISNUMBER(MIETER!F22)),"",IF(MIETER!D22="","",MIETER!D22))</f>
        <v/>
      </c>
      <c r="F17" s="961">
        <f>IF(NOT(ISNUMBER(MIETER!F22)),"",MIETER!F22)</f>
        <v/>
      </c>
      <c r="G17" s="1032" t="n"/>
      <c r="H17" s="1033" t="n"/>
      <c r="I17" s="1033" t="n"/>
      <c r="J17" s="1033" t="n"/>
      <c r="K17" s="964">
        <f>IF(OR(NOT(ISNUMBER(F17)),NOT(ISNUMBER(J17)),NOT(ISNUMBER($H$29)),$H$29=0),"",J17/$H$29)</f>
        <v/>
      </c>
      <c r="L17" s="1034" t="n"/>
      <c r="M17" s="1035" t="n"/>
      <c r="N17" s="1036" t="n"/>
      <c r="O17" s="960">
        <f>IF(NOT(ISNUMBER(F17)),"",IF(NOT(ISNUMBER(T17)),"kein Preis",IF(ISNUMBER(CE17),IF(N($O$26)=2,"Rendite","Cashflow"),IF(OR(N($O$26)=2,N($O$26)=3),"Regler (Rückfall)","Regler"))))</f>
        <v/>
      </c>
      <c r="P17" s="966">
        <f>IF(OR(NOT(ISNUMBER(T17)),NOT(ISNUMBER(F17)),F17=0),"",T17/F17)</f>
        <v/>
      </c>
      <c r="Q17" s="966">
        <f>IF(OR(NOT(ISNUMBER(F17)),F17=0,NOT(ISNUMBER(VERKAUFSMATRIX!U20))),"",VERKAUFSMATRIX!U20/F17)</f>
        <v/>
      </c>
      <c r="R17" s="967">
        <f>IF(OR(NOT(ISNUMBER(P17)),NOT(ISNUMBER(Q17)),Q17=0),"",P17/Q17-1)</f>
        <v/>
      </c>
      <c r="S17" s="1036" t="n"/>
      <c r="T17" s="969">
        <f>IF(NOT(ISNUMBER(F17)),"",IF(ISNUMBER(CE17),IF(NOT(ISNUMBER(Y17)),"",(CE17+N(U17)+N(V17))/(1+Y17)-N(U17)-N(V17)),IF(NOT(ISNUMBER(L17)),"",F17*L17+N(S17))))</f>
        <v/>
      </c>
      <c r="U17" s="1037" t="n"/>
      <c r="V17" s="1037" t="n"/>
      <c r="W17" s="969">
        <f>IF(NOT(ISNUMBER(T17)),"",T17+N(U17)+N(V17))</f>
        <v/>
      </c>
      <c r="X17" s="1035" t="n"/>
      <c r="Y17" s="964">
        <f>IF(NOT(ISNUMBER(F17)),"",IF(ISNUMBER(X17),X17,IF(NOT(ISNUMBER($H$26)),"",$H$26)))</f>
        <v/>
      </c>
      <c r="Z17" s="969">
        <f>IF(OR(NOT(ISNUMBER(W17)),NOT(ISNUMBER(Y17))),"",W17*Y17)</f>
        <v/>
      </c>
      <c r="AA17" s="969">
        <f>IF(OR(NOT(ISNUMBER(W17)),NOT(ISNUMBER(Y17))),"",W17*(1+Y17))</f>
        <v/>
      </c>
      <c r="AB17" s="969">
        <f>IF(NOT(ISNUMBER(AA17)),"",AA17-N(U17)-N(V17))</f>
        <v/>
      </c>
      <c r="AC17" s="966">
        <f>IF(OR(NOT(ISNUMBER(W17)),NOT(ISNUMBER(F17)),F17=0),"",W17/F17)</f>
        <v/>
      </c>
      <c r="AD17" s="966">
        <f>IF(OR(NOT(ISNUMBER(AB17)),NOT(ISNUMBER(F17)),F17=0),"",AB17/F17)</f>
        <v/>
      </c>
      <c r="AE17" s="969">
        <f>IF(NOT(ISNUMBER(AB17)),"",AB17)</f>
        <v/>
      </c>
      <c r="AF17" s="969">
        <f>IF(OR(NOT(ISNUMBER(AA17)),NOT(ISNUMBER($C$35))),"",AA17*$C$35)</f>
        <v/>
      </c>
      <c r="AG17" s="969">
        <f>IF(OR(NOT(ISNUMBER(AA17)),NOT(ISNUMBER(AF17))),"",AA17+AF17)</f>
        <v/>
      </c>
      <c r="AH17" s="969">
        <f>IF(OR(NOT(ISNUMBER(AA17)),NOT(ISNUMBER($H$33))),"",AA17*$H$33)</f>
        <v/>
      </c>
      <c r="AI17" s="969">
        <f>IF(OR(NOT(ISNUMBER(AG17)),NOT(ISNUMBER(AH17))),"",MAX(0,AG17-AH17))</f>
        <v/>
      </c>
      <c r="AJ17" s="969">
        <f>IF(OR(NOT(ISNUMBER(AH17)),NOT(ISNUMBER(AA17))),"",AH17-AA17)</f>
        <v/>
      </c>
      <c r="AK17" s="1038" t="n"/>
      <c r="AL17" s="973">
        <f>IF(OR(NOT(ISNUMBER(MIETER!F22)),$G17="ja"),"",IF(NOT(ISNUMBER(MIETER!J22)),"",IF(ISNUMBER(AK17),MAX(MIETER!J22,AK17),MIETER!J22)))</f>
        <v/>
      </c>
      <c r="AM17" s="1038" t="n"/>
      <c r="AN17" s="973">
        <f>IF(OR(NOT(ISNUMBER(AL17)),NOT(ISNUMBER(AM17))),"",MAX(0,AM17-AL17))</f>
        <v/>
      </c>
      <c r="AO17" s="1038" t="n"/>
      <c r="AP17" s="1038" t="n"/>
      <c r="AQ17" s="1038" t="n"/>
      <c r="AR17" s="973">
        <f>IF(NOT(ISNUMBER(F17)),"",IF(AND(NOT(ISNUMBER(AL17)),NOT(ISNUMBER(AP17)),NOT(ISNUMBER(AQ17))),"",N(AL17)+N(AP17)+N(AQ17)))</f>
        <v/>
      </c>
      <c r="AS17" s="973">
        <f>IF(OR($G17="ja",NOT(ISNUMBER(AL17)),NOT(ISNUMBER(AR17))),"",AR17+N(AN17))</f>
        <v/>
      </c>
      <c r="AT17" s="974">
        <f>IF(OR(NOT(ISNUMBER(AL17)),NOT(ISNUMBER(F17)),F17=0),"",AL17/F17)</f>
        <v/>
      </c>
      <c r="AU17" s="975">
        <f>IF(OR(NOT(ISNUMBER(MIETER!F22)),NOT(ISNUMBER(MIETER!I22))),"",MIETER!I22)</f>
        <v/>
      </c>
      <c r="AV17" s="975">
        <f>IF(OR(NOT(ISNUMBER(AU17)),$G17="ja",NOT(ISNUMBER($H$34))),"",EDATE(AU17,$H$34))</f>
        <v/>
      </c>
      <c r="AW17" s="1033" t="n"/>
      <c r="AX17" s="959">
        <f>IF(NOT(ISNUMBER(F17)),"",IF(ISNUMBER(AW17),AW17,IF(NOT(ISNUMBER(AV17)),"",MAX(0,(YEAR(AV17)-YEAR(TODAY()))*12+MONTH(AV17)-MONTH(TODAY())))))</f>
        <v/>
      </c>
      <c r="AY17" s="969">
        <f>IF(NOT(ISNUMBER(AX17)),"",IF(ISNUMBER(AO17),AO17*AX17,IF(NOT(ISNUMBER(AN17)),"",AN17*AX17)))</f>
        <v/>
      </c>
      <c r="AZ17" s="969">
        <f>IF(OR(NOT(ISNUMBER(AL17)),NOT(ISNUMBER(MIETER!$P$6))),"",ROUND(AL17*(1+MIETER!$P$6)^2,0))</f>
        <v/>
      </c>
      <c r="BA17" s="1039" t="n"/>
      <c r="BB17" s="1038" t="n"/>
      <c r="BC17" s="973">
        <f>IF(NOT(ISNUMBER(F17)),"",IF(ISNUMBER(BB17),BB17,IF(AND(ISNUMBER(BA17),ISNUMBER(AL17),AL17&gt;0),AL17*BA17,IF(OR(NOT(ISNUMBER($C$62)),NOT(ISNUMBER($C$64))),"",$C$62+$C$64*F17/12))))</f>
        <v/>
      </c>
      <c r="BD17" s="1038" t="n"/>
      <c r="BE17" s="973">
        <f>IF(NOT(ISNUMBER(BC17)),"",IF(ISNUMBER(BD17),MIN(BC17,BD17),IF(OR(NOT(ISNUMBER(F17)),NOT(ISNUMBER($C$64))),0,MIN(BC17,$C$64*F17/12))))</f>
        <v/>
      </c>
      <c r="BF17" s="967">
        <f>IF(OR(NOT(ISNUMBER(BC17)),NOT(ISNUMBER(AL17)),AL17=0),"",BC17/AL17)</f>
        <v/>
      </c>
      <c r="BG17" s="973">
        <f>IF(NOT(ISNUMBER(AL17)),"",AL17*0.01)</f>
        <v/>
      </c>
      <c r="BH17" s="969">
        <f>IF(OR(NOT(ISNUMBER(AL17)),NOT(ISNUMBER($C$28)),NOT(ISNUMBER(CD17)),CD17&lt;=0),"",AL17*0.01*(1-$C$28)/CD17)</f>
        <v/>
      </c>
      <c r="BI17" s="969">
        <f>IF(OR(NOT(ISNUMBER(K17)),NOT(ISNUMBER($H$30))),"",$H$30*K17)</f>
        <v/>
      </c>
      <c r="BJ17" s="1035" t="n"/>
      <c r="BK17" s="964">
        <f>IF(OR(NOT(ISNUMBER(BI17)),NOT(ISNUMBER(AB17)),AB17&lt;=0),"",1-BI17/AB17)</f>
        <v/>
      </c>
      <c r="BL17" s="964">
        <f>IF(NOT(ISNUMBER(AB17)),"",IF(ISNUMBER(BJ17),BJ17,IF(AND(ISNUMBER(BI17),ISNUMBER(AE17),AE17&gt;0),1-BI17/AE17,IF(NOT(ISNUMBER($C$31)),"",$C$31))))</f>
        <v/>
      </c>
      <c r="BM17" s="960">
        <f>IF(NOT(ISNUMBER(F17)),"",IF(ISNUMBER(BJ17),"vertrag",IF(ISNUMBER(BI17),"berechnet","standard")))</f>
        <v/>
      </c>
      <c r="BN17" s="1035" t="n"/>
      <c r="BO17" s="964">
        <f>IF(NOT(ISNUMBER(F17)),"",IF(ISNUMBER(BN17),BN17,IF(NOT(ISNUMBER($C$30)),"",$C$30)))</f>
        <v/>
      </c>
      <c r="BP17" s="969">
        <f>IF(OR(NOT(ISNUMBER(AE17)),NOT(ISNUMBER(BL17)),NOT(ISNUMBER($C$35))),"",AE17*(1+$C$35)*BL17)</f>
        <v/>
      </c>
      <c r="BQ17" s="973">
        <f>IF(OR(NOT(ISNUMBER(BP17)),NOT(ISNUMBER(BO17)),NOT(ISNUMBER($C$35))),"",(BP17*BO17+N(U17)*(1+$C$35)*N($H$31)+N(V17)*(1+$C$35)*N($H$32))/12)</f>
        <v/>
      </c>
      <c r="BR17" s="973">
        <f>IF(OR(NOT(ISNUMBER(AH17)),NOT(ISNUMBER($C$26))),"",AH17*$C$26/12)</f>
        <v/>
      </c>
      <c r="BS17" s="969">
        <f>IF(OR(NOT(ISNUMBER(AH17)),NOT(ISNUMBER($C$26)),NOT(ISNUMBER($C$27))),"",ROUND(AH17*($C$26+$C$27)/12,0))</f>
        <v/>
      </c>
      <c r="BT17" s="977">
        <f>IF(OR(NOT(ISNUMBER(AS17)),NOT(ISNUMBER(BQ17)),NOT(ISNUMBER(BR17)),NOT(ISNUMBER(BC17))),"",AS17-BR17-BQ17-(BC17-N(BE17)))</f>
        <v/>
      </c>
      <c r="BU17" s="978">
        <f>IF(OR(NOT(ISNUMBER(BT17)),NOT(ISNUMBER($C$28))),"",ROUND(-BT17*$C$28,0))</f>
        <v/>
      </c>
      <c r="BV17" s="973">
        <f>IF(OR(NOT(ISNUMBER(BE17)),NOT(ISNUMBER($C$28))),"",BE17*$C$28)</f>
        <v/>
      </c>
      <c r="BW17" s="978">
        <f>IF(OR(NOT(ISNUMBER(AS17)),NOT(ISNUMBER(BS17)),NOT(ISNUMBER(BC17))),"",ROUND(AS17,0)-BS17-ROUND(BC17,0))</f>
        <v/>
      </c>
      <c r="BX17" s="978">
        <f>IF(OR(NOT(ISNUMBER(BW17)),NOT(ISNUMBER(BU17))),"",BW17+BU17)</f>
        <v/>
      </c>
      <c r="BY17" s="978">
        <f>IF(OR(NOT(ISNUMBER(AR17)),NOT(ISNUMBER(BS17)),NOT(ISNUMBER(BC17)),NOT(ISNUMBER(BT17)),NOT(ISNUMBER($C$28))),"",ROUND(AR17,0)-BS17-ROUND(BC17,0)+ROUND(-(BT17-N(AN17))*$C$28,0))</f>
        <v/>
      </c>
      <c r="BZ17" s="981">
        <f>IF(OR(NOT(ISNUMBER(AA17)),NOT(ISNUMBER(AS17)),AS17=0),"",AA17/(AS17*12))</f>
        <v/>
      </c>
      <c r="CA17" s="964">
        <f>IF(OR(NOT(ISNUMBER(AA17)),NOT(ISNUMBER(AS17)),AA17=0),"",AS17*12/AA17)</f>
        <v/>
      </c>
      <c r="CB17" s="977">
        <f>IF(OR(NOT(ISNUMBER(AS17)),NOT(ISNUMBER(BC17)),NOT(ISNUMBER(BO17)),NOT(ISNUMBER($C$28)),NOT(ISNUMBER($C$35))),"",(AS17-BC17)*(1-$C$28)-$C$28*N(BE17)-IF(BM17="berechnet",$C$28*(1+$C$35)*BO17*N(BI17)/12,0))</f>
        <v/>
      </c>
      <c r="CC17" s="977">
        <f>IF(OR(NOT(ISNUMBER(F17)),NOT(ISNUMBER($C$26)),NOT(ISNUMBER($C$27)),NOT(ISNUMBER($C$28)),NOT(ISNUMBER($C$35)),NOT(ISNUMBER($H$33))),"",($C$28*(1+$C$35)*(N(U17)*N($H$31)+N(V17)*N($H$32))-(N(U17)+N(V17))*$H$33*(($C$26+$C$27)-$C$28*$C$26))/12)</f>
        <v/>
      </c>
      <c r="CD17" s="979">
        <f>IF(OR(NOT(ISNUMBER(BO17)),NOT(ISNUMBER($C$26)),NOT(ISNUMBER($C$27)),NOT(ISNUMBER($C$28)),NOT(ISNUMBER($C$35)),NOT(ISNUMBER($H$33)),BM17="",AND(BM17="standard",NOT(ISNUMBER($C$31)))),"",($H$33*(($C$26+$C$27)-$C$28*$C$26)-$C$28*(1+$C$35)*BO17*IF(BM17="berechnet",1,IF(BM17="vertrag",BJ17,$C$31)))/12)</f>
        <v/>
      </c>
      <c r="CE17" s="969">
        <f>IF(NOT(ISNUMBER(F17)),"",IF(N($O$26)=2,IF(OR(NOT(ISNUMBER(AS17)),NOT(ISNUMBER(AN17)),IF(ISNUMBER(M17),M17,N($O$28))&lt;=0),"",IF(AS17*12/IF(ISNUMBER(M17),M17,N($O$28))-N(U17)-N(V17)&lt;=0,"",AS17*12/IF(ISNUMBER(M17),M17,N($O$28))-N(U17)-N(V17))),IF(N($O$26)=3,IF(OR(NOT(ISNUMBER(CB17)),NOT(ISNUMBER(CC17)),NOT(ISNUMBER(CD17)),N(CD17)&lt;=0),"",IF((CB17+CC17+ROUND(AS17,0)-AS17-ROUND(BC17,0)+BC17-IF(ISNUMBER(N17),N17,N($O$29)))/CD17&lt;=0,"",(CB17+CC17+ROUND(AS17,0)-AS17-ROUND(BC17,0)+BC17-IF(ISNUMBER(N17),N17,N($O$29)))/CD17)),"")))</f>
        <v/>
      </c>
      <c r="CF17" s="1012" t="n"/>
      <c r="CG17" s="1012" t="n"/>
      <c r="CH17" s="1012" t="n"/>
    </row>
    <row r="18" s="545">
      <c r="A18" s="982">
        <f>IF(NOT(ISNUMBER(MIETER!F23)),"",ROW()-2)</f>
        <v/>
      </c>
      <c r="B18" s="983">
        <f>IF(NOT(ISNUMBER(MIETER!F23)),"",IF(MIETER!A23="","",MIETER!A23))</f>
        <v/>
      </c>
      <c r="C18" s="983">
        <f>IF(NOT(ISNUMBER(MIETER!F23)),"",IF(MIETER!B23="","",MIETER!B23))</f>
        <v/>
      </c>
      <c r="D18" s="983">
        <f>IF(NOT(ISNUMBER(MIETER!F23)),"",IF(MIETER!C23="","",MIETER!C23))</f>
        <v/>
      </c>
      <c r="E18" s="983">
        <f>IF(NOT(ISNUMBER(MIETER!F23)),"",IF(MIETER!D23="","",MIETER!D23))</f>
        <v/>
      </c>
      <c r="F18" s="984">
        <f>IF(NOT(ISNUMBER(MIETER!F23)),"",MIETER!F23)</f>
        <v/>
      </c>
      <c r="G18" s="1032" t="n"/>
      <c r="H18" s="1033" t="n"/>
      <c r="I18" s="1033" t="n"/>
      <c r="J18" s="1033" t="n"/>
      <c r="K18" s="985">
        <f>IF(OR(NOT(ISNUMBER(F18)),NOT(ISNUMBER(J18)),NOT(ISNUMBER($H$29)),$H$29=0),"",J18/$H$29)</f>
        <v/>
      </c>
      <c r="L18" s="1034" t="n"/>
      <c r="M18" s="1035" t="n"/>
      <c r="N18" s="1036" t="n"/>
      <c r="O18" s="983">
        <f>IF(NOT(ISNUMBER(F18)),"",IF(NOT(ISNUMBER(T18)),"kein Preis",IF(ISNUMBER(CE18),IF(N($O$26)=2,"Rendite","Cashflow"),IF(OR(N($O$26)=2,N($O$26)=3),"Regler (Rückfall)","Regler"))))</f>
        <v/>
      </c>
      <c r="P18" s="986">
        <f>IF(OR(NOT(ISNUMBER(T18)),NOT(ISNUMBER(F18)),F18=0),"",T18/F18)</f>
        <v/>
      </c>
      <c r="Q18" s="986">
        <f>IF(OR(NOT(ISNUMBER(F18)),F18=0,NOT(ISNUMBER(VERKAUFSMATRIX!U21))),"",VERKAUFSMATRIX!U21/F18)</f>
        <v/>
      </c>
      <c r="R18" s="987">
        <f>IF(OR(NOT(ISNUMBER(P18)),NOT(ISNUMBER(Q18)),Q18=0),"",P18/Q18-1)</f>
        <v/>
      </c>
      <c r="S18" s="1036" t="n"/>
      <c r="T18" s="988">
        <f>IF(NOT(ISNUMBER(F18)),"",IF(ISNUMBER(CE18),IF(NOT(ISNUMBER(Y18)),"",(CE18+N(U18)+N(V18))/(1+Y18)-N(U18)-N(V18)),IF(NOT(ISNUMBER(L18)),"",F18*L18+N(S18))))</f>
        <v/>
      </c>
      <c r="U18" s="1037" t="n"/>
      <c r="V18" s="1037" t="n"/>
      <c r="W18" s="988">
        <f>IF(NOT(ISNUMBER(T18)),"",T18+N(U18)+N(V18))</f>
        <v/>
      </c>
      <c r="X18" s="1035" t="n"/>
      <c r="Y18" s="985">
        <f>IF(NOT(ISNUMBER(F18)),"",IF(ISNUMBER(X18),X18,IF(NOT(ISNUMBER($H$26)),"",$H$26)))</f>
        <v/>
      </c>
      <c r="Z18" s="988">
        <f>IF(OR(NOT(ISNUMBER(W18)),NOT(ISNUMBER(Y18))),"",W18*Y18)</f>
        <v/>
      </c>
      <c r="AA18" s="988">
        <f>IF(OR(NOT(ISNUMBER(W18)),NOT(ISNUMBER(Y18))),"",W18*(1+Y18))</f>
        <v/>
      </c>
      <c r="AB18" s="988">
        <f>IF(NOT(ISNUMBER(AA18)),"",AA18-N(U18)-N(V18))</f>
        <v/>
      </c>
      <c r="AC18" s="986">
        <f>IF(OR(NOT(ISNUMBER(W18)),NOT(ISNUMBER(F18)),F18=0),"",W18/F18)</f>
        <v/>
      </c>
      <c r="AD18" s="986">
        <f>IF(OR(NOT(ISNUMBER(AB18)),NOT(ISNUMBER(F18)),F18=0),"",AB18/F18)</f>
        <v/>
      </c>
      <c r="AE18" s="988">
        <f>IF(NOT(ISNUMBER(AB18)),"",AB18)</f>
        <v/>
      </c>
      <c r="AF18" s="988">
        <f>IF(OR(NOT(ISNUMBER(AA18)),NOT(ISNUMBER($C$35))),"",AA18*$C$35)</f>
        <v/>
      </c>
      <c r="AG18" s="988">
        <f>IF(OR(NOT(ISNUMBER(AA18)),NOT(ISNUMBER(AF18))),"",AA18+AF18)</f>
        <v/>
      </c>
      <c r="AH18" s="988">
        <f>IF(OR(NOT(ISNUMBER(AA18)),NOT(ISNUMBER($H$33))),"",AA18*$H$33)</f>
        <v/>
      </c>
      <c r="AI18" s="988">
        <f>IF(OR(NOT(ISNUMBER(AG18)),NOT(ISNUMBER(AH18))),"",MAX(0,AG18-AH18))</f>
        <v/>
      </c>
      <c r="AJ18" s="988">
        <f>IF(OR(NOT(ISNUMBER(AH18)),NOT(ISNUMBER(AA18))),"",AH18-AA18)</f>
        <v/>
      </c>
      <c r="AK18" s="1038" t="n"/>
      <c r="AL18" s="989">
        <f>IF(OR(NOT(ISNUMBER(MIETER!F23)),$G18="ja"),"",IF(NOT(ISNUMBER(MIETER!J23)),"",IF(ISNUMBER(AK18),MAX(MIETER!J23,AK18),MIETER!J23)))</f>
        <v/>
      </c>
      <c r="AM18" s="1038" t="n"/>
      <c r="AN18" s="989">
        <f>IF(OR(NOT(ISNUMBER(AL18)),NOT(ISNUMBER(AM18))),"",MAX(0,AM18-AL18))</f>
        <v/>
      </c>
      <c r="AO18" s="1038" t="n"/>
      <c r="AP18" s="1038" t="n"/>
      <c r="AQ18" s="1038" t="n"/>
      <c r="AR18" s="989">
        <f>IF(NOT(ISNUMBER(F18)),"",IF(AND(NOT(ISNUMBER(AL18)),NOT(ISNUMBER(AP18)),NOT(ISNUMBER(AQ18))),"",N(AL18)+N(AP18)+N(AQ18)))</f>
        <v/>
      </c>
      <c r="AS18" s="989">
        <f>IF(OR($G18="ja",NOT(ISNUMBER(AL18)),NOT(ISNUMBER(AR18))),"",AR18+N(AN18))</f>
        <v/>
      </c>
      <c r="AT18" s="990">
        <f>IF(OR(NOT(ISNUMBER(AL18)),NOT(ISNUMBER(F18)),F18=0),"",AL18/F18)</f>
        <v/>
      </c>
      <c r="AU18" s="991">
        <f>IF(OR(NOT(ISNUMBER(MIETER!F23)),NOT(ISNUMBER(MIETER!I23))),"",MIETER!I23)</f>
        <v/>
      </c>
      <c r="AV18" s="991">
        <f>IF(OR(NOT(ISNUMBER(AU18)),$G18="ja",NOT(ISNUMBER($H$34))),"",EDATE(AU18,$H$34))</f>
        <v/>
      </c>
      <c r="AW18" s="1033" t="n"/>
      <c r="AX18" s="982">
        <f>IF(NOT(ISNUMBER(F18)),"",IF(ISNUMBER(AW18),AW18,IF(NOT(ISNUMBER(AV18)),"",MAX(0,(YEAR(AV18)-YEAR(TODAY()))*12+MONTH(AV18)-MONTH(TODAY())))))</f>
        <v/>
      </c>
      <c r="AY18" s="988">
        <f>IF(NOT(ISNUMBER(AX18)),"",IF(ISNUMBER(AO18),AO18*AX18,IF(NOT(ISNUMBER(AN18)),"",AN18*AX18)))</f>
        <v/>
      </c>
      <c r="AZ18" s="988">
        <f>IF(OR(NOT(ISNUMBER(AL18)),NOT(ISNUMBER(MIETER!$P$6))),"",ROUND(AL18*(1+MIETER!$P$6)^2,0))</f>
        <v/>
      </c>
      <c r="BA18" s="1039" t="n"/>
      <c r="BB18" s="1038" t="n"/>
      <c r="BC18" s="989">
        <f>IF(NOT(ISNUMBER(F18)),"",IF(ISNUMBER(BB18),BB18,IF(AND(ISNUMBER(BA18),ISNUMBER(AL18),AL18&gt;0),AL18*BA18,IF(OR(NOT(ISNUMBER($C$62)),NOT(ISNUMBER($C$64))),"",$C$62+$C$64*F18/12))))</f>
        <v/>
      </c>
      <c r="BD18" s="1038" t="n"/>
      <c r="BE18" s="989">
        <f>IF(NOT(ISNUMBER(BC18)),"",IF(ISNUMBER(BD18),MIN(BC18,BD18),IF(OR(NOT(ISNUMBER(F18)),NOT(ISNUMBER($C$64))),0,MIN(BC18,$C$64*F18/12))))</f>
        <v/>
      </c>
      <c r="BF18" s="987">
        <f>IF(OR(NOT(ISNUMBER(BC18)),NOT(ISNUMBER(AL18)),AL18=0),"",BC18/AL18)</f>
        <v/>
      </c>
      <c r="BG18" s="989">
        <f>IF(NOT(ISNUMBER(AL18)),"",AL18*0.01)</f>
        <v/>
      </c>
      <c r="BH18" s="988">
        <f>IF(OR(NOT(ISNUMBER(AL18)),NOT(ISNUMBER($C$28)),NOT(ISNUMBER(CD18)),CD18&lt;=0),"",AL18*0.01*(1-$C$28)/CD18)</f>
        <v/>
      </c>
      <c r="BI18" s="988">
        <f>IF(OR(NOT(ISNUMBER(K18)),NOT(ISNUMBER($H$30))),"",$H$30*K18)</f>
        <v/>
      </c>
      <c r="BJ18" s="1035" t="n"/>
      <c r="BK18" s="985">
        <f>IF(OR(NOT(ISNUMBER(BI18)),NOT(ISNUMBER(AB18)),AB18&lt;=0),"",1-BI18/AB18)</f>
        <v/>
      </c>
      <c r="BL18" s="985">
        <f>IF(NOT(ISNUMBER(AB18)),"",IF(ISNUMBER(BJ18),BJ18,IF(AND(ISNUMBER(BI18),ISNUMBER(AE18),AE18&gt;0),1-BI18/AE18,IF(NOT(ISNUMBER($C$31)),"",$C$31))))</f>
        <v/>
      </c>
      <c r="BM18" s="983">
        <f>IF(NOT(ISNUMBER(F18)),"",IF(ISNUMBER(BJ18),"vertrag",IF(ISNUMBER(BI18),"berechnet","standard")))</f>
        <v/>
      </c>
      <c r="BN18" s="1035" t="n"/>
      <c r="BO18" s="985">
        <f>IF(NOT(ISNUMBER(F18)),"",IF(ISNUMBER(BN18),BN18,IF(NOT(ISNUMBER($C$30)),"",$C$30)))</f>
        <v/>
      </c>
      <c r="BP18" s="988">
        <f>IF(OR(NOT(ISNUMBER(AE18)),NOT(ISNUMBER(BL18)),NOT(ISNUMBER($C$35))),"",AE18*(1+$C$35)*BL18)</f>
        <v/>
      </c>
      <c r="BQ18" s="989">
        <f>IF(OR(NOT(ISNUMBER(BP18)),NOT(ISNUMBER(BO18)),NOT(ISNUMBER($C$35))),"",(BP18*BO18+N(U18)*(1+$C$35)*N($H$31)+N(V18)*(1+$C$35)*N($H$32))/12)</f>
        <v/>
      </c>
      <c r="BR18" s="989">
        <f>IF(OR(NOT(ISNUMBER(AH18)),NOT(ISNUMBER($C$26))),"",AH18*$C$26/12)</f>
        <v/>
      </c>
      <c r="BS18" s="988">
        <f>IF(OR(NOT(ISNUMBER(AH18)),NOT(ISNUMBER($C$26)),NOT(ISNUMBER($C$27))),"",ROUND(AH18*($C$26+$C$27)/12,0))</f>
        <v/>
      </c>
      <c r="BT18" s="992">
        <f>IF(OR(NOT(ISNUMBER(AS18)),NOT(ISNUMBER(BQ18)),NOT(ISNUMBER(BR18)),NOT(ISNUMBER(BC18))),"",AS18-BR18-BQ18-(BC18-N(BE18)))</f>
        <v/>
      </c>
      <c r="BU18" s="993">
        <f>IF(OR(NOT(ISNUMBER(BT18)),NOT(ISNUMBER($C$28))),"",ROUND(-BT18*$C$28,0))</f>
        <v/>
      </c>
      <c r="BV18" s="989">
        <f>IF(OR(NOT(ISNUMBER(BE18)),NOT(ISNUMBER($C$28))),"",BE18*$C$28)</f>
        <v/>
      </c>
      <c r="BW18" s="993">
        <f>IF(OR(NOT(ISNUMBER(AS18)),NOT(ISNUMBER(BS18)),NOT(ISNUMBER(BC18))),"",ROUND(AS18,0)-BS18-ROUND(BC18,0))</f>
        <v/>
      </c>
      <c r="BX18" s="993">
        <f>IF(OR(NOT(ISNUMBER(BW18)),NOT(ISNUMBER(BU18))),"",BW18+BU18)</f>
        <v/>
      </c>
      <c r="BY18" s="993">
        <f>IF(OR(NOT(ISNUMBER(AR18)),NOT(ISNUMBER(BS18)),NOT(ISNUMBER(BC18)),NOT(ISNUMBER(BT18)),NOT(ISNUMBER($C$28))),"",ROUND(AR18,0)-BS18-ROUND(BC18,0)+ROUND(-(BT18-N(AN18))*$C$28,0))</f>
        <v/>
      </c>
      <c r="BZ18" s="996">
        <f>IF(OR(NOT(ISNUMBER(AA18)),NOT(ISNUMBER(AS18)),AS18=0),"",AA18/(AS18*12))</f>
        <v/>
      </c>
      <c r="CA18" s="985">
        <f>IF(OR(NOT(ISNUMBER(AA18)),NOT(ISNUMBER(AS18)),AA18=0),"",AS18*12/AA18)</f>
        <v/>
      </c>
      <c r="CB18" s="992">
        <f>IF(OR(NOT(ISNUMBER(AS18)),NOT(ISNUMBER(BC18)),NOT(ISNUMBER(BO18)),NOT(ISNUMBER($C$28)),NOT(ISNUMBER($C$35))),"",(AS18-BC18)*(1-$C$28)-$C$28*N(BE18)-IF(BM18="berechnet",$C$28*(1+$C$35)*BO18*N(BI18)/12,0))</f>
        <v/>
      </c>
      <c r="CC18" s="992">
        <f>IF(OR(NOT(ISNUMBER(F18)),NOT(ISNUMBER($C$26)),NOT(ISNUMBER($C$27)),NOT(ISNUMBER($C$28)),NOT(ISNUMBER($C$35)),NOT(ISNUMBER($H$33))),"",($C$28*(1+$C$35)*(N(U18)*N($H$31)+N(V18)*N($H$32))-(N(U18)+N(V18))*$H$33*(($C$26+$C$27)-$C$28*$C$26))/12)</f>
        <v/>
      </c>
      <c r="CD18" s="994">
        <f>IF(OR(NOT(ISNUMBER(BO18)),NOT(ISNUMBER($C$26)),NOT(ISNUMBER($C$27)),NOT(ISNUMBER($C$28)),NOT(ISNUMBER($C$35)),NOT(ISNUMBER($H$33)),BM18="",AND(BM18="standard",NOT(ISNUMBER($C$31)))),"",($H$33*(($C$26+$C$27)-$C$28*$C$26)-$C$28*(1+$C$35)*BO18*IF(BM18="berechnet",1,IF(BM18="vertrag",BJ18,$C$31)))/12)</f>
        <v/>
      </c>
      <c r="CE18" s="988">
        <f>IF(NOT(ISNUMBER(F18)),"",IF(N($O$26)=2,IF(OR(NOT(ISNUMBER(AS18)),NOT(ISNUMBER(AN18)),IF(ISNUMBER(M18),M18,N($O$28))&lt;=0),"",IF(AS18*12/IF(ISNUMBER(M18),M18,N($O$28))-N(U18)-N(V18)&lt;=0,"",AS18*12/IF(ISNUMBER(M18),M18,N($O$28))-N(U18)-N(V18))),IF(N($O$26)=3,IF(OR(NOT(ISNUMBER(CB18)),NOT(ISNUMBER(CC18)),NOT(ISNUMBER(CD18)),N(CD18)&lt;=0),"",IF((CB18+CC18+ROUND(AS18,0)-AS18-ROUND(BC18,0)+BC18-IF(ISNUMBER(N18),N18,N($O$29)))/CD18&lt;=0,"",(CB18+CC18+ROUND(AS18,0)-AS18-ROUND(BC18,0)+BC18-IF(ISNUMBER(N18),N18,N($O$29)))/CD18)),"")))</f>
        <v/>
      </c>
      <c r="CF18" s="1012" t="n"/>
      <c r="CG18" s="1012" t="n"/>
      <c r="CH18" s="1012" t="n"/>
    </row>
    <row r="19" s="545">
      <c r="A19" s="959">
        <f>IF(NOT(ISNUMBER(MIETER!F24)),"",ROW()-2)</f>
        <v/>
      </c>
      <c r="B19" s="960">
        <f>IF(NOT(ISNUMBER(MIETER!F24)),"",IF(MIETER!A24="","",MIETER!A24))</f>
        <v/>
      </c>
      <c r="C19" s="960">
        <f>IF(NOT(ISNUMBER(MIETER!F24)),"",IF(MIETER!B24="","",MIETER!B24))</f>
        <v/>
      </c>
      <c r="D19" s="960">
        <f>IF(NOT(ISNUMBER(MIETER!F24)),"",IF(MIETER!C24="","",MIETER!C24))</f>
        <v/>
      </c>
      <c r="E19" s="960">
        <f>IF(NOT(ISNUMBER(MIETER!F24)),"",IF(MIETER!D24="","",MIETER!D24))</f>
        <v/>
      </c>
      <c r="F19" s="961">
        <f>IF(NOT(ISNUMBER(MIETER!F24)),"",MIETER!F24)</f>
        <v/>
      </c>
      <c r="G19" s="1032" t="n"/>
      <c r="H19" s="1033" t="n"/>
      <c r="I19" s="1033" t="n"/>
      <c r="J19" s="1033" t="n"/>
      <c r="K19" s="964">
        <f>IF(OR(NOT(ISNUMBER(F19)),NOT(ISNUMBER(J19)),NOT(ISNUMBER($H$29)),$H$29=0),"",J19/$H$29)</f>
        <v/>
      </c>
      <c r="L19" s="1034" t="n"/>
      <c r="M19" s="1035" t="n"/>
      <c r="N19" s="1036" t="n"/>
      <c r="O19" s="960">
        <f>IF(NOT(ISNUMBER(F19)),"",IF(NOT(ISNUMBER(T19)),"kein Preis",IF(ISNUMBER(CE19),IF(N($O$26)=2,"Rendite","Cashflow"),IF(OR(N($O$26)=2,N($O$26)=3),"Regler (Rückfall)","Regler"))))</f>
        <v/>
      </c>
      <c r="P19" s="966">
        <f>IF(OR(NOT(ISNUMBER(T19)),NOT(ISNUMBER(F19)),F19=0),"",T19/F19)</f>
        <v/>
      </c>
      <c r="Q19" s="966">
        <f>IF(OR(NOT(ISNUMBER(F19)),F19=0,NOT(ISNUMBER(VERKAUFSMATRIX!U22))),"",VERKAUFSMATRIX!U22/F19)</f>
        <v/>
      </c>
      <c r="R19" s="967">
        <f>IF(OR(NOT(ISNUMBER(P19)),NOT(ISNUMBER(Q19)),Q19=0),"",P19/Q19-1)</f>
        <v/>
      </c>
      <c r="S19" s="1036" t="n"/>
      <c r="T19" s="969">
        <f>IF(NOT(ISNUMBER(F19)),"",IF(ISNUMBER(CE19),IF(NOT(ISNUMBER(Y19)),"",(CE19+N(U19)+N(V19))/(1+Y19)-N(U19)-N(V19)),IF(NOT(ISNUMBER(L19)),"",F19*L19+N(S19))))</f>
        <v/>
      </c>
      <c r="U19" s="1037" t="n"/>
      <c r="V19" s="1037" t="n"/>
      <c r="W19" s="969">
        <f>IF(NOT(ISNUMBER(T19)),"",T19+N(U19)+N(V19))</f>
        <v/>
      </c>
      <c r="X19" s="1035" t="n"/>
      <c r="Y19" s="964">
        <f>IF(NOT(ISNUMBER(F19)),"",IF(ISNUMBER(X19),X19,IF(NOT(ISNUMBER($H$26)),"",$H$26)))</f>
        <v/>
      </c>
      <c r="Z19" s="969">
        <f>IF(OR(NOT(ISNUMBER(W19)),NOT(ISNUMBER(Y19))),"",W19*Y19)</f>
        <v/>
      </c>
      <c r="AA19" s="969">
        <f>IF(OR(NOT(ISNUMBER(W19)),NOT(ISNUMBER(Y19))),"",W19*(1+Y19))</f>
        <v/>
      </c>
      <c r="AB19" s="969">
        <f>IF(NOT(ISNUMBER(AA19)),"",AA19-N(U19)-N(V19))</f>
        <v/>
      </c>
      <c r="AC19" s="966">
        <f>IF(OR(NOT(ISNUMBER(W19)),NOT(ISNUMBER(F19)),F19=0),"",W19/F19)</f>
        <v/>
      </c>
      <c r="AD19" s="966">
        <f>IF(OR(NOT(ISNUMBER(AB19)),NOT(ISNUMBER(F19)),F19=0),"",AB19/F19)</f>
        <v/>
      </c>
      <c r="AE19" s="969">
        <f>IF(NOT(ISNUMBER(AB19)),"",AB19)</f>
        <v/>
      </c>
      <c r="AF19" s="969">
        <f>IF(OR(NOT(ISNUMBER(AA19)),NOT(ISNUMBER($C$35))),"",AA19*$C$35)</f>
        <v/>
      </c>
      <c r="AG19" s="969">
        <f>IF(OR(NOT(ISNUMBER(AA19)),NOT(ISNUMBER(AF19))),"",AA19+AF19)</f>
        <v/>
      </c>
      <c r="AH19" s="969">
        <f>IF(OR(NOT(ISNUMBER(AA19)),NOT(ISNUMBER($H$33))),"",AA19*$H$33)</f>
        <v/>
      </c>
      <c r="AI19" s="969">
        <f>IF(OR(NOT(ISNUMBER(AG19)),NOT(ISNUMBER(AH19))),"",MAX(0,AG19-AH19))</f>
        <v/>
      </c>
      <c r="AJ19" s="969">
        <f>IF(OR(NOT(ISNUMBER(AH19)),NOT(ISNUMBER(AA19))),"",AH19-AA19)</f>
        <v/>
      </c>
      <c r="AK19" s="1038" t="n"/>
      <c r="AL19" s="973">
        <f>IF(OR(NOT(ISNUMBER(MIETER!F24)),$G19="ja"),"",IF(NOT(ISNUMBER(MIETER!J24)),"",IF(ISNUMBER(AK19),MAX(MIETER!J24,AK19),MIETER!J24)))</f>
        <v/>
      </c>
      <c r="AM19" s="1038" t="n"/>
      <c r="AN19" s="973">
        <f>IF(OR(NOT(ISNUMBER(AL19)),NOT(ISNUMBER(AM19))),"",MAX(0,AM19-AL19))</f>
        <v/>
      </c>
      <c r="AO19" s="1038" t="n"/>
      <c r="AP19" s="1038" t="n"/>
      <c r="AQ19" s="1038" t="n"/>
      <c r="AR19" s="973">
        <f>IF(NOT(ISNUMBER(F19)),"",IF(AND(NOT(ISNUMBER(AL19)),NOT(ISNUMBER(AP19)),NOT(ISNUMBER(AQ19))),"",N(AL19)+N(AP19)+N(AQ19)))</f>
        <v/>
      </c>
      <c r="AS19" s="973">
        <f>IF(OR($G19="ja",NOT(ISNUMBER(AL19)),NOT(ISNUMBER(AR19))),"",AR19+N(AN19))</f>
        <v/>
      </c>
      <c r="AT19" s="974">
        <f>IF(OR(NOT(ISNUMBER(AL19)),NOT(ISNUMBER(F19)),F19=0),"",AL19/F19)</f>
        <v/>
      </c>
      <c r="AU19" s="975">
        <f>IF(OR(NOT(ISNUMBER(MIETER!F24)),NOT(ISNUMBER(MIETER!I24))),"",MIETER!I24)</f>
        <v/>
      </c>
      <c r="AV19" s="975">
        <f>IF(OR(NOT(ISNUMBER(AU19)),$G19="ja",NOT(ISNUMBER($H$34))),"",EDATE(AU19,$H$34))</f>
        <v/>
      </c>
      <c r="AW19" s="1033" t="n"/>
      <c r="AX19" s="959">
        <f>IF(NOT(ISNUMBER(F19)),"",IF(ISNUMBER(AW19),AW19,IF(NOT(ISNUMBER(AV19)),"",MAX(0,(YEAR(AV19)-YEAR(TODAY()))*12+MONTH(AV19)-MONTH(TODAY())))))</f>
        <v/>
      </c>
      <c r="AY19" s="969">
        <f>IF(NOT(ISNUMBER(AX19)),"",IF(ISNUMBER(AO19),AO19*AX19,IF(NOT(ISNUMBER(AN19)),"",AN19*AX19)))</f>
        <v/>
      </c>
      <c r="AZ19" s="969">
        <f>IF(OR(NOT(ISNUMBER(AL19)),NOT(ISNUMBER(MIETER!$P$6))),"",ROUND(AL19*(1+MIETER!$P$6)^2,0))</f>
        <v/>
      </c>
      <c r="BA19" s="1039" t="n"/>
      <c r="BB19" s="1038" t="n"/>
      <c r="BC19" s="973">
        <f>IF(NOT(ISNUMBER(F19)),"",IF(ISNUMBER(BB19),BB19,IF(AND(ISNUMBER(BA19),ISNUMBER(AL19),AL19&gt;0),AL19*BA19,IF(OR(NOT(ISNUMBER($C$62)),NOT(ISNUMBER($C$64))),"",$C$62+$C$64*F19/12))))</f>
        <v/>
      </c>
      <c r="BD19" s="1038" t="n"/>
      <c r="BE19" s="973">
        <f>IF(NOT(ISNUMBER(BC19)),"",IF(ISNUMBER(BD19),MIN(BC19,BD19),IF(OR(NOT(ISNUMBER(F19)),NOT(ISNUMBER($C$64))),0,MIN(BC19,$C$64*F19/12))))</f>
        <v/>
      </c>
      <c r="BF19" s="967">
        <f>IF(OR(NOT(ISNUMBER(BC19)),NOT(ISNUMBER(AL19)),AL19=0),"",BC19/AL19)</f>
        <v/>
      </c>
      <c r="BG19" s="973">
        <f>IF(NOT(ISNUMBER(AL19)),"",AL19*0.01)</f>
        <v/>
      </c>
      <c r="BH19" s="969">
        <f>IF(OR(NOT(ISNUMBER(AL19)),NOT(ISNUMBER($C$28)),NOT(ISNUMBER(CD19)),CD19&lt;=0),"",AL19*0.01*(1-$C$28)/CD19)</f>
        <v/>
      </c>
      <c r="BI19" s="969">
        <f>IF(OR(NOT(ISNUMBER(K19)),NOT(ISNUMBER($H$30))),"",$H$30*K19)</f>
        <v/>
      </c>
      <c r="BJ19" s="1035" t="n"/>
      <c r="BK19" s="964">
        <f>IF(OR(NOT(ISNUMBER(BI19)),NOT(ISNUMBER(AB19)),AB19&lt;=0),"",1-BI19/AB19)</f>
        <v/>
      </c>
      <c r="BL19" s="964">
        <f>IF(NOT(ISNUMBER(AB19)),"",IF(ISNUMBER(BJ19),BJ19,IF(AND(ISNUMBER(BI19),ISNUMBER(AE19),AE19&gt;0),1-BI19/AE19,IF(NOT(ISNUMBER($C$31)),"",$C$31))))</f>
        <v/>
      </c>
      <c r="BM19" s="960">
        <f>IF(NOT(ISNUMBER(F19)),"",IF(ISNUMBER(BJ19),"vertrag",IF(ISNUMBER(BI19),"berechnet","standard")))</f>
        <v/>
      </c>
      <c r="BN19" s="1035" t="n"/>
      <c r="BO19" s="964">
        <f>IF(NOT(ISNUMBER(F19)),"",IF(ISNUMBER(BN19),BN19,IF(NOT(ISNUMBER($C$30)),"",$C$30)))</f>
        <v/>
      </c>
      <c r="BP19" s="969">
        <f>IF(OR(NOT(ISNUMBER(AE19)),NOT(ISNUMBER(BL19)),NOT(ISNUMBER($C$35))),"",AE19*(1+$C$35)*BL19)</f>
        <v/>
      </c>
      <c r="BQ19" s="973">
        <f>IF(OR(NOT(ISNUMBER(BP19)),NOT(ISNUMBER(BO19)),NOT(ISNUMBER($C$35))),"",(BP19*BO19+N(U19)*(1+$C$35)*N($H$31)+N(V19)*(1+$C$35)*N($H$32))/12)</f>
        <v/>
      </c>
      <c r="BR19" s="973">
        <f>IF(OR(NOT(ISNUMBER(AH19)),NOT(ISNUMBER($C$26))),"",AH19*$C$26/12)</f>
        <v/>
      </c>
      <c r="BS19" s="969">
        <f>IF(OR(NOT(ISNUMBER(AH19)),NOT(ISNUMBER($C$26)),NOT(ISNUMBER($C$27))),"",ROUND(AH19*($C$26+$C$27)/12,0))</f>
        <v/>
      </c>
      <c r="BT19" s="977">
        <f>IF(OR(NOT(ISNUMBER(AS19)),NOT(ISNUMBER(BQ19)),NOT(ISNUMBER(BR19)),NOT(ISNUMBER(BC19))),"",AS19-BR19-BQ19-(BC19-N(BE19)))</f>
        <v/>
      </c>
      <c r="BU19" s="978">
        <f>IF(OR(NOT(ISNUMBER(BT19)),NOT(ISNUMBER($C$28))),"",ROUND(-BT19*$C$28,0))</f>
        <v/>
      </c>
      <c r="BV19" s="973">
        <f>IF(OR(NOT(ISNUMBER(BE19)),NOT(ISNUMBER($C$28))),"",BE19*$C$28)</f>
        <v/>
      </c>
      <c r="BW19" s="978">
        <f>IF(OR(NOT(ISNUMBER(AS19)),NOT(ISNUMBER(BS19)),NOT(ISNUMBER(BC19))),"",ROUND(AS19,0)-BS19-ROUND(BC19,0))</f>
        <v/>
      </c>
      <c r="BX19" s="978">
        <f>IF(OR(NOT(ISNUMBER(BW19)),NOT(ISNUMBER(BU19))),"",BW19+BU19)</f>
        <v/>
      </c>
      <c r="BY19" s="978">
        <f>IF(OR(NOT(ISNUMBER(AR19)),NOT(ISNUMBER(BS19)),NOT(ISNUMBER(BC19)),NOT(ISNUMBER(BT19)),NOT(ISNUMBER($C$28))),"",ROUND(AR19,0)-BS19-ROUND(BC19,0)+ROUND(-(BT19-N(AN19))*$C$28,0))</f>
        <v/>
      </c>
      <c r="BZ19" s="981">
        <f>IF(OR(NOT(ISNUMBER(AA19)),NOT(ISNUMBER(AS19)),AS19=0),"",AA19/(AS19*12))</f>
        <v/>
      </c>
      <c r="CA19" s="964">
        <f>IF(OR(NOT(ISNUMBER(AA19)),NOT(ISNUMBER(AS19)),AA19=0),"",AS19*12/AA19)</f>
        <v/>
      </c>
      <c r="CB19" s="977">
        <f>IF(OR(NOT(ISNUMBER(AS19)),NOT(ISNUMBER(BC19)),NOT(ISNUMBER(BO19)),NOT(ISNUMBER($C$28)),NOT(ISNUMBER($C$35))),"",(AS19-BC19)*(1-$C$28)-$C$28*N(BE19)-IF(BM19="berechnet",$C$28*(1+$C$35)*BO19*N(BI19)/12,0))</f>
        <v/>
      </c>
      <c r="CC19" s="977">
        <f>IF(OR(NOT(ISNUMBER(F19)),NOT(ISNUMBER($C$26)),NOT(ISNUMBER($C$27)),NOT(ISNUMBER($C$28)),NOT(ISNUMBER($C$35)),NOT(ISNUMBER($H$33))),"",($C$28*(1+$C$35)*(N(U19)*N($H$31)+N(V19)*N($H$32))-(N(U19)+N(V19))*$H$33*(($C$26+$C$27)-$C$28*$C$26))/12)</f>
        <v/>
      </c>
      <c r="CD19" s="979">
        <f>IF(OR(NOT(ISNUMBER(BO19)),NOT(ISNUMBER($C$26)),NOT(ISNUMBER($C$27)),NOT(ISNUMBER($C$28)),NOT(ISNUMBER($C$35)),NOT(ISNUMBER($H$33)),BM19="",AND(BM19="standard",NOT(ISNUMBER($C$31)))),"",($H$33*(($C$26+$C$27)-$C$28*$C$26)-$C$28*(1+$C$35)*BO19*IF(BM19="berechnet",1,IF(BM19="vertrag",BJ19,$C$31)))/12)</f>
        <v/>
      </c>
      <c r="CE19" s="969">
        <f>IF(NOT(ISNUMBER(F19)),"",IF(N($O$26)=2,IF(OR(NOT(ISNUMBER(AS19)),NOT(ISNUMBER(AN19)),IF(ISNUMBER(M19),M19,N($O$28))&lt;=0),"",IF(AS19*12/IF(ISNUMBER(M19),M19,N($O$28))-N(U19)-N(V19)&lt;=0,"",AS19*12/IF(ISNUMBER(M19),M19,N($O$28))-N(U19)-N(V19))),IF(N($O$26)=3,IF(OR(NOT(ISNUMBER(CB19)),NOT(ISNUMBER(CC19)),NOT(ISNUMBER(CD19)),N(CD19)&lt;=0),"",IF((CB19+CC19+ROUND(AS19,0)-AS19-ROUND(BC19,0)+BC19-IF(ISNUMBER(N19),N19,N($O$29)))/CD19&lt;=0,"",(CB19+CC19+ROUND(AS19,0)-AS19-ROUND(BC19,0)+BC19-IF(ISNUMBER(N19),N19,N($O$29)))/CD19)),"")))</f>
        <v/>
      </c>
      <c r="CF19" s="1012" t="n"/>
      <c r="CG19" s="1012" t="n"/>
      <c r="CH19" s="1012" t="n"/>
    </row>
    <row r="20" s="545">
      <c r="A20" s="982">
        <f>IF(NOT(ISNUMBER(MIETER!F25)),"",ROW()-2)</f>
        <v/>
      </c>
      <c r="B20" s="983">
        <f>IF(NOT(ISNUMBER(MIETER!F25)),"",IF(MIETER!A25="","",MIETER!A25))</f>
        <v/>
      </c>
      <c r="C20" s="983">
        <f>IF(NOT(ISNUMBER(MIETER!F25)),"",IF(MIETER!B25="","",MIETER!B25))</f>
        <v/>
      </c>
      <c r="D20" s="983">
        <f>IF(NOT(ISNUMBER(MIETER!F25)),"",IF(MIETER!C25="","",MIETER!C25))</f>
        <v/>
      </c>
      <c r="E20" s="983">
        <f>IF(NOT(ISNUMBER(MIETER!F25)),"",IF(MIETER!D25="","",MIETER!D25))</f>
        <v/>
      </c>
      <c r="F20" s="984">
        <f>IF(NOT(ISNUMBER(MIETER!F25)),"",MIETER!F25)</f>
        <v/>
      </c>
      <c r="G20" s="1032" t="n"/>
      <c r="H20" s="1033" t="n"/>
      <c r="I20" s="1033" t="n"/>
      <c r="J20" s="1033" t="n"/>
      <c r="K20" s="985">
        <f>IF(OR(NOT(ISNUMBER(F20)),NOT(ISNUMBER(J20)),NOT(ISNUMBER($H$29)),$H$29=0),"",J20/$H$29)</f>
        <v/>
      </c>
      <c r="L20" s="1034" t="n"/>
      <c r="M20" s="1035" t="n"/>
      <c r="N20" s="1036" t="n"/>
      <c r="O20" s="983">
        <f>IF(NOT(ISNUMBER(F20)),"",IF(NOT(ISNUMBER(T20)),"kein Preis",IF(ISNUMBER(CE20),IF(N($O$26)=2,"Rendite","Cashflow"),IF(OR(N($O$26)=2,N($O$26)=3),"Regler (Rückfall)","Regler"))))</f>
        <v/>
      </c>
      <c r="P20" s="986">
        <f>IF(OR(NOT(ISNUMBER(T20)),NOT(ISNUMBER(F20)),F20=0),"",T20/F20)</f>
        <v/>
      </c>
      <c r="Q20" s="986">
        <f>IF(OR(NOT(ISNUMBER(F20)),F20=0,NOT(ISNUMBER(VERKAUFSMATRIX!U23))),"",VERKAUFSMATRIX!U23/F20)</f>
        <v/>
      </c>
      <c r="R20" s="987">
        <f>IF(OR(NOT(ISNUMBER(P20)),NOT(ISNUMBER(Q20)),Q20=0),"",P20/Q20-1)</f>
        <v/>
      </c>
      <c r="S20" s="1036" t="n"/>
      <c r="T20" s="988">
        <f>IF(NOT(ISNUMBER(F20)),"",IF(ISNUMBER(CE20),IF(NOT(ISNUMBER(Y20)),"",(CE20+N(U20)+N(V20))/(1+Y20)-N(U20)-N(V20)),IF(NOT(ISNUMBER(L20)),"",F20*L20+N(S20))))</f>
        <v/>
      </c>
      <c r="U20" s="1037" t="n"/>
      <c r="V20" s="1037" t="n"/>
      <c r="W20" s="988">
        <f>IF(NOT(ISNUMBER(T20)),"",T20+N(U20)+N(V20))</f>
        <v/>
      </c>
      <c r="X20" s="1035" t="n"/>
      <c r="Y20" s="985">
        <f>IF(NOT(ISNUMBER(F20)),"",IF(ISNUMBER(X20),X20,IF(NOT(ISNUMBER($H$26)),"",$H$26)))</f>
        <v/>
      </c>
      <c r="Z20" s="988">
        <f>IF(OR(NOT(ISNUMBER(W20)),NOT(ISNUMBER(Y20))),"",W20*Y20)</f>
        <v/>
      </c>
      <c r="AA20" s="988">
        <f>IF(OR(NOT(ISNUMBER(W20)),NOT(ISNUMBER(Y20))),"",W20*(1+Y20))</f>
        <v/>
      </c>
      <c r="AB20" s="988">
        <f>IF(NOT(ISNUMBER(AA20)),"",AA20-N(U20)-N(V20))</f>
        <v/>
      </c>
      <c r="AC20" s="986">
        <f>IF(OR(NOT(ISNUMBER(W20)),NOT(ISNUMBER(F20)),F20=0),"",W20/F20)</f>
        <v/>
      </c>
      <c r="AD20" s="986">
        <f>IF(OR(NOT(ISNUMBER(AB20)),NOT(ISNUMBER(F20)),F20=0),"",AB20/F20)</f>
        <v/>
      </c>
      <c r="AE20" s="988">
        <f>IF(NOT(ISNUMBER(AB20)),"",AB20)</f>
        <v/>
      </c>
      <c r="AF20" s="988">
        <f>IF(OR(NOT(ISNUMBER(AA20)),NOT(ISNUMBER($C$35))),"",AA20*$C$35)</f>
        <v/>
      </c>
      <c r="AG20" s="988">
        <f>IF(OR(NOT(ISNUMBER(AA20)),NOT(ISNUMBER(AF20))),"",AA20+AF20)</f>
        <v/>
      </c>
      <c r="AH20" s="988">
        <f>IF(OR(NOT(ISNUMBER(AA20)),NOT(ISNUMBER($H$33))),"",AA20*$H$33)</f>
        <v/>
      </c>
      <c r="AI20" s="988">
        <f>IF(OR(NOT(ISNUMBER(AG20)),NOT(ISNUMBER(AH20))),"",MAX(0,AG20-AH20))</f>
        <v/>
      </c>
      <c r="AJ20" s="988">
        <f>IF(OR(NOT(ISNUMBER(AH20)),NOT(ISNUMBER(AA20))),"",AH20-AA20)</f>
        <v/>
      </c>
      <c r="AK20" s="1038" t="n"/>
      <c r="AL20" s="989">
        <f>IF(OR(NOT(ISNUMBER(MIETER!F25)),$G20="ja"),"",IF(NOT(ISNUMBER(MIETER!J25)),"",IF(ISNUMBER(AK20),MAX(MIETER!J25,AK20),MIETER!J25)))</f>
        <v/>
      </c>
      <c r="AM20" s="1038" t="n"/>
      <c r="AN20" s="989">
        <f>IF(OR(NOT(ISNUMBER(AL20)),NOT(ISNUMBER(AM20))),"",MAX(0,AM20-AL20))</f>
        <v/>
      </c>
      <c r="AO20" s="1038" t="n"/>
      <c r="AP20" s="1038" t="n"/>
      <c r="AQ20" s="1038" t="n"/>
      <c r="AR20" s="989">
        <f>IF(NOT(ISNUMBER(F20)),"",IF(AND(NOT(ISNUMBER(AL20)),NOT(ISNUMBER(AP20)),NOT(ISNUMBER(AQ20))),"",N(AL20)+N(AP20)+N(AQ20)))</f>
        <v/>
      </c>
      <c r="AS20" s="989">
        <f>IF(OR($G20="ja",NOT(ISNUMBER(AL20)),NOT(ISNUMBER(AR20))),"",AR20+N(AN20))</f>
        <v/>
      </c>
      <c r="AT20" s="990">
        <f>IF(OR(NOT(ISNUMBER(AL20)),NOT(ISNUMBER(F20)),F20=0),"",AL20/F20)</f>
        <v/>
      </c>
      <c r="AU20" s="991">
        <f>IF(OR(NOT(ISNUMBER(MIETER!F25)),NOT(ISNUMBER(MIETER!I25))),"",MIETER!I25)</f>
        <v/>
      </c>
      <c r="AV20" s="991">
        <f>IF(OR(NOT(ISNUMBER(AU20)),$G20="ja",NOT(ISNUMBER($H$34))),"",EDATE(AU20,$H$34))</f>
        <v/>
      </c>
      <c r="AW20" s="1033" t="n"/>
      <c r="AX20" s="982">
        <f>IF(NOT(ISNUMBER(F20)),"",IF(ISNUMBER(AW20),AW20,IF(NOT(ISNUMBER(AV20)),"",MAX(0,(YEAR(AV20)-YEAR(TODAY()))*12+MONTH(AV20)-MONTH(TODAY())))))</f>
        <v/>
      </c>
      <c r="AY20" s="988">
        <f>IF(NOT(ISNUMBER(AX20)),"",IF(ISNUMBER(AO20),AO20*AX20,IF(NOT(ISNUMBER(AN20)),"",AN20*AX20)))</f>
        <v/>
      </c>
      <c r="AZ20" s="988">
        <f>IF(OR(NOT(ISNUMBER(AL20)),NOT(ISNUMBER(MIETER!$P$6))),"",ROUND(AL20*(1+MIETER!$P$6)^2,0))</f>
        <v/>
      </c>
      <c r="BA20" s="1039" t="n"/>
      <c r="BB20" s="1038" t="n"/>
      <c r="BC20" s="989">
        <f>IF(NOT(ISNUMBER(F20)),"",IF(ISNUMBER(BB20),BB20,IF(AND(ISNUMBER(BA20),ISNUMBER(AL20),AL20&gt;0),AL20*BA20,IF(OR(NOT(ISNUMBER($C$62)),NOT(ISNUMBER($C$64))),"",$C$62+$C$64*F20/12))))</f>
        <v/>
      </c>
      <c r="BD20" s="1038" t="n"/>
      <c r="BE20" s="989">
        <f>IF(NOT(ISNUMBER(BC20)),"",IF(ISNUMBER(BD20),MIN(BC20,BD20),IF(OR(NOT(ISNUMBER(F20)),NOT(ISNUMBER($C$64))),0,MIN(BC20,$C$64*F20/12))))</f>
        <v/>
      </c>
      <c r="BF20" s="987">
        <f>IF(OR(NOT(ISNUMBER(BC20)),NOT(ISNUMBER(AL20)),AL20=0),"",BC20/AL20)</f>
        <v/>
      </c>
      <c r="BG20" s="989">
        <f>IF(NOT(ISNUMBER(AL20)),"",AL20*0.01)</f>
        <v/>
      </c>
      <c r="BH20" s="988">
        <f>IF(OR(NOT(ISNUMBER(AL20)),NOT(ISNUMBER($C$28)),NOT(ISNUMBER(CD20)),CD20&lt;=0),"",AL20*0.01*(1-$C$28)/CD20)</f>
        <v/>
      </c>
      <c r="BI20" s="988">
        <f>IF(OR(NOT(ISNUMBER(K20)),NOT(ISNUMBER($H$30))),"",$H$30*K20)</f>
        <v/>
      </c>
      <c r="BJ20" s="1035" t="n"/>
      <c r="BK20" s="985">
        <f>IF(OR(NOT(ISNUMBER(BI20)),NOT(ISNUMBER(AB20)),AB20&lt;=0),"",1-BI20/AB20)</f>
        <v/>
      </c>
      <c r="BL20" s="985">
        <f>IF(NOT(ISNUMBER(AB20)),"",IF(ISNUMBER(BJ20),BJ20,IF(AND(ISNUMBER(BI20),ISNUMBER(AE20),AE20&gt;0),1-BI20/AE20,IF(NOT(ISNUMBER($C$31)),"",$C$31))))</f>
        <v/>
      </c>
      <c r="BM20" s="983">
        <f>IF(NOT(ISNUMBER(F20)),"",IF(ISNUMBER(BJ20),"vertrag",IF(ISNUMBER(BI20),"berechnet","standard")))</f>
        <v/>
      </c>
      <c r="BN20" s="1035" t="n"/>
      <c r="BO20" s="985">
        <f>IF(NOT(ISNUMBER(F20)),"",IF(ISNUMBER(BN20),BN20,IF(NOT(ISNUMBER($C$30)),"",$C$30)))</f>
        <v/>
      </c>
      <c r="BP20" s="988">
        <f>IF(OR(NOT(ISNUMBER(AE20)),NOT(ISNUMBER(BL20)),NOT(ISNUMBER($C$35))),"",AE20*(1+$C$35)*BL20)</f>
        <v/>
      </c>
      <c r="BQ20" s="989">
        <f>IF(OR(NOT(ISNUMBER(BP20)),NOT(ISNUMBER(BO20)),NOT(ISNUMBER($C$35))),"",(BP20*BO20+N(U20)*(1+$C$35)*N($H$31)+N(V20)*(1+$C$35)*N($H$32))/12)</f>
        <v/>
      </c>
      <c r="BR20" s="989">
        <f>IF(OR(NOT(ISNUMBER(AH20)),NOT(ISNUMBER($C$26))),"",AH20*$C$26/12)</f>
        <v/>
      </c>
      <c r="BS20" s="988">
        <f>IF(OR(NOT(ISNUMBER(AH20)),NOT(ISNUMBER($C$26)),NOT(ISNUMBER($C$27))),"",ROUND(AH20*($C$26+$C$27)/12,0))</f>
        <v/>
      </c>
      <c r="BT20" s="992">
        <f>IF(OR(NOT(ISNUMBER(AS20)),NOT(ISNUMBER(BQ20)),NOT(ISNUMBER(BR20)),NOT(ISNUMBER(BC20))),"",AS20-BR20-BQ20-(BC20-N(BE20)))</f>
        <v/>
      </c>
      <c r="BU20" s="993">
        <f>IF(OR(NOT(ISNUMBER(BT20)),NOT(ISNUMBER($C$28))),"",ROUND(-BT20*$C$28,0))</f>
        <v/>
      </c>
      <c r="BV20" s="989">
        <f>IF(OR(NOT(ISNUMBER(BE20)),NOT(ISNUMBER($C$28))),"",BE20*$C$28)</f>
        <v/>
      </c>
      <c r="BW20" s="993">
        <f>IF(OR(NOT(ISNUMBER(AS20)),NOT(ISNUMBER(BS20)),NOT(ISNUMBER(BC20))),"",ROUND(AS20,0)-BS20-ROUND(BC20,0))</f>
        <v/>
      </c>
      <c r="BX20" s="993">
        <f>IF(OR(NOT(ISNUMBER(BW20)),NOT(ISNUMBER(BU20))),"",BW20+BU20)</f>
        <v/>
      </c>
      <c r="BY20" s="993">
        <f>IF(OR(NOT(ISNUMBER(AR20)),NOT(ISNUMBER(BS20)),NOT(ISNUMBER(BC20)),NOT(ISNUMBER(BT20)),NOT(ISNUMBER($C$28))),"",ROUND(AR20,0)-BS20-ROUND(BC20,0)+ROUND(-(BT20-N(AN20))*$C$28,0))</f>
        <v/>
      </c>
      <c r="BZ20" s="996">
        <f>IF(OR(NOT(ISNUMBER(AA20)),NOT(ISNUMBER(AS20)),AS20=0),"",AA20/(AS20*12))</f>
        <v/>
      </c>
      <c r="CA20" s="985">
        <f>IF(OR(NOT(ISNUMBER(AA20)),NOT(ISNUMBER(AS20)),AA20=0),"",AS20*12/AA20)</f>
        <v/>
      </c>
      <c r="CB20" s="992">
        <f>IF(OR(NOT(ISNUMBER(AS20)),NOT(ISNUMBER(BC20)),NOT(ISNUMBER(BO20)),NOT(ISNUMBER($C$28)),NOT(ISNUMBER($C$35))),"",(AS20-BC20)*(1-$C$28)-$C$28*N(BE20)-IF(BM20="berechnet",$C$28*(1+$C$35)*BO20*N(BI20)/12,0))</f>
        <v/>
      </c>
      <c r="CC20" s="992">
        <f>IF(OR(NOT(ISNUMBER(F20)),NOT(ISNUMBER($C$26)),NOT(ISNUMBER($C$27)),NOT(ISNUMBER($C$28)),NOT(ISNUMBER($C$35)),NOT(ISNUMBER($H$33))),"",($C$28*(1+$C$35)*(N(U20)*N($H$31)+N(V20)*N($H$32))-(N(U20)+N(V20))*$H$33*(($C$26+$C$27)-$C$28*$C$26))/12)</f>
        <v/>
      </c>
      <c r="CD20" s="994">
        <f>IF(OR(NOT(ISNUMBER(BO20)),NOT(ISNUMBER($C$26)),NOT(ISNUMBER($C$27)),NOT(ISNUMBER($C$28)),NOT(ISNUMBER($C$35)),NOT(ISNUMBER($H$33)),BM20="",AND(BM20="standard",NOT(ISNUMBER($C$31)))),"",($H$33*(($C$26+$C$27)-$C$28*$C$26)-$C$28*(1+$C$35)*BO20*IF(BM20="berechnet",1,IF(BM20="vertrag",BJ20,$C$31)))/12)</f>
        <v/>
      </c>
      <c r="CE20" s="988">
        <f>IF(NOT(ISNUMBER(F20)),"",IF(N($O$26)=2,IF(OR(NOT(ISNUMBER(AS20)),NOT(ISNUMBER(AN20)),IF(ISNUMBER(M20),M20,N($O$28))&lt;=0),"",IF(AS20*12/IF(ISNUMBER(M20),M20,N($O$28))-N(U20)-N(V20)&lt;=0,"",AS20*12/IF(ISNUMBER(M20),M20,N($O$28))-N(U20)-N(V20))),IF(N($O$26)=3,IF(OR(NOT(ISNUMBER(CB20)),NOT(ISNUMBER(CC20)),NOT(ISNUMBER(CD20)),N(CD20)&lt;=0),"",IF((CB20+CC20+ROUND(AS20,0)-AS20-ROUND(BC20,0)+BC20-IF(ISNUMBER(N20),N20,N($O$29)))/CD20&lt;=0,"",(CB20+CC20+ROUND(AS20,0)-AS20-ROUND(BC20,0)+BC20-IF(ISNUMBER(N20),N20,N($O$29)))/CD20)),"")))</f>
        <v/>
      </c>
      <c r="CF20" s="1012" t="n"/>
      <c r="CG20" s="1012" t="n"/>
      <c r="CH20" s="1012" t="n"/>
    </row>
    <row r="21" s="545">
      <c r="A21" s="959">
        <f>IF(NOT(ISNUMBER(MIETER!F26)),"",ROW()-2)</f>
        <v/>
      </c>
      <c r="B21" s="960">
        <f>IF(NOT(ISNUMBER(MIETER!F26)),"",IF(MIETER!A26="","",MIETER!A26))</f>
        <v/>
      </c>
      <c r="C21" s="960">
        <f>IF(NOT(ISNUMBER(MIETER!F26)),"",IF(MIETER!B26="","",MIETER!B26))</f>
        <v/>
      </c>
      <c r="D21" s="960">
        <f>IF(NOT(ISNUMBER(MIETER!F26)),"",IF(MIETER!C26="","",MIETER!C26))</f>
        <v/>
      </c>
      <c r="E21" s="960">
        <f>IF(NOT(ISNUMBER(MIETER!F26)),"",IF(MIETER!D26="","",MIETER!D26))</f>
        <v/>
      </c>
      <c r="F21" s="961">
        <f>IF(NOT(ISNUMBER(MIETER!F26)),"",MIETER!F26)</f>
        <v/>
      </c>
      <c r="G21" s="1032" t="n"/>
      <c r="H21" s="1033" t="n"/>
      <c r="I21" s="1033" t="n"/>
      <c r="J21" s="1033" t="n"/>
      <c r="K21" s="964">
        <f>IF(OR(NOT(ISNUMBER(F21)),NOT(ISNUMBER(J21)),NOT(ISNUMBER($H$29)),$H$29=0),"",J21/$H$29)</f>
        <v/>
      </c>
      <c r="L21" s="1034" t="n"/>
      <c r="M21" s="1035" t="n"/>
      <c r="N21" s="1036" t="n"/>
      <c r="O21" s="960">
        <f>IF(NOT(ISNUMBER(F21)),"",IF(NOT(ISNUMBER(T21)),"kein Preis",IF(ISNUMBER(CE21),IF(N($O$26)=2,"Rendite","Cashflow"),IF(OR(N($O$26)=2,N($O$26)=3),"Regler (Rückfall)","Regler"))))</f>
        <v/>
      </c>
      <c r="P21" s="966">
        <f>IF(OR(NOT(ISNUMBER(T21)),NOT(ISNUMBER(F21)),F21=0),"",T21/F21)</f>
        <v/>
      </c>
      <c r="Q21" s="966">
        <f>IF(OR(NOT(ISNUMBER(F21)),F21=0,NOT(ISNUMBER(VERKAUFSMATRIX!U24))),"",VERKAUFSMATRIX!U24/F21)</f>
        <v/>
      </c>
      <c r="R21" s="967">
        <f>IF(OR(NOT(ISNUMBER(P21)),NOT(ISNUMBER(Q21)),Q21=0),"",P21/Q21-1)</f>
        <v/>
      </c>
      <c r="S21" s="1036" t="n"/>
      <c r="T21" s="969">
        <f>IF(NOT(ISNUMBER(F21)),"",IF(ISNUMBER(CE21),IF(NOT(ISNUMBER(Y21)),"",(CE21+N(U21)+N(V21))/(1+Y21)-N(U21)-N(V21)),IF(NOT(ISNUMBER(L21)),"",F21*L21+N(S21))))</f>
        <v/>
      </c>
      <c r="U21" s="1037" t="n"/>
      <c r="V21" s="1037" t="n"/>
      <c r="W21" s="969">
        <f>IF(NOT(ISNUMBER(T21)),"",T21+N(U21)+N(V21))</f>
        <v/>
      </c>
      <c r="X21" s="1035" t="n"/>
      <c r="Y21" s="964">
        <f>IF(NOT(ISNUMBER(F21)),"",IF(ISNUMBER(X21),X21,IF(NOT(ISNUMBER($H$26)),"",$H$26)))</f>
        <v/>
      </c>
      <c r="Z21" s="969">
        <f>IF(OR(NOT(ISNUMBER(W21)),NOT(ISNUMBER(Y21))),"",W21*Y21)</f>
        <v/>
      </c>
      <c r="AA21" s="969">
        <f>IF(OR(NOT(ISNUMBER(W21)),NOT(ISNUMBER(Y21))),"",W21*(1+Y21))</f>
        <v/>
      </c>
      <c r="AB21" s="969">
        <f>IF(NOT(ISNUMBER(AA21)),"",AA21-N(U21)-N(V21))</f>
        <v/>
      </c>
      <c r="AC21" s="966">
        <f>IF(OR(NOT(ISNUMBER(W21)),NOT(ISNUMBER(F21)),F21=0),"",W21/F21)</f>
        <v/>
      </c>
      <c r="AD21" s="966">
        <f>IF(OR(NOT(ISNUMBER(AB21)),NOT(ISNUMBER(F21)),F21=0),"",AB21/F21)</f>
        <v/>
      </c>
      <c r="AE21" s="969">
        <f>IF(NOT(ISNUMBER(AB21)),"",AB21)</f>
        <v/>
      </c>
      <c r="AF21" s="969">
        <f>IF(OR(NOT(ISNUMBER(AA21)),NOT(ISNUMBER($C$35))),"",AA21*$C$35)</f>
        <v/>
      </c>
      <c r="AG21" s="969">
        <f>IF(OR(NOT(ISNUMBER(AA21)),NOT(ISNUMBER(AF21))),"",AA21+AF21)</f>
        <v/>
      </c>
      <c r="AH21" s="969">
        <f>IF(OR(NOT(ISNUMBER(AA21)),NOT(ISNUMBER($H$33))),"",AA21*$H$33)</f>
        <v/>
      </c>
      <c r="AI21" s="969">
        <f>IF(OR(NOT(ISNUMBER(AG21)),NOT(ISNUMBER(AH21))),"",MAX(0,AG21-AH21))</f>
        <v/>
      </c>
      <c r="AJ21" s="969">
        <f>IF(OR(NOT(ISNUMBER(AH21)),NOT(ISNUMBER(AA21))),"",AH21-AA21)</f>
        <v/>
      </c>
      <c r="AK21" s="1038" t="n"/>
      <c r="AL21" s="973">
        <f>IF(OR(NOT(ISNUMBER(MIETER!F26)),$G21="ja"),"",IF(NOT(ISNUMBER(MIETER!J26)),"",IF(ISNUMBER(AK21),MAX(MIETER!J26,AK21),MIETER!J26)))</f>
        <v/>
      </c>
      <c r="AM21" s="1038" t="n"/>
      <c r="AN21" s="973">
        <f>IF(OR(NOT(ISNUMBER(AL21)),NOT(ISNUMBER(AM21))),"",MAX(0,AM21-AL21))</f>
        <v/>
      </c>
      <c r="AO21" s="1038" t="n"/>
      <c r="AP21" s="1038" t="n"/>
      <c r="AQ21" s="1038" t="n"/>
      <c r="AR21" s="973">
        <f>IF(NOT(ISNUMBER(F21)),"",IF(AND(NOT(ISNUMBER(AL21)),NOT(ISNUMBER(AP21)),NOT(ISNUMBER(AQ21))),"",N(AL21)+N(AP21)+N(AQ21)))</f>
        <v/>
      </c>
      <c r="AS21" s="973">
        <f>IF(OR($G21="ja",NOT(ISNUMBER(AL21)),NOT(ISNUMBER(AR21))),"",AR21+N(AN21))</f>
        <v/>
      </c>
      <c r="AT21" s="974">
        <f>IF(OR(NOT(ISNUMBER(AL21)),NOT(ISNUMBER(F21)),F21=0),"",AL21/F21)</f>
        <v/>
      </c>
      <c r="AU21" s="975">
        <f>IF(OR(NOT(ISNUMBER(MIETER!F26)),NOT(ISNUMBER(MIETER!I26))),"",MIETER!I26)</f>
        <v/>
      </c>
      <c r="AV21" s="975">
        <f>IF(OR(NOT(ISNUMBER(AU21)),$G21="ja",NOT(ISNUMBER($H$34))),"",EDATE(AU21,$H$34))</f>
        <v/>
      </c>
      <c r="AW21" s="1033" t="n"/>
      <c r="AX21" s="959">
        <f>IF(NOT(ISNUMBER(F21)),"",IF(ISNUMBER(AW21),AW21,IF(NOT(ISNUMBER(AV21)),"",MAX(0,(YEAR(AV21)-YEAR(TODAY()))*12+MONTH(AV21)-MONTH(TODAY())))))</f>
        <v/>
      </c>
      <c r="AY21" s="969">
        <f>IF(NOT(ISNUMBER(AX21)),"",IF(ISNUMBER(AO21),AO21*AX21,IF(NOT(ISNUMBER(AN21)),"",AN21*AX21)))</f>
        <v/>
      </c>
      <c r="AZ21" s="969">
        <f>IF(OR(NOT(ISNUMBER(AL21)),NOT(ISNUMBER(MIETER!$P$6))),"",ROUND(AL21*(1+MIETER!$P$6)^2,0))</f>
        <v/>
      </c>
      <c r="BA21" s="1039" t="n"/>
      <c r="BB21" s="1038" t="n"/>
      <c r="BC21" s="973">
        <f>IF(NOT(ISNUMBER(F21)),"",IF(ISNUMBER(BB21),BB21,IF(AND(ISNUMBER(BA21),ISNUMBER(AL21),AL21&gt;0),AL21*BA21,IF(OR(NOT(ISNUMBER($C$62)),NOT(ISNUMBER($C$64))),"",$C$62+$C$64*F21/12))))</f>
        <v/>
      </c>
      <c r="BD21" s="1038" t="n"/>
      <c r="BE21" s="973">
        <f>IF(NOT(ISNUMBER(BC21)),"",IF(ISNUMBER(BD21),MIN(BC21,BD21),IF(OR(NOT(ISNUMBER(F21)),NOT(ISNUMBER($C$64))),0,MIN(BC21,$C$64*F21/12))))</f>
        <v/>
      </c>
      <c r="BF21" s="967">
        <f>IF(OR(NOT(ISNUMBER(BC21)),NOT(ISNUMBER(AL21)),AL21=0),"",BC21/AL21)</f>
        <v/>
      </c>
      <c r="BG21" s="973">
        <f>IF(NOT(ISNUMBER(AL21)),"",AL21*0.01)</f>
        <v/>
      </c>
      <c r="BH21" s="969">
        <f>IF(OR(NOT(ISNUMBER(AL21)),NOT(ISNUMBER($C$28)),NOT(ISNUMBER(CD21)),CD21&lt;=0),"",AL21*0.01*(1-$C$28)/CD21)</f>
        <v/>
      </c>
      <c r="BI21" s="969">
        <f>IF(OR(NOT(ISNUMBER(K21)),NOT(ISNUMBER($H$30))),"",$H$30*K21)</f>
        <v/>
      </c>
      <c r="BJ21" s="1035" t="n"/>
      <c r="BK21" s="964">
        <f>IF(OR(NOT(ISNUMBER(BI21)),NOT(ISNUMBER(AB21)),AB21&lt;=0),"",1-BI21/AB21)</f>
        <v/>
      </c>
      <c r="BL21" s="964">
        <f>IF(NOT(ISNUMBER(AB21)),"",IF(ISNUMBER(BJ21),BJ21,IF(AND(ISNUMBER(BI21),ISNUMBER(AE21),AE21&gt;0),1-BI21/AE21,IF(NOT(ISNUMBER($C$31)),"",$C$31))))</f>
        <v/>
      </c>
      <c r="BM21" s="960">
        <f>IF(NOT(ISNUMBER(F21)),"",IF(ISNUMBER(BJ21),"vertrag",IF(ISNUMBER(BI21),"berechnet","standard")))</f>
        <v/>
      </c>
      <c r="BN21" s="1035" t="n"/>
      <c r="BO21" s="964">
        <f>IF(NOT(ISNUMBER(F21)),"",IF(ISNUMBER(BN21),BN21,IF(NOT(ISNUMBER($C$30)),"",$C$30)))</f>
        <v/>
      </c>
      <c r="BP21" s="969">
        <f>IF(OR(NOT(ISNUMBER(AE21)),NOT(ISNUMBER(BL21)),NOT(ISNUMBER($C$35))),"",AE21*(1+$C$35)*BL21)</f>
        <v/>
      </c>
      <c r="BQ21" s="973">
        <f>IF(OR(NOT(ISNUMBER(BP21)),NOT(ISNUMBER(BO21)),NOT(ISNUMBER($C$35))),"",(BP21*BO21+N(U21)*(1+$C$35)*N($H$31)+N(V21)*(1+$C$35)*N($H$32))/12)</f>
        <v/>
      </c>
      <c r="BR21" s="973">
        <f>IF(OR(NOT(ISNUMBER(AH21)),NOT(ISNUMBER($C$26))),"",AH21*$C$26/12)</f>
        <v/>
      </c>
      <c r="BS21" s="969">
        <f>IF(OR(NOT(ISNUMBER(AH21)),NOT(ISNUMBER($C$26)),NOT(ISNUMBER($C$27))),"",ROUND(AH21*($C$26+$C$27)/12,0))</f>
        <v/>
      </c>
      <c r="BT21" s="977">
        <f>IF(OR(NOT(ISNUMBER(AS21)),NOT(ISNUMBER(BQ21)),NOT(ISNUMBER(BR21)),NOT(ISNUMBER(BC21))),"",AS21-BR21-BQ21-(BC21-N(BE21)))</f>
        <v/>
      </c>
      <c r="BU21" s="978">
        <f>IF(OR(NOT(ISNUMBER(BT21)),NOT(ISNUMBER($C$28))),"",ROUND(-BT21*$C$28,0))</f>
        <v/>
      </c>
      <c r="BV21" s="973">
        <f>IF(OR(NOT(ISNUMBER(BE21)),NOT(ISNUMBER($C$28))),"",BE21*$C$28)</f>
        <v/>
      </c>
      <c r="BW21" s="978">
        <f>IF(OR(NOT(ISNUMBER(AS21)),NOT(ISNUMBER(BS21)),NOT(ISNUMBER(BC21))),"",ROUND(AS21,0)-BS21-ROUND(BC21,0))</f>
        <v/>
      </c>
      <c r="BX21" s="978">
        <f>IF(OR(NOT(ISNUMBER(BW21)),NOT(ISNUMBER(BU21))),"",BW21+BU21)</f>
        <v/>
      </c>
      <c r="BY21" s="978">
        <f>IF(OR(NOT(ISNUMBER(AR21)),NOT(ISNUMBER(BS21)),NOT(ISNUMBER(BC21)),NOT(ISNUMBER(BT21)),NOT(ISNUMBER($C$28))),"",ROUND(AR21,0)-BS21-ROUND(BC21,0)+ROUND(-(BT21-N(AN21))*$C$28,0))</f>
        <v/>
      </c>
      <c r="BZ21" s="981">
        <f>IF(OR(NOT(ISNUMBER(AA21)),NOT(ISNUMBER(AS21)),AS21=0),"",AA21/(AS21*12))</f>
        <v/>
      </c>
      <c r="CA21" s="964">
        <f>IF(OR(NOT(ISNUMBER(AA21)),NOT(ISNUMBER(AS21)),AA21=0),"",AS21*12/AA21)</f>
        <v/>
      </c>
      <c r="CB21" s="977">
        <f>IF(OR(NOT(ISNUMBER(AS21)),NOT(ISNUMBER(BC21)),NOT(ISNUMBER(BO21)),NOT(ISNUMBER($C$28)),NOT(ISNUMBER($C$35))),"",(AS21-BC21)*(1-$C$28)-$C$28*N(BE21)-IF(BM21="berechnet",$C$28*(1+$C$35)*BO21*N(BI21)/12,0))</f>
        <v/>
      </c>
      <c r="CC21" s="977">
        <f>IF(OR(NOT(ISNUMBER(F21)),NOT(ISNUMBER($C$26)),NOT(ISNUMBER($C$27)),NOT(ISNUMBER($C$28)),NOT(ISNUMBER($C$35)),NOT(ISNUMBER($H$33))),"",($C$28*(1+$C$35)*(N(U21)*N($H$31)+N(V21)*N($H$32))-(N(U21)+N(V21))*$H$33*(($C$26+$C$27)-$C$28*$C$26))/12)</f>
        <v/>
      </c>
      <c r="CD21" s="979">
        <f>IF(OR(NOT(ISNUMBER(BO21)),NOT(ISNUMBER($C$26)),NOT(ISNUMBER($C$27)),NOT(ISNUMBER($C$28)),NOT(ISNUMBER($C$35)),NOT(ISNUMBER($H$33)),BM21="",AND(BM21="standard",NOT(ISNUMBER($C$31)))),"",($H$33*(($C$26+$C$27)-$C$28*$C$26)-$C$28*(1+$C$35)*BO21*IF(BM21="berechnet",1,IF(BM21="vertrag",BJ21,$C$31)))/12)</f>
        <v/>
      </c>
      <c r="CE21" s="969">
        <f>IF(NOT(ISNUMBER(F21)),"",IF(N($O$26)=2,IF(OR(NOT(ISNUMBER(AS21)),NOT(ISNUMBER(AN21)),IF(ISNUMBER(M21),M21,N($O$28))&lt;=0),"",IF(AS21*12/IF(ISNUMBER(M21),M21,N($O$28))-N(U21)-N(V21)&lt;=0,"",AS21*12/IF(ISNUMBER(M21),M21,N($O$28))-N(U21)-N(V21))),IF(N($O$26)=3,IF(OR(NOT(ISNUMBER(CB21)),NOT(ISNUMBER(CC21)),NOT(ISNUMBER(CD21)),N(CD21)&lt;=0),"",IF((CB21+CC21+ROUND(AS21,0)-AS21-ROUND(BC21,0)+BC21-IF(ISNUMBER(N21),N21,N($O$29)))/CD21&lt;=0,"",(CB21+CC21+ROUND(AS21,0)-AS21-ROUND(BC21,0)+BC21-IF(ISNUMBER(N21),N21,N($O$29)))/CD21)),"")))</f>
        <v/>
      </c>
      <c r="CF21" s="1012" t="n"/>
      <c r="CG21" s="1012" t="n"/>
      <c r="CH21" s="1012" t="n"/>
    </row>
    <row r="22" s="545">
      <c r="A22" s="982">
        <f>IF(NOT(ISNUMBER(MIETER!F27)),"",ROW()-2)</f>
        <v/>
      </c>
      <c r="B22" s="983">
        <f>IF(NOT(ISNUMBER(MIETER!F27)),"",IF(MIETER!A27="","",MIETER!A27))</f>
        <v/>
      </c>
      <c r="C22" s="983">
        <f>IF(NOT(ISNUMBER(MIETER!F27)),"",IF(MIETER!B27="","",MIETER!B27))</f>
        <v/>
      </c>
      <c r="D22" s="983">
        <f>IF(NOT(ISNUMBER(MIETER!F27)),"",IF(MIETER!C27="","",MIETER!C27))</f>
        <v/>
      </c>
      <c r="E22" s="983">
        <f>IF(NOT(ISNUMBER(MIETER!F27)),"",IF(MIETER!D27="","",MIETER!D27))</f>
        <v/>
      </c>
      <c r="F22" s="984">
        <f>IF(NOT(ISNUMBER(MIETER!F27)),"",MIETER!F27)</f>
        <v/>
      </c>
      <c r="G22" s="1032" t="n"/>
      <c r="H22" s="1033" t="n"/>
      <c r="I22" s="1033" t="n"/>
      <c r="J22" s="1033" t="n"/>
      <c r="K22" s="985">
        <f>IF(OR(NOT(ISNUMBER(F22)),NOT(ISNUMBER(J22)),NOT(ISNUMBER($H$29)),$H$29=0),"",J22/$H$29)</f>
        <v/>
      </c>
      <c r="L22" s="1034" t="n"/>
      <c r="M22" s="1035" t="n"/>
      <c r="N22" s="1036" t="n"/>
      <c r="O22" s="983">
        <f>IF(NOT(ISNUMBER(F22)),"",IF(NOT(ISNUMBER(T22)),"kein Preis",IF(ISNUMBER(CE22),IF(N($O$26)=2,"Rendite","Cashflow"),IF(OR(N($O$26)=2,N($O$26)=3),"Regler (Rückfall)","Regler"))))</f>
        <v/>
      </c>
      <c r="P22" s="986">
        <f>IF(OR(NOT(ISNUMBER(T22)),NOT(ISNUMBER(F22)),F22=0),"",T22/F22)</f>
        <v/>
      </c>
      <c r="Q22" s="986">
        <f>IF(OR(NOT(ISNUMBER(F22)),F22=0,NOT(ISNUMBER(VERKAUFSMATRIX!U25))),"",VERKAUFSMATRIX!U25/F22)</f>
        <v/>
      </c>
      <c r="R22" s="987">
        <f>IF(OR(NOT(ISNUMBER(P22)),NOT(ISNUMBER(Q22)),Q22=0),"",P22/Q22-1)</f>
        <v/>
      </c>
      <c r="S22" s="1036" t="n"/>
      <c r="T22" s="988">
        <f>IF(NOT(ISNUMBER(F22)),"",IF(ISNUMBER(CE22),IF(NOT(ISNUMBER(Y22)),"",(CE22+N(U22)+N(V22))/(1+Y22)-N(U22)-N(V22)),IF(NOT(ISNUMBER(L22)),"",F22*L22+N(S22))))</f>
        <v/>
      </c>
      <c r="U22" s="1037" t="n"/>
      <c r="V22" s="1037" t="n"/>
      <c r="W22" s="988">
        <f>IF(NOT(ISNUMBER(T22)),"",T22+N(U22)+N(V22))</f>
        <v/>
      </c>
      <c r="X22" s="1035" t="n"/>
      <c r="Y22" s="985">
        <f>IF(NOT(ISNUMBER(F22)),"",IF(ISNUMBER(X22),X22,IF(NOT(ISNUMBER($H$26)),"",$H$26)))</f>
        <v/>
      </c>
      <c r="Z22" s="988">
        <f>IF(OR(NOT(ISNUMBER(W22)),NOT(ISNUMBER(Y22))),"",W22*Y22)</f>
        <v/>
      </c>
      <c r="AA22" s="988">
        <f>IF(OR(NOT(ISNUMBER(W22)),NOT(ISNUMBER(Y22))),"",W22*(1+Y22))</f>
        <v/>
      </c>
      <c r="AB22" s="988">
        <f>IF(NOT(ISNUMBER(AA22)),"",AA22-N(U22)-N(V22))</f>
        <v/>
      </c>
      <c r="AC22" s="986">
        <f>IF(OR(NOT(ISNUMBER(W22)),NOT(ISNUMBER(F22)),F22=0),"",W22/F22)</f>
        <v/>
      </c>
      <c r="AD22" s="986">
        <f>IF(OR(NOT(ISNUMBER(AB22)),NOT(ISNUMBER(F22)),F22=0),"",AB22/F22)</f>
        <v/>
      </c>
      <c r="AE22" s="988">
        <f>IF(NOT(ISNUMBER(AB22)),"",AB22)</f>
        <v/>
      </c>
      <c r="AF22" s="988">
        <f>IF(OR(NOT(ISNUMBER(AA22)),NOT(ISNUMBER($C$35))),"",AA22*$C$35)</f>
        <v/>
      </c>
      <c r="AG22" s="988">
        <f>IF(OR(NOT(ISNUMBER(AA22)),NOT(ISNUMBER(AF22))),"",AA22+AF22)</f>
        <v/>
      </c>
      <c r="AH22" s="988">
        <f>IF(OR(NOT(ISNUMBER(AA22)),NOT(ISNUMBER($H$33))),"",AA22*$H$33)</f>
        <v/>
      </c>
      <c r="AI22" s="988">
        <f>IF(OR(NOT(ISNUMBER(AG22)),NOT(ISNUMBER(AH22))),"",MAX(0,AG22-AH22))</f>
        <v/>
      </c>
      <c r="AJ22" s="988">
        <f>IF(OR(NOT(ISNUMBER(AH22)),NOT(ISNUMBER(AA22))),"",AH22-AA22)</f>
        <v/>
      </c>
      <c r="AK22" s="1038" t="n"/>
      <c r="AL22" s="989">
        <f>IF(OR(NOT(ISNUMBER(MIETER!F27)),$G22="ja"),"",IF(NOT(ISNUMBER(MIETER!J27)),"",IF(ISNUMBER(AK22),MAX(MIETER!J27,AK22),MIETER!J27)))</f>
        <v/>
      </c>
      <c r="AM22" s="1038" t="n"/>
      <c r="AN22" s="989">
        <f>IF(OR(NOT(ISNUMBER(AL22)),NOT(ISNUMBER(AM22))),"",MAX(0,AM22-AL22))</f>
        <v/>
      </c>
      <c r="AO22" s="1038" t="n"/>
      <c r="AP22" s="1038" t="n"/>
      <c r="AQ22" s="1038" t="n"/>
      <c r="AR22" s="989">
        <f>IF(NOT(ISNUMBER(F22)),"",IF(AND(NOT(ISNUMBER(AL22)),NOT(ISNUMBER(AP22)),NOT(ISNUMBER(AQ22))),"",N(AL22)+N(AP22)+N(AQ22)))</f>
        <v/>
      </c>
      <c r="AS22" s="989">
        <f>IF(OR($G22="ja",NOT(ISNUMBER(AL22)),NOT(ISNUMBER(AR22))),"",AR22+N(AN22))</f>
        <v/>
      </c>
      <c r="AT22" s="990">
        <f>IF(OR(NOT(ISNUMBER(AL22)),NOT(ISNUMBER(F22)),F22=0),"",AL22/F22)</f>
        <v/>
      </c>
      <c r="AU22" s="991">
        <f>IF(OR(NOT(ISNUMBER(MIETER!F27)),NOT(ISNUMBER(MIETER!I27))),"",MIETER!I27)</f>
        <v/>
      </c>
      <c r="AV22" s="991">
        <f>IF(OR(NOT(ISNUMBER(AU22)),$G22="ja",NOT(ISNUMBER($H$34))),"",EDATE(AU22,$H$34))</f>
        <v/>
      </c>
      <c r="AW22" s="1033" t="n"/>
      <c r="AX22" s="982">
        <f>IF(NOT(ISNUMBER(F22)),"",IF(ISNUMBER(AW22),AW22,IF(NOT(ISNUMBER(AV22)),"",MAX(0,(YEAR(AV22)-YEAR(TODAY()))*12+MONTH(AV22)-MONTH(TODAY())))))</f>
        <v/>
      </c>
      <c r="AY22" s="988">
        <f>IF(NOT(ISNUMBER(AX22)),"",IF(ISNUMBER(AO22),AO22*AX22,IF(NOT(ISNUMBER(AN22)),"",AN22*AX22)))</f>
        <v/>
      </c>
      <c r="AZ22" s="988">
        <f>IF(OR(NOT(ISNUMBER(AL22)),NOT(ISNUMBER(MIETER!$P$6))),"",ROUND(AL22*(1+MIETER!$P$6)^2,0))</f>
        <v/>
      </c>
      <c r="BA22" s="1039" t="n"/>
      <c r="BB22" s="1038" t="n"/>
      <c r="BC22" s="989">
        <f>IF(NOT(ISNUMBER(F22)),"",IF(ISNUMBER(BB22),BB22,IF(AND(ISNUMBER(BA22),ISNUMBER(AL22),AL22&gt;0),AL22*BA22,IF(OR(NOT(ISNUMBER($C$62)),NOT(ISNUMBER($C$64))),"",$C$62+$C$64*F22/12))))</f>
        <v/>
      </c>
      <c r="BD22" s="1038" t="n"/>
      <c r="BE22" s="989">
        <f>IF(NOT(ISNUMBER(BC22)),"",IF(ISNUMBER(BD22),MIN(BC22,BD22),IF(OR(NOT(ISNUMBER(F22)),NOT(ISNUMBER($C$64))),0,MIN(BC22,$C$64*F22/12))))</f>
        <v/>
      </c>
      <c r="BF22" s="987">
        <f>IF(OR(NOT(ISNUMBER(BC22)),NOT(ISNUMBER(AL22)),AL22=0),"",BC22/AL22)</f>
        <v/>
      </c>
      <c r="BG22" s="989">
        <f>IF(NOT(ISNUMBER(AL22)),"",AL22*0.01)</f>
        <v/>
      </c>
      <c r="BH22" s="988">
        <f>IF(OR(NOT(ISNUMBER(AL22)),NOT(ISNUMBER($C$28)),NOT(ISNUMBER(CD22)),CD22&lt;=0),"",AL22*0.01*(1-$C$28)/CD22)</f>
        <v/>
      </c>
      <c r="BI22" s="988">
        <f>IF(OR(NOT(ISNUMBER(K22)),NOT(ISNUMBER($H$30))),"",$H$30*K22)</f>
        <v/>
      </c>
      <c r="BJ22" s="1035" t="n"/>
      <c r="BK22" s="985">
        <f>IF(OR(NOT(ISNUMBER(BI22)),NOT(ISNUMBER(AB22)),AB22&lt;=0),"",1-BI22/AB22)</f>
        <v/>
      </c>
      <c r="BL22" s="985">
        <f>IF(NOT(ISNUMBER(AB22)),"",IF(ISNUMBER(BJ22),BJ22,IF(AND(ISNUMBER(BI22),ISNUMBER(AE22),AE22&gt;0),1-BI22/AE22,IF(NOT(ISNUMBER($C$31)),"",$C$31))))</f>
        <v/>
      </c>
      <c r="BM22" s="983">
        <f>IF(NOT(ISNUMBER(F22)),"",IF(ISNUMBER(BJ22),"vertrag",IF(ISNUMBER(BI22),"berechnet","standard")))</f>
        <v/>
      </c>
      <c r="BN22" s="1035" t="n"/>
      <c r="BO22" s="985">
        <f>IF(NOT(ISNUMBER(F22)),"",IF(ISNUMBER(BN22),BN22,IF(NOT(ISNUMBER($C$30)),"",$C$30)))</f>
        <v/>
      </c>
      <c r="BP22" s="988">
        <f>IF(OR(NOT(ISNUMBER(AE22)),NOT(ISNUMBER(BL22)),NOT(ISNUMBER($C$35))),"",AE22*(1+$C$35)*BL22)</f>
        <v/>
      </c>
      <c r="BQ22" s="989">
        <f>IF(OR(NOT(ISNUMBER(BP22)),NOT(ISNUMBER(BO22)),NOT(ISNUMBER($C$35))),"",(BP22*BO22+N(U22)*(1+$C$35)*N($H$31)+N(V22)*(1+$C$35)*N($H$32))/12)</f>
        <v/>
      </c>
      <c r="BR22" s="989">
        <f>IF(OR(NOT(ISNUMBER(AH22)),NOT(ISNUMBER($C$26))),"",AH22*$C$26/12)</f>
        <v/>
      </c>
      <c r="BS22" s="988">
        <f>IF(OR(NOT(ISNUMBER(AH22)),NOT(ISNUMBER($C$26)),NOT(ISNUMBER($C$27))),"",ROUND(AH22*($C$26+$C$27)/12,0))</f>
        <v/>
      </c>
      <c r="BT22" s="992">
        <f>IF(OR(NOT(ISNUMBER(AS22)),NOT(ISNUMBER(BQ22)),NOT(ISNUMBER(BR22)),NOT(ISNUMBER(BC22))),"",AS22-BR22-BQ22-(BC22-N(BE22)))</f>
        <v/>
      </c>
      <c r="BU22" s="993">
        <f>IF(OR(NOT(ISNUMBER(BT22)),NOT(ISNUMBER($C$28))),"",ROUND(-BT22*$C$28,0))</f>
        <v/>
      </c>
      <c r="BV22" s="989">
        <f>IF(OR(NOT(ISNUMBER(BE22)),NOT(ISNUMBER($C$28))),"",BE22*$C$28)</f>
        <v/>
      </c>
      <c r="BW22" s="993">
        <f>IF(OR(NOT(ISNUMBER(AS22)),NOT(ISNUMBER(BS22)),NOT(ISNUMBER(BC22))),"",ROUND(AS22,0)-BS22-ROUND(BC22,0))</f>
        <v/>
      </c>
      <c r="BX22" s="993">
        <f>IF(OR(NOT(ISNUMBER(BW22)),NOT(ISNUMBER(BU22))),"",BW22+BU22)</f>
        <v/>
      </c>
      <c r="BY22" s="993">
        <f>IF(OR(NOT(ISNUMBER(AR22)),NOT(ISNUMBER(BS22)),NOT(ISNUMBER(BC22)),NOT(ISNUMBER(BT22)),NOT(ISNUMBER($C$28))),"",ROUND(AR22,0)-BS22-ROUND(BC22,0)+ROUND(-(BT22-N(AN22))*$C$28,0))</f>
        <v/>
      </c>
      <c r="BZ22" s="996">
        <f>IF(OR(NOT(ISNUMBER(AA22)),NOT(ISNUMBER(AS22)),AS22=0),"",AA22/(AS22*12))</f>
        <v/>
      </c>
      <c r="CA22" s="985">
        <f>IF(OR(NOT(ISNUMBER(AA22)),NOT(ISNUMBER(AS22)),AA22=0),"",AS22*12/AA22)</f>
        <v/>
      </c>
      <c r="CB22" s="992">
        <f>IF(OR(NOT(ISNUMBER(AS22)),NOT(ISNUMBER(BC22)),NOT(ISNUMBER(BO22)),NOT(ISNUMBER($C$28)),NOT(ISNUMBER($C$35))),"",(AS22-BC22)*(1-$C$28)-$C$28*N(BE22)-IF(BM22="berechnet",$C$28*(1+$C$35)*BO22*N(BI22)/12,0))</f>
        <v/>
      </c>
      <c r="CC22" s="992">
        <f>IF(OR(NOT(ISNUMBER(F22)),NOT(ISNUMBER($C$26)),NOT(ISNUMBER($C$27)),NOT(ISNUMBER($C$28)),NOT(ISNUMBER($C$35)),NOT(ISNUMBER($H$33))),"",($C$28*(1+$C$35)*(N(U22)*N($H$31)+N(V22)*N($H$32))-(N(U22)+N(V22))*$H$33*(($C$26+$C$27)-$C$28*$C$26))/12)</f>
        <v/>
      </c>
      <c r="CD22" s="994">
        <f>IF(OR(NOT(ISNUMBER(BO22)),NOT(ISNUMBER($C$26)),NOT(ISNUMBER($C$27)),NOT(ISNUMBER($C$28)),NOT(ISNUMBER($C$35)),NOT(ISNUMBER($H$33)),BM22="",AND(BM22="standard",NOT(ISNUMBER($C$31)))),"",($H$33*(($C$26+$C$27)-$C$28*$C$26)-$C$28*(1+$C$35)*BO22*IF(BM22="berechnet",1,IF(BM22="vertrag",BJ22,$C$31)))/12)</f>
        <v/>
      </c>
      <c r="CE22" s="988">
        <f>IF(NOT(ISNUMBER(F22)),"",IF(N($O$26)=2,IF(OR(NOT(ISNUMBER(AS22)),NOT(ISNUMBER(AN22)),IF(ISNUMBER(M22),M22,N($O$28))&lt;=0),"",IF(AS22*12/IF(ISNUMBER(M22),M22,N($O$28))-N(U22)-N(V22)&lt;=0,"",AS22*12/IF(ISNUMBER(M22),M22,N($O$28))-N(U22)-N(V22))),IF(N($O$26)=3,IF(OR(NOT(ISNUMBER(CB22)),NOT(ISNUMBER(CC22)),NOT(ISNUMBER(CD22)),N(CD22)&lt;=0),"",IF((CB22+CC22+ROUND(AS22,0)-AS22-ROUND(BC22,0)+BC22-IF(ISNUMBER(N22),N22,N($O$29)))/CD22&lt;=0,"",(CB22+CC22+ROUND(AS22,0)-AS22-ROUND(BC22,0)+BC22-IF(ISNUMBER(N22),N22,N($O$29)))/CD22)),"")))</f>
        <v/>
      </c>
      <c r="CF22" s="1012" t="n"/>
      <c r="CG22" s="1012" t="n"/>
      <c r="CH22" s="1012" t="n"/>
    </row>
    <row r="23" s="545">
      <c r="A23" s="997" t="inlineStr">
        <is>
          <t>SUMME / Ø</t>
        </is>
      </c>
      <c r="B23" s="998" t="n"/>
      <c r="C23" s="998" t="n"/>
      <c r="D23" s="998" t="n"/>
      <c r="E23" s="998" t="n"/>
      <c r="F23" s="999">
        <f>SUM(F3:F22)</f>
        <v/>
      </c>
      <c r="G23" s="998">
        <f>COUNTIF(G3:G22,"ja")</f>
        <v/>
      </c>
      <c r="H23" s="997">
        <f>SUM(H3:H22)</f>
        <v/>
      </c>
      <c r="I23" s="997">
        <f>SUM(I3:I22)</f>
        <v/>
      </c>
      <c r="J23" s="997">
        <f>SUM(J3:J22)</f>
        <v/>
      </c>
      <c r="K23" s="1000">
        <f>IF(OR(NOT(ISNUMBER(J23)),NOT(ISNUMBER($H$29)),$H$29=0),"",J23/$H$29)</f>
        <v/>
      </c>
      <c r="L23" s="1001">
        <f>IF(SUMIF(L3:L22,"&gt;0",F3:F22)=0,"",SUMPRODUCT(F3:F22,L3:L22)/SUMIF(L3:L22,"&gt;0",F3:F22))</f>
        <v/>
      </c>
      <c r="M23" s="1000" t="n"/>
      <c r="N23" s="1003" t="n"/>
      <c r="O23" s="998" t="n"/>
      <c r="P23" s="1001">
        <f>IF(SUMPRODUCT(--ISNUMBER(T3:T22),F3:F22)=0,"",T23/SUMPRODUCT(--ISNUMBER(T3:T22),F3:F22))</f>
        <v/>
      </c>
      <c r="Q23" s="1001">
        <f>IF(OR(NOT(ISNUMBER(F23)),F23=0,NOT(ISNUMBER(VERKAUFSMATRIX!U28))),"",VERKAUFSMATRIX!U28/F23)</f>
        <v/>
      </c>
      <c r="R23" s="1002">
        <f>IF(OR(NOT(ISNUMBER(P23)),NOT(ISNUMBER(Q23)),Q23=0),"",P23/Q23-1)</f>
        <v/>
      </c>
      <c r="S23" s="1003">
        <f>SUM(S3:S22)</f>
        <v/>
      </c>
      <c r="T23" s="1004">
        <f>SUM(T3:T22)</f>
        <v/>
      </c>
      <c r="U23" s="1004">
        <f>SUM(U3:U22)</f>
        <v/>
      </c>
      <c r="V23" s="1004">
        <f>SUM(V3:V22)</f>
        <v/>
      </c>
      <c r="W23" s="1004">
        <f>SUM(W3:W22)</f>
        <v/>
      </c>
      <c r="X23" s="1000">
        <f>IF(OR(NOT(ISNUMBER(Z23)),NOT(ISNUMBER(W23)),W23=0),"",Z23/W23)</f>
        <v/>
      </c>
      <c r="Y23" s="1000" t="n"/>
      <c r="Z23" s="1004">
        <f>SUM(Z3:Z22)</f>
        <v/>
      </c>
      <c r="AA23" s="1004">
        <f>SUM(AA3:AA22)</f>
        <v/>
      </c>
      <c r="AB23" s="1004">
        <f>SUM(AB3:AB22)</f>
        <v/>
      </c>
      <c r="AC23" s="1001">
        <f>IF(OR(NOT(ISNUMBER(W23)),NOT(ISNUMBER(F23)),F23=0),"",W23/F23)</f>
        <v/>
      </c>
      <c r="AD23" s="1001">
        <f>IF(OR(NOT(ISNUMBER(AB23)),NOT(ISNUMBER(F23)),F23=0),"",AB23/F23)</f>
        <v/>
      </c>
      <c r="AE23" s="1004">
        <f>SUM(AE3:AE22)</f>
        <v/>
      </c>
      <c r="AF23" s="1004">
        <f>SUM(AF3:AF22)</f>
        <v/>
      </c>
      <c r="AG23" s="1004">
        <f>SUM(AG3:AG22)</f>
        <v/>
      </c>
      <c r="AH23" s="1004">
        <f>SUM(AH3:AH22)</f>
        <v/>
      </c>
      <c r="AI23" s="1004">
        <f>SUM(AI3:AI22)</f>
        <v/>
      </c>
      <c r="AJ23" s="1004">
        <f>SUM(AJ3:AJ22)</f>
        <v/>
      </c>
      <c r="AK23" s="1005">
        <f>COUNT(AK3:AK22)&amp;" WE manuell"</f>
        <v/>
      </c>
      <c r="AL23" s="1005">
        <f>SUM(AL3:AL22)</f>
        <v/>
      </c>
      <c r="AM23" s="1005">
        <f>SUM(AM3:AM22)</f>
        <v/>
      </c>
      <c r="AN23" s="1005">
        <f>SUM(AN3:AN22)</f>
        <v/>
      </c>
      <c r="AO23" s="1005">
        <f>SUM(AO3:AO22)</f>
        <v/>
      </c>
      <c r="AP23" s="1005">
        <f>SUM(AP3:AP22)</f>
        <v/>
      </c>
      <c r="AQ23" s="1005">
        <f>SUM(AQ3:AQ22)</f>
        <v/>
      </c>
      <c r="AR23" s="1005">
        <f>SUM(AR3:AR22)</f>
        <v/>
      </c>
      <c r="AS23" s="1005">
        <f>SUM(AS3:AS22)</f>
        <v/>
      </c>
      <c r="AT23" s="1006">
        <f>IF(SUMPRODUCT(--ISNUMBER(AL3:AL22),F3:F22)=0,"",AL23/SUMPRODUCT(--ISNUMBER(AL3:AL22),F3:F22))</f>
        <v/>
      </c>
      <c r="AU23" s="1007">
        <f>IF(COUNT(AU3:AU22)=0,"",MIN(AU3:AU22))</f>
        <v/>
      </c>
      <c r="AV23" s="1007">
        <f>IF(COUNT(AV3:AV22)=0,"",MAX(AV3:AV22))</f>
        <v/>
      </c>
      <c r="AW23" s="997" t="n"/>
      <c r="AX23" s="997">
        <f>IF(COUNT(AX3:AX22)=0,"",MAX(AX3:AX22))</f>
        <v/>
      </c>
      <c r="AY23" s="1004">
        <f>SUM(AY3:AY22)</f>
        <v/>
      </c>
      <c r="AZ23" s="1004">
        <f>SUM(AZ3:AZ22)</f>
        <v/>
      </c>
      <c r="BA23" s="1002" t="n"/>
      <c r="BB23" s="1005" t="n"/>
      <c r="BC23" s="1005">
        <f>SUM(BC3:BC22)</f>
        <v/>
      </c>
      <c r="BD23" s="1005" t="n"/>
      <c r="BE23" s="1005">
        <f>SUM(BE3:BE22)</f>
        <v/>
      </c>
      <c r="BF23" s="1002">
        <f>IF(OR(NOT(ISNUMBER(BC23)),NOT(ISNUMBER(AL23)),AL23=0),"",BC23/AL23)</f>
        <v/>
      </c>
      <c r="BG23" s="1005">
        <f>SUM(BG3:BG22)</f>
        <v/>
      </c>
      <c r="BH23" s="1004">
        <f>SUM(BH3:BH22)</f>
        <v/>
      </c>
      <c r="BI23" s="1004">
        <f>SUM(BI3:BI22)</f>
        <v/>
      </c>
      <c r="BJ23" s="1000" t="n"/>
      <c r="BK23" s="1000">
        <f>IF(OR(NOT(ISNUMBER(BI23)),NOT(ISNUMBER(AB23)),AB23=0),"",1-BI23/AB23)</f>
        <v/>
      </c>
      <c r="BL23" s="1000">
        <f>IF(OR(NOT(ISNUMBER(BI23)),NOT(ISNUMBER(AE23)),AE23=0),"",1-BI23/AE23)</f>
        <v/>
      </c>
      <c r="BM23" s="998" t="n"/>
      <c r="BN23" s="1000" t="n"/>
      <c r="BO23" s="1000" t="n"/>
      <c r="BP23" s="1004">
        <f>SUM(BP3:BP22)</f>
        <v/>
      </c>
      <c r="BQ23" s="1005">
        <f>SUM(BQ3:BQ22)</f>
        <v/>
      </c>
      <c r="BR23" s="1005">
        <f>SUM(BR3:BR22)</f>
        <v/>
      </c>
      <c r="BS23" s="1004">
        <f>SUM(BS3:BS22)</f>
        <v/>
      </c>
      <c r="BT23" s="1008">
        <f>SUM(BT3:BT22)</f>
        <v/>
      </c>
      <c r="BU23" s="1003">
        <f>SUM(BU3:BU22)</f>
        <v/>
      </c>
      <c r="BV23" s="1005">
        <f>SUM(BV3:BV22)</f>
        <v/>
      </c>
      <c r="BW23" s="1003">
        <f>SUM(BW3:BW22)</f>
        <v/>
      </c>
      <c r="BX23" s="1003">
        <f>SUM(BX3:BX22)</f>
        <v/>
      </c>
      <c r="BY23" s="1003">
        <f>SUM(BY3:BY22)</f>
        <v/>
      </c>
      <c r="BZ23" s="1011">
        <f>IF(SUMPRODUCT(--ISNUMBER(AS3:AS22),--ISNUMBER(AA3:AA22),AS3:AS22)=0,"",SUMPRODUCT(--ISNUMBER(AS3:AS22),--ISNUMBER(AA3:AA22),AA3:AA22)/(SUMPRODUCT(--ISNUMBER(AS3:AS22),--ISNUMBER(AA3:AA22),AS3:AS22)*12))</f>
        <v/>
      </c>
      <c r="CA23" s="1000">
        <f>IF(SUMPRODUCT(--ISNUMBER(AS3:AS22),--ISNUMBER(AA3:AA22),AA3:AA22)=0,"",SUMPRODUCT(--ISNUMBER(AS3:AS22),--ISNUMBER(AA3:AA22),AS3:AS22)*12/SUMPRODUCT(--ISNUMBER(AS3:AS22),--ISNUMBER(AA3:AA22),AA3:AA22))</f>
        <v/>
      </c>
      <c r="CB23" s="1008">
        <f>SUM(CB3:CB22)</f>
        <v/>
      </c>
      <c r="CC23" s="1008">
        <f>SUM(CC3:CC22)</f>
        <v/>
      </c>
      <c r="CD23" s="1009" t="n"/>
      <c r="CE23" s="1004">
        <f>SUM(CE3:CE22)</f>
        <v/>
      </c>
      <c r="CF23" s="1012" t="n"/>
      <c r="CG23" s="1012" t="n"/>
      <c r="CH23" s="1012" t="n"/>
    </row>
    <row r="24" s="545">
      <c r="A24" s="1012" t="n"/>
      <c r="B24" s="1012" t="n"/>
      <c r="C24" s="1012" t="n"/>
      <c r="D24" s="1012" t="n"/>
      <c r="E24" s="1012" t="n"/>
      <c r="F24" s="1012" t="n"/>
      <c r="G24" s="1012" t="n"/>
      <c r="H24" s="1012" t="n"/>
      <c r="I24" s="1012" t="n"/>
      <c r="J24" s="1012" t="n"/>
      <c r="K24" s="1012" t="n"/>
      <c r="L24" s="1012" t="n"/>
      <c r="M24" s="1012" t="n"/>
      <c r="N24" s="1012" t="n"/>
      <c r="O24" s="1012" t="n"/>
      <c r="P24" s="1012" t="n"/>
      <c r="Q24" s="1012" t="n"/>
      <c r="R24" s="1012" t="n"/>
      <c r="S24" s="1012" t="n"/>
      <c r="T24" s="1012" t="n"/>
      <c r="U24" s="1012" t="n"/>
      <c r="V24" s="1012" t="n"/>
      <c r="W24" s="1012" t="n"/>
      <c r="X24" s="1012" t="n"/>
      <c r="Y24" s="1012" t="n"/>
      <c r="Z24" s="1012" t="n"/>
      <c r="AA24" s="1012" t="n"/>
      <c r="AB24" s="1012" t="n"/>
      <c r="AC24" s="1012" t="n"/>
      <c r="AD24" s="1012" t="n"/>
      <c r="AE24" s="1012" t="n"/>
      <c r="AF24" s="1012" t="n"/>
      <c r="AG24" s="1012" t="n"/>
      <c r="AH24" s="1012" t="n"/>
      <c r="AI24" s="1012" t="n"/>
      <c r="AJ24" s="1012" t="n"/>
      <c r="AK24" s="1012" t="n"/>
      <c r="AL24" s="1012" t="n"/>
      <c r="AM24" s="1012" t="n"/>
      <c r="AN24" s="1012" t="n"/>
      <c r="AO24" s="1012" t="n"/>
      <c r="AP24" s="1012" t="n"/>
      <c r="AQ24" s="1012" t="n"/>
      <c r="AR24" s="1012" t="n"/>
      <c r="AS24" s="1012" t="n"/>
      <c r="AT24" s="1012" t="n"/>
      <c r="AU24" s="1012" t="n"/>
      <c r="AV24" s="1012" t="n"/>
      <c r="AW24" s="1012" t="n"/>
      <c r="AX24" s="1012" t="n"/>
      <c r="AY24" s="1012" t="n"/>
      <c r="AZ24" s="1012" t="n"/>
      <c r="BA24" s="1012" t="n"/>
      <c r="BB24" s="1012" t="n"/>
      <c r="BC24" s="1012" t="n"/>
      <c r="BD24" s="1012" t="n"/>
      <c r="BE24" s="1012" t="n"/>
      <c r="BF24" s="1012" t="n"/>
      <c r="BG24" s="1012" t="n"/>
      <c r="BH24" s="1012" t="n"/>
      <c r="BI24" s="1012" t="n"/>
      <c r="BJ24" s="1012" t="n"/>
      <c r="BK24" s="1012" t="n"/>
      <c r="BL24" s="1012" t="n"/>
      <c r="BM24" s="1012" t="n"/>
      <c r="BN24" s="1012" t="n"/>
      <c r="BO24" s="1012" t="n"/>
      <c r="BP24" s="1012" t="n"/>
      <c r="BQ24" s="1012" t="n"/>
      <c r="BR24" s="1012" t="n"/>
      <c r="BS24" s="1012" t="n"/>
      <c r="BT24" s="1012" t="n"/>
      <c r="BU24" s="1012" t="n"/>
      <c r="BV24" s="1012" t="n"/>
      <c r="BW24" s="1012" t="n"/>
      <c r="BX24" s="1012" t="n"/>
      <c r="BY24" s="1012" t="n"/>
      <c r="BZ24" s="1012" t="n"/>
      <c r="CA24" s="1012" t="n"/>
      <c r="CB24" s="1012" t="n"/>
      <c r="CC24" s="1012" t="n"/>
      <c r="CD24" s="1012" t="n"/>
      <c r="CE24" s="1012" t="n"/>
      <c r="CF24" s="1012" t="n"/>
      <c r="CG24" s="1012" t="n"/>
      <c r="CH24" s="1012" t="n"/>
    </row>
    <row r="25" ht="20" customHeight="1" s="545">
      <c r="A25" s="1060" t="inlineStr">
        <is>
          <t>KÄUFER-PROFIL (Standard für alle Wohnungen)</t>
        </is>
      </c>
      <c r="B25" s="947" t="n"/>
      <c r="C25" s="947" t="n"/>
      <c r="D25" s="1012" t="n"/>
      <c r="E25" s="1060" t="inlineStr">
        <is>
          <t>OBJEKT, ASSETS, STEUERUNG</t>
        </is>
      </c>
      <c r="F25" s="947" t="n"/>
      <c r="G25" s="947" t="n"/>
      <c r="H25" s="947" t="n"/>
      <c r="I25" s="1012" t="n"/>
      <c r="J25" s="1060" t="inlineStr">
        <is>
          <t>EINGABE-WEG (bestimmt den Verkaufspreis)</t>
        </is>
      </c>
      <c r="K25" s="947" t="n"/>
      <c r="L25" s="947" t="n"/>
      <c r="M25" s="947" t="n"/>
      <c r="N25" s="947" t="n"/>
      <c r="O25" s="947" t="n"/>
      <c r="P25" s="1012" t="n"/>
      <c r="Q25" s="1012" t="n"/>
      <c r="R25" s="1012" t="n"/>
      <c r="S25" s="1012" t="n"/>
      <c r="T25" s="1012" t="n"/>
      <c r="U25" s="1012" t="n"/>
      <c r="V25" s="1012" t="n"/>
      <c r="W25" s="1012" t="n"/>
      <c r="X25" s="1012" t="n"/>
      <c r="Y25" s="1012" t="n"/>
      <c r="Z25" s="1012" t="n"/>
      <c r="AA25" s="1012" t="n"/>
      <c r="AB25" s="1012" t="n"/>
      <c r="AC25" s="1012" t="n"/>
      <c r="AD25" s="1012" t="n"/>
      <c r="AE25" s="1012" t="n"/>
      <c r="AF25" s="1012" t="n"/>
      <c r="AG25" s="1012" t="n"/>
      <c r="AH25" s="1012" t="n"/>
      <c r="AI25" s="1012" t="n"/>
      <c r="AJ25" s="1012" t="n"/>
      <c r="AK25" s="1012" t="n"/>
      <c r="AL25" s="1012" t="n"/>
      <c r="AM25" s="1012" t="n"/>
      <c r="AN25" s="1012" t="n"/>
      <c r="AO25" s="1012" t="n"/>
      <c r="AP25" s="1012" t="n"/>
      <c r="AQ25" s="1012" t="n"/>
      <c r="AR25" s="1012" t="n"/>
      <c r="AS25" s="1012" t="n"/>
      <c r="AT25" s="1012" t="n"/>
      <c r="AU25" s="1012" t="n"/>
      <c r="AV25" s="1012" t="n"/>
      <c r="AW25" s="1012" t="n"/>
      <c r="AX25" s="1012" t="n"/>
      <c r="AY25" s="1012" t="n"/>
      <c r="AZ25" s="1012" t="n"/>
      <c r="BA25" s="1012" t="n"/>
      <c r="BB25" s="1012" t="n"/>
      <c r="BC25" s="1012" t="n"/>
      <c r="BD25" s="1012" t="n"/>
      <c r="BE25" s="1012" t="n"/>
      <c r="BF25" s="1012" t="n"/>
      <c r="BG25" s="1012" t="n"/>
      <c r="BH25" s="1012" t="n"/>
      <c r="BI25" s="1012" t="n"/>
      <c r="BJ25" s="1012" t="n"/>
      <c r="BK25" s="1012" t="n"/>
      <c r="BL25" s="1012" t="n"/>
      <c r="BM25" s="1012" t="n"/>
      <c r="BN25" s="1012" t="n"/>
      <c r="BO25" s="1012" t="n"/>
      <c r="BP25" s="1012" t="n"/>
      <c r="BQ25" s="1012" t="n"/>
      <c r="BR25" s="1012" t="n"/>
      <c r="BS25" s="1012" t="n"/>
      <c r="BT25" s="1012" t="n"/>
      <c r="BU25" s="1012" t="n"/>
      <c r="BV25" s="1012" t="n"/>
      <c r="BW25" s="1012" t="n"/>
      <c r="BX25" s="1012" t="n"/>
      <c r="BY25" s="1012" t="n"/>
      <c r="BZ25" s="1012" t="n"/>
      <c r="CA25" s="1012" t="n"/>
      <c r="CB25" s="1012" t="n"/>
      <c r="CC25" s="1012" t="n"/>
      <c r="CD25" s="1012" t="n"/>
      <c r="CE25" s="1012" t="n"/>
      <c r="CF25" s="1012" t="n"/>
      <c r="CG25" s="1012" t="n"/>
      <c r="CH25" s="1012" t="n"/>
    </row>
    <row r="26" ht="24" customHeight="1" s="545">
      <c r="A26" s="1061" t="inlineStr">
        <is>
          <t>Zins Käufer (p.a.)</t>
        </is>
      </c>
      <c r="B26" s="947" t="n"/>
      <c r="C26" s="1040" t="n">
        <v>0.048</v>
      </c>
      <c r="D26" s="1012" t="n"/>
      <c r="E26" s="1061" t="inlineStr">
        <is>
          <t>Provision Standard (% vom Abgabepreis)</t>
        </is>
      </c>
      <c r="F26" s="947" t="n"/>
      <c r="G26" s="947" t="n"/>
      <c r="H26" s="1040" t="n">
        <v>0.07000000000000001</v>
      </c>
      <c r="I26" s="1012" t="n"/>
      <c r="J26" s="1061" t="inlineStr">
        <is>
          <t>Eingabe-Weg: 1 = Regler €/m², 2 = Bruttomietrendite, 3 = Cashflow n. St.</t>
        </is>
      </c>
      <c r="K26" s="947" t="n"/>
      <c r="L26" s="947" t="n"/>
      <c r="M26" s="947" t="n"/>
      <c r="N26" s="947" t="n"/>
      <c r="O26" s="1041" t="n">
        <v>1</v>
      </c>
      <c r="P26" s="1012" t="n"/>
      <c r="Q26" s="1012" t="n"/>
      <c r="R26" s="1012" t="n"/>
      <c r="S26" s="1012" t="n"/>
      <c r="T26" s="1012" t="n"/>
      <c r="U26" s="1012" t="n"/>
      <c r="V26" s="1012" t="n"/>
      <c r="W26" s="1012" t="n"/>
      <c r="X26" s="1012" t="n"/>
      <c r="Y26" s="1012" t="n"/>
      <c r="Z26" s="1012" t="n"/>
      <c r="AA26" s="1012" t="n"/>
      <c r="AB26" s="1012" t="n"/>
      <c r="AC26" s="1012" t="n"/>
      <c r="AD26" s="1012" t="n"/>
      <c r="AE26" s="1012" t="n"/>
      <c r="AF26" s="1012" t="n"/>
      <c r="AG26" s="1012" t="n"/>
      <c r="AH26" s="1012" t="n"/>
      <c r="AI26" s="1012" t="n"/>
      <c r="AJ26" s="1012" t="n"/>
      <c r="AK26" s="1012" t="n"/>
      <c r="AL26" s="1012" t="n"/>
      <c r="AM26" s="1012" t="n"/>
      <c r="AN26" s="1012" t="n"/>
      <c r="AO26" s="1012" t="n"/>
      <c r="AP26" s="1012" t="n"/>
      <c r="AQ26" s="1012" t="n"/>
      <c r="AR26" s="1012" t="n"/>
      <c r="AS26" s="1012" t="n"/>
      <c r="AT26" s="1012" t="n"/>
      <c r="AU26" s="1012" t="n"/>
      <c r="AV26" s="1012" t="n"/>
      <c r="AW26" s="1012" t="n"/>
      <c r="AX26" s="1012" t="n"/>
      <c r="AY26" s="1012" t="n"/>
      <c r="AZ26" s="1012" t="n"/>
      <c r="BA26" s="1012" t="n"/>
      <c r="BB26" s="1012" t="n"/>
      <c r="BC26" s="1012" t="n"/>
      <c r="BD26" s="1012" t="n"/>
      <c r="BE26" s="1012" t="n"/>
      <c r="BF26" s="1012" t="n"/>
      <c r="BG26" s="1012" t="n"/>
      <c r="BH26" s="1012" t="n"/>
      <c r="BI26" s="1012" t="n"/>
      <c r="BJ26" s="1012" t="n"/>
      <c r="BK26" s="1012" t="n"/>
      <c r="BL26" s="1012" t="n"/>
      <c r="BM26" s="1012" t="n"/>
      <c r="BN26" s="1012" t="n"/>
      <c r="BO26" s="1012" t="n"/>
      <c r="BP26" s="1012" t="n"/>
      <c r="BQ26" s="1012" t="n"/>
      <c r="BR26" s="1012" t="n"/>
      <c r="BS26" s="1012" t="n"/>
      <c r="BT26" s="1012" t="n"/>
      <c r="BU26" s="1012" t="n"/>
      <c r="BV26" s="1012" t="n"/>
      <c r="BW26" s="1012" t="n"/>
      <c r="BX26" s="1012" t="n"/>
      <c r="BY26" s="1012" t="n"/>
      <c r="BZ26" s="1012" t="n"/>
      <c r="CA26" s="1012" t="n"/>
      <c r="CB26" s="1012" t="n"/>
      <c r="CC26" s="1012" t="n"/>
      <c r="CD26" s="1012" t="n"/>
      <c r="CE26" s="1012" t="n"/>
      <c r="CF26" s="1012" t="n"/>
      <c r="CG26" s="1012" t="n"/>
      <c r="CH26" s="1012" t="n"/>
    </row>
    <row r="27" ht="24" customHeight="1" s="545">
      <c r="A27" s="1061" t="inlineStr">
        <is>
          <t>Tilgung Käufer (p.a.)</t>
        </is>
      </c>
      <c r="B27" s="947" t="n"/>
      <c r="C27" s="1040" t="n">
        <v>0.01</v>
      </c>
      <c r="D27" s="1012" t="n"/>
      <c r="E27" s="1061" t="inlineStr">
        <is>
          <t>Grundstücksfläche gesamt (m²)</t>
        </is>
      </c>
      <c r="F27" s="947" t="n"/>
      <c r="G27" s="947" t="n"/>
      <c r="H27" s="1042" t="n">
        <v>769</v>
      </c>
      <c r="I27" s="1012" t="n"/>
      <c r="J27" s="1061" t="inlineStr">
        <is>
          <t>→ aktiver Weg</t>
        </is>
      </c>
      <c r="K27" s="947" t="n"/>
      <c r="L27" s="947" t="n"/>
      <c r="M27" s="947" t="n"/>
      <c r="N27" s="947" t="n"/>
      <c r="O27" s="1043">
        <f>IF(N($O$26)=2,"Bruttomietrendite",IF(N($O$26)=3,"Cashflow nach Steuern",IF(OR(N($O$26)=1,$O$26=""),"Regler €/m²","Regler €/m² (Schalter: 1, 2 oder 3)")))</f>
        <v/>
      </c>
      <c r="P27" s="1012" t="n"/>
      <c r="Q27" s="1012" t="n"/>
      <c r="R27" s="1012" t="n"/>
      <c r="S27" s="1012" t="n"/>
      <c r="T27" s="1012" t="n"/>
      <c r="U27" s="1012" t="n"/>
      <c r="V27" s="1012" t="n"/>
      <c r="W27" s="1012" t="n"/>
      <c r="X27" s="1012" t="n"/>
      <c r="Y27" s="1012" t="n"/>
      <c r="Z27" s="1012" t="n"/>
      <c r="AA27" s="1012" t="n"/>
      <c r="AB27" s="1012" t="n"/>
      <c r="AC27" s="1012" t="n"/>
      <c r="AD27" s="1012" t="n"/>
      <c r="AE27" s="1012" t="n"/>
      <c r="AF27" s="1012" t="n"/>
      <c r="AG27" s="1012" t="n"/>
      <c r="AH27" s="1012" t="n"/>
      <c r="AI27" s="1012" t="n"/>
      <c r="AJ27" s="1012" t="n"/>
      <c r="AK27" s="1012" t="n"/>
      <c r="AL27" s="1012" t="n"/>
      <c r="AM27" s="1012" t="n"/>
      <c r="AN27" s="1012" t="n"/>
      <c r="AO27" s="1012" t="n"/>
      <c r="AP27" s="1012" t="n"/>
      <c r="AQ27" s="1012" t="n"/>
      <c r="AR27" s="1012" t="n"/>
      <c r="AS27" s="1012" t="n"/>
      <c r="AT27" s="1012" t="n"/>
      <c r="AU27" s="1012" t="n"/>
      <c r="AV27" s="1012" t="n"/>
      <c r="AW27" s="1012" t="n"/>
      <c r="AX27" s="1012" t="n"/>
      <c r="AY27" s="1012" t="n"/>
      <c r="AZ27" s="1012" t="n"/>
      <c r="BA27" s="1012" t="n"/>
      <c r="BB27" s="1012" t="n"/>
      <c r="BC27" s="1012" t="n"/>
      <c r="BD27" s="1012" t="n"/>
      <c r="BE27" s="1012" t="n"/>
      <c r="BF27" s="1012" t="n"/>
      <c r="BG27" s="1012" t="n"/>
      <c r="BH27" s="1012" t="n"/>
      <c r="BI27" s="1012" t="n"/>
      <c r="BJ27" s="1012" t="n"/>
      <c r="BK27" s="1012" t="n"/>
      <c r="BL27" s="1012" t="n"/>
      <c r="BM27" s="1012" t="n"/>
      <c r="BN27" s="1012" t="n"/>
      <c r="BO27" s="1012" t="n"/>
      <c r="BP27" s="1012" t="n"/>
      <c r="BQ27" s="1012" t="n"/>
      <c r="BR27" s="1012" t="n"/>
      <c r="BS27" s="1012" t="n"/>
      <c r="BT27" s="1012" t="n"/>
      <c r="BU27" s="1012" t="n"/>
      <c r="BV27" s="1012" t="n"/>
      <c r="BW27" s="1012" t="n"/>
      <c r="BX27" s="1012" t="n"/>
      <c r="BY27" s="1012" t="n"/>
      <c r="BZ27" s="1012" t="n"/>
      <c r="CA27" s="1012" t="n"/>
      <c r="CB27" s="1012" t="n"/>
      <c r="CC27" s="1012" t="n"/>
      <c r="CD27" s="1012" t="n"/>
      <c r="CE27" s="1012" t="n"/>
      <c r="CF27" s="1012" t="n"/>
      <c r="CG27" s="1012" t="n"/>
      <c r="CH27" s="1012" t="n"/>
    </row>
    <row r="28" ht="24" customHeight="1" s="545">
      <c r="A28" s="1061" t="inlineStr">
        <is>
          <t>Grenzsteuersatz</t>
        </is>
      </c>
      <c r="B28" s="947" t="n"/>
      <c r="C28" s="1040" t="n">
        <v>0.42</v>
      </c>
      <c r="D28" s="1012" t="n"/>
      <c r="E28" s="1061" t="inlineStr">
        <is>
          <t>Bodenrichtwert (€/m²)</t>
        </is>
      </c>
      <c r="F28" s="947" t="n"/>
      <c r="G28" s="947" t="n"/>
      <c r="H28" s="1044" t="n">
        <v>240</v>
      </c>
      <c r="I28" s="1012" t="n"/>
      <c r="J28" s="1061" t="inlineStr">
        <is>
          <t>Ziel-Bruttomietrendite (Soll-Miete inkl. Subvention)</t>
        </is>
      </c>
      <c r="K28" s="947" t="n"/>
      <c r="L28" s="947" t="n"/>
      <c r="M28" s="947" t="n"/>
      <c r="N28" s="947" t="n"/>
      <c r="O28" s="1040" t="n">
        <v>0.05</v>
      </c>
      <c r="P28" s="1012" t="n"/>
      <c r="Q28" s="1012" t="n"/>
      <c r="R28" s="1012" t="n"/>
      <c r="S28" s="1012" t="n"/>
      <c r="T28" s="1012" t="n"/>
      <c r="U28" s="1012" t="n"/>
      <c r="V28" s="1012" t="n"/>
      <c r="W28" s="1012" t="n"/>
      <c r="X28" s="1012" t="n"/>
      <c r="Y28" s="1012" t="n"/>
      <c r="Z28" s="1012" t="n"/>
      <c r="AA28" s="1012" t="n"/>
      <c r="AB28" s="1012" t="n"/>
      <c r="AC28" s="1012" t="n"/>
      <c r="AD28" s="1012" t="n"/>
      <c r="AE28" s="1012" t="n"/>
      <c r="AF28" s="1012" t="n"/>
      <c r="AG28" s="1012" t="n"/>
      <c r="AH28" s="1012" t="n"/>
      <c r="AI28" s="1012" t="n"/>
      <c r="AJ28" s="1012" t="n"/>
      <c r="AK28" s="1012" t="n"/>
      <c r="AL28" s="1012" t="n"/>
      <c r="AM28" s="1012" t="n"/>
      <c r="AN28" s="1012" t="n"/>
      <c r="AO28" s="1012" t="n"/>
      <c r="AP28" s="1012" t="n"/>
      <c r="AQ28" s="1012" t="n"/>
      <c r="AR28" s="1012" t="n"/>
      <c r="AS28" s="1012" t="n"/>
      <c r="AT28" s="1012" t="n"/>
      <c r="AU28" s="1012" t="n"/>
      <c r="AV28" s="1012" t="n"/>
      <c r="AW28" s="1012" t="n"/>
      <c r="AX28" s="1012" t="n"/>
      <c r="AY28" s="1012" t="n"/>
      <c r="AZ28" s="1012" t="n"/>
      <c r="BA28" s="1012" t="n"/>
      <c r="BB28" s="1012" t="n"/>
      <c r="BC28" s="1012" t="n"/>
      <c r="BD28" s="1012" t="n"/>
      <c r="BE28" s="1012" t="n"/>
      <c r="BF28" s="1012" t="n"/>
      <c r="BG28" s="1012" t="n"/>
      <c r="BH28" s="1012" t="n"/>
      <c r="BI28" s="1012" t="n"/>
      <c r="BJ28" s="1012" t="n"/>
      <c r="BK28" s="1012" t="n"/>
      <c r="BL28" s="1012" t="n"/>
      <c r="BM28" s="1012" t="n"/>
      <c r="BN28" s="1012" t="n"/>
      <c r="BO28" s="1012" t="n"/>
      <c r="BP28" s="1012" t="n"/>
      <c r="BQ28" s="1012" t="n"/>
      <c r="BR28" s="1012" t="n"/>
      <c r="BS28" s="1012" t="n"/>
      <c r="BT28" s="1012" t="n"/>
      <c r="BU28" s="1012" t="n"/>
      <c r="BV28" s="1012" t="n"/>
      <c r="BW28" s="1012" t="n"/>
      <c r="BX28" s="1012" t="n"/>
      <c r="BY28" s="1012" t="n"/>
      <c r="BZ28" s="1012" t="n"/>
      <c r="CA28" s="1012" t="n"/>
      <c r="CB28" s="1012" t="n"/>
      <c r="CC28" s="1012" t="n"/>
      <c r="CD28" s="1012" t="n"/>
      <c r="CE28" s="1012" t="n"/>
      <c r="CF28" s="1012" t="n"/>
      <c r="CG28" s="1012" t="n"/>
      <c r="CH28" s="1012" t="n"/>
    </row>
    <row r="29" ht="24" customHeight="1" s="545">
      <c r="A29" s="1061" t="inlineStr">
        <is>
          <t>Bewirtschaftungsquote (Alt-Kontrolle)</t>
        </is>
      </c>
      <c r="B29" s="947" t="n"/>
      <c r="C29" s="1020">
        <f>IF(OR(NOT(ISNUMBER(C66)),NOT(ISNUMBER(C67)),NOT(ISNUMBER($C$69)),$C$69=0),"",(C66+C67)/$C$69)</f>
        <v/>
      </c>
      <c r="D29" s="1012" t="n"/>
      <c r="E29" s="1061" t="inlineStr">
        <is>
          <t>MEA-Nenner (Teilungserklärung)</t>
        </is>
      </c>
      <c r="F29" s="947" t="n"/>
      <c r="G29" s="947" t="n"/>
      <c r="H29" s="1041" t="n">
        <v>895</v>
      </c>
      <c r="I29" s="1012" t="n"/>
      <c r="J29" s="1061" t="inlineStr">
        <is>
          <t>Ziel-Cashflow nach Steuern mit Subvention (€/Mo)</t>
        </is>
      </c>
      <c r="K29" s="947" t="n"/>
      <c r="L29" s="947" t="n"/>
      <c r="M29" s="947" t="n"/>
      <c r="N29" s="947" t="n"/>
      <c r="O29" s="1045" t="n">
        <v>0</v>
      </c>
      <c r="P29" s="1012" t="n"/>
      <c r="Q29" s="1012" t="n"/>
      <c r="R29" s="1012" t="n"/>
      <c r="S29" s="1012" t="n"/>
      <c r="T29" s="1012" t="n"/>
      <c r="U29" s="1012" t="n"/>
      <c r="V29" s="1012" t="n"/>
      <c r="W29" s="1012" t="n"/>
      <c r="X29" s="1012" t="n"/>
      <c r="Y29" s="1012" t="n"/>
      <c r="Z29" s="1012" t="n"/>
      <c r="AA29" s="1012" t="n"/>
      <c r="AB29" s="1012" t="n"/>
      <c r="AC29" s="1012" t="n"/>
      <c r="AD29" s="1012" t="n"/>
      <c r="AE29" s="1012" t="n"/>
      <c r="AF29" s="1012" t="n"/>
      <c r="AG29" s="1012" t="n"/>
      <c r="AH29" s="1012" t="n"/>
      <c r="AI29" s="1012" t="n"/>
      <c r="AJ29" s="1012" t="n"/>
      <c r="AK29" s="1012" t="n"/>
      <c r="AL29" s="1012" t="n"/>
      <c r="AM29" s="1012" t="n"/>
      <c r="AN29" s="1012" t="n"/>
      <c r="AO29" s="1012" t="n"/>
      <c r="AP29" s="1012" t="n"/>
      <c r="AQ29" s="1012" t="n"/>
      <c r="AR29" s="1012" t="n"/>
      <c r="AS29" s="1012" t="n"/>
      <c r="AT29" s="1012" t="n"/>
      <c r="AU29" s="1012" t="n"/>
      <c r="AV29" s="1012" t="n"/>
      <c r="AW29" s="1012" t="n"/>
      <c r="AX29" s="1012" t="n"/>
      <c r="AY29" s="1012" t="n"/>
      <c r="AZ29" s="1012" t="n"/>
      <c r="BA29" s="1012" t="n"/>
      <c r="BB29" s="1012" t="n"/>
      <c r="BC29" s="1012" t="n"/>
      <c r="BD29" s="1012" t="n"/>
      <c r="BE29" s="1012" t="n"/>
      <c r="BF29" s="1012" t="n"/>
      <c r="BG29" s="1012" t="n"/>
      <c r="BH29" s="1012" t="n"/>
      <c r="BI29" s="1012" t="n"/>
      <c r="BJ29" s="1012" t="n"/>
      <c r="BK29" s="1012" t="n"/>
      <c r="BL29" s="1012" t="n"/>
      <c r="BM29" s="1012" t="n"/>
      <c r="BN29" s="1012" t="n"/>
      <c r="BO29" s="1012" t="n"/>
      <c r="BP29" s="1012" t="n"/>
      <c r="BQ29" s="1012" t="n"/>
      <c r="BR29" s="1012" t="n"/>
      <c r="BS29" s="1012" t="n"/>
      <c r="BT29" s="1012" t="n"/>
      <c r="BU29" s="1012" t="n"/>
      <c r="BV29" s="1012" t="n"/>
      <c r="BW29" s="1012" t="n"/>
      <c r="BX29" s="1012" t="n"/>
      <c r="BY29" s="1012" t="n"/>
      <c r="BZ29" s="1012" t="n"/>
      <c r="CA29" s="1012" t="n"/>
      <c r="CB29" s="1012" t="n"/>
      <c r="CC29" s="1012" t="n"/>
      <c r="CD29" s="1012" t="n"/>
      <c r="CE29" s="1012" t="n"/>
      <c r="CF29" s="1012" t="n"/>
      <c r="CG29" s="1012" t="n"/>
      <c r="CH29" s="1012" t="n"/>
    </row>
    <row r="30" ht="24" customHeight="1" s="545">
      <c r="A30" s="1061" t="inlineStr">
        <is>
          <t>AfA-Satz Wohnung (Standard)</t>
        </is>
      </c>
      <c r="B30" s="947" t="n"/>
      <c r="C30" s="1040" t="n">
        <v>0.02</v>
      </c>
      <c r="D30" s="1012" t="n"/>
      <c r="E30" s="1061" t="inlineStr">
        <is>
          <t>Bodenwert Haus gesamt (€)</t>
        </is>
      </c>
      <c r="F30" s="947" t="n"/>
      <c r="G30" s="947" t="n"/>
      <c r="H30" s="1022">
        <f>IF(OR(NOT(ISNUMBER($H$27)),NOT(ISNUMBER($H$28))),"",$H$27*$H$28)</f>
        <v/>
      </c>
      <c r="I30" s="1012" t="n"/>
      <c r="J30" s="1012" t="n"/>
      <c r="K30" s="1012" t="n"/>
      <c r="L30" s="1012" t="n"/>
      <c r="M30" s="1012" t="n"/>
      <c r="N30" s="1012" t="n"/>
      <c r="O30" s="1012" t="n"/>
      <c r="P30" s="1012" t="n"/>
      <c r="Q30" s="1012" t="n"/>
      <c r="R30" s="1012" t="n"/>
      <c r="S30" s="1012" t="n"/>
      <c r="T30" s="1012" t="n"/>
      <c r="U30" s="1012" t="n"/>
      <c r="V30" s="1012" t="n"/>
      <c r="W30" s="1012" t="n"/>
      <c r="X30" s="1012" t="n"/>
      <c r="Y30" s="1012" t="n"/>
      <c r="Z30" s="1012" t="n"/>
      <c r="AA30" s="1012" t="n"/>
      <c r="AB30" s="1012" t="n"/>
      <c r="AC30" s="1012" t="n"/>
      <c r="AD30" s="1012" t="n"/>
      <c r="AE30" s="1012" t="n"/>
      <c r="AF30" s="1012" t="n"/>
      <c r="AG30" s="1012" t="n"/>
      <c r="AH30" s="1012" t="n"/>
      <c r="AI30" s="1012" t="n"/>
      <c r="AJ30" s="1012" t="n"/>
      <c r="AK30" s="1012" t="n"/>
      <c r="AL30" s="1012" t="n"/>
      <c r="AM30" s="1012" t="n"/>
      <c r="AN30" s="1012" t="n"/>
      <c r="AO30" s="1012" t="n"/>
      <c r="AP30" s="1012" t="n"/>
      <c r="AQ30" s="1012" t="n"/>
      <c r="AR30" s="1012" t="n"/>
      <c r="AS30" s="1012" t="n"/>
      <c r="AT30" s="1012" t="n"/>
      <c r="AU30" s="1012" t="n"/>
      <c r="AV30" s="1012" t="n"/>
      <c r="AW30" s="1012" t="n"/>
      <c r="AX30" s="1012" t="n"/>
      <c r="AY30" s="1012" t="n"/>
      <c r="AZ30" s="1012" t="n"/>
      <c r="BA30" s="1012" t="n"/>
      <c r="BB30" s="1012" t="n"/>
      <c r="BC30" s="1012" t="n"/>
      <c r="BD30" s="1012" t="n"/>
      <c r="BE30" s="1012" t="n"/>
      <c r="BF30" s="1012" t="n"/>
      <c r="BG30" s="1012" t="n"/>
      <c r="BH30" s="1012" t="n"/>
      <c r="BI30" s="1012" t="n"/>
      <c r="BJ30" s="1012" t="n"/>
      <c r="BK30" s="1012" t="n"/>
      <c r="BL30" s="1012" t="n"/>
      <c r="BM30" s="1012" t="n"/>
      <c r="BN30" s="1012" t="n"/>
      <c r="BO30" s="1012" t="n"/>
      <c r="BP30" s="1012" t="n"/>
      <c r="BQ30" s="1012" t="n"/>
      <c r="BR30" s="1012" t="n"/>
      <c r="BS30" s="1012" t="n"/>
      <c r="BT30" s="1012" t="n"/>
      <c r="BU30" s="1012" t="n"/>
      <c r="BV30" s="1012" t="n"/>
      <c r="BW30" s="1012" t="n"/>
      <c r="BX30" s="1012" t="n"/>
      <c r="BY30" s="1012" t="n"/>
      <c r="BZ30" s="1012" t="n"/>
      <c r="CA30" s="1012" t="n"/>
      <c r="CB30" s="1012" t="n"/>
      <c r="CC30" s="1012" t="n"/>
      <c r="CD30" s="1012" t="n"/>
      <c r="CE30" s="1012" t="n"/>
      <c r="CF30" s="1012" t="n"/>
      <c r="CG30" s="1012" t="n"/>
      <c r="CH30" s="1012" t="n"/>
    </row>
    <row r="31" ht="24" customHeight="1" s="545">
      <c r="A31" s="1061" t="inlineStr">
        <is>
          <t>Gebäudeanteil (Standard)</t>
        </is>
      </c>
      <c r="B31" s="947" t="n"/>
      <c r="C31" s="1040" t="n">
        <v>0.8</v>
      </c>
      <c r="D31" s="1012" t="n"/>
      <c r="E31" s="1061" t="inlineStr">
        <is>
          <t>AfA-Satz Garage (p.a.)</t>
        </is>
      </c>
      <c r="F31" s="947" t="n"/>
      <c r="G31" s="947" t="n"/>
      <c r="H31" s="1040" t="n">
        <v>0.02</v>
      </c>
      <c r="I31" s="1012" t="n"/>
      <c r="J31" s="1012" t="n"/>
      <c r="K31" s="1012" t="n"/>
      <c r="L31" s="1012" t="n"/>
      <c r="M31" s="1012" t="n"/>
      <c r="N31" s="1012" t="n"/>
      <c r="O31" s="1012" t="n"/>
      <c r="P31" s="1012" t="n"/>
      <c r="Q31" s="1012" t="n"/>
      <c r="R31" s="1012" t="n"/>
      <c r="S31" s="1012" t="n"/>
      <c r="T31" s="1012" t="n"/>
      <c r="U31" s="1012" t="n"/>
      <c r="V31" s="1012" t="n"/>
      <c r="W31" s="1012" t="n"/>
      <c r="X31" s="1012" t="n"/>
      <c r="Y31" s="1012" t="n"/>
      <c r="Z31" s="1012" t="n"/>
      <c r="AA31" s="1012" t="n"/>
      <c r="AB31" s="1012" t="n"/>
      <c r="AC31" s="1012" t="n"/>
      <c r="AD31" s="1012" t="n"/>
      <c r="AE31" s="1012" t="n"/>
      <c r="AF31" s="1012" t="n"/>
      <c r="AG31" s="1012" t="n"/>
      <c r="AH31" s="1012" t="n"/>
      <c r="AI31" s="1012" t="n"/>
      <c r="AJ31" s="1012" t="n"/>
      <c r="AK31" s="1012" t="n"/>
      <c r="AL31" s="1012" t="n"/>
      <c r="AM31" s="1012" t="n"/>
      <c r="AN31" s="1012" t="n"/>
      <c r="AO31" s="1012" t="n"/>
      <c r="AP31" s="1012" t="n"/>
      <c r="AQ31" s="1012" t="n"/>
      <c r="AR31" s="1012" t="n"/>
      <c r="AS31" s="1012" t="n"/>
      <c r="AT31" s="1012" t="n"/>
      <c r="AU31" s="1012" t="n"/>
      <c r="AV31" s="1012" t="n"/>
      <c r="AW31" s="1012" t="n"/>
      <c r="AX31" s="1012" t="n"/>
      <c r="AY31" s="1012" t="n"/>
      <c r="AZ31" s="1012" t="n"/>
      <c r="BA31" s="1012" t="n"/>
      <c r="BB31" s="1012" t="n"/>
      <c r="BC31" s="1012" t="n"/>
      <c r="BD31" s="1012" t="n"/>
      <c r="BE31" s="1012" t="n"/>
      <c r="BF31" s="1012" t="n"/>
      <c r="BG31" s="1012" t="n"/>
      <c r="BH31" s="1012" t="n"/>
      <c r="BI31" s="1012" t="n"/>
      <c r="BJ31" s="1012" t="n"/>
      <c r="BK31" s="1012" t="n"/>
      <c r="BL31" s="1012" t="n"/>
      <c r="BM31" s="1012" t="n"/>
      <c r="BN31" s="1012" t="n"/>
      <c r="BO31" s="1012" t="n"/>
      <c r="BP31" s="1012" t="n"/>
      <c r="BQ31" s="1012" t="n"/>
      <c r="BR31" s="1012" t="n"/>
      <c r="BS31" s="1012" t="n"/>
      <c r="BT31" s="1012" t="n"/>
      <c r="BU31" s="1012" t="n"/>
      <c r="BV31" s="1012" t="n"/>
      <c r="BW31" s="1012" t="n"/>
      <c r="BX31" s="1012" t="n"/>
      <c r="BY31" s="1012" t="n"/>
      <c r="BZ31" s="1012" t="n"/>
      <c r="CA31" s="1012" t="n"/>
      <c r="CB31" s="1012" t="n"/>
      <c r="CC31" s="1012" t="n"/>
      <c r="CD31" s="1012" t="n"/>
      <c r="CE31" s="1012" t="n"/>
      <c r="CF31" s="1012" t="n"/>
      <c r="CG31" s="1012" t="n"/>
      <c r="CH31" s="1012" t="n"/>
    </row>
    <row r="32" ht="24" customHeight="1" s="545">
      <c r="A32" s="1061" t="inlineStr">
        <is>
          <t>Finanzierung: 1 = 100 % KP, 2 = alles finanziert (108,5 %)</t>
        </is>
      </c>
      <c r="B32" s="947" t="n"/>
      <c r="C32" s="1041" t="n">
        <v>2</v>
      </c>
      <c r="D32" s="1012" t="n"/>
      <c r="E32" s="1061" t="inlineStr">
        <is>
          <t>AfA-Satz Außenstellplatz (0 %)</t>
        </is>
      </c>
      <c r="F32" s="947" t="n"/>
      <c r="G32" s="947" t="n"/>
      <c r="H32" s="1040" t="n">
        <v>0</v>
      </c>
      <c r="I32" s="1012" t="n"/>
      <c r="J32" s="1012" t="n"/>
      <c r="K32" s="1012" t="n"/>
      <c r="L32" s="1012" t="n"/>
      <c r="M32" s="1012" t="n"/>
      <c r="N32" s="1012" t="n"/>
      <c r="O32" s="1012" t="n"/>
      <c r="P32" s="1012" t="n"/>
      <c r="Q32" s="1012" t="n"/>
      <c r="R32" s="1012" t="n"/>
      <c r="S32" s="1012" t="n"/>
      <c r="T32" s="1012" t="n"/>
      <c r="U32" s="1012" t="n"/>
      <c r="V32" s="1012" t="n"/>
      <c r="W32" s="1012" t="n"/>
      <c r="X32" s="1012" t="n"/>
      <c r="Y32" s="1012" t="n"/>
      <c r="Z32" s="1012" t="n"/>
      <c r="AA32" s="1012" t="n"/>
      <c r="AB32" s="1012" t="n"/>
      <c r="AC32" s="1012" t="n"/>
      <c r="AD32" s="1012" t="n"/>
      <c r="AE32" s="1012" t="n"/>
      <c r="AF32" s="1012" t="n"/>
      <c r="AG32" s="1012" t="n"/>
      <c r="AH32" s="1012" t="n"/>
      <c r="AI32" s="1012" t="n"/>
      <c r="AJ32" s="1012" t="n"/>
      <c r="AK32" s="1012" t="n"/>
      <c r="AL32" s="1012" t="n"/>
      <c r="AM32" s="1012" t="n"/>
      <c r="AN32" s="1012" t="n"/>
      <c r="AO32" s="1012" t="n"/>
      <c r="AP32" s="1012" t="n"/>
      <c r="AQ32" s="1012" t="n"/>
      <c r="AR32" s="1012" t="n"/>
      <c r="AS32" s="1012" t="n"/>
      <c r="AT32" s="1012" t="n"/>
      <c r="AU32" s="1012" t="n"/>
      <c r="AV32" s="1012" t="n"/>
      <c r="AW32" s="1012" t="n"/>
      <c r="AX32" s="1012" t="n"/>
      <c r="AY32" s="1012" t="n"/>
      <c r="AZ32" s="1012" t="n"/>
      <c r="BA32" s="1012" t="n"/>
      <c r="BB32" s="1012" t="n"/>
      <c r="BC32" s="1012" t="n"/>
      <c r="BD32" s="1012" t="n"/>
      <c r="BE32" s="1012" t="n"/>
      <c r="BF32" s="1012" t="n"/>
      <c r="BG32" s="1012" t="n"/>
      <c r="BH32" s="1012" t="n"/>
      <c r="BI32" s="1012" t="n"/>
      <c r="BJ32" s="1012" t="n"/>
      <c r="BK32" s="1012" t="n"/>
      <c r="BL32" s="1012" t="n"/>
      <c r="BM32" s="1012" t="n"/>
      <c r="BN32" s="1012" t="n"/>
      <c r="BO32" s="1012" t="n"/>
      <c r="BP32" s="1012" t="n"/>
      <c r="BQ32" s="1012" t="n"/>
      <c r="BR32" s="1012" t="n"/>
      <c r="BS32" s="1012" t="n"/>
      <c r="BT32" s="1012" t="n"/>
      <c r="BU32" s="1012" t="n"/>
      <c r="BV32" s="1012" t="n"/>
      <c r="BW32" s="1012" t="n"/>
      <c r="BX32" s="1012" t="n"/>
      <c r="BY32" s="1012" t="n"/>
      <c r="BZ32" s="1012" t="n"/>
      <c r="CA32" s="1012" t="n"/>
      <c r="CB32" s="1012" t="n"/>
      <c r="CC32" s="1012" t="n"/>
      <c r="CD32" s="1012" t="n"/>
      <c r="CE32" s="1012" t="n"/>
      <c r="CF32" s="1012" t="n"/>
      <c r="CG32" s="1012" t="n"/>
      <c r="CH32" s="1012" t="n"/>
    </row>
    <row r="33" ht="24" customHeight="1" s="545">
      <c r="A33" s="1061" t="inlineStr">
        <is>
          <t>Loan-Faktor alles finanziert = 1 + KNK</t>
        </is>
      </c>
      <c r="B33" s="947" t="n"/>
      <c r="C33" s="1025">
        <f>IF(OR(NOT(ISNUMBER($C$35)),$C$35&lt;0,$C$35&gt;=1),"",1+$C$35)</f>
        <v/>
      </c>
      <c r="D33" s="1012" t="n"/>
      <c r="E33" s="1061" t="inlineStr">
        <is>
          <t>Loan-Faktor Vorwärtsrechnung (aus Finanzierung)</t>
        </is>
      </c>
      <c r="F33" s="947" t="n"/>
      <c r="G33" s="947" t="n"/>
      <c r="H33" s="1025">
        <f>IF(NOT(ISNUMBER($C$32)),"",IF($C$32=1,1,IF(NOT(ISNUMBER($C$33)),"",$C$33)))</f>
        <v/>
      </c>
      <c r="I33" s="1012" t="n"/>
      <c r="J33" s="1012" t="n"/>
      <c r="K33" s="1012" t="n"/>
      <c r="L33" s="1012" t="n"/>
      <c r="M33" s="1012" t="n"/>
      <c r="N33" s="1012" t="n"/>
      <c r="O33" s="1012" t="n"/>
      <c r="P33" s="1012" t="n"/>
      <c r="Q33" s="1012" t="n"/>
      <c r="R33" s="1012" t="n"/>
      <c r="S33" s="1012" t="n"/>
      <c r="T33" s="1012" t="n"/>
      <c r="U33" s="1012" t="n"/>
      <c r="V33" s="1012" t="n"/>
      <c r="W33" s="1012" t="n"/>
      <c r="X33" s="1012" t="n"/>
      <c r="Y33" s="1012" t="n"/>
      <c r="Z33" s="1012" t="n"/>
      <c r="AA33" s="1012" t="n"/>
      <c r="AB33" s="1012" t="n"/>
      <c r="AC33" s="1012" t="n"/>
      <c r="AD33" s="1012" t="n"/>
      <c r="AE33" s="1012" t="n"/>
      <c r="AF33" s="1012" t="n"/>
      <c r="AG33" s="1012" t="n"/>
      <c r="AH33" s="1012" t="n"/>
      <c r="AI33" s="1012" t="n"/>
      <c r="AJ33" s="1012" t="n"/>
      <c r="AK33" s="1012" t="n"/>
      <c r="AL33" s="1012" t="n"/>
      <c r="AM33" s="1012" t="n"/>
      <c r="AN33" s="1012" t="n"/>
      <c r="AO33" s="1012" t="n"/>
      <c r="AP33" s="1012" t="n"/>
      <c r="AQ33" s="1012" t="n"/>
      <c r="AR33" s="1012" t="n"/>
      <c r="AS33" s="1012" t="n"/>
      <c r="AT33" s="1012" t="n"/>
      <c r="AU33" s="1012" t="n"/>
      <c r="AV33" s="1012" t="n"/>
      <c r="AW33" s="1012" t="n"/>
      <c r="AX33" s="1012" t="n"/>
      <c r="AY33" s="1012" t="n"/>
      <c r="AZ33" s="1012" t="n"/>
      <c r="BA33" s="1012" t="n"/>
      <c r="BB33" s="1012" t="n"/>
      <c r="BC33" s="1012" t="n"/>
      <c r="BD33" s="1012" t="n"/>
      <c r="BE33" s="1012" t="n"/>
      <c r="BF33" s="1012" t="n"/>
      <c r="BG33" s="1012" t="n"/>
      <c r="BH33" s="1012" t="n"/>
      <c r="BI33" s="1012" t="n"/>
      <c r="BJ33" s="1012" t="n"/>
      <c r="BK33" s="1012" t="n"/>
      <c r="BL33" s="1012" t="n"/>
      <c r="BM33" s="1012" t="n"/>
      <c r="BN33" s="1012" t="n"/>
      <c r="BO33" s="1012" t="n"/>
      <c r="BP33" s="1012" t="n"/>
      <c r="BQ33" s="1012" t="n"/>
      <c r="BR33" s="1012" t="n"/>
      <c r="BS33" s="1012" t="n"/>
      <c r="BT33" s="1012" t="n"/>
      <c r="BU33" s="1012" t="n"/>
      <c r="BV33" s="1012" t="n"/>
      <c r="BW33" s="1012" t="n"/>
      <c r="BX33" s="1012" t="n"/>
      <c r="BY33" s="1012" t="n"/>
      <c r="BZ33" s="1012" t="n"/>
      <c r="CA33" s="1012" t="n"/>
      <c r="CB33" s="1012" t="n"/>
      <c r="CC33" s="1012" t="n"/>
      <c r="CD33" s="1012" t="n"/>
      <c r="CE33" s="1012" t="n"/>
      <c r="CF33" s="1012" t="n"/>
      <c r="CG33" s="1012" t="n"/>
      <c r="CH33" s="1012" t="n"/>
    </row>
    <row r="34" ht="24" customHeight="1" s="545">
      <c r="A34" s="1061" t="inlineStr">
        <is>
          <t>k-Faktor global (Alt-Kontrolle)</t>
        </is>
      </c>
      <c r="B34" s="947" t="n"/>
      <c r="C34" s="1026">
        <f>IF(OR(NOT(ISNUMBER($H$33)),NOT(ISNUMBER($C$26)),NOT(ISNUMBER($C$27)),NOT(ISNUMBER($C$28)),NOT(ISNUMBER($C$30)),NOT(ISNUMBER($C$31)),NOT(ISNUMBER($C$35))),"",($H$33*(($C$26+$C$27)-$C$28*$C$26)-$C$28*$C$31*$C$30*(1+$C$35))/12)</f>
        <v/>
      </c>
      <c r="D34" s="1012" t="n"/>
      <c r="E34" s="1061" t="inlineStr">
        <is>
          <t>Sperrfrist Mieterhöhung (Monate)</t>
        </is>
      </c>
      <c r="F34" s="947" t="n"/>
      <c r="G34" s="947" t="n"/>
      <c r="H34" s="1041" t="n">
        <v>36</v>
      </c>
      <c r="I34" s="1012" t="n"/>
      <c r="J34" s="1012" t="n"/>
      <c r="K34" s="1012" t="n"/>
      <c r="L34" s="1012" t="n"/>
      <c r="M34" s="1012" t="n"/>
      <c r="N34" s="1012" t="n"/>
      <c r="O34" s="1012" t="n"/>
      <c r="P34" s="1012" t="n"/>
      <c r="Q34" s="1012" t="n"/>
      <c r="R34" s="1012" t="n"/>
      <c r="S34" s="1012" t="n"/>
      <c r="T34" s="1012" t="n"/>
      <c r="U34" s="1012" t="n"/>
      <c r="V34" s="1012" t="n"/>
      <c r="W34" s="1012" t="n"/>
      <c r="X34" s="1012" t="n"/>
      <c r="Y34" s="1012" t="n"/>
      <c r="Z34" s="1012" t="n"/>
      <c r="AA34" s="1012" t="n"/>
      <c r="AB34" s="1012" t="n"/>
      <c r="AC34" s="1012" t="n"/>
      <c r="AD34" s="1012" t="n"/>
      <c r="AE34" s="1012" t="n"/>
      <c r="AF34" s="1012" t="n"/>
      <c r="AG34" s="1012" t="n"/>
      <c r="AH34" s="1012" t="n"/>
      <c r="AI34" s="1012" t="n"/>
      <c r="AJ34" s="1012" t="n"/>
      <c r="AK34" s="1012" t="n"/>
      <c r="AL34" s="1012" t="n"/>
      <c r="AM34" s="1012" t="n"/>
      <c r="AN34" s="1012" t="n"/>
      <c r="AO34" s="1012" t="n"/>
      <c r="AP34" s="1012" t="n"/>
      <c r="AQ34" s="1012" t="n"/>
      <c r="AR34" s="1012" t="n"/>
      <c r="AS34" s="1012" t="n"/>
      <c r="AT34" s="1012" t="n"/>
      <c r="AU34" s="1012" t="n"/>
      <c r="AV34" s="1012" t="n"/>
      <c r="AW34" s="1012" t="n"/>
      <c r="AX34" s="1012" t="n"/>
      <c r="AY34" s="1012" t="n"/>
      <c r="AZ34" s="1012" t="n"/>
      <c r="BA34" s="1012" t="n"/>
      <c r="BB34" s="1012" t="n"/>
      <c r="BC34" s="1012" t="n"/>
      <c r="BD34" s="1012" t="n"/>
      <c r="BE34" s="1012" t="n"/>
      <c r="BF34" s="1012" t="n"/>
      <c r="BG34" s="1012" t="n"/>
      <c r="BH34" s="1012" t="n"/>
      <c r="BI34" s="1012" t="n"/>
      <c r="BJ34" s="1012" t="n"/>
      <c r="BK34" s="1012" t="n"/>
      <c r="BL34" s="1012" t="n"/>
      <c r="BM34" s="1012" t="n"/>
      <c r="BN34" s="1012" t="n"/>
      <c r="BO34" s="1012" t="n"/>
      <c r="BP34" s="1012" t="n"/>
      <c r="BQ34" s="1012" t="n"/>
      <c r="BR34" s="1012" t="n"/>
      <c r="BS34" s="1012" t="n"/>
      <c r="BT34" s="1012" t="n"/>
      <c r="BU34" s="1012" t="n"/>
      <c r="BV34" s="1012" t="n"/>
      <c r="BW34" s="1012" t="n"/>
      <c r="BX34" s="1012" t="n"/>
      <c r="BY34" s="1012" t="n"/>
      <c r="BZ34" s="1012" t="n"/>
      <c r="CA34" s="1012" t="n"/>
      <c r="CB34" s="1012" t="n"/>
      <c r="CC34" s="1012" t="n"/>
      <c r="CD34" s="1012" t="n"/>
      <c r="CE34" s="1012" t="n"/>
      <c r="CF34" s="1012" t="n"/>
      <c r="CG34" s="1012" t="n"/>
      <c r="CH34" s="1012" t="n"/>
    </row>
    <row r="35" ht="24" customHeight="1" s="545">
      <c r="A35" s="1061" t="inlineStr">
        <is>
          <t>Kaufnebenkosten (GrESt 6,5 % + Notar/GB 2 %)</t>
        </is>
      </c>
      <c r="B35" s="947" t="n"/>
      <c r="C35" s="1040" t="n">
        <v>0.08500000000000001</v>
      </c>
      <c r="D35" s="1012" t="n"/>
      <c r="E35" s="1012" t="n"/>
      <c r="F35" s="1012" t="n"/>
      <c r="G35" s="1012" t="n"/>
      <c r="H35" s="1012" t="n"/>
      <c r="I35" s="1012" t="n"/>
      <c r="J35" s="1012" t="n"/>
      <c r="K35" s="1012" t="n"/>
      <c r="L35" s="1012" t="n"/>
      <c r="M35" s="1012" t="n"/>
      <c r="N35" s="1012" t="n"/>
      <c r="O35" s="1012" t="n"/>
      <c r="P35" s="1012" t="n"/>
      <c r="Q35" s="1012" t="n"/>
      <c r="R35" s="1012" t="n"/>
      <c r="S35" s="1012" t="n"/>
      <c r="T35" s="1012" t="n"/>
      <c r="U35" s="1012" t="n"/>
      <c r="V35" s="1012" t="n"/>
      <c r="W35" s="1012" t="n"/>
      <c r="X35" s="1012" t="n"/>
      <c r="Y35" s="1012" t="n"/>
      <c r="Z35" s="1012" t="n"/>
      <c r="AA35" s="1012" t="n"/>
      <c r="AB35" s="1012" t="n"/>
      <c r="AC35" s="1012" t="n"/>
      <c r="AD35" s="1012" t="n"/>
      <c r="AE35" s="1012" t="n"/>
      <c r="AF35" s="1012" t="n"/>
      <c r="AG35" s="1012" t="n"/>
      <c r="AH35" s="1012" t="n"/>
      <c r="AI35" s="1012" t="n"/>
      <c r="AJ35" s="1012" t="n"/>
      <c r="AK35" s="1012" t="n"/>
      <c r="AL35" s="1012" t="n"/>
      <c r="AM35" s="1012" t="n"/>
      <c r="AN35" s="1012" t="n"/>
      <c r="AO35" s="1012" t="n"/>
      <c r="AP35" s="1012" t="n"/>
      <c r="AQ35" s="1012" t="n"/>
      <c r="AR35" s="1012" t="n"/>
      <c r="AS35" s="1012" t="n"/>
      <c r="AT35" s="1012" t="n"/>
      <c r="AU35" s="1012" t="n"/>
      <c r="AV35" s="1012" t="n"/>
      <c r="AW35" s="1012" t="n"/>
      <c r="AX35" s="1012" t="n"/>
      <c r="AY35" s="1012" t="n"/>
      <c r="AZ35" s="1012" t="n"/>
      <c r="BA35" s="1012" t="n"/>
      <c r="BB35" s="1012" t="n"/>
      <c r="BC35" s="1012" t="n"/>
      <c r="BD35" s="1012" t="n"/>
      <c r="BE35" s="1012" t="n"/>
      <c r="BF35" s="1012" t="n"/>
      <c r="BG35" s="1012" t="n"/>
      <c r="BH35" s="1012" t="n"/>
      <c r="BI35" s="1012" t="n"/>
      <c r="BJ35" s="1012" t="n"/>
      <c r="BK35" s="1012" t="n"/>
      <c r="BL35" s="1012" t="n"/>
      <c r="BM35" s="1012" t="n"/>
      <c r="BN35" s="1012" t="n"/>
      <c r="BO35" s="1012" t="n"/>
      <c r="BP35" s="1012" t="n"/>
      <c r="BQ35" s="1012" t="n"/>
      <c r="BR35" s="1012" t="n"/>
      <c r="BS35" s="1012" t="n"/>
      <c r="BT35" s="1012" t="n"/>
      <c r="BU35" s="1012" t="n"/>
      <c r="BV35" s="1012" t="n"/>
      <c r="BW35" s="1012" t="n"/>
      <c r="BX35" s="1012" t="n"/>
      <c r="BY35" s="1012" t="n"/>
      <c r="BZ35" s="1012" t="n"/>
      <c r="CA35" s="1012" t="n"/>
      <c r="CB35" s="1012" t="n"/>
      <c r="CC35" s="1012" t="n"/>
      <c r="CD35" s="1012" t="n"/>
      <c r="CE35" s="1012" t="n"/>
      <c r="CF35" s="1012" t="n"/>
      <c r="CG35" s="1012" t="n"/>
      <c r="CH35" s="1012" t="n"/>
    </row>
    <row r="36" ht="18" customHeight="1" s="545">
      <c r="A36" s="1046" t="inlineStr">
        <is>
          <t>Eingabe</t>
        </is>
      </c>
      <c r="B36" s="1062" t="inlineStr">
        <is>
          <t>beschreibbares Feld - je Wohnung in der Tabelle oder oben im Parameterblock</t>
        </is>
      </c>
      <c r="C36" s="947" t="n"/>
      <c r="D36" s="947" t="n"/>
      <c r="E36" s="947" t="n"/>
      <c r="F36" s="947" t="n"/>
      <c r="G36" s="947" t="n"/>
      <c r="H36" s="947" t="n"/>
      <c r="I36" s="947" t="n"/>
      <c r="J36" s="947" t="n"/>
      <c r="K36" s="947" t="n"/>
      <c r="L36" s="947" t="n"/>
      <c r="M36" s="947" t="n"/>
      <c r="N36" s="947" t="n"/>
      <c r="O36" s="1012" t="n"/>
      <c r="P36" s="1012" t="n"/>
      <c r="Q36" s="1012" t="n"/>
      <c r="R36" s="1012" t="n"/>
      <c r="S36" s="1012" t="n"/>
      <c r="T36" s="1012" t="n"/>
      <c r="U36" s="1012" t="n"/>
      <c r="V36" s="1012" t="n"/>
      <c r="W36" s="1012" t="n"/>
      <c r="X36" s="1012" t="n"/>
      <c r="Y36" s="1012" t="n"/>
      <c r="Z36" s="1012" t="n"/>
      <c r="AA36" s="1012" t="n"/>
      <c r="AB36" s="1012" t="n"/>
      <c r="AC36" s="1012" t="n"/>
      <c r="AD36" s="1012" t="n"/>
      <c r="AE36" s="1012" t="n"/>
      <c r="AF36" s="1012" t="n"/>
      <c r="AG36" s="1012" t="n"/>
      <c r="AH36" s="1012" t="n"/>
      <c r="AI36" s="1012" t="n"/>
      <c r="AJ36" s="1012" t="n"/>
      <c r="AK36" s="1012" t="n"/>
      <c r="AL36" s="1012" t="n"/>
      <c r="AM36" s="1012" t="n"/>
      <c r="AN36" s="1012" t="n"/>
      <c r="AO36" s="1012" t="n"/>
      <c r="AP36" s="1012" t="n"/>
      <c r="AQ36" s="1012" t="n"/>
      <c r="AR36" s="1012" t="n"/>
      <c r="AS36" s="1012" t="n"/>
      <c r="AT36" s="1012" t="n"/>
      <c r="AU36" s="1012" t="n"/>
      <c r="AV36" s="1012" t="n"/>
      <c r="AW36" s="1012" t="n"/>
      <c r="AX36" s="1012" t="n"/>
      <c r="AY36" s="1012" t="n"/>
      <c r="AZ36" s="1012" t="n"/>
      <c r="BA36" s="1012" t="n"/>
      <c r="BB36" s="1012" t="n"/>
      <c r="BC36" s="1012" t="n"/>
      <c r="BD36" s="1012" t="n"/>
      <c r="BE36" s="1012" t="n"/>
      <c r="BF36" s="1012" t="n"/>
      <c r="BG36" s="1012" t="n"/>
      <c r="BH36" s="1012" t="n"/>
      <c r="BI36" s="1012" t="n"/>
      <c r="BJ36" s="1012" t="n"/>
      <c r="BK36" s="1012" t="n"/>
      <c r="BL36" s="1012" t="n"/>
      <c r="BM36" s="1012" t="n"/>
      <c r="BN36" s="1012" t="n"/>
      <c r="BO36" s="1012" t="n"/>
      <c r="BP36" s="1012" t="n"/>
      <c r="BQ36" s="1012" t="n"/>
      <c r="BR36" s="1012" t="n"/>
      <c r="BS36" s="1012" t="n"/>
      <c r="BT36" s="1012" t="n"/>
      <c r="BU36" s="1012" t="n"/>
      <c r="BV36" s="1012" t="n"/>
      <c r="BW36" s="1012" t="n"/>
      <c r="BX36" s="1012" t="n"/>
      <c r="BY36" s="1012" t="n"/>
      <c r="BZ36" s="1012" t="n"/>
      <c r="CA36" s="1012" t="n"/>
      <c r="CB36" s="1012" t="n"/>
      <c r="CC36" s="1012" t="n"/>
      <c r="CD36" s="1012" t="n"/>
      <c r="CE36" s="1012" t="n"/>
      <c r="CF36" s="1012" t="n"/>
      <c r="CG36" s="1012" t="n"/>
      <c r="CH36" s="1012" t="n"/>
    </row>
    <row r="37" ht="18" customHeight="1" s="545">
      <c r="A37" s="1046" t="inlineStr">
        <is>
          <t>Annahme</t>
        </is>
      </c>
      <c r="B37" s="1062" t="inlineStr">
        <is>
          <t>Eingabefeld je Wohnung leer = Standardwert aus dem Parameterblock greift (Provision, Hausgeld, AfA, Gebäudeanteil ...)</t>
        </is>
      </c>
      <c r="C37" s="947" t="n"/>
      <c r="D37" s="947" t="n"/>
      <c r="E37" s="947" t="n"/>
      <c r="F37" s="947" t="n"/>
      <c r="G37" s="947" t="n"/>
      <c r="H37" s="947" t="n"/>
      <c r="I37" s="947" t="n"/>
      <c r="J37" s="947" t="n"/>
      <c r="K37" s="947" t="n"/>
      <c r="L37" s="947" t="n"/>
      <c r="M37" s="947" t="n"/>
      <c r="N37" s="947" t="n"/>
      <c r="O37" s="1012" t="n"/>
      <c r="P37" s="1012" t="n"/>
      <c r="Q37" s="1012" t="n"/>
      <c r="R37" s="1012" t="n"/>
      <c r="S37" s="1012" t="n"/>
      <c r="T37" s="1012" t="n"/>
      <c r="U37" s="1012" t="n"/>
      <c r="V37" s="1012" t="n"/>
      <c r="W37" s="1012" t="n"/>
      <c r="X37" s="1012" t="n"/>
      <c r="Y37" s="1012" t="n"/>
      <c r="Z37" s="1012" t="n"/>
      <c r="AA37" s="1012" t="n"/>
      <c r="AB37" s="1012" t="n"/>
      <c r="AC37" s="1012" t="n"/>
      <c r="AD37" s="1012" t="n"/>
      <c r="AE37" s="1012" t="n"/>
      <c r="AF37" s="1012" t="n"/>
      <c r="AG37" s="1012" t="n"/>
      <c r="AH37" s="1012" t="n"/>
      <c r="AI37" s="1012" t="n"/>
      <c r="AJ37" s="1012" t="n"/>
      <c r="AK37" s="1012" t="n"/>
      <c r="AL37" s="1012" t="n"/>
      <c r="AM37" s="1012" t="n"/>
      <c r="AN37" s="1012" t="n"/>
      <c r="AO37" s="1012" t="n"/>
      <c r="AP37" s="1012" t="n"/>
      <c r="AQ37" s="1012" t="n"/>
      <c r="AR37" s="1012" t="n"/>
      <c r="AS37" s="1012" t="n"/>
      <c r="AT37" s="1012" t="n"/>
      <c r="AU37" s="1012" t="n"/>
      <c r="AV37" s="1012" t="n"/>
      <c r="AW37" s="1012" t="n"/>
      <c r="AX37" s="1012" t="n"/>
      <c r="AY37" s="1012" t="n"/>
      <c r="AZ37" s="1012" t="n"/>
      <c r="BA37" s="1012" t="n"/>
      <c r="BB37" s="1012" t="n"/>
      <c r="BC37" s="1012" t="n"/>
      <c r="BD37" s="1012" t="n"/>
      <c r="BE37" s="1012" t="n"/>
      <c r="BF37" s="1012" t="n"/>
      <c r="BG37" s="1012" t="n"/>
      <c r="BH37" s="1012" t="n"/>
      <c r="BI37" s="1012" t="n"/>
      <c r="BJ37" s="1012" t="n"/>
      <c r="BK37" s="1012" t="n"/>
      <c r="BL37" s="1012" t="n"/>
      <c r="BM37" s="1012" t="n"/>
      <c r="BN37" s="1012" t="n"/>
      <c r="BO37" s="1012" t="n"/>
      <c r="BP37" s="1012" t="n"/>
      <c r="BQ37" s="1012" t="n"/>
      <c r="BR37" s="1012" t="n"/>
      <c r="BS37" s="1012" t="n"/>
      <c r="BT37" s="1012" t="n"/>
      <c r="BU37" s="1012" t="n"/>
      <c r="BV37" s="1012" t="n"/>
      <c r="BW37" s="1012" t="n"/>
      <c r="BX37" s="1012" t="n"/>
      <c r="BY37" s="1012" t="n"/>
      <c r="BZ37" s="1012" t="n"/>
      <c r="CA37" s="1012" t="n"/>
      <c r="CB37" s="1012" t="n"/>
      <c r="CC37" s="1012" t="n"/>
      <c r="CD37" s="1012" t="n"/>
      <c r="CE37" s="1012" t="n"/>
      <c r="CF37" s="1012" t="n"/>
      <c r="CG37" s="1012" t="n"/>
      <c r="CH37" s="1012" t="n"/>
    </row>
    <row r="38" ht="18" customHeight="1" s="545">
      <c r="A38" s="1048" t="inlineStr">
        <is>
          <t>Ergebnis</t>
        </is>
      </c>
      <c r="B38" s="1062" t="inlineStr">
        <is>
          <t>Formel - nicht überschreiben; Hilfsspalten über die Schaltfläche + über der Tabelle aufklappen</t>
        </is>
      </c>
      <c r="C38" s="947" t="n"/>
      <c r="D38" s="947" t="n"/>
      <c r="E38" s="947" t="n"/>
      <c r="F38" s="947" t="n"/>
      <c r="G38" s="947" t="n"/>
      <c r="H38" s="947" t="n"/>
      <c r="I38" s="947" t="n"/>
      <c r="J38" s="947" t="n"/>
      <c r="K38" s="947" t="n"/>
      <c r="L38" s="947" t="n"/>
      <c r="M38" s="947" t="n"/>
      <c r="N38" s="947" t="n"/>
      <c r="O38" s="1012" t="n"/>
      <c r="P38" s="1012" t="n"/>
      <c r="Q38" s="1012" t="n"/>
      <c r="R38" s="1012" t="n"/>
      <c r="S38" s="1012" t="n"/>
      <c r="T38" s="1012" t="n"/>
      <c r="U38" s="1012" t="n"/>
      <c r="V38" s="1012" t="n"/>
      <c r="W38" s="1012" t="n"/>
      <c r="X38" s="1012" t="n"/>
      <c r="Y38" s="1012" t="n"/>
      <c r="Z38" s="1012" t="n"/>
      <c r="AA38" s="1012" t="n"/>
      <c r="AB38" s="1012" t="n"/>
      <c r="AC38" s="1012" t="n"/>
      <c r="AD38" s="1012" t="n"/>
      <c r="AE38" s="1012" t="n"/>
      <c r="AF38" s="1012" t="n"/>
      <c r="AG38" s="1012" t="n"/>
      <c r="AH38" s="1012" t="n"/>
      <c r="AI38" s="1012" t="n"/>
      <c r="AJ38" s="1012" t="n"/>
      <c r="AK38" s="1012" t="n"/>
      <c r="AL38" s="1012" t="n"/>
      <c r="AM38" s="1012" t="n"/>
      <c r="AN38" s="1012" t="n"/>
      <c r="AO38" s="1012" t="n"/>
      <c r="AP38" s="1012" t="n"/>
      <c r="AQ38" s="1012" t="n"/>
      <c r="AR38" s="1012" t="n"/>
      <c r="AS38" s="1012" t="n"/>
      <c r="AT38" s="1012" t="n"/>
      <c r="AU38" s="1012" t="n"/>
      <c r="AV38" s="1012" t="n"/>
      <c r="AW38" s="1012" t="n"/>
      <c r="AX38" s="1012" t="n"/>
      <c r="AY38" s="1012" t="n"/>
      <c r="AZ38" s="1012" t="n"/>
      <c r="BA38" s="1012" t="n"/>
      <c r="BB38" s="1012" t="n"/>
      <c r="BC38" s="1012" t="n"/>
      <c r="BD38" s="1012" t="n"/>
      <c r="BE38" s="1012" t="n"/>
      <c r="BF38" s="1012" t="n"/>
      <c r="BG38" s="1012" t="n"/>
      <c r="BH38" s="1012" t="n"/>
      <c r="BI38" s="1012" t="n"/>
      <c r="BJ38" s="1012" t="n"/>
      <c r="BK38" s="1012" t="n"/>
      <c r="BL38" s="1012" t="n"/>
      <c r="BM38" s="1012" t="n"/>
      <c r="BN38" s="1012" t="n"/>
      <c r="BO38" s="1012" t="n"/>
      <c r="BP38" s="1012" t="n"/>
      <c r="BQ38" s="1012" t="n"/>
      <c r="BR38" s="1012" t="n"/>
      <c r="BS38" s="1012" t="n"/>
      <c r="BT38" s="1012" t="n"/>
      <c r="BU38" s="1012" t="n"/>
      <c r="BV38" s="1012" t="n"/>
      <c r="BW38" s="1012" t="n"/>
      <c r="BX38" s="1012" t="n"/>
      <c r="BY38" s="1012" t="n"/>
      <c r="BZ38" s="1012" t="n"/>
      <c r="CA38" s="1012" t="n"/>
      <c r="CB38" s="1012" t="n"/>
      <c r="CC38" s="1012" t="n"/>
      <c r="CD38" s="1012" t="n"/>
      <c r="CE38" s="1012" t="n"/>
      <c r="CF38" s="1012" t="n"/>
      <c r="CG38" s="1012" t="n"/>
      <c r="CH38" s="1012" t="n"/>
    </row>
    <row r="39" ht="18" customHeight="1" s="545">
      <c r="A39" s="1049" t="inlineStr">
        <is>
          <t>Aktiv</t>
        </is>
      </c>
      <c r="B39" s="1062" t="inlineStr">
        <is>
          <t>bestimmt gerade den Preis (Eingabe-Weg rechts); grau = wirkt im gewählten Weg nicht</t>
        </is>
      </c>
      <c r="C39" s="947" t="n"/>
      <c r="D39" s="947" t="n"/>
      <c r="E39" s="947" t="n"/>
      <c r="F39" s="947" t="n"/>
      <c r="G39" s="947" t="n"/>
      <c r="H39" s="947" t="n"/>
      <c r="I39" s="947" t="n"/>
      <c r="J39" s="947" t="n"/>
      <c r="K39" s="947" t="n"/>
      <c r="L39" s="947" t="n"/>
      <c r="M39" s="947" t="n"/>
      <c r="N39" s="947" t="n"/>
      <c r="O39" s="1012" t="n"/>
      <c r="P39" s="1012" t="n"/>
      <c r="Q39" s="1012" t="n"/>
      <c r="R39" s="1012" t="n"/>
      <c r="S39" s="1012" t="n"/>
      <c r="T39" s="1012" t="n"/>
      <c r="U39" s="1012" t="n"/>
      <c r="V39" s="1012" t="n"/>
      <c r="W39" s="1012" t="n"/>
      <c r="X39" s="1012" t="n"/>
      <c r="Y39" s="1012" t="n"/>
      <c r="Z39" s="1012" t="n"/>
      <c r="AA39" s="1012" t="n"/>
      <c r="AB39" s="1012" t="n"/>
      <c r="AC39" s="1012" t="n"/>
      <c r="AD39" s="1012" t="n"/>
      <c r="AE39" s="1012" t="n"/>
      <c r="AF39" s="1012" t="n"/>
      <c r="AG39" s="1012" t="n"/>
      <c r="AH39" s="1012" t="n"/>
      <c r="AI39" s="1012" t="n"/>
      <c r="AJ39" s="1012" t="n"/>
      <c r="AK39" s="1012" t="n"/>
      <c r="AL39" s="1012" t="n"/>
      <c r="AM39" s="1012" t="n"/>
      <c r="AN39" s="1012" t="n"/>
      <c r="AO39" s="1012" t="n"/>
      <c r="AP39" s="1012" t="n"/>
      <c r="AQ39" s="1012" t="n"/>
      <c r="AR39" s="1012" t="n"/>
      <c r="AS39" s="1012" t="n"/>
      <c r="AT39" s="1012" t="n"/>
      <c r="AU39" s="1012" t="n"/>
      <c r="AV39" s="1012" t="n"/>
      <c r="AW39" s="1012" t="n"/>
      <c r="AX39" s="1012" t="n"/>
      <c r="AY39" s="1012" t="n"/>
      <c r="AZ39" s="1012" t="n"/>
      <c r="BA39" s="1012" t="n"/>
      <c r="BB39" s="1012" t="n"/>
      <c r="BC39" s="1012" t="n"/>
      <c r="BD39" s="1012" t="n"/>
      <c r="BE39" s="1012" t="n"/>
      <c r="BF39" s="1012" t="n"/>
      <c r="BG39" s="1012" t="n"/>
      <c r="BH39" s="1012" t="n"/>
      <c r="BI39" s="1012" t="n"/>
      <c r="BJ39" s="1012" t="n"/>
      <c r="BK39" s="1012" t="n"/>
      <c r="BL39" s="1012" t="n"/>
      <c r="BM39" s="1012" t="n"/>
      <c r="BN39" s="1012" t="n"/>
      <c r="BO39" s="1012" t="n"/>
      <c r="BP39" s="1012" t="n"/>
      <c r="BQ39" s="1012" t="n"/>
      <c r="BR39" s="1012" t="n"/>
      <c r="BS39" s="1012" t="n"/>
      <c r="BT39" s="1012" t="n"/>
      <c r="BU39" s="1012" t="n"/>
      <c r="BV39" s="1012" t="n"/>
      <c r="BW39" s="1012" t="n"/>
      <c r="BX39" s="1012" t="n"/>
      <c r="BY39" s="1012" t="n"/>
      <c r="BZ39" s="1012" t="n"/>
      <c r="CA39" s="1012" t="n"/>
      <c r="CB39" s="1012" t="n"/>
      <c r="CC39" s="1012" t="n"/>
      <c r="CD39" s="1012" t="n"/>
      <c r="CE39" s="1012" t="n"/>
      <c r="CF39" s="1012" t="n"/>
      <c r="CG39" s="1012" t="n"/>
      <c r="CH39" s="1012" t="n"/>
    </row>
    <row r="40" ht="18" customHeight="1" s="545">
      <c r="A40" s="1050" t="inlineStr">
        <is>
          <t>Hinweis</t>
        </is>
      </c>
      <c r="B40" s="1062" t="inlineStr">
        <is>
          <t>orange = Rückfall auf den Regler (keine Miete/kein Ziel) oder Miete angehoben; rot = Datenfehler</t>
        </is>
      </c>
      <c r="C40" s="947" t="n"/>
      <c r="D40" s="947" t="n"/>
      <c r="E40" s="947" t="n"/>
      <c r="F40" s="947" t="n"/>
      <c r="G40" s="947" t="n"/>
      <c r="H40" s="947" t="n"/>
      <c r="I40" s="947" t="n"/>
      <c r="J40" s="947" t="n"/>
      <c r="K40" s="947" t="n"/>
      <c r="L40" s="947" t="n"/>
      <c r="M40" s="947" t="n"/>
      <c r="N40" s="947" t="n"/>
      <c r="O40" s="1012" t="n"/>
      <c r="P40" s="1012" t="n"/>
      <c r="Q40" s="1012" t="n"/>
      <c r="R40" s="1012" t="n"/>
      <c r="S40" s="1012" t="n"/>
      <c r="T40" s="1012" t="n"/>
      <c r="U40" s="1012" t="n"/>
      <c r="V40" s="1012" t="n"/>
      <c r="W40" s="1012" t="n"/>
      <c r="X40" s="1012" t="n"/>
      <c r="Y40" s="1012" t="n"/>
      <c r="Z40" s="1012" t="n"/>
      <c r="AA40" s="1012" t="n"/>
      <c r="AB40" s="1012" t="n"/>
      <c r="AC40" s="1012" t="n"/>
      <c r="AD40" s="1012" t="n"/>
      <c r="AE40" s="1012" t="n"/>
      <c r="AF40" s="1012" t="n"/>
      <c r="AG40" s="1012" t="n"/>
      <c r="AH40" s="1012" t="n"/>
      <c r="AI40" s="1012" t="n"/>
      <c r="AJ40" s="1012" t="n"/>
      <c r="AK40" s="1012" t="n"/>
      <c r="AL40" s="1012" t="n"/>
      <c r="AM40" s="1012" t="n"/>
      <c r="AN40" s="1012" t="n"/>
      <c r="AO40" s="1012" t="n"/>
      <c r="AP40" s="1012" t="n"/>
      <c r="AQ40" s="1012" t="n"/>
      <c r="AR40" s="1012" t="n"/>
      <c r="AS40" s="1012" t="n"/>
      <c r="AT40" s="1012" t="n"/>
      <c r="AU40" s="1012" t="n"/>
      <c r="AV40" s="1012" t="n"/>
      <c r="AW40" s="1012" t="n"/>
      <c r="AX40" s="1012" t="n"/>
      <c r="AY40" s="1012" t="n"/>
      <c r="AZ40" s="1012" t="n"/>
      <c r="BA40" s="1012" t="n"/>
      <c r="BB40" s="1012" t="n"/>
      <c r="BC40" s="1012" t="n"/>
      <c r="BD40" s="1012" t="n"/>
      <c r="BE40" s="1012" t="n"/>
      <c r="BF40" s="1012" t="n"/>
      <c r="BG40" s="1012" t="n"/>
      <c r="BH40" s="1012" t="n"/>
      <c r="BI40" s="1012" t="n"/>
      <c r="BJ40" s="1012" t="n"/>
      <c r="BK40" s="1012" t="n"/>
      <c r="BL40" s="1012" t="n"/>
      <c r="BM40" s="1012" t="n"/>
      <c r="BN40" s="1012" t="n"/>
      <c r="BO40" s="1012" t="n"/>
      <c r="BP40" s="1012" t="n"/>
      <c r="BQ40" s="1012" t="n"/>
      <c r="BR40" s="1012" t="n"/>
      <c r="BS40" s="1012" t="n"/>
      <c r="BT40" s="1012" t="n"/>
      <c r="BU40" s="1012" t="n"/>
      <c r="BV40" s="1012" t="n"/>
      <c r="BW40" s="1012" t="n"/>
      <c r="BX40" s="1012" t="n"/>
      <c r="BY40" s="1012" t="n"/>
      <c r="BZ40" s="1012" t="n"/>
      <c r="CA40" s="1012" t="n"/>
      <c r="CB40" s="1012" t="n"/>
      <c r="CC40" s="1012" t="n"/>
      <c r="CD40" s="1012" t="n"/>
      <c r="CE40" s="1012" t="n"/>
      <c r="CF40" s="1012" t="n"/>
      <c r="CG40" s="1012" t="n"/>
      <c r="CH40" s="1012" t="n"/>
    </row>
    <row r="41" ht="15" customHeight="1" s="545">
      <c r="A41" s="840" t="inlineStr">
        <is>
          <t>VERGLEICH: MARKT-ANSATZ vs. VORWAERTS-ANSATZ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VORWAERTS-ANSATZ (Abgabepreis inkl. Aufschlag, ohne Garage/Provision)</t>
        </is>
      </c>
      <c r="B44" s="19" t="n"/>
      <c r="C44" s="851">
        <f>T23</f>
        <v/>
      </c>
      <c r="D44" s="19" t="n"/>
      <c r="E44" s="19" t="n"/>
      <c r="F44" s="19" t="n"/>
      <c r="G44" s="19" t="n"/>
      <c r="H44" s="19" t="n"/>
      <c r="I44" s="19" t="n"/>
      <c r="J44" s="19" t="n"/>
      <c r="K44" s="19" t="n"/>
      <c r="L44" s="19" t="n"/>
      <c r="M44" s="19" t="n"/>
      <c r="N44" s="19" t="n"/>
    </row>
    <row r="45" ht="15" customHeight="1" s="545">
      <c r="A45" s="1027" t="inlineStr">
        <is>
          <t>Kaufpreis Garagen + Stellplätze gesamt (€)</t>
        </is>
      </c>
      <c r="B45" s="19" t="n"/>
      <c r="C45" s="1022">
        <f>IF(AND(NOT(ISNUMBER(U23)),NOT(ISNUMBER(V23))),"",N(U23)+N(V23))</f>
        <v/>
      </c>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1012" t="n"/>
      <c r="B50" s="1012" t="n"/>
      <c r="C50" s="1051" t="n"/>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1012" t="n"/>
      <c r="B53" s="1012" t="n"/>
      <c r="C53" s="1012" t="n"/>
      <c r="D53" s="1012" t="n"/>
      <c r="E53" s="1012" t="n"/>
      <c r="F53" s="1012" t="n"/>
      <c r="G53" s="1012" t="n"/>
      <c r="H53" s="1012" t="n"/>
      <c r="I53" s="1012" t="n"/>
      <c r="J53" s="1012" t="n"/>
      <c r="K53" s="1012" t="n"/>
      <c r="L53" s="1012" t="n"/>
      <c r="M53" s="1012" t="n"/>
      <c r="N53" s="1012" t="n"/>
    </row>
    <row r="54" ht="15.75" customHeight="1" s="545">
      <c r="A54" s="1012" t="n"/>
      <c r="B54" s="1012" t="n"/>
      <c r="C54" s="1012" t="n"/>
      <c r="D54" s="1012" t="n"/>
      <c r="E54" s="1012" t="n"/>
      <c r="F54" s="1012" t="n"/>
      <c r="G54" s="1012" t="n"/>
      <c r="H54" s="1012" t="n"/>
      <c r="I54" s="1012" t="n"/>
      <c r="J54" s="1012" t="n"/>
      <c r="K54" s="1012" t="n"/>
      <c r="L54" s="1012" t="n"/>
      <c r="M54" s="1012" t="n"/>
      <c r="N54" s="1012" t="n"/>
    </row>
    <row r="55" ht="15" customHeight="1" s="545">
      <c r="A55" s="1051" t="n"/>
      <c r="B55" s="1051" t="n"/>
      <c r="C55" s="1051" t="n"/>
      <c r="D55" s="1051" t="n"/>
      <c r="E55" s="1051" t="n"/>
      <c r="F55" s="1012" t="n"/>
      <c r="G55" s="1012" t="n"/>
      <c r="H55" s="1012" t="n"/>
      <c r="I55" s="1012" t="n"/>
      <c r="J55" s="1012" t="n"/>
      <c r="K55" s="1012" t="n"/>
      <c r="L55" s="1012" t="n"/>
      <c r="M55" s="1012" t="n"/>
      <c r="N55" s="1012" t="n"/>
    </row>
    <row r="56" ht="15" customHeight="1" s="545">
      <c r="A56" s="1012" t="n"/>
      <c r="B56" s="1051" t="n"/>
      <c r="C56" s="1051" t="n"/>
      <c r="D56" s="1052" t="n"/>
      <c r="E56" s="1052" t="n"/>
      <c r="F56" s="1012" t="n"/>
      <c r="G56" s="1012" t="n"/>
      <c r="H56" s="1012" t="n"/>
      <c r="I56" s="1012" t="n"/>
      <c r="J56" s="1012" t="n"/>
      <c r="K56" s="1012" t="n"/>
      <c r="L56" s="1012" t="n"/>
      <c r="M56" s="1012" t="n"/>
      <c r="N56" s="1012" t="n"/>
    </row>
    <row r="57" ht="15" customHeight="1" s="545">
      <c r="A57" s="1012" t="n"/>
      <c r="B57" s="1051" t="n"/>
      <c r="C57" s="1051" t="n"/>
      <c r="D57" s="1052" t="n"/>
      <c r="E57" s="1012" t="n"/>
      <c r="F57" s="1012" t="n"/>
      <c r="G57" s="1012" t="n"/>
      <c r="H57" s="1012" t="n"/>
      <c r="I57" s="1012" t="n"/>
      <c r="J57" s="1012" t="n"/>
      <c r="K57" s="1012" t="n"/>
      <c r="L57" s="1012" t="n"/>
      <c r="M57" s="1012" t="n"/>
      <c r="N57" s="1012" t="n"/>
    </row>
    <row r="58" ht="15" customHeight="1" s="545">
      <c r="A58" s="1012" t="n"/>
      <c r="B58" s="1051" t="n"/>
      <c r="C58" s="1051" t="n"/>
      <c r="D58" s="1052" t="n"/>
      <c r="E58" s="1052" t="n"/>
      <c r="F58" s="1012" t="n"/>
      <c r="G58" s="1012" t="n"/>
      <c r="H58" s="1012" t="n"/>
      <c r="I58" s="1012" t="n"/>
      <c r="J58" s="1012" t="n"/>
      <c r="K58" s="1012" t="n"/>
      <c r="L58" s="1012" t="n"/>
      <c r="M58" s="1012" t="n"/>
      <c r="N58" s="1012" t="n"/>
    </row>
    <row r="59" ht="15" customHeight="1" s="545">
      <c r="A59" s="1012" t="n"/>
      <c r="B59" s="1051" t="n"/>
      <c r="C59" s="1051" t="n"/>
      <c r="D59" s="1052" t="n"/>
      <c r="E59" s="1052" t="n"/>
      <c r="F59" s="1012" t="n"/>
      <c r="G59" s="1012" t="n"/>
      <c r="H59" s="1012" t="n"/>
      <c r="I59" s="1012" t="n"/>
      <c r="J59" s="1012" t="n"/>
      <c r="K59" s="1012" t="n"/>
      <c r="L59" s="1012" t="n"/>
      <c r="M59" s="1012" t="n"/>
      <c r="N59" s="1012"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 umlagefaehig) - Standard fuer Wohnungen ohne Hausgeld-Angabe; speist die Alt-Kontrolle</t>
        </is>
      </c>
      <c r="B61" s="19" t="n"/>
      <c r="C61" s="19" t="n"/>
      <c r="D61" s="19" t="n"/>
      <c r="E61" s="19" t="n"/>
      <c r="F61" s="19" t="n"/>
      <c r="G61" s="19" t="n"/>
      <c r="H61" s="19" t="n"/>
      <c r="I61" s="19" t="n"/>
      <c r="J61" s="19" t="n"/>
      <c r="K61" s="19" t="n"/>
      <c r="L61" s="19" t="n"/>
      <c r="M61" s="19" t="n"/>
      <c r="N61" s="19" t="n"/>
    </row>
    <row r="62" ht="15.75" customHeight="1" s="545">
      <c r="A62" s="1027" t="inlineStr">
        <is>
          <t>Verwaltung (EUR/WE/Monat) - Standardquelle Stufe 3 fuer AY</t>
        </is>
      </c>
      <c r="B62" s="19" t="n"/>
      <c r="C62" s="1053" t="n">
        <v>35</v>
      </c>
      <c r="D62" s="19" t="n"/>
      <c r="E62" s="19" t="n"/>
      <c r="F62" s="19" t="n"/>
      <c r="G62" s="19" t="n"/>
      <c r="H62" s="19" t="n"/>
      <c r="I62" s="19" t="n"/>
      <c r="J62" s="19" t="n"/>
      <c r="K62" s="19" t="n"/>
      <c r="L62" s="19" t="n"/>
      <c r="M62" s="19" t="n"/>
      <c r="N62" s="19" t="n"/>
    </row>
    <row r="63" ht="15.75" customHeight="1" s="545">
      <c r="A63" s="1027" t="inlineStr">
        <is>
          <t>Anzahl WE</t>
        </is>
      </c>
      <c r="B63" s="19" t="n"/>
      <c r="C63" s="1029">
        <f>COUNT(F3:F22)</f>
        <v/>
      </c>
      <c r="D63" s="19" t="n"/>
      <c r="E63" s="19" t="n"/>
      <c r="F63" s="19" t="n"/>
      <c r="G63" s="19" t="n"/>
      <c r="H63" s="19" t="n"/>
      <c r="I63" s="19" t="n"/>
      <c r="J63" s="19" t="n"/>
      <c r="K63" s="19" t="n"/>
      <c r="L63" s="19" t="n"/>
      <c r="M63" s="19" t="n"/>
      <c r="N63" s="19" t="n"/>
    </row>
    <row r="64" ht="15.75" customHeight="1" s="545">
      <c r="A64" s="1027" t="inlineStr">
        <is>
          <t>Laufende Rücklage (€/m²/Jahr) - Standard/Obergrenze fuer AY und BA</t>
        </is>
      </c>
      <c r="B64" s="19" t="n"/>
      <c r="C64" s="1042" t="n">
        <v>14</v>
      </c>
      <c r="D64" s="19" t="n"/>
      <c r="E64" s="19" t="n"/>
      <c r="F64" s="19" t="n"/>
      <c r="G64" s="19" t="n"/>
      <c r="H64" s="19" t="n"/>
      <c r="I64" s="19" t="n"/>
      <c r="J64" s="19" t="n"/>
      <c r="K64" s="19" t="n"/>
      <c r="L64" s="19" t="n"/>
      <c r="M64" s="19" t="n"/>
      <c r="N64" s="19" t="n"/>
    </row>
    <row r="65" ht="15.75" customHeight="1" s="545">
      <c r="A65" s="1027" t="inlineStr">
        <is>
          <t>Wohnfläche gesamt (m2)</t>
        </is>
      </c>
      <c r="B65" s="19" t="n"/>
      <c r="C65" s="1030">
        <f>F23</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1027" t="inlineStr">
        <is>
          <t>Nettokaltmiete IST (€/Jahr)</t>
        </is>
      </c>
      <c r="B69" s="19" t="n"/>
      <c r="C69" s="1031">
        <f>IF(NOT(ISNUMBER(AL23)),"",AL23*12)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$C$29</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 (Alt-Kontrolle, globale Annahmen)</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IF(OR(NOT(ISNUMBER($C$69)),$C$69=0),"",($C$66+C77)/$C$69)</f>
        <v/>
      </c>
      <c r="E77" s="874">
        <f>(((1-$C$28)*(1-D77)*$AL$23)-$C$63*$O$29)/$C$34</f>
        <v/>
      </c>
      <c r="F77" s="19" t="n"/>
      <c r="G77" s="19" t="n"/>
      <c r="H77" s="19" t="n"/>
      <c r="I77" s="19" t="n"/>
      <c r="J77" s="19" t="n"/>
      <c r="K77" s="19" t="n"/>
      <c r="L77" s="19" t="n"/>
      <c r="M77" s="19" t="n"/>
      <c r="N77" s="19" t="n"/>
    </row>
    <row r="78" ht="15.75" customHeight="1" s="545">
      <c r="A78" s="874" t="n">
        <v>5000</v>
      </c>
      <c r="B78" s="873">
        <f>MAX(0,($C$75-A78)/10)/$C$65</f>
        <v/>
      </c>
      <c r="C78" s="874">
        <f>MAX(0,($C$75-A78)/10)</f>
        <v/>
      </c>
      <c r="D78" s="877">
        <f>IF(OR(NOT(ISNUMBER($C$69)),$C$69=0),"",($C$66+C78)/$C$69)</f>
        <v/>
      </c>
      <c r="E78" s="874">
        <f>(((1-$C$28)*(1-D78)*$AL$23)-$C$63*$O$29)/$C$34</f>
        <v/>
      </c>
      <c r="F78" s="19" t="n"/>
      <c r="G78" s="19" t="n"/>
      <c r="H78" s="19" t="n"/>
      <c r="I78" s="19" t="n"/>
      <c r="J78" s="19" t="n"/>
      <c r="K78" s="19" t="n"/>
      <c r="L78" s="19" t="n"/>
      <c r="M78" s="19" t="n"/>
      <c r="N78" s="19" t="n"/>
    </row>
    <row r="79" ht="15.75" customHeight="1" s="545">
      <c r="A79" s="874" t="n">
        <v>10000</v>
      </c>
      <c r="B79" s="873">
        <f>MAX(0,($C$75-A79)/10)/$C$65</f>
        <v/>
      </c>
      <c r="C79" s="874">
        <f>MAX(0,($C$75-A79)/10)</f>
        <v/>
      </c>
      <c r="D79" s="877">
        <f>IF(OR(NOT(ISNUMBER($C$69)),$C$69=0),"",($C$66+C79)/$C$69)</f>
        <v/>
      </c>
      <c r="E79" s="874">
        <f>(((1-$C$28)*(1-D79)*$AL$23)-$C$63*$O$29)/$C$34</f>
        <v/>
      </c>
      <c r="F79" s="19" t="n"/>
      <c r="G79" s="19" t="n"/>
      <c r="H79" s="19" t="n"/>
      <c r="I79" s="19" t="n"/>
      <c r="J79" s="19" t="n"/>
      <c r="K79" s="19" t="n"/>
      <c r="L79" s="19" t="n"/>
      <c r="M79" s="19" t="n"/>
      <c r="N79" s="19" t="n"/>
    </row>
    <row r="80" ht="15.75" customHeight="1" s="545">
      <c r="A80" s="874" t="n">
        <v>15000</v>
      </c>
      <c r="B80" s="873">
        <f>MAX(0,($C$75-A80)/10)/$C$65</f>
        <v/>
      </c>
      <c r="C80" s="874">
        <f>MAX(0,($C$75-A80)/10)</f>
        <v/>
      </c>
      <c r="D80" s="877">
        <f>IF(OR(NOT(ISNUMBER($C$69)),$C$69=0),"",($C$66+C80)/$C$69)</f>
        <v/>
      </c>
      <c r="E80" s="874">
        <f>(((1-$C$28)*(1-D80)*$AL$23)-$C$63*$O$29)/$C$34</f>
        <v/>
      </c>
      <c r="F80" s="19" t="n"/>
      <c r="G80" s="19" t="n"/>
      <c r="H80" s="19" t="n"/>
      <c r="I80" s="19" t="n"/>
      <c r="J80" s="19" t="n"/>
      <c r="K80" s="19" t="n"/>
      <c r="L80" s="19" t="n"/>
      <c r="M80" s="19" t="n"/>
      <c r="N80" s="19" t="n"/>
    </row>
    <row r="81" ht="15.75" customHeight="1" s="545">
      <c r="A81" s="874" t="n">
        <v>20000</v>
      </c>
      <c r="B81" s="873">
        <f>MAX(0,($C$75-A81)/10)/$C$65</f>
        <v/>
      </c>
      <c r="C81" s="874">
        <f>MAX(0,($C$75-A81)/10)</f>
        <v/>
      </c>
      <c r="D81" s="877">
        <f>IF(OR(NOT(ISNUMBER($C$69)),$C$69=0),"",($C$66+C81)/$C$69)</f>
        <v/>
      </c>
      <c r="E81" s="874">
        <f>(((1-$C$28)*(1-D81)*$AL$23)-$C$63*$O$29)/$C$34</f>
        <v/>
      </c>
      <c r="F81" s="19" t="n"/>
      <c r="G81" s="19" t="n"/>
      <c r="H81" s="19" t="n"/>
      <c r="I81" s="19" t="n"/>
      <c r="J81" s="19" t="n"/>
      <c r="K81" s="19" t="n"/>
      <c r="L81" s="19" t="n"/>
      <c r="M81" s="19" t="n"/>
      <c r="N81" s="19" t="n"/>
    </row>
    <row r="82" ht="15.75" customHeight="1" s="545">
      <c r="A82" s="874" t="n">
        <v>25000</v>
      </c>
      <c r="B82" s="873">
        <f>MAX(0,($C$75-A82)/10)/$C$65</f>
        <v/>
      </c>
      <c r="C82" s="874">
        <f>MAX(0,($C$75-A82)/10)</f>
        <v/>
      </c>
      <c r="D82" s="877">
        <f>IF(OR(NOT(ISNUMBER($C$69)),$C$69=0),"",($C$66+C82)/$C$69)</f>
        <v/>
      </c>
      <c r="E82" s="874">
        <f>(((1-$C$28)*(1-D82)*$AL$23)-$C$63*$O$29)/$C$34</f>
        <v/>
      </c>
      <c r="F82" s="19" t="n"/>
      <c r="G82" s="19" t="n"/>
      <c r="H82" s="19" t="n"/>
      <c r="I82" s="19" t="n"/>
      <c r="J82" s="19" t="n"/>
      <c r="K82" s="19" t="n"/>
      <c r="L82" s="19" t="n"/>
      <c r="M82" s="19" t="n"/>
      <c r="N82" s="19" t="n"/>
    </row>
    <row r="83" ht="15.75" customHeight="1" s="545">
      <c r="A83" s="874" t="n">
        <v>30000</v>
      </c>
      <c r="B83" s="873">
        <f>MAX(0,($C$75-A83)/10)/$C$65</f>
        <v/>
      </c>
      <c r="C83" s="874">
        <f>MAX(0,($C$75-A83)/10)</f>
        <v/>
      </c>
      <c r="D83" s="877">
        <f>IF(OR(NOT(ISNUMBER($C$69)),$C$69=0),"",($C$66+C83)/$C$69)</f>
        <v/>
      </c>
      <c r="E83" s="874">
        <f>(((1-$C$28)*(1-D83)*$AL$23)-$C$63*$O$29)/$C$34</f>
        <v/>
      </c>
      <c r="F83" s="19" t="n"/>
      <c r="G83" s="19" t="n"/>
      <c r="H83" s="19" t="n"/>
      <c r="I83" s="19" t="n"/>
      <c r="J83" s="19" t="n"/>
      <c r="K83" s="19" t="n"/>
      <c r="L83" s="19" t="n"/>
      <c r="M83" s="19" t="n"/>
      <c r="N83" s="19" t="n"/>
    </row>
    <row r="84" ht="15.75" customHeight="1" s="545">
      <c r="A84" s="874" t="n">
        <v>35000</v>
      </c>
      <c r="B84" s="873">
        <f>MAX(0,($C$75-A84)/10)/$C$65</f>
        <v/>
      </c>
      <c r="C84" s="874">
        <f>MAX(0,($C$75-A84)/10)</f>
        <v/>
      </c>
      <c r="D84" s="877">
        <f>IF(OR(NOT(ISNUMBER($C$69)),$C$69=0),"",($C$66+C84)/$C$69)</f>
        <v/>
      </c>
      <c r="E84" s="874">
        <f>(((1-$C$28)*(1-D84)*$AL$23)-$C$63*$O$29)/$C$34</f>
        <v/>
      </c>
      <c r="F84" s="19" t="n"/>
      <c r="G84" s="19" t="n"/>
      <c r="H84" s="19" t="n"/>
      <c r="I84" s="19" t="n"/>
      <c r="J84" s="19" t="n"/>
      <c r="K84" s="19" t="n"/>
      <c r="L84" s="19" t="n"/>
      <c r="M84" s="19" t="n"/>
      <c r="N84" s="19" t="n"/>
    </row>
    <row r="85" ht="15.75" customHeight="1" s="545">
      <c r="A85" s="874" t="n">
        <v>40000</v>
      </c>
      <c r="B85" s="873">
        <f>MAX(0,($C$75-A85)/10)/$C$65</f>
        <v/>
      </c>
      <c r="C85" s="874">
        <f>MAX(0,($C$75-A85)/10)</f>
        <v/>
      </c>
      <c r="D85" s="877">
        <f>IF(OR(NOT(ISNUMBER($C$69)),$C$69=0),"",($C$66+C85)/$C$69)</f>
        <v/>
      </c>
      <c r="E85" s="874">
        <f>(((1-$C$28)*(1-D85)*$AL$23)-$C$63*$O$29)/$C$34</f>
        <v/>
      </c>
      <c r="F85" s="19" t="n"/>
      <c r="G85" s="19" t="n"/>
      <c r="H85" s="19" t="n"/>
      <c r="I85" s="19" t="n"/>
      <c r="J85" s="19" t="n"/>
      <c r="K85" s="19" t="n"/>
      <c r="L85" s="19" t="n"/>
      <c r="M85" s="19" t="n"/>
      <c r="N85" s="19" t="n"/>
    </row>
    <row r="86" ht="15.75" customHeight="1" s="545">
      <c r="A86" s="874" t="n">
        <v>45000</v>
      </c>
      <c r="B86" s="873">
        <f>MAX(0,($C$75-A86)/10)/$C$65</f>
        <v/>
      </c>
      <c r="C86" s="874">
        <f>MAX(0,($C$75-A86)/10)</f>
        <v/>
      </c>
      <c r="D86" s="877">
        <f>IF(OR(NOT(ISNUMBER($C$69)),$C$69=0),"",($C$66+C86)/$C$69)</f>
        <v/>
      </c>
      <c r="E86" s="874">
        <f>(((1-$C$28)*(1-D86)*$AL$23)-$C$63*$O$29)/$C$34</f>
        <v/>
      </c>
      <c r="F86" s="19" t="n"/>
      <c r="G86" s="19" t="n"/>
      <c r="H86" s="19" t="n"/>
      <c r="I86" s="19" t="n"/>
      <c r="J86" s="19" t="n"/>
      <c r="K86" s="19" t="n"/>
      <c r="L86" s="19" t="n"/>
      <c r="M86" s="19" t="n"/>
      <c r="N86" s="19" t="n"/>
    </row>
    <row r="87" ht="15.75" customHeight="1" s="545">
      <c r="A87" s="874" t="n">
        <v>50000</v>
      </c>
      <c r="B87" s="873">
        <f>MAX(0,($C$75-A87)/10)/$C$65</f>
        <v/>
      </c>
      <c r="C87" s="874">
        <f>MAX(0,($C$75-A87)/10)</f>
        <v/>
      </c>
      <c r="D87" s="877">
        <f>IF(OR(NOT(ISNUMBER($C$69)),$C$69=0),"",($C$66+C87)/$C$69)</f>
        <v/>
      </c>
      <c r="E87" s="874">
        <f>(((1-$C$28)*(1-D87)*$AL$23)-$C$63*$O$29)/$C$34</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38">
    <mergeCell ref="A25:C25"/>
    <mergeCell ref="AK1:AZ1"/>
    <mergeCell ref="A30:B30"/>
    <mergeCell ref="E28:G28"/>
    <mergeCell ref="B37:N37"/>
    <mergeCell ref="A31:B31"/>
    <mergeCell ref="L1:AJ1"/>
    <mergeCell ref="J29:N29"/>
    <mergeCell ref="B38:N38"/>
    <mergeCell ref="B40:N40"/>
    <mergeCell ref="E31:G31"/>
    <mergeCell ref="E34:G34"/>
    <mergeCell ref="J28:N28"/>
    <mergeCell ref="E25:H25"/>
    <mergeCell ref="E30:G30"/>
    <mergeCell ref="A1:K1"/>
    <mergeCell ref="B36:N36"/>
    <mergeCell ref="J25:O25"/>
    <mergeCell ref="E27:G27"/>
    <mergeCell ref="E26:G26"/>
    <mergeCell ref="A41:N41"/>
    <mergeCell ref="J27:N27"/>
    <mergeCell ref="A27:B27"/>
    <mergeCell ref="E32:G32"/>
    <mergeCell ref="J26:N26"/>
    <mergeCell ref="A26:B26"/>
    <mergeCell ref="A33:B33"/>
    <mergeCell ref="A32:B32"/>
    <mergeCell ref="E29:G29"/>
    <mergeCell ref="B39:N39"/>
    <mergeCell ref="BW1:CE1"/>
    <mergeCell ref="A35:B35"/>
    <mergeCell ref="E33:G33"/>
    <mergeCell ref="A29:B29"/>
    <mergeCell ref="A28:B28"/>
    <mergeCell ref="BA1:BH1"/>
    <mergeCell ref="BI1:BV1"/>
    <mergeCell ref="A34:B34"/>
  </mergeCells>
  <conditionalFormatting sqref="L3:L22">
    <cfRule type="expression" priority="1" dxfId="26">
      <formula>AND($F3&lt;&gt;"",OR(AND(N($O$26)&lt;&gt;2,N($O$26)&lt;&gt;3),LEFT(O3,6)="Regler",O3="kein Preis"))</formula>
    </cfRule>
    <cfRule type="expression" priority="2" dxfId="27">
      <formula>AND($F3&lt;&gt;"",NOT(OR(AND(N($O$26)&lt;&gt;2,N($O$26)&lt;&gt;3),LEFT(O3,6)="Regler",O3="kein Preis")))</formula>
    </cfRule>
  </conditionalFormatting>
  <conditionalFormatting sqref="S3:S22">
    <cfRule type="expression" priority="3" dxfId="27">
      <formula>AND($F3&lt;&gt;"",NOT(OR(AND(N($O$26)&lt;&gt;2,N($O$26)&lt;&gt;3),LEFT(O3,6)="Regler",O3="kein Preis")))</formula>
    </cfRule>
  </conditionalFormatting>
  <conditionalFormatting sqref="M3:M22">
    <cfRule type="expression" priority="4" dxfId="26">
      <formula>AND($F3&lt;&gt;"",N($O$26)=2)</formula>
    </cfRule>
    <cfRule type="expression" priority="5" dxfId="27">
      <formula>AND($F3&lt;&gt;"",NOT(N($O$26)=2))</formula>
    </cfRule>
  </conditionalFormatting>
  <conditionalFormatting sqref="N3:N22">
    <cfRule type="expression" priority="6" dxfId="26">
      <formula>AND($F3&lt;&gt;"",N($O$26)=3)</formula>
    </cfRule>
    <cfRule type="expression" priority="7" dxfId="27">
      <formula>AND($F3&lt;&gt;"",NOT(N($O$26)=3))</formula>
    </cfRule>
  </conditionalFormatting>
  <conditionalFormatting sqref="O26">
    <cfRule type="expression" priority="8" dxfId="26">
      <formula>TRUE</formula>
    </cfRule>
  </conditionalFormatting>
  <conditionalFormatting sqref="O28">
    <cfRule type="expression" priority="9" dxfId="26">
      <formula>N($O$26)=2</formula>
    </cfRule>
    <cfRule type="expression" priority="10" dxfId="27">
      <formula>NOT(N($O$26)=2)</formula>
    </cfRule>
  </conditionalFormatting>
  <conditionalFormatting sqref="O29">
    <cfRule type="expression" priority="11" dxfId="26">
      <formula>N($O$26)=3</formula>
    </cfRule>
  </conditionalFormatting>
  <conditionalFormatting sqref="O3:O22">
    <cfRule type="expression" priority="12" dxfId="22">
      <formula>OR(O3="Regler (Rückfall)",O3="kein Preis")</formula>
    </cfRule>
  </conditionalFormatting>
  <conditionalFormatting sqref="AL3:AL22">
    <cfRule type="expression" priority="13" dxfId="22">
      <formula>AND(ISNUMBER(AK3),AK3&gt;MIETER!J8)</formula>
    </cfRule>
  </conditionalFormatting>
  <conditionalFormatting sqref="BA3:BA22">
    <cfRule type="expression" priority="14" dxfId="21">
      <formula>AND($F3&lt;&gt;"",BA3&lt;&gt;"",BB3&lt;&gt;"")</formula>
    </cfRule>
  </conditionalFormatting>
  <conditionalFormatting sqref="BL3:BL22">
    <cfRule type="expression" priority="15" dxfId="21">
      <formula>AND(ISNUMBER(BL3),BL3&lt;=0)</formula>
    </cfRule>
  </conditionalFormatting>
  <conditionalFormatting sqref="AI3:AI22">
    <cfRule type="expression" priority="16" dxfId="22">
      <formula>AND(ISNUMBER(AI3),AI3&gt;0.005,$C$32=2)</formula>
    </cfRule>
  </conditionalFormatting>
  <dataValidations count="17">
    <dataValidation sqref="G3:G22" showDropDown="0" showInputMessage="0" showErrorMessage="1" allowBlank="1" errorTitle="Ungültige Eingabe" error="Bitte einen Wert im erlaubten Bereich eintragen (leer = Standard)." type="list">
      <formula1>"ja,nein"</formula1>
    </dataValidation>
    <dataValidation sqref="O26" showDropDown="0" showInputMessage="0" showErrorMessage="1" allowBlank="1" errorTitle="Ungültige Eingabe" error="Bitte einen Wert im erlaubten Bereich eintragen (leer = Standard)." type="list">
      <formula1>"1,2,3"</formula1>
    </dataValidation>
    <dataValidation sqref="M3:M22 O28" showDropDown="0" showInputMessage="0" showErrorMessage="1" allowBlank="1" errorTitle="Ungültige Eingabe" error="Bitte einen Wert im erlaubten Bereich eintragen (leer = Standard)." type="decimal" operator="between">
      <formula1>0.005</formula1>
      <formula2>0.5</formula2>
    </dataValidation>
    <dataValidation sqref="N3:N22 O29" showDropDown="0" showInputMessage="0" showErrorMessage="1" allowBlank="1" errorTitle="Ungültige Eingabe" error="Bitte einen Wert im erlaubten Bereich eintragen (leer = Standard)." type="decimal" operator="between">
      <formula1>-10000</formula1>
      <formula2>10000</formula2>
    </dataValidation>
    <dataValidation sqref="L3:L22" showDropDown="0" showInputMessage="0" showErrorMessage="1" allowBlank="1" errorTitle="Ungültige Eingabe" error="Bitte einen Wert im erlaubten Bereich eintragen (leer = Standard)." type="decimal" operator="between">
      <formula1>0</formula1>
      <formula2>20000</formula2>
    </dataValidation>
    <dataValidation sqref="S3:S22" showDropDown="0" showInputMessage="0" showErrorMessage="1" allowBlank="1" errorTitle="Ungültige Eingabe" error="Bitte einen Wert im erlaubten Bereich eintragen (leer = Standard)." type="decimal" operator="between">
      <formula1>-100000</formula1>
      <formula2>100000</formula2>
    </dataValidation>
    <dataValidation sqref="H26 X3:X22" showDropDown="0" showInputMessage="0" showErrorMessage="1" allowBlank="1" errorTitle="Ungültige Eingabe" error="Bitte einen Wert im erlaubten Bereich eintragen (leer = Standard)." type="decimal" operator="between">
      <formula1>0</formula1>
      <formula2>0.15</formula2>
    </dataValidation>
    <dataValidation sqref="BJ3:BJ22" showDropDown="0" showInputMessage="0" showErrorMessage="1" allowBlank="1" errorTitle="Ungültige Eingabe" error="Bitte einen Wert im erlaubten Bereich eintragen (leer = Standard)." type="decimal" operator="between">
      <formula1>0.5</formula1>
      <formula2>1</formula2>
    </dataValidation>
    <dataValidation sqref="BN3:BN22" showDropDown="0" showInputMessage="0" showErrorMessage="1" allowBlank="1" errorTitle="Ungültige Eingabe" error="Bitte einen Wert im erlaubten Bereich eintragen (leer = Standard)." type="decimal" operator="between">
      <formula1>0.01</formula1>
      <formula2>0.06</formula2>
    </dataValidation>
    <dataValidation sqref="U3:U22 V3:V22 AK3:AK22 AM3:AM22 AO3:AO22 AP3:AP22 AQ3:AQ22 BB3:BB22 BD3:BD22" showDropDown="0" showInputMessage="0" showErrorMessage="1" allowBlank="1" errorTitle="Ungültige Eingabe" error="Bitte einen Wert im erlaubten Bereich eintragen (leer = Standard)." type="decimal" operator="greaterThanOrEqual">
      <formula1>0</formula1>
    </dataValidation>
    <dataValidation sqref="BA3:BA22" showDropDown="0" showInputMessage="0" showErrorMessage="1" allowBlank="1" errorTitle="Ungültige Eingabe" error="Bitte einen Wert im erlaubten Bereich eintragen (leer = Standard)." type="decimal" operator="between">
      <formula1>0</formula1>
      <formula2>0.6</formula2>
    </dataValidation>
    <dataValidation sqref="H3:H22 I3:I22 J3:J22 AW3:AW22" showDropDown="0" showInputMessage="0" showErrorMessage="1" allowBlank="1" errorTitle="Ungültige Eingabe" error="Bitte einen Wert im erlaubten Bereich eintragen (leer = Standard)." type="whole" operator="greaterThanOrEqual">
      <formula1>0</formula1>
    </dataValidation>
    <dataValidation sqref="C35" showDropDown="0" showInputMessage="0" showErrorMessage="1" allowBlank="1" errorTitle="Ungültige Eingabe" error="Bitte einen Wert im erlaubten Bereich eintragen (leer = Standard)." type="decimal" operator="between">
      <formula1>0</formula1>
      <formula2>0.2</formula2>
    </dataValidation>
    <dataValidation sqref="H27 H28" showDropDown="0" showInputMessage="0" showErrorMessage="1" allowBlank="1" errorTitle="Ungültige Eingabe" error="Bitte einen Wert im erlaubten Bereich eintragen (leer = Standard)." type="decimal" operator="greaterThan">
      <formula1>0</formula1>
    </dataValidation>
    <dataValidation sqref="H29" showDropDown="0" showInputMessage="0" showErrorMessage="1" allowBlank="1" errorTitle="Ungültige Eingabe" error="Bitte einen Wert im erlaubten Bereich eintragen (leer = Standard)." type="whole" operator="greaterThan">
      <formula1>0</formula1>
    </dataValidation>
    <dataValidation sqref="H31 H32" showDropDown="0" showInputMessage="0" showErrorMessage="1" allowBlank="1" errorTitle="Ungültige Eingabe" error="Bitte einen Wert im erlaubten Bereich eintragen (leer = Standard)." type="decimal" operator="between">
      <formula1>0</formula1>
      <formula2>0.05</formula2>
    </dataValidation>
    <dataValidation sqref="H34" showDropDown="0" showInputMessage="0" showErrorMessage="1" allowBlank="1" errorTitle="Ungültige Eingabe" error="Bitte einen Wert im erlaubten Bereich eintragen (leer = Standard)." type="whole" operator="between">
      <formula1>1</formula1>
      <formula2>120</formula2>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2026-10-25T09:40:32Z</dcterms:modified>
  <cp:lastModifiedBy>André Petrov</cp:lastModifiedBy>
</cp:coreProperties>
</file>