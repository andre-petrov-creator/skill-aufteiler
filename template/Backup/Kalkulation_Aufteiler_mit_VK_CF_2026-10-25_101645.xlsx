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3" yWindow="-103" windowWidth="22149" windowHeight="11949" tabRatio="600" firstSheet="0" activeTab="5" autoFilterDateGrouping="1"/>
  </bookViews>
  <sheets>
    <sheet xmlns:r="http://schemas.openxmlformats.org/officeDocument/2006/relationships" name="BESICHTIGUNG" sheetId="1" state="visible" r:id="rId1"/>
    <sheet xmlns:r="http://schemas.openxmlformats.org/officeDocument/2006/relationships" name="KALKU" sheetId="2" state="visible" r:id="rId2"/>
    <sheet xmlns:r="http://schemas.openxmlformats.org/officeDocument/2006/relationships" name="RENO" sheetId="3" state="visible" r:id="rId3"/>
    <sheet xmlns:r="http://schemas.openxmlformats.org/officeDocument/2006/relationships" name="MIETER" sheetId="4" state="visible" r:id="rId4"/>
    <sheet xmlns:r="http://schemas.openxmlformats.org/officeDocument/2006/relationships" name="VERKAUFSMATRIX" sheetId="5" state="visible" r:id="rId5"/>
    <sheet xmlns:r="http://schemas.openxmlformats.org/officeDocument/2006/relationships" name="Verkauf Cashflow" sheetId="6" state="visible" r:id="rId6"/>
    <sheet xmlns:r="http://schemas.openxmlformats.org/officeDocument/2006/relationships" name="Marktpreis Verifizierung" sheetId="7" state="visible" r:id="rId7"/>
    <sheet xmlns:r="http://schemas.openxmlformats.org/officeDocument/2006/relationships" name="Checkliste Objektprüfung" sheetId="8" state="visible" r:id="rId8"/>
    <sheet xmlns:r="http://schemas.openxmlformats.org/officeDocument/2006/relationships" name="NK" sheetId="9" state="hidden" r:id="rId9"/>
  </sheets>
  <definedNames>
    <definedName name="AUFTEILER_TPL_V2">'Verkauf Cashflow'!$A$1</definedName>
    <definedName name="AUFTEILER_TPL_LAYOUT">2</definedName>
  </definedNames>
  <calcPr calcId="191029" fullCalcOnLoad="1"/>
</workbook>
</file>

<file path=xl/styles.xml><?xml version="1.0" encoding="utf-8"?>
<styleSheet xmlns="http://schemas.openxmlformats.org/spreadsheetml/2006/main">
  <numFmts count="28">
    <numFmt numFmtId="164" formatCode="0&quot;m²&quot;"/>
    <numFmt numFmtId="165" formatCode="#,##0&quot; €&quot;;[Red]\-#,##0&quot; €&quot;"/>
    <numFmt numFmtId="166" formatCode="#,##0\ [$€-1]"/>
    <numFmt numFmtId="167" formatCode="0.0%&quot; IMMO&quot;"/>
    <numFmt numFmtId="168" formatCode="#,##0&quot; €/m²&quot;"/>
    <numFmt numFmtId="169" formatCode="#,##0&quot; €&quot;"/>
    <numFmt numFmtId="170" formatCode="#,##0.00\ [$€-1]"/>
    <numFmt numFmtId="171" formatCode="0.0%"/>
    <numFmt numFmtId="172" formatCode="###0"/>
    <numFmt numFmtId="173" formatCode="#,##0&quot; € &quot;;\-#,##0&quot; € &quot;;&quot; - € &quot;;@\ "/>
    <numFmt numFmtId="174" formatCode="#,##0.00&quot; € &quot;;\-#,##0.00&quot; € &quot;;&quot; -&quot;#.0&quot; € &quot;;@\ "/>
    <numFmt numFmtId="175" formatCode="#,##0.00;\-#,##0.00;&quot;- &quot;;@\ "/>
    <numFmt numFmtId="176" formatCode="#,##0.00&quot; € &quot;;\-#,##0.00&quot; € &quot;;&quot; -&quot;#&quot; € &quot;;@\ "/>
    <numFmt numFmtId="177" formatCode="d/m/yyyy"/>
    <numFmt numFmtId="178" formatCode="dd\.mm\.yyyy"/>
    <numFmt numFmtId="179" formatCode="0.000"/>
    <numFmt numFmtId="180" formatCode="0.000000"/>
    <numFmt numFmtId="181" formatCode="#,##0.00&quot; €&quot;"/>
    <numFmt numFmtId="182" formatCode="0.0%;[Red]\-0.0%"/>
    <numFmt numFmtId="183" formatCode="#,##0\€"/>
    <numFmt numFmtId="184" formatCode="#,##0.00&quot; € &quot;;\-#,##0.00&quot; € &quot;;&quot; - € &quot;;@\ "/>
    <numFmt numFmtId="185" formatCode="0.0%&quot; MARKT&quot;"/>
    <numFmt numFmtId="186" formatCode="#,##0\ [$€-407]\ ;\-#,##0\ [$€-407]\ ;&quot; - &quot;[$€-407]\ ;@\ "/>
    <numFmt numFmtId="187" formatCode="#,##0.00&quot; €/m²&quot;"/>
    <numFmt numFmtId="188" formatCode="#,##0.0"/>
    <numFmt numFmtId="189" formatCode="#,##0.00&quot; €&quot;;[Red]\-#,##0.00&quot; €&quot;"/>
    <numFmt numFmtId="190" formatCode="[Red]#,##0&quot; €/m²&quot;;-#,##0&quot; €/m²&quot;"/>
    <numFmt numFmtId="191" formatCode="0.0"/>
  </numFmts>
  <fonts count="85">
    <font>
      <name val="Calibri"/>
      <color theme="1"/>
      <sz val="11"/>
      <scheme val="minor"/>
    </font>
    <font>
      <name val="Calibri"/>
      <b val="1"/>
      <color theme="1"/>
      <sz val="24"/>
    </font>
    <font>
      <name val="Calibri"/>
      <b val="1"/>
      <color theme="1"/>
      <sz val="20"/>
    </font>
    <font>
      <name val="Calibri"/>
      <color theme="1"/>
      <sz val="12"/>
    </font>
    <font>
      <name val="Calibri"/>
      <b val="1"/>
      <color rgb="FFFFFFFF"/>
      <sz val="24"/>
    </font>
    <font>
      <name val="Calibri"/>
      <b val="1"/>
      <color rgb="FF000000"/>
      <sz val="20"/>
    </font>
    <font>
      <name val="Calibri"/>
      <color theme="1"/>
      <sz val="11"/>
    </font>
    <font>
      <name val="Calibri"/>
      <color rgb="FF000000"/>
      <sz val="10"/>
    </font>
    <font>
      <name val="Calibri"/>
      <b val="1"/>
      <color rgb="FFFFFFFF"/>
      <sz val="14"/>
    </font>
    <font>
      <name val="Calibri"/>
      <color rgb="FFFF0000"/>
      <sz val="10"/>
    </font>
    <font>
      <name val="Calibri"/>
      <b val="1"/>
      <color rgb="FFFF0000"/>
      <sz val="12"/>
    </font>
    <font>
      <name val="Calibri"/>
      <b val="1"/>
      <color theme="1"/>
      <sz val="12"/>
    </font>
    <font>
      <name val="Calibri"/>
      <b val="1"/>
      <color rgb="FF000000"/>
      <sz val="12"/>
    </font>
    <font>
      <name val="Calibri"/>
      <color rgb="FFFFE598"/>
      <sz val="11"/>
    </font>
    <font>
      <name val="Calibri"/>
      <b val="1"/>
      <color rgb="FF0563C1"/>
      <sz val="12"/>
      <u val="single"/>
    </font>
    <font>
      <name val="Calibri"/>
      <color rgb="FFFFD9D9"/>
      <sz val="11"/>
    </font>
    <font>
      <name val="Calibri"/>
      <color rgb="FF000000"/>
      <sz val="12"/>
    </font>
    <font>
      <name val="Calibri"/>
      <b val="1"/>
      <color rgb="FF0563C1"/>
      <sz val="12"/>
      <u val="single"/>
    </font>
    <font>
      <name val="Calibri"/>
      <b val="1"/>
      <color rgb="FF000000"/>
      <sz val="14"/>
    </font>
    <font>
      <name val="Calibri"/>
      <b val="1"/>
      <color rgb="FF0000FF"/>
      <sz val="12"/>
      <u val="single"/>
    </font>
    <font>
      <name val="Calibri"/>
      <color rgb="FFFF0000"/>
      <sz val="11"/>
    </font>
    <font>
      <name val="Calibri"/>
      <b val="1"/>
      <color rgb="FFFF0000"/>
      <sz val="10"/>
    </font>
    <font>
      <name val="Calibri"/>
      <color rgb="FF57BB8A"/>
      <sz val="10"/>
    </font>
    <font>
      <name val="Calibri"/>
      <b val="1"/>
      <color theme="9"/>
      <sz val="12"/>
    </font>
    <font>
      <name val="Calibri"/>
      <b val="1"/>
      <color theme="1"/>
      <sz val="11"/>
    </font>
    <font>
      <name val="Calibri"/>
      <b val="1"/>
      <color rgb="FF3A3838"/>
      <sz val="14"/>
    </font>
    <font>
      <name val="Calibri"/>
      <color rgb="FFFFFFFF"/>
      <sz val="10"/>
    </font>
    <font>
      <name val="Calibri"/>
      <color theme="0"/>
      <sz val="14"/>
    </font>
    <font>
      <name val="Calibri"/>
      <b val="1"/>
      <color theme="0"/>
      <sz val="16"/>
    </font>
    <font>
      <name val="Calibri"/>
      <b val="1"/>
      <color rgb="FF000000"/>
      <sz val="10"/>
    </font>
    <font>
      <name val="Calibri"/>
      <color theme="9"/>
      <sz val="10"/>
    </font>
    <font>
      <name val="Calibri"/>
      <color theme="9"/>
      <sz val="11"/>
    </font>
    <font>
      <name val="Calibri"/>
      <color theme="1"/>
      <sz val="10"/>
    </font>
    <font>
      <name val="Calibri"/>
      <b val="1"/>
      <color rgb="FFFF0000"/>
      <sz val="11"/>
    </font>
    <font>
      <name val="Calibri"/>
      <color rgb="FFEFEFEF"/>
      <sz val="12"/>
    </font>
    <font>
      <name val="Calibri"/>
      <color theme="0"/>
      <sz val="10"/>
    </font>
    <font>
      <name val="Calibri"/>
      <b val="1"/>
      <color rgb="FFFF0000"/>
      <sz val="12"/>
      <u val="single"/>
    </font>
    <font>
      <name val="Calibri"/>
      <b val="1"/>
      <color theme="1"/>
      <sz val="14"/>
    </font>
    <font>
      <name val="Calibri"/>
      <b val="1"/>
      <color rgb="FF000000"/>
      <sz val="16"/>
    </font>
    <font>
      <name val="Calibri"/>
      <b val="1"/>
      <color rgb="FFE6B100"/>
      <sz val="12"/>
    </font>
    <font>
      <name val="Calibri"/>
      <b val="1"/>
      <color rgb="FFFFFFFF"/>
      <sz val="12"/>
    </font>
    <font>
      <name val="Calibri"/>
      <color rgb="FF000000"/>
      <sz val="11"/>
    </font>
    <font>
      <name val="Calibri"/>
      <color theme="1"/>
      <sz val="14"/>
    </font>
    <font>
      <name val="Calibri"/>
      <color rgb="FFFFFFFF"/>
      <sz val="11"/>
    </font>
    <font>
      <name val="Calibri"/>
      <b val="1"/>
      <color rgb="FF1F1F1F"/>
      <sz val="11"/>
    </font>
    <font>
      <name val="Arial"/>
      <b val="1"/>
      <color rgb="FF1F1F1F"/>
      <sz val="11"/>
    </font>
    <font>
      <name val="Calibri"/>
      <color rgb="FFCC0000"/>
      <sz val="11"/>
    </font>
    <font>
      <name val="Calibri"/>
      <b val="1"/>
      <color rgb="FF000000"/>
      <sz val="11"/>
    </font>
    <font>
      <name val="Calibri"/>
      <b val="1"/>
      <color rgb="FFFFFFFF"/>
      <sz val="11"/>
    </font>
    <font>
      <name val="Calibri"/>
      <color rgb="FF1F1F1F"/>
      <sz val="11"/>
    </font>
    <font>
      <name val="Calibri"/>
      <color rgb="FFCC0000"/>
      <sz val="10"/>
    </font>
    <font>
      <name val="Cambria"/>
      <b val="1"/>
      <color rgb="FFFFFFFF"/>
      <sz val="14"/>
    </font>
    <font>
      <name val="Cambria"/>
      <i val="1"/>
      <color rgb="FF595959"/>
      <sz val="9"/>
    </font>
    <font>
      <name val="Cambria"/>
      <b val="1"/>
      <color rgb="FF1F3864"/>
      <sz val="11"/>
    </font>
    <font>
      <name val="Cambria"/>
      <color rgb="FF404040"/>
      <sz val="10"/>
    </font>
    <font>
      <name val="Cambria"/>
      <color rgb="FF0000FF"/>
      <sz val="11"/>
    </font>
    <font>
      <name val="Cambria"/>
      <i val="1"/>
      <color rgb="FF404040"/>
      <sz val="9"/>
    </font>
    <font>
      <name val="Cambria"/>
      <color rgb="FF0000FF"/>
      <sz val="9"/>
    </font>
    <font>
      <name val="Cambria"/>
      <color rgb="FF008000"/>
      <sz val="9"/>
    </font>
    <font>
      <name val="Cambria"/>
      <color rgb="FF000000"/>
      <sz val="11"/>
    </font>
    <font>
      <name val="Cambria"/>
      <color rgb="FF000000"/>
      <sz val="9"/>
    </font>
    <font>
      <name val="Cambria"/>
      <b val="1"/>
      <color rgb="FFFFFFFF"/>
      <sz val="12"/>
    </font>
    <font>
      <name val="Cambria"/>
      <color rgb="FF008000"/>
      <sz val="11"/>
    </font>
    <font>
      <name val="Cambria"/>
      <b val="1"/>
      <color theme="1"/>
      <sz val="11"/>
    </font>
    <font>
      <name val="Cambria"/>
      <b val="1"/>
      <color theme="1"/>
      <sz val="12"/>
    </font>
    <font>
      <name val="Cambria"/>
      <b val="1"/>
      <color rgb="FF000000"/>
      <sz val="11"/>
    </font>
    <font>
      <name val="Calibri"/>
      <color rgb="FF0563C1"/>
      <sz val="12"/>
      <u val="single"/>
    </font>
    <font>
      <name val="Calibri"/>
      <color theme="0"/>
      <sz val="12"/>
    </font>
    <font>
      <name val="Calibri"/>
      <b val="1"/>
      <color rgb="FF0000FF"/>
      <sz val="12"/>
      <u val="single"/>
    </font>
    <font>
      <name val="Calibri"/>
      <color rgb="FFFF0000"/>
      <sz val="12"/>
    </font>
    <font>
      <name val="Calibri"/>
      <b val="1"/>
      <color theme="1"/>
      <sz val="13"/>
    </font>
    <font>
      <name val="Calibri"/>
      <color rgb="FFFFFFFF"/>
      <sz val="12"/>
    </font>
    <font>
      <name val="Calibri"/>
      <b val="1"/>
      <color theme="1"/>
      <sz val="10"/>
    </font>
    <font>
      <name val="Calibri"/>
      <color rgb="FF7F7F7F"/>
      <sz val="10"/>
    </font>
    <font>
      <name val="Calibri"/>
      <b val="1"/>
      <sz val="11"/>
    </font>
    <font>
      <name val="Cambria"/>
      <b val="1"/>
      <color rgb="FFFFFFFF"/>
      <sz val="10"/>
    </font>
    <font>
      <name val="Cambria"/>
      <color rgb="FF0000FF"/>
      <sz val="10"/>
    </font>
    <font>
      <name val="Cambria"/>
      <color rgb="FF000000"/>
      <sz val="10"/>
    </font>
    <font>
      <name val="Cambria"/>
      <b val="1"/>
      <color rgb="FFFFFFFF"/>
      <sz val="9"/>
    </font>
    <font>
      <name val="Cambria"/>
      <b val="1"/>
      <sz val="10"/>
    </font>
    <font>
      <name val="Calibri"/>
      <color rgb="FF404040"/>
      <sz val="10"/>
    </font>
    <font>
      <name val="Calibri"/>
      <b val="1"/>
      <color rgb="FF404040"/>
      <sz val="10"/>
    </font>
    <font>
      <name val="Calibri"/>
      <b val="1"/>
      <color rgb="FF404040"/>
      <sz val="9"/>
    </font>
    <font>
      <name val="Calibri"/>
      <color rgb="FF1F4E79"/>
      <sz val="10"/>
    </font>
    <font>
      <name val="Calibri"/>
      <color rgb="FF404040"/>
      <sz val="9"/>
    </font>
  </fonts>
  <fills count="35">
    <fill>
      <patternFill/>
    </fill>
    <fill>
      <patternFill patternType="gray125"/>
    </fill>
    <fill>
      <patternFill patternType="solid">
        <fgColor rgb="FFD4B948"/>
        <bgColor rgb="FFD4B948"/>
      </patternFill>
    </fill>
    <fill>
      <patternFill patternType="solid">
        <fgColor rgb="FFEFEFEF"/>
        <bgColor rgb="FFEFEFEF"/>
      </patternFill>
    </fill>
    <fill>
      <patternFill patternType="solid">
        <fgColor rgb="FFB7B7B7"/>
        <bgColor rgb="FFB7B7B7"/>
      </patternFill>
    </fill>
    <fill>
      <patternFill patternType="solid">
        <fgColor theme="0"/>
        <bgColor theme="0"/>
      </patternFill>
    </fill>
    <fill>
      <patternFill patternType="solid">
        <fgColor rgb="FF3A3838"/>
        <bgColor rgb="FF3A3838"/>
      </patternFill>
    </fill>
    <fill>
      <patternFill patternType="solid">
        <fgColor rgb="FFEA9999"/>
        <bgColor rgb="FFEA9999"/>
      </patternFill>
    </fill>
    <fill>
      <patternFill patternType="solid">
        <fgColor rgb="FF93C47D"/>
        <bgColor rgb="FF93C47D"/>
      </patternFill>
    </fill>
    <fill>
      <patternFill patternType="solid">
        <fgColor rgb="FFA4C2F4"/>
        <bgColor rgb="FFA4C2F4"/>
      </patternFill>
    </fill>
    <fill>
      <patternFill patternType="solid">
        <fgColor rgb="FF999999"/>
        <bgColor rgb="FF999999"/>
      </patternFill>
    </fill>
    <fill>
      <patternFill patternType="solid">
        <fgColor rgb="FFB4A7D6"/>
        <bgColor rgb="FFB4A7D6"/>
      </patternFill>
    </fill>
    <fill>
      <patternFill patternType="solid">
        <fgColor rgb="FFF9CB9C"/>
        <bgColor rgb="FFF9CB9C"/>
      </patternFill>
    </fill>
    <fill>
      <patternFill patternType="solid">
        <fgColor rgb="FFB6D7A8"/>
        <bgColor rgb="FFB6D7A8"/>
      </patternFill>
    </fill>
    <fill>
      <patternFill patternType="solid">
        <fgColor rgb="FF6AA84F"/>
        <bgColor rgb="FF6AA84F"/>
      </patternFill>
    </fill>
    <fill>
      <patternFill patternType="solid">
        <fgColor rgb="FF434343"/>
        <bgColor rgb="FF434343"/>
      </patternFill>
    </fill>
    <fill>
      <patternFill patternType="solid">
        <fgColor rgb="FFD9D2E9"/>
        <bgColor rgb="FFD9D2E9"/>
      </patternFill>
    </fill>
    <fill>
      <patternFill patternType="solid">
        <fgColor rgb="FF1F3864"/>
        <bgColor rgb="FF1F3864"/>
      </patternFill>
    </fill>
    <fill>
      <patternFill patternType="solid">
        <fgColor rgb="FFFFF2CC"/>
        <bgColor rgb="FFFFF2CC"/>
      </patternFill>
    </fill>
    <fill>
      <patternFill patternType="solid">
        <fgColor rgb="FFE2EFDA"/>
        <bgColor rgb="FFE2EFDA"/>
      </patternFill>
    </fill>
    <fill>
      <patternFill patternType="solid">
        <fgColor rgb="FFBDD7EE"/>
        <bgColor rgb="FFBDD7EE"/>
      </patternFill>
    </fill>
    <fill>
      <patternFill patternType="solid">
        <fgColor rgb="FFBD9D21"/>
        <bgColor rgb="FFBD9D21"/>
      </patternFill>
    </fill>
    <fill>
      <patternFill patternType="solid">
        <fgColor rgb="FFF4CCCC"/>
        <bgColor rgb="FFF4CCCC"/>
      </patternFill>
    </fill>
    <fill>
      <patternFill patternType="solid">
        <fgColor rgb="FFD9EAD3"/>
        <bgColor rgb="FFD9EAD3"/>
      </patternFill>
    </fill>
    <fill>
      <patternFill patternType="solid">
        <fgColor rgb="FFCCCCCC"/>
        <bgColor rgb="FFCCCCCC"/>
      </patternFill>
    </fill>
    <fill>
      <patternFill patternType="solid">
        <fgColor rgb="FFD9D9D9"/>
        <bgColor rgb="FFD9D9D9"/>
      </patternFill>
    </fill>
    <fill>
      <patternFill patternType="solid">
        <fgColor rgb="FFFFF2CC"/>
      </patternFill>
    </fill>
    <fill>
      <patternFill patternType="solid">
        <fgColor rgb="FF1F3864"/>
      </patternFill>
    </fill>
    <fill>
      <patternFill patternType="solid">
        <fgColor rgb="FFE7E6E6"/>
        <bgColor rgb="FFE7E6E6"/>
      </patternFill>
    </fill>
    <fill>
      <patternFill patternType="solid">
        <fgColor rgb="FFDDEBF7"/>
        <bgColor rgb="FFDDEBF7"/>
      </patternFill>
    </fill>
    <fill>
      <patternFill patternType="solid">
        <fgColor rgb="FFE4DFEC"/>
        <bgColor rgb="FFE4DFEC"/>
      </patternFill>
    </fill>
    <fill>
      <patternFill patternType="solid">
        <fgColor rgb="FFFCE4D6"/>
        <bgColor rgb="FFFCE4D6"/>
      </patternFill>
    </fill>
    <fill>
      <patternFill patternType="solid">
        <fgColor rgb="FFF7F7F7"/>
        <bgColor rgb="FFF7F7F7"/>
      </patternFill>
    </fill>
    <fill>
      <patternFill patternType="solid">
        <fgColor rgb="FFEDEDED"/>
        <bgColor rgb="FFEDEDED"/>
      </patternFill>
    </fill>
    <fill>
      <patternFill patternType="solid">
        <fgColor rgb="FFFFFBE6"/>
        <bgColor rgb="FFFFFBE6"/>
      </patternFill>
    </fill>
  </fills>
  <borders count="67">
    <border>
      <left/>
      <right/>
      <top/>
      <bottom/>
      <diagonal/>
    </border>
    <border>
      <left/>
      <right style="thick">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right style="thick">
        <color rgb="FF000000"/>
      </right>
      <top style="thin">
        <color rgb="FF000000"/>
      </top>
      <bottom/>
      <diagonal/>
    </border>
    <border>
      <left style="thin">
        <color rgb="FF000000"/>
      </left>
      <right/>
      <top/>
      <bottom style="thin">
        <color rgb="FF000000"/>
      </bottom>
      <diagonal/>
    </border>
    <border>
      <left/>
      <right style="thick">
        <color rgb="FF000000"/>
      </right>
      <top/>
      <bottom style="thin">
        <color rgb="FF000000"/>
      </bottom>
      <diagonal/>
    </border>
    <border>
      <left/>
      <right/>
      <top/>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style="thin">
        <color rgb="FF000000"/>
      </top>
      <bottom/>
      <diagonal/>
    </border>
    <border>
      <left/>
      <right/>
      <top/>
      <bottom style="thin">
        <color rgb="FF000000"/>
      </bottom>
      <diagonal/>
    </border>
    <border>
      <left style="medium">
        <color rgb="FF000000"/>
      </left>
      <right/>
      <top style="medium">
        <color rgb="FF000000"/>
      </top>
      <bottom/>
      <diagonal/>
    </border>
    <border>
      <left style="thin">
        <color rgb="FF000000"/>
      </left>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style="thin">
        <color rgb="FF000000"/>
      </top>
      <bottom/>
      <diagonal/>
    </border>
    <border>
      <left style="thin">
        <color rgb="FF000000"/>
      </left>
      <right style="thin">
        <color rgb="FF000000"/>
      </right>
      <top/>
      <bottom/>
      <diagonal/>
    </border>
    <border>
      <left/>
      <right style="thin">
        <color rgb="FF000000"/>
      </right>
      <top/>
      <bottom style="medium">
        <color rgb="FF000000"/>
      </bottom>
      <diagonal/>
    </border>
    <border>
      <left/>
      <right style="medium">
        <color rgb="FF000000"/>
      </right>
      <top/>
      <bottom style="medium">
        <color rgb="FF000000"/>
      </bottom>
      <diagonal/>
    </border>
    <border>
      <left style="thin">
        <color rgb="FF808080"/>
      </left>
      <right style="thin">
        <color rgb="FF808080"/>
      </right>
      <top style="thin">
        <color rgb="FF808080"/>
      </top>
      <bottom style="thin">
        <color rgb="FF808080"/>
      </bottom>
      <diagonal/>
    </border>
    <border>
      <left style="thick">
        <color rgb="FF000000"/>
      </left>
      <right style="thick">
        <color rgb="FF000000"/>
      </right>
      <top style="thick">
        <color rgb="FF000000"/>
      </top>
      <bottom/>
      <diagonal/>
    </border>
    <border>
      <left/>
      <right style="thick">
        <color rgb="FF000000"/>
      </right>
      <top style="thick">
        <color rgb="FF000000"/>
      </top>
      <bottom/>
      <diagonal/>
    </border>
    <border>
      <left style="thick">
        <color rgb="FF000000"/>
      </left>
      <right style="thick">
        <color rgb="FF000000"/>
      </right>
      <top style="thick">
        <color rgb="FF000000"/>
      </top>
      <bottom style="thin">
        <color rgb="FF000000"/>
      </bottom>
      <diagonal/>
    </border>
    <border>
      <left style="thin">
        <color rgb="FF000000"/>
      </left>
      <right/>
      <top style="thin">
        <color rgb="FF000000"/>
      </top>
      <bottom/>
      <diagonal/>
    </border>
    <border>
      <left/>
      <right/>
      <top/>
      <bottom style="medium">
        <color rgb="FF000000"/>
      </bottom>
      <diagonal/>
    </border>
    <border>
      <left/>
      <right/>
      <top/>
      <bottom style="medium">
        <color rgb="FF000000"/>
      </bottom>
      <diagonal/>
    </border>
    <border>
      <left/>
      <right style="thick">
        <color rgb="FF000000"/>
      </right>
      <top/>
      <bottom/>
      <diagonal/>
    </border>
    <border>
      <left/>
      <right/>
      <top style="thick">
        <color rgb="FF000000"/>
      </top>
      <bottom/>
      <diagonal/>
    </border>
    <border>
      <left style="medium">
        <color rgb="FF000000"/>
      </left>
      <right/>
      <top/>
      <bottom/>
      <diagonal/>
    </border>
    <border/>
    <border>
      <left style="thin">
        <color rgb="FFD9D9D9"/>
      </left>
      <right style="thin">
        <color rgb="FFD9D9D9"/>
      </right>
      <top style="thin">
        <color rgb="FFD9D9D9"/>
      </top>
      <bottom style="thin">
        <color rgb="FFD9D9D9"/>
      </bottom>
    </border>
    <border>
      <top style="thin">
        <color rgb="FF808080"/>
      </top>
    </border>
  </borders>
  <cellStyleXfs count="1">
    <xf numFmtId="0" fontId="0" fillId="0" borderId="9"/>
  </cellStyleXfs>
  <cellXfs count="1032">
    <xf numFmtId="0" fontId="0" fillId="0" borderId="0" pivotButton="0" quotePrefix="0" xfId="0"/>
    <xf numFmtId="0" fontId="2" fillId="3" borderId="2" applyAlignment="1" pivotButton="0" quotePrefix="0" xfId="0">
      <alignment vertical="center"/>
    </xf>
    <xf numFmtId="0" fontId="2" fillId="4" borderId="3" applyAlignment="1" pivotButton="0" quotePrefix="0" xfId="0">
      <alignment horizontal="center" vertical="center"/>
    </xf>
    <xf numFmtId="0" fontId="2" fillId="3" borderId="4" applyAlignment="1" pivotButton="0" quotePrefix="0" xfId="0">
      <alignment vertical="center"/>
    </xf>
    <xf numFmtId="0" fontId="2" fillId="4" borderId="5" applyAlignment="1" pivotButton="0" quotePrefix="0" xfId="0">
      <alignment horizontal="center" vertical="center"/>
    </xf>
    <xf numFmtId="0" fontId="2" fillId="4" borderId="3" applyAlignment="1" pivotButton="0" quotePrefix="0" xfId="0">
      <alignment horizontal="center" vertical="center" wrapText="1"/>
    </xf>
    <xf numFmtId="164" fontId="2" fillId="4" borderId="3" applyAlignment="1" pivotButton="0" quotePrefix="0" xfId="0">
      <alignment horizontal="center" vertical="center"/>
    </xf>
    <xf numFmtId="0" fontId="5" fillId="3" borderId="2" applyAlignment="1" pivotButton="0" quotePrefix="0" xfId="0">
      <alignment vertical="center"/>
    </xf>
    <xf numFmtId="165" fontId="2" fillId="4" borderId="3" applyAlignment="1" pivotButton="0" quotePrefix="0" xfId="0">
      <alignment horizontal="center" vertical="center"/>
    </xf>
    <xf numFmtId="9" fontId="2" fillId="4" borderId="3" applyAlignment="1" pivotButton="0" quotePrefix="0" xfId="0">
      <alignment horizontal="center" vertical="center"/>
    </xf>
    <xf numFmtId="0" fontId="2" fillId="3" borderId="2" applyAlignment="1" pivotButton="0" quotePrefix="0" xfId="0">
      <alignment horizontal="left" vertical="center"/>
    </xf>
    <xf numFmtId="165" fontId="2" fillId="3" borderId="3" applyAlignment="1" pivotButton="0" quotePrefix="0" xfId="0">
      <alignment horizontal="center" vertical="center"/>
    </xf>
    <xf numFmtId="0" fontId="2" fillId="3" borderId="4" applyAlignment="1" pivotButton="0" quotePrefix="0" xfId="0">
      <alignment vertical="center" wrapText="1"/>
    </xf>
    <xf numFmtId="0" fontId="2" fillId="4" borderId="5" applyAlignment="1" pivotButton="0" quotePrefix="0" xfId="0">
      <alignment horizontal="left" vertical="top"/>
    </xf>
    <xf numFmtId="0" fontId="3" fillId="0" borderId="0" pivotButton="0" quotePrefix="0" xfId="0"/>
    <xf numFmtId="0" fontId="2" fillId="4" borderId="3" applyAlignment="1" pivotButton="0" quotePrefix="0" xfId="0">
      <alignment horizontal="left" vertical="top"/>
    </xf>
    <xf numFmtId="166" fontId="2" fillId="4" borderId="5" applyAlignment="1" pivotButton="0" quotePrefix="0" xfId="0">
      <alignment horizontal="center" vertical="center"/>
    </xf>
    <xf numFmtId="0" fontId="2" fillId="3" borderId="2" applyAlignment="1" pivotButton="0" quotePrefix="0" xfId="0">
      <alignment vertical="center" wrapText="1"/>
    </xf>
    <xf numFmtId="166" fontId="2" fillId="4" borderId="3" applyAlignment="1" pivotButton="0" quotePrefix="0" xfId="0">
      <alignment horizontal="center" vertical="center"/>
    </xf>
    <xf numFmtId="0" fontId="6" fillId="0" borderId="0" pivotButton="0" quotePrefix="0" xfId="0"/>
    <xf numFmtId="0" fontId="7" fillId="5" borderId="9" applyAlignment="1" pivotButton="0" quotePrefix="0" xfId="0">
      <alignment vertical="center"/>
    </xf>
    <xf numFmtId="0" fontId="7" fillId="0" borderId="0" pivotButton="0" quotePrefix="0" xfId="0"/>
    <xf numFmtId="0" fontId="2" fillId="2" borderId="11" applyAlignment="1" pivotButton="0" quotePrefix="0" xfId="0">
      <alignment horizontal="center" vertical="center"/>
    </xf>
    <xf numFmtId="0" fontId="2" fillId="2" borderId="9" applyAlignment="1" pivotButton="0" quotePrefix="0" xfId="0">
      <alignment horizontal="center" vertical="center"/>
    </xf>
    <xf numFmtId="0" fontId="2" fillId="2" borderId="12" applyAlignment="1" pivotButton="0" quotePrefix="0" xfId="0">
      <alignment horizontal="center" vertical="center"/>
    </xf>
    <xf numFmtId="0" fontId="9" fillId="5" borderId="9" applyAlignment="1" pivotButton="0" quotePrefix="0" xfId="0">
      <alignment vertical="center"/>
    </xf>
    <xf numFmtId="0" fontId="11" fillId="2" borderId="11" applyAlignment="1" pivotButton="0" quotePrefix="0" xfId="0">
      <alignment horizontal="right" vertical="center"/>
    </xf>
    <xf numFmtId="0" fontId="11" fillId="2" borderId="12" applyAlignment="1" pivotButton="0" quotePrefix="0" xfId="0">
      <alignment horizontal="center" vertical="center"/>
    </xf>
    <xf numFmtId="0" fontId="9" fillId="5" borderId="9" applyAlignment="1" pivotButton="0" quotePrefix="0" xfId="0">
      <alignment horizontal="center" vertical="center"/>
    </xf>
    <xf numFmtId="0" fontId="2" fillId="2" borderId="13" applyAlignment="1" pivotButton="0" quotePrefix="0" xfId="0">
      <alignment horizontal="center" vertical="center"/>
    </xf>
    <xf numFmtId="0" fontId="2" fillId="2" borderId="14" applyAlignment="1" pivotButton="0" quotePrefix="0" xfId="0">
      <alignment horizontal="center" vertical="center"/>
    </xf>
    <xf numFmtId="0" fontId="11" fillId="2" borderId="15" applyAlignment="1" pivotButton="0" quotePrefix="0" xfId="0">
      <alignment horizontal="center" vertical="center"/>
    </xf>
    <xf numFmtId="0" fontId="10" fillId="5" borderId="16" applyAlignment="1" pivotButton="0" quotePrefix="0" xfId="0">
      <alignment vertical="center"/>
    </xf>
    <xf numFmtId="0" fontId="10" fillId="5" borderId="17" applyAlignment="1" pivotButton="0" quotePrefix="0" xfId="0">
      <alignment vertical="center"/>
    </xf>
    <xf numFmtId="0" fontId="7" fillId="5" borderId="9" pivotButton="0" quotePrefix="0" xfId="0"/>
    <xf numFmtId="0" fontId="11" fillId="3" borderId="19" applyAlignment="1" pivotButton="0" quotePrefix="0" xfId="0">
      <alignment vertical="center"/>
    </xf>
    <xf numFmtId="0" fontId="13" fillId="5" borderId="9" applyAlignment="1" pivotButton="0" quotePrefix="0" xfId="0">
      <alignment vertical="center"/>
    </xf>
    <xf numFmtId="167" fontId="12" fillId="7" borderId="19" applyAlignment="1" pivotButton="0" quotePrefix="0" xfId="0">
      <alignment horizontal="center" vertical="center"/>
    </xf>
    <xf numFmtId="0" fontId="14" fillId="3" borderId="19" pivotButton="0" quotePrefix="0" xfId="0"/>
    <xf numFmtId="168" fontId="3" fillId="3" borderId="17" applyAlignment="1" pivotButton="0" quotePrefix="0" xfId="0">
      <alignment horizontal="center" vertical="center"/>
    </xf>
    <xf numFmtId="0" fontId="15" fillId="5" borderId="9" applyAlignment="1" pivotButton="0" quotePrefix="0" xfId="0">
      <alignment vertical="center"/>
    </xf>
    <xf numFmtId="0" fontId="12" fillId="3" borderId="19" applyAlignment="1" pivotButton="0" quotePrefix="0" xfId="0">
      <alignment vertical="center"/>
    </xf>
    <xf numFmtId="168" fontId="3" fillId="3" borderId="19" applyAlignment="1" pivotButton="0" quotePrefix="0" xfId="0">
      <alignment horizontal="center" vertical="center"/>
    </xf>
    <xf numFmtId="0" fontId="17" fillId="4" borderId="19" pivotButton="0" quotePrefix="0" xfId="0"/>
    <xf numFmtId="0" fontId="11" fillId="8" borderId="19" applyAlignment="1" pivotButton="0" quotePrefix="0" xfId="0">
      <alignment horizontal="left" vertical="center"/>
    </xf>
    <xf numFmtId="168" fontId="11" fillId="8" borderId="19" applyAlignment="1" pivotButton="0" quotePrefix="0" xfId="0">
      <alignment horizontal="center" vertical="center"/>
    </xf>
    <xf numFmtId="0" fontId="11" fillId="3" borderId="19" applyAlignment="1" pivotButton="0" quotePrefix="0" xfId="0">
      <alignment horizontal="left" vertical="center"/>
    </xf>
    <xf numFmtId="0" fontId="19" fillId="3" borderId="19" applyAlignment="1" pivotButton="0" quotePrefix="0" xfId="0">
      <alignment vertical="center"/>
    </xf>
    <xf numFmtId="10" fontId="11" fillId="4" borderId="16" applyAlignment="1" pivotButton="0" quotePrefix="0" xfId="0">
      <alignment horizontal="center" vertical="center"/>
    </xf>
    <xf numFmtId="0" fontId="11" fillId="4" borderId="19" applyAlignment="1" pivotButton="0" quotePrefix="0" xfId="0">
      <alignment horizontal="center" vertical="center"/>
    </xf>
    <xf numFmtId="0" fontId="3" fillId="3" borderId="16" applyAlignment="1" pivotButton="0" quotePrefix="0" xfId="0">
      <alignment vertical="center"/>
    </xf>
    <xf numFmtId="9" fontId="11" fillId="4" borderId="16" applyAlignment="1" pivotButton="0" quotePrefix="0" xfId="0">
      <alignment horizontal="center" vertical="center" shrinkToFit="1"/>
    </xf>
    <xf numFmtId="169" fontId="16" fillId="3" borderId="19" applyAlignment="1" pivotButton="0" quotePrefix="0" xfId="0">
      <alignment vertical="center"/>
    </xf>
    <xf numFmtId="0" fontId="12" fillId="3" borderId="16" applyAlignment="1" pivotButton="0" quotePrefix="0" xfId="0">
      <alignment vertical="center"/>
    </xf>
    <xf numFmtId="9" fontId="11" fillId="4" borderId="19" applyAlignment="1" pivotButton="0" quotePrefix="0" xfId="0">
      <alignment horizontal="center" vertical="center"/>
    </xf>
    <xf numFmtId="0" fontId="3" fillId="3" borderId="24" applyAlignment="1" pivotButton="0" quotePrefix="0" xfId="0">
      <alignment vertical="center"/>
    </xf>
    <xf numFmtId="0" fontId="3" fillId="3" borderId="17" applyAlignment="1" pivotButton="0" quotePrefix="0" xfId="0">
      <alignment vertical="center"/>
    </xf>
    <xf numFmtId="166" fontId="11" fillId="4" borderId="19" applyAlignment="1" pivotButton="0" quotePrefix="0" xfId="0">
      <alignment vertical="center"/>
    </xf>
    <xf numFmtId="10" fontId="11" fillId="4" borderId="16" applyAlignment="1" pivotButton="0" quotePrefix="0" xfId="0">
      <alignment horizontal="center" vertical="center" shrinkToFit="1"/>
    </xf>
    <xf numFmtId="10" fontId="11" fillId="4" borderId="24" applyAlignment="1" pivotButton="0" quotePrefix="0" xfId="0">
      <alignment horizontal="center" vertical="center" shrinkToFit="1"/>
    </xf>
    <xf numFmtId="10" fontId="11" fillId="4" borderId="17" applyAlignment="1" pivotButton="0" quotePrefix="0" xfId="0">
      <alignment horizontal="center" vertical="center" shrinkToFit="1"/>
    </xf>
    <xf numFmtId="166" fontId="9" fillId="0" borderId="0" pivotButton="0" quotePrefix="0" xfId="0"/>
    <xf numFmtId="0" fontId="11" fillId="3" borderId="16" applyAlignment="1" pivotButton="0" quotePrefix="0" xfId="0">
      <alignment vertical="center"/>
    </xf>
    <xf numFmtId="169" fontId="11" fillId="3" borderId="19" applyAlignment="1" pivotButton="0" quotePrefix="0" xfId="0">
      <alignment vertical="center"/>
    </xf>
    <xf numFmtId="0" fontId="20" fillId="0" borderId="0" pivotButton="0" quotePrefix="0" xfId="0"/>
    <xf numFmtId="0" fontId="21" fillId="0" borderId="0" pivotButton="0" quotePrefix="0" xfId="0"/>
    <xf numFmtId="0" fontId="12" fillId="9" borderId="19" applyAlignment="1" pivotButton="0" quotePrefix="0" xfId="0">
      <alignment vertical="center"/>
    </xf>
    <xf numFmtId="168" fontId="3" fillId="9" borderId="19" applyAlignment="1" pivotButton="0" quotePrefix="0" xfId="0">
      <alignment horizontal="right" vertical="center"/>
    </xf>
    <xf numFmtId="165" fontId="16" fillId="3" borderId="19" applyAlignment="1" pivotButton="0" quotePrefix="0" xfId="0">
      <alignment horizontal="right" vertical="center"/>
    </xf>
    <xf numFmtId="0" fontId="22" fillId="5" borderId="9" applyAlignment="1" pivotButton="0" quotePrefix="0" xfId="0">
      <alignment vertical="center"/>
    </xf>
    <xf numFmtId="0" fontId="12" fillId="3" borderId="24" applyAlignment="1" pivotButton="0" quotePrefix="0" xfId="0">
      <alignment vertical="center"/>
    </xf>
    <xf numFmtId="10" fontId="16" fillId="3" borderId="19" applyAlignment="1" pivotButton="0" quotePrefix="0" xfId="0">
      <alignment horizontal="center" vertical="center"/>
    </xf>
    <xf numFmtId="166" fontId="16" fillId="3" borderId="19" applyAlignment="1" pivotButton="0" quotePrefix="0" xfId="0">
      <alignment horizontal="center" vertical="center"/>
    </xf>
    <xf numFmtId="0" fontId="12" fillId="11" borderId="19" applyAlignment="1" pivotButton="0" quotePrefix="0" xfId="0">
      <alignment vertical="center"/>
    </xf>
    <xf numFmtId="168" fontId="3" fillId="11" borderId="19" applyAlignment="1" pivotButton="0" quotePrefix="0" xfId="0">
      <alignment horizontal="right" vertical="center"/>
    </xf>
    <xf numFmtId="0" fontId="11" fillId="11" borderId="19" applyAlignment="1" pivotButton="0" quotePrefix="0" xfId="0">
      <alignment vertical="center"/>
    </xf>
    <xf numFmtId="166" fontId="16" fillId="3" borderId="19" applyAlignment="1" pivotButton="0" quotePrefix="0" xfId="0">
      <alignment horizontal="right" vertical="center"/>
    </xf>
    <xf numFmtId="0" fontId="12" fillId="12" borderId="19" applyAlignment="1" pivotButton="0" quotePrefix="0" xfId="0">
      <alignment vertical="center"/>
    </xf>
    <xf numFmtId="168" fontId="3" fillId="12" borderId="19" applyAlignment="1" pivotButton="0" quotePrefix="0" xfId="0">
      <alignment horizontal="right" vertical="center"/>
    </xf>
    <xf numFmtId="170" fontId="3" fillId="4" borderId="19" applyAlignment="1" pivotButton="0" quotePrefix="0" xfId="0">
      <alignment horizontal="right" vertical="center"/>
    </xf>
    <xf numFmtId="10" fontId="12" fillId="12" borderId="19" applyAlignment="1" pivotButton="0" quotePrefix="0" xfId="0">
      <alignment horizontal="center" vertical="center"/>
    </xf>
    <xf numFmtId="166" fontId="12" fillId="12" borderId="19" applyAlignment="1" pivotButton="0" quotePrefix="0" xfId="0">
      <alignment horizontal="center" vertical="center"/>
    </xf>
    <xf numFmtId="10" fontId="24" fillId="12" borderId="19" applyAlignment="1" pivotButton="0" quotePrefix="0" xfId="0">
      <alignment horizontal="center" vertical="center"/>
    </xf>
    <xf numFmtId="166" fontId="7" fillId="0" borderId="0" pivotButton="0" quotePrefix="0" xfId="0"/>
    <xf numFmtId="168" fontId="11" fillId="3" borderId="19" applyAlignment="1" pivotButton="0" quotePrefix="0" xfId="0">
      <alignment horizontal="right" vertical="center"/>
    </xf>
    <xf numFmtId="10" fontId="24" fillId="13" borderId="19" applyAlignment="1" pivotButton="0" quotePrefix="0" xfId="0">
      <alignment horizontal="center" vertical="center"/>
    </xf>
    <xf numFmtId="0" fontId="25" fillId="6" borderId="17" applyAlignment="1" pivotButton="0" quotePrefix="0" xfId="0">
      <alignment horizontal="center" vertical="center"/>
    </xf>
    <xf numFmtId="0" fontId="12" fillId="4" borderId="19" applyAlignment="1" pivotButton="0" quotePrefix="0" xfId="0">
      <alignment horizontal="center" vertical="center"/>
    </xf>
    <xf numFmtId="171" fontId="16" fillId="3" borderId="19" applyAlignment="1" pivotButton="0" quotePrefix="0" xfId="0">
      <alignment horizontal="center" vertical="center"/>
    </xf>
    <xf numFmtId="172" fontId="26" fillId="5" borderId="9" applyAlignment="1" pivotButton="0" quotePrefix="0" xfId="0">
      <alignment vertical="center"/>
    </xf>
    <xf numFmtId="172" fontId="11" fillId="4" borderId="19" applyAlignment="1" pivotButton="0" quotePrefix="0" xfId="0">
      <alignment horizontal="center" vertical="center"/>
    </xf>
    <xf numFmtId="0" fontId="11" fillId="4" borderId="19" applyAlignment="1" pivotButton="0" quotePrefix="0" xfId="0">
      <alignment horizontal="center"/>
    </xf>
    <xf numFmtId="171" fontId="3" fillId="3" borderId="19" applyAlignment="1" pivotButton="0" quotePrefix="0" xfId="0">
      <alignment horizontal="center"/>
    </xf>
    <xf numFmtId="0" fontId="11" fillId="3" borderId="28" applyAlignment="1" pivotButton="0" quotePrefix="0" xfId="0">
      <alignment vertical="center"/>
    </xf>
    <xf numFmtId="168" fontId="3" fillId="3" borderId="28" applyAlignment="1" pivotButton="0" quotePrefix="0" xfId="0">
      <alignment horizontal="center" vertical="center"/>
    </xf>
    <xf numFmtId="171" fontId="12" fillId="4" borderId="19" applyAlignment="1" pivotButton="0" quotePrefix="0" xfId="0">
      <alignment horizontal="center" vertical="center"/>
    </xf>
    <xf numFmtId="165" fontId="11" fillId="3" borderId="19" applyAlignment="1" pivotButton="0" quotePrefix="0" xfId="0">
      <alignment horizontal="center" vertical="center"/>
    </xf>
    <xf numFmtId="171" fontId="12" fillId="7" borderId="19" applyAlignment="1" pivotButton="0" quotePrefix="0" xfId="0">
      <alignment horizontal="center" vertical="center"/>
    </xf>
    <xf numFmtId="0" fontId="29" fillId="0" borderId="0" pivotButton="0" quotePrefix="0" xfId="0"/>
    <xf numFmtId="0" fontId="9" fillId="0" borderId="0" pivotButton="0" quotePrefix="0" xfId="0"/>
    <xf numFmtId="0" fontId="30" fillId="0" borderId="0" pivotButton="0" quotePrefix="0" xfId="0"/>
    <xf numFmtId="0" fontId="9" fillId="0" borderId="0" applyAlignment="1" pivotButton="0" quotePrefix="0" xfId="0">
      <alignment horizontal="left"/>
    </xf>
    <xf numFmtId="0" fontId="30" fillId="0" borderId="0" applyAlignment="1" pivotButton="0" quotePrefix="0" xfId="0">
      <alignment horizontal="left"/>
    </xf>
    <xf numFmtId="0" fontId="31" fillId="0" borderId="0" pivotButton="0" quotePrefix="0" xfId="0"/>
    <xf numFmtId="0" fontId="30" fillId="0" borderId="0" applyAlignment="1" pivotButton="0" quotePrefix="0" xfId="0">
      <alignment horizontal="right"/>
    </xf>
    <xf numFmtId="0" fontId="7" fillId="0" borderId="0" applyAlignment="1" pivotButton="0" quotePrefix="0" xfId="0">
      <alignment horizontal="right"/>
    </xf>
    <xf numFmtId="0" fontId="32" fillId="0" borderId="0" pivotButton="0" quotePrefix="0" xfId="0"/>
    <xf numFmtId="0" fontId="33" fillId="0" borderId="0" pivotButton="0" quotePrefix="0" xfId="0"/>
    <xf numFmtId="0" fontId="8" fillId="0" borderId="0" applyAlignment="1" pivotButton="0" quotePrefix="0" xfId="0">
      <alignment horizontal="center" vertical="center"/>
    </xf>
    <xf numFmtId="0" fontId="8" fillId="0" borderId="29" applyAlignment="1" pivotButton="0" quotePrefix="0" xfId="0">
      <alignment horizontal="center" vertical="center"/>
    </xf>
    <xf numFmtId="0" fontId="11" fillId="0" borderId="0" applyAlignment="1" pivotButton="0" quotePrefix="0" xfId="0">
      <alignment horizontal="center"/>
    </xf>
    <xf numFmtId="164" fontId="3" fillId="3" borderId="16" applyAlignment="1" pivotButton="0" quotePrefix="0" xfId="0">
      <alignment horizontal="center" vertical="center"/>
    </xf>
    <xf numFmtId="0" fontId="7" fillId="3" borderId="24" pivotButton="0" quotePrefix="0" xfId="0"/>
    <xf numFmtId="170" fontId="34" fillId="3" borderId="17" pivotButton="0" quotePrefix="0" xfId="0"/>
    <xf numFmtId="0" fontId="3" fillId="3" borderId="16" applyAlignment="1" pivotButton="0" quotePrefix="0" xfId="0">
      <alignment horizontal="center" vertical="center"/>
    </xf>
    <xf numFmtId="9" fontId="34" fillId="3" borderId="17" pivotButton="0" quotePrefix="0" xfId="0"/>
    <xf numFmtId="9" fontId="3" fillId="3" borderId="16" applyAlignment="1" pivotButton="0" quotePrefix="0" xfId="0">
      <alignment horizontal="center"/>
    </xf>
    <xf numFmtId="0" fontId="35" fillId="0" borderId="0" pivotButton="0" quotePrefix="0" xfId="0"/>
    <xf numFmtId="0" fontId="36" fillId="0" borderId="0" pivotButton="0" quotePrefix="0" xfId="0"/>
    <xf numFmtId="173" fontId="11" fillId="0" borderId="0" applyAlignment="1" pivotButton="0" quotePrefix="0" xfId="0">
      <alignment horizontal="center"/>
    </xf>
    <xf numFmtId="9" fontId="11" fillId="0" borderId="0" applyAlignment="1" pivotButton="0" quotePrefix="0" xfId="0">
      <alignment horizontal="center"/>
    </xf>
    <xf numFmtId="0" fontId="10" fillId="0" borderId="0" applyAlignment="1" pivotButton="0" quotePrefix="0" xfId="0">
      <alignment horizontal="center"/>
    </xf>
    <xf numFmtId="0" fontId="10" fillId="0" borderId="0" pivotButton="0" quotePrefix="0" xfId="0"/>
    <xf numFmtId="0" fontId="11" fillId="0" borderId="0" applyAlignment="1" pivotButton="0" quotePrefix="0" xfId="0">
      <alignment horizontal="left"/>
    </xf>
    <xf numFmtId="0" fontId="38" fillId="0" borderId="0" applyAlignment="1" pivotButton="0" quotePrefix="0" xfId="0">
      <alignment horizontal="center"/>
    </xf>
    <xf numFmtId="0" fontId="39" fillId="0" borderId="0" applyAlignment="1" pivotButton="0" quotePrefix="0" xfId="0">
      <alignment horizontal="center" wrapText="1"/>
    </xf>
    <xf numFmtId="0" fontId="40" fillId="6" borderId="31" applyAlignment="1" pivotButton="0" quotePrefix="0" xfId="0">
      <alignment horizontal="center" vertical="center"/>
    </xf>
    <xf numFmtId="0" fontId="40" fillId="6" borderId="32" applyAlignment="1" pivotButton="0" quotePrefix="0" xfId="0">
      <alignment horizontal="center" vertical="center"/>
    </xf>
    <xf numFmtId="0" fontId="40" fillId="6" borderId="33" applyAlignment="1" pivotButton="0" quotePrefix="0" xfId="0">
      <alignment horizontal="center" vertical="center"/>
    </xf>
    <xf numFmtId="0" fontId="40" fillId="6" borderId="32" applyAlignment="1" pivotButton="0" quotePrefix="0" xfId="0">
      <alignment horizontal="center" vertical="center" wrapText="1"/>
    </xf>
    <xf numFmtId="0" fontId="40" fillId="6" borderId="34" applyAlignment="1" pivotButton="0" quotePrefix="0" xfId="0">
      <alignment horizontal="center" vertical="center" wrapText="1"/>
    </xf>
    <xf numFmtId="1" fontId="11" fillId="0" borderId="0" applyAlignment="1" pivotButton="0" quotePrefix="0" xfId="0">
      <alignment horizontal="center" wrapText="1"/>
    </xf>
    <xf numFmtId="1" fontId="11" fillId="0" borderId="35" applyAlignment="1" pivotButton="0" quotePrefix="0" xfId="0">
      <alignment horizontal="center" vertical="center" wrapText="1"/>
    </xf>
    <xf numFmtId="1" fontId="3" fillId="0" borderId="36" applyAlignment="1" pivotButton="0" quotePrefix="0" xfId="0">
      <alignment horizontal="center"/>
    </xf>
    <xf numFmtId="1" fontId="32" fillId="0" borderId="36" applyAlignment="1" pivotButton="0" quotePrefix="0" xfId="0">
      <alignment vertical="center" wrapText="1"/>
    </xf>
    <xf numFmtId="49" fontId="3" fillId="0" borderId="36" applyAlignment="1" pivotButton="0" quotePrefix="0" xfId="0">
      <alignment wrapText="1"/>
    </xf>
    <xf numFmtId="9" fontId="6" fillId="0" borderId="36" pivotButton="0" quotePrefix="0" xfId="0"/>
    <xf numFmtId="1" fontId="11" fillId="4" borderId="36" applyAlignment="1" pivotButton="0" quotePrefix="0" xfId="0">
      <alignment horizontal="center"/>
    </xf>
    <xf numFmtId="0" fontId="3" fillId="0" borderId="36" pivotButton="0" quotePrefix="0" xfId="0"/>
    <xf numFmtId="174" fontId="3" fillId="0" borderId="36" applyAlignment="1" pivotButton="0" quotePrefix="0" xfId="0">
      <alignment horizontal="center"/>
    </xf>
    <xf numFmtId="175" fontId="3" fillId="0" borderId="36" applyAlignment="1" pivotButton="0" quotePrefix="0" xfId="0">
      <alignment vertical="center"/>
    </xf>
    <xf numFmtId="176" fontId="3" fillId="0" borderId="36" applyAlignment="1" pivotButton="0" quotePrefix="0" xfId="0">
      <alignment vertical="center"/>
    </xf>
    <xf numFmtId="176" fontId="11" fillId="0" borderId="37" applyAlignment="1" pivotButton="0" quotePrefix="0" xfId="0">
      <alignment vertical="center"/>
    </xf>
    <xf numFmtId="176" fontId="11" fillId="0" borderId="37" applyAlignment="1" pivotButton="0" quotePrefix="0" xfId="0">
      <alignment horizontal="center" vertical="center"/>
    </xf>
    <xf numFmtId="1" fontId="3" fillId="3" borderId="38" applyAlignment="1" pivotButton="0" quotePrefix="0" xfId="0">
      <alignment horizontal="center"/>
    </xf>
    <xf numFmtId="1" fontId="32" fillId="3" borderId="38" applyAlignment="1" pivotButton="0" quotePrefix="0" xfId="0">
      <alignment vertical="center"/>
    </xf>
    <xf numFmtId="0" fontId="3" fillId="3" borderId="38" pivotButton="0" quotePrefix="0" xfId="0"/>
    <xf numFmtId="9" fontId="11" fillId="3" borderId="38" applyAlignment="1" pivotButton="0" quotePrefix="0" xfId="0">
      <alignment horizontal="center" wrapText="1"/>
    </xf>
    <xf numFmtId="1" fontId="11" fillId="4" borderId="38" applyAlignment="1" pivotButton="0" quotePrefix="0" xfId="0">
      <alignment horizontal="center"/>
    </xf>
    <xf numFmtId="174" fontId="3" fillId="3" borderId="38" applyAlignment="1" pivotButton="0" quotePrefix="0" xfId="0">
      <alignment horizontal="center"/>
    </xf>
    <xf numFmtId="175" fontId="3" fillId="3" borderId="38" pivotButton="0" quotePrefix="0" xfId="0"/>
    <xf numFmtId="176" fontId="3" fillId="3" borderId="38" pivotButton="0" quotePrefix="0" xfId="0"/>
    <xf numFmtId="176" fontId="11" fillId="3" borderId="39" pivotButton="0" quotePrefix="0" xfId="0"/>
    <xf numFmtId="1" fontId="3" fillId="3" borderId="41" applyAlignment="1" pivotButton="0" quotePrefix="0" xfId="0">
      <alignment horizontal="center"/>
    </xf>
    <xf numFmtId="1" fontId="32" fillId="3" borderId="41" pivotButton="0" quotePrefix="0" xfId="0"/>
    <xf numFmtId="0" fontId="3" fillId="3" borderId="41" pivotButton="0" quotePrefix="0" xfId="0"/>
    <xf numFmtId="9" fontId="11" fillId="3" borderId="41" applyAlignment="1" pivotButton="0" quotePrefix="0" xfId="0">
      <alignment horizontal="center" wrapText="1"/>
    </xf>
    <xf numFmtId="1" fontId="11" fillId="4" borderId="41" applyAlignment="1" pivotButton="0" quotePrefix="0" xfId="0">
      <alignment horizontal="center"/>
    </xf>
    <xf numFmtId="174" fontId="3" fillId="3" borderId="41" applyAlignment="1" pivotButton="0" quotePrefix="0" xfId="0">
      <alignment horizontal="center"/>
    </xf>
    <xf numFmtId="175" fontId="3" fillId="3" borderId="41" pivotButton="0" quotePrefix="0" xfId="0"/>
    <xf numFmtId="176" fontId="3" fillId="3" borderId="41" pivotButton="0" quotePrefix="0" xfId="0"/>
    <xf numFmtId="176" fontId="11" fillId="3" borderId="42" pivotButton="0" quotePrefix="0" xfId="0"/>
    <xf numFmtId="1" fontId="11" fillId="0" borderId="0" applyAlignment="1" pivotButton="0" quotePrefix="0" xfId="0">
      <alignment horizontal="center"/>
    </xf>
    <xf numFmtId="1" fontId="16" fillId="0" borderId="38" applyAlignment="1" pivotButton="0" quotePrefix="0" xfId="0">
      <alignment horizontal="center"/>
    </xf>
    <xf numFmtId="1" fontId="7" fillId="0" borderId="38" applyAlignment="1" pivotButton="0" quotePrefix="0" xfId="0">
      <alignment vertical="center" wrapText="1"/>
    </xf>
    <xf numFmtId="49" fontId="16" fillId="0" borderId="38" applyAlignment="1" pivotButton="0" quotePrefix="0" xfId="0">
      <alignment wrapText="1"/>
    </xf>
    <xf numFmtId="9" fontId="12" fillId="0" borderId="38" applyAlignment="1" pivotButton="0" quotePrefix="0" xfId="0">
      <alignment horizontal="center" wrapText="1"/>
    </xf>
    <xf numFmtId="1" fontId="12" fillId="4" borderId="38" applyAlignment="1" pivotButton="0" quotePrefix="0" xfId="0">
      <alignment horizontal="center"/>
    </xf>
    <xf numFmtId="0" fontId="16" fillId="0" borderId="38" pivotButton="0" quotePrefix="0" xfId="0"/>
    <xf numFmtId="174" fontId="16" fillId="0" borderId="38" applyAlignment="1" pivotButton="0" quotePrefix="0" xfId="0">
      <alignment horizontal="center"/>
    </xf>
    <xf numFmtId="175" fontId="16" fillId="0" borderId="38" pivotButton="0" quotePrefix="0" xfId="0"/>
    <xf numFmtId="176" fontId="16" fillId="0" borderId="38" pivotButton="0" quotePrefix="0" xfId="0"/>
    <xf numFmtId="176" fontId="12" fillId="0" borderId="39" pivotButton="0" quotePrefix="0" xfId="0"/>
    <xf numFmtId="1" fontId="16" fillId="0" borderId="19" applyAlignment="1" pivotButton="0" quotePrefix="0" xfId="0">
      <alignment horizontal="center"/>
    </xf>
    <xf numFmtId="1" fontId="7" fillId="0" borderId="19" pivotButton="0" quotePrefix="0" xfId="0"/>
    <xf numFmtId="49" fontId="16" fillId="0" borderId="19" applyAlignment="1" pivotButton="0" quotePrefix="0" xfId="0">
      <alignment wrapText="1"/>
    </xf>
    <xf numFmtId="9" fontId="41" fillId="0" borderId="19" pivotButton="0" quotePrefix="0" xfId="0"/>
    <xf numFmtId="1" fontId="12" fillId="4" borderId="19" applyAlignment="1" pivotButton="0" quotePrefix="0" xfId="0">
      <alignment horizontal="center"/>
    </xf>
    <xf numFmtId="0" fontId="16" fillId="0" borderId="19" pivotButton="0" quotePrefix="0" xfId="0"/>
    <xf numFmtId="174" fontId="16" fillId="0" borderId="19" applyAlignment="1" pivotButton="0" quotePrefix="0" xfId="0">
      <alignment horizontal="center"/>
    </xf>
    <xf numFmtId="175" fontId="16" fillId="0" borderId="19" pivotButton="0" quotePrefix="0" xfId="0"/>
    <xf numFmtId="176" fontId="16" fillId="0" borderId="19" pivotButton="0" quotePrefix="0" xfId="0"/>
    <xf numFmtId="176" fontId="12" fillId="0" borderId="45" pivotButton="0" quotePrefix="0" xfId="0"/>
    <xf numFmtId="9" fontId="12" fillId="0" borderId="19" applyAlignment="1" pivotButton="0" quotePrefix="0" xfId="0">
      <alignment horizontal="center" wrapText="1"/>
    </xf>
    <xf numFmtId="1" fontId="16" fillId="0" borderId="20" applyAlignment="1" pivotButton="0" quotePrefix="0" xfId="0">
      <alignment horizontal="center"/>
    </xf>
    <xf numFmtId="49" fontId="16" fillId="0" borderId="20" applyAlignment="1" pivotButton="0" quotePrefix="0" xfId="0">
      <alignment wrapText="1"/>
    </xf>
    <xf numFmtId="9" fontId="12" fillId="0" borderId="20" applyAlignment="1" pivotButton="0" quotePrefix="0" xfId="0">
      <alignment horizontal="center" wrapText="1"/>
    </xf>
    <xf numFmtId="1" fontId="12" fillId="4" borderId="28" applyAlignment="1" pivotButton="0" quotePrefix="0" xfId="0">
      <alignment horizontal="center"/>
    </xf>
    <xf numFmtId="0" fontId="16" fillId="0" borderId="20" pivotButton="0" quotePrefix="0" xfId="0"/>
    <xf numFmtId="174" fontId="16" fillId="0" borderId="20" applyAlignment="1" pivotButton="0" quotePrefix="0" xfId="0">
      <alignment horizontal="center"/>
    </xf>
    <xf numFmtId="1" fontId="16" fillId="0" borderId="41" applyAlignment="1" pivotButton="0" quotePrefix="0" xfId="0">
      <alignment horizontal="center"/>
    </xf>
    <xf numFmtId="1" fontId="7" fillId="0" borderId="41" pivotButton="0" quotePrefix="0" xfId="0"/>
    <xf numFmtId="49" fontId="16" fillId="0" borderId="41" applyAlignment="1" pivotButton="0" quotePrefix="0" xfId="0">
      <alignment wrapText="1"/>
    </xf>
    <xf numFmtId="9" fontId="12" fillId="0" borderId="41" applyAlignment="1" pivotButton="0" quotePrefix="0" xfId="0">
      <alignment horizontal="center" wrapText="1"/>
    </xf>
    <xf numFmtId="1" fontId="12" fillId="4" borderId="41" applyAlignment="1" pivotButton="0" quotePrefix="0" xfId="0">
      <alignment horizontal="center"/>
    </xf>
    <xf numFmtId="0" fontId="16" fillId="0" borderId="41" pivotButton="0" quotePrefix="0" xfId="0"/>
    <xf numFmtId="174" fontId="16" fillId="0" borderId="41" applyAlignment="1" pivotButton="0" quotePrefix="0" xfId="0">
      <alignment horizontal="center"/>
    </xf>
    <xf numFmtId="175" fontId="16" fillId="0" borderId="41" pivotButton="0" quotePrefix="0" xfId="0"/>
    <xf numFmtId="176" fontId="16" fillId="0" borderId="41" pivotButton="0" quotePrefix="0" xfId="0"/>
    <xf numFmtId="176" fontId="12" fillId="0" borderId="42" pivotButton="0" quotePrefix="0" xfId="0"/>
    <xf numFmtId="1" fontId="16" fillId="3" borderId="38" applyAlignment="1" pivotButton="0" quotePrefix="0" xfId="0">
      <alignment horizontal="center"/>
    </xf>
    <xf numFmtId="1" fontId="7" fillId="3" borderId="38" pivotButton="0" quotePrefix="0" xfId="0"/>
    <xf numFmtId="49" fontId="16" fillId="3" borderId="38" applyAlignment="1" pivotButton="0" quotePrefix="0" xfId="0">
      <alignment wrapText="1"/>
    </xf>
    <xf numFmtId="9" fontId="12" fillId="3" borderId="38" applyAlignment="1" pivotButton="0" quotePrefix="0" xfId="0">
      <alignment horizontal="center" wrapText="1"/>
    </xf>
    <xf numFmtId="0" fontId="16" fillId="3" borderId="38" pivotButton="0" quotePrefix="0" xfId="0"/>
    <xf numFmtId="174" fontId="16" fillId="3" borderId="38" applyAlignment="1" pivotButton="0" quotePrefix="0" xfId="0">
      <alignment horizontal="center"/>
    </xf>
    <xf numFmtId="175" fontId="16" fillId="3" borderId="38" pivotButton="0" quotePrefix="0" xfId="0"/>
    <xf numFmtId="176" fontId="16" fillId="3" borderId="38" pivotButton="0" quotePrefix="0" xfId="0"/>
    <xf numFmtId="176" fontId="12" fillId="3" borderId="39" pivotButton="0" quotePrefix="0" xfId="0"/>
    <xf numFmtId="1" fontId="16" fillId="3" borderId="47" applyAlignment="1" pivotButton="0" quotePrefix="0" xfId="0">
      <alignment horizontal="center"/>
    </xf>
    <xf numFmtId="1" fontId="7" fillId="3" borderId="19" pivotButton="0" quotePrefix="0" xfId="0"/>
    <xf numFmtId="49" fontId="16" fillId="3" borderId="47" applyAlignment="1" pivotButton="0" quotePrefix="0" xfId="0">
      <alignment wrapText="1"/>
    </xf>
    <xf numFmtId="9" fontId="12" fillId="3" borderId="47" applyAlignment="1" pivotButton="0" quotePrefix="0" xfId="0">
      <alignment horizontal="center" wrapText="1"/>
    </xf>
    <xf numFmtId="1" fontId="12" fillId="4" borderId="47" applyAlignment="1" pivotButton="0" quotePrefix="0" xfId="0">
      <alignment horizontal="center"/>
    </xf>
    <xf numFmtId="0" fontId="16" fillId="3" borderId="19" pivotButton="0" quotePrefix="0" xfId="0"/>
    <xf numFmtId="174" fontId="16" fillId="3" borderId="19" applyAlignment="1" pivotButton="0" quotePrefix="0" xfId="0">
      <alignment horizontal="center"/>
    </xf>
    <xf numFmtId="175" fontId="16" fillId="3" borderId="19" pivotButton="0" quotePrefix="0" xfId="0"/>
    <xf numFmtId="176" fontId="16" fillId="3" borderId="19" pivotButton="0" quotePrefix="0" xfId="0"/>
    <xf numFmtId="176" fontId="12" fillId="3" borderId="45" pivotButton="0" quotePrefix="0" xfId="0"/>
    <xf numFmtId="1" fontId="16" fillId="3" borderId="19" applyAlignment="1" pivotButton="0" quotePrefix="0" xfId="0">
      <alignment horizontal="center"/>
    </xf>
    <xf numFmtId="49" fontId="16" fillId="3" borderId="19" applyAlignment="1" pivotButton="0" quotePrefix="0" xfId="0">
      <alignment wrapText="1"/>
    </xf>
    <xf numFmtId="9" fontId="12" fillId="3" borderId="19" applyAlignment="1" pivotButton="0" quotePrefix="0" xfId="0">
      <alignment horizontal="center" wrapText="1"/>
    </xf>
    <xf numFmtId="1" fontId="7" fillId="3" borderId="19" applyAlignment="1" pivotButton="0" quotePrefix="0" xfId="0">
      <alignment vertical="center" wrapText="1"/>
    </xf>
    <xf numFmtId="1" fontId="16" fillId="3" borderId="41" applyAlignment="1" pivotButton="0" quotePrefix="0" xfId="0">
      <alignment horizontal="center"/>
    </xf>
    <xf numFmtId="1" fontId="7" fillId="3" borderId="41" pivotButton="0" quotePrefix="0" xfId="0"/>
    <xf numFmtId="49" fontId="16" fillId="3" borderId="41" applyAlignment="1" pivotButton="0" quotePrefix="0" xfId="0">
      <alignment wrapText="1"/>
    </xf>
    <xf numFmtId="9" fontId="12" fillId="3" borderId="41" applyAlignment="1" pivotButton="0" quotePrefix="0" xfId="0">
      <alignment horizontal="center" wrapText="1"/>
    </xf>
    <xf numFmtId="0" fontId="16" fillId="3" borderId="41" pivotButton="0" quotePrefix="0" xfId="0"/>
    <xf numFmtId="174" fontId="16" fillId="3" borderId="41" applyAlignment="1" pivotButton="0" quotePrefix="0" xfId="0">
      <alignment horizontal="center"/>
    </xf>
    <xf numFmtId="175" fontId="16" fillId="3" borderId="41" pivotButton="0" quotePrefix="0" xfId="0"/>
    <xf numFmtId="176" fontId="16" fillId="3" borderId="41" pivotButton="0" quotePrefix="0" xfId="0"/>
    <xf numFmtId="176" fontId="12" fillId="3" borderId="42" pivotButton="0" quotePrefix="0" xfId="0"/>
    <xf numFmtId="1" fontId="16" fillId="0" borderId="22" applyAlignment="1" pivotButton="0" quotePrefix="0" xfId="0">
      <alignment horizontal="center"/>
    </xf>
    <xf numFmtId="1" fontId="7" fillId="0" borderId="22" pivotButton="0" quotePrefix="0" xfId="0"/>
    <xf numFmtId="0" fontId="16" fillId="0" borderId="22" pivotButton="0" quotePrefix="0" xfId="0"/>
    <xf numFmtId="9" fontId="12" fillId="0" borderId="22" applyAlignment="1" pivotButton="0" quotePrefix="0" xfId="0">
      <alignment horizontal="center" wrapText="1"/>
    </xf>
    <xf numFmtId="174" fontId="16" fillId="0" borderId="22" applyAlignment="1" pivotButton="0" quotePrefix="0" xfId="0">
      <alignment horizontal="center"/>
    </xf>
    <xf numFmtId="175" fontId="16" fillId="0" borderId="22" pivotButton="0" quotePrefix="0" xfId="0"/>
    <xf numFmtId="176" fontId="16" fillId="0" borderId="22" pivotButton="0" quotePrefix="0" xfId="0"/>
    <xf numFmtId="176" fontId="12" fillId="0" borderId="48" pivotButton="0" quotePrefix="0" xfId="0"/>
    <xf numFmtId="49" fontId="16" fillId="0" borderId="19" pivotButton="0" quotePrefix="0" xfId="0"/>
    <xf numFmtId="1" fontId="7" fillId="0" borderId="20" pivotButton="0" quotePrefix="0" xfId="0"/>
    <xf numFmtId="175" fontId="16" fillId="0" borderId="20" pivotButton="0" quotePrefix="0" xfId="0"/>
    <xf numFmtId="176" fontId="16" fillId="0" borderId="20" pivotButton="0" quotePrefix="0" xfId="0"/>
    <xf numFmtId="176" fontId="12" fillId="0" borderId="50" pivotButton="0" quotePrefix="0" xfId="0"/>
    <xf numFmtId="49" fontId="16" fillId="3" borderId="38" pivotButton="0" quotePrefix="0" xfId="0"/>
    <xf numFmtId="49" fontId="16" fillId="0" borderId="22" applyAlignment="1" pivotButton="0" quotePrefix="0" xfId="0">
      <alignment wrapText="1"/>
    </xf>
    <xf numFmtId="1" fontId="7" fillId="0" borderId="19" applyAlignment="1" pivotButton="0" quotePrefix="0" xfId="0">
      <alignment vertical="center" wrapText="1"/>
    </xf>
    <xf numFmtId="1" fontId="32" fillId="3" borderId="38" pivotButton="0" quotePrefix="0" xfId="0"/>
    <xf numFmtId="49" fontId="3" fillId="3" borderId="38" applyAlignment="1" pivotButton="0" quotePrefix="0" xfId="0">
      <alignment wrapText="1"/>
    </xf>
    <xf numFmtId="1" fontId="3" fillId="3" borderId="19" applyAlignment="1" pivotButton="0" quotePrefix="0" xfId="0">
      <alignment horizontal="center"/>
    </xf>
    <xf numFmtId="1" fontId="32" fillId="3" borderId="19" applyAlignment="1" pivotButton="0" quotePrefix="0" xfId="0">
      <alignment vertical="center" wrapText="1"/>
    </xf>
    <xf numFmtId="49" fontId="3" fillId="3" borderId="19" applyAlignment="1" pivotButton="0" quotePrefix="0" xfId="0">
      <alignment wrapText="1"/>
    </xf>
    <xf numFmtId="9" fontId="11" fillId="3" borderId="19" applyAlignment="1" pivotButton="0" quotePrefix="0" xfId="0">
      <alignment horizontal="center" wrapText="1"/>
    </xf>
    <xf numFmtId="1" fontId="11" fillId="4" borderId="19" applyAlignment="1" pivotButton="0" quotePrefix="0" xfId="0">
      <alignment horizontal="center"/>
    </xf>
    <xf numFmtId="0" fontId="3" fillId="3" borderId="19" pivotButton="0" quotePrefix="0" xfId="0"/>
    <xf numFmtId="174" fontId="3" fillId="3" borderId="19" applyAlignment="1" pivotButton="0" quotePrefix="0" xfId="0">
      <alignment horizontal="center"/>
    </xf>
    <xf numFmtId="175" fontId="3" fillId="3" borderId="19" pivotButton="0" quotePrefix="0" xfId="0"/>
    <xf numFmtId="176" fontId="3" fillId="3" borderId="19" pivotButton="0" quotePrefix="0" xfId="0"/>
    <xf numFmtId="176" fontId="11" fillId="3" borderId="45" pivotButton="0" quotePrefix="0" xfId="0"/>
    <xf numFmtId="1" fontId="32" fillId="3" borderId="19" pivotButton="0" quotePrefix="0" xfId="0"/>
    <xf numFmtId="49" fontId="3" fillId="3" borderId="41" applyAlignment="1" pivotButton="0" quotePrefix="0" xfId="0">
      <alignment wrapText="1"/>
    </xf>
    <xf numFmtId="176" fontId="11" fillId="0" borderId="46" applyAlignment="1" pivotButton="0" quotePrefix="0" xfId="0">
      <alignment horizontal="center" vertical="center"/>
    </xf>
    <xf numFmtId="9" fontId="16" fillId="0" borderId="19" applyAlignment="1" pivotButton="0" quotePrefix="0" xfId="0">
      <alignment horizontal="right" wrapText="1"/>
    </xf>
    <xf numFmtId="49" fontId="16" fillId="3" borderId="19" pivotButton="0" quotePrefix="0" xfId="0"/>
    <xf numFmtId="1" fontId="32" fillId="0" borderId="0" pivotButton="0" quotePrefix="0" xfId="0"/>
    <xf numFmtId="1" fontId="11" fillId="0" borderId="44" applyAlignment="1" pivotButton="0" quotePrefix="0" xfId="0">
      <alignment horizontal="center" vertical="center" wrapText="1"/>
    </xf>
    <xf numFmtId="1" fontId="3" fillId="0" borderId="22" applyAlignment="1" pivotButton="0" quotePrefix="0" xfId="0">
      <alignment horizontal="center"/>
    </xf>
    <xf numFmtId="1" fontId="32" fillId="0" borderId="22" pivotButton="0" quotePrefix="0" xfId="0"/>
    <xf numFmtId="49" fontId="3" fillId="0" borderId="22" applyAlignment="1" pivotButton="0" quotePrefix="0" xfId="0">
      <alignment wrapText="1"/>
    </xf>
    <xf numFmtId="9" fontId="11" fillId="0" borderId="22" applyAlignment="1" pivotButton="0" quotePrefix="0" xfId="0">
      <alignment horizontal="center" wrapText="1"/>
    </xf>
    <xf numFmtId="1" fontId="11" fillId="4" borderId="47" applyAlignment="1" pivotButton="0" quotePrefix="0" xfId="0">
      <alignment horizontal="center"/>
    </xf>
    <xf numFmtId="0" fontId="3" fillId="0" borderId="22" pivotButton="0" quotePrefix="0" xfId="0"/>
    <xf numFmtId="174" fontId="3" fillId="0" borderId="22" applyAlignment="1" pivotButton="0" quotePrefix="0" xfId="0">
      <alignment horizontal="center"/>
    </xf>
    <xf numFmtId="175" fontId="3" fillId="0" borderId="22" pivotButton="0" quotePrefix="0" xfId="0"/>
    <xf numFmtId="176" fontId="3" fillId="0" borderId="22" pivotButton="0" quotePrefix="0" xfId="0"/>
    <xf numFmtId="176" fontId="11" fillId="0" borderId="48" pivotButton="0" quotePrefix="0" xfId="0"/>
    <xf numFmtId="1" fontId="3" fillId="0" borderId="19" applyAlignment="1" pivotButton="0" quotePrefix="0" xfId="0">
      <alignment horizontal="center"/>
    </xf>
    <xf numFmtId="1" fontId="32" fillId="0" borderId="19" pivotButton="0" quotePrefix="0" xfId="0"/>
    <xf numFmtId="49" fontId="3" fillId="0" borderId="19" applyAlignment="1" pivotButton="0" quotePrefix="0" xfId="0">
      <alignment wrapText="1"/>
    </xf>
    <xf numFmtId="9" fontId="11" fillId="0" borderId="19" applyAlignment="1" pivotButton="0" quotePrefix="0" xfId="0">
      <alignment horizontal="center" wrapText="1"/>
    </xf>
    <xf numFmtId="0" fontId="3" fillId="0" borderId="19" pivotButton="0" quotePrefix="0" xfId="0"/>
    <xf numFmtId="174" fontId="3" fillId="0" borderId="19" applyAlignment="1" pivotButton="0" quotePrefix="0" xfId="0">
      <alignment horizontal="center"/>
    </xf>
    <xf numFmtId="175" fontId="3" fillId="0" borderId="19" pivotButton="0" quotePrefix="0" xfId="0"/>
    <xf numFmtId="176" fontId="3" fillId="0" borderId="19" pivotButton="0" quotePrefix="0" xfId="0"/>
    <xf numFmtId="176" fontId="11" fillId="0" borderId="45" pivotButton="0" quotePrefix="0" xfId="0"/>
    <xf numFmtId="1" fontId="32" fillId="0" borderId="19" applyAlignment="1" pivotButton="0" quotePrefix="0" xfId="0">
      <alignment vertical="center" wrapText="1"/>
    </xf>
    <xf numFmtId="175" fontId="3" fillId="0" borderId="19" applyAlignment="1" pivotButton="0" quotePrefix="0" xfId="0">
      <alignment vertical="center"/>
    </xf>
    <xf numFmtId="176" fontId="3" fillId="0" borderId="19" applyAlignment="1" pivotButton="0" quotePrefix="0" xfId="0">
      <alignment vertical="center"/>
    </xf>
    <xf numFmtId="176" fontId="11" fillId="0" borderId="45" applyAlignment="1" pivotButton="0" quotePrefix="0" xfId="0">
      <alignment vertical="center"/>
    </xf>
    <xf numFmtId="1" fontId="11" fillId="0" borderId="0" applyAlignment="1" pivotButton="0" quotePrefix="0" xfId="0">
      <alignment wrapText="1"/>
    </xf>
    <xf numFmtId="49" fontId="37" fillId="0" borderId="0" applyAlignment="1" pivotButton="0" quotePrefix="0" xfId="0">
      <alignment vertical="center" wrapText="1"/>
    </xf>
    <xf numFmtId="49" fontId="3" fillId="0" borderId="19" pivotButton="0" quotePrefix="0" xfId="0"/>
    <xf numFmtId="0" fontId="42" fillId="0" borderId="0" applyAlignment="1" pivotButton="0" quotePrefix="0" xfId="0">
      <alignment vertical="center"/>
    </xf>
    <xf numFmtId="1" fontId="3" fillId="0" borderId="20" applyAlignment="1" pivotButton="0" quotePrefix="0" xfId="0">
      <alignment horizontal="center"/>
    </xf>
    <xf numFmtId="1" fontId="32" fillId="0" borderId="20" pivotButton="0" quotePrefix="0" xfId="0"/>
    <xf numFmtId="49" fontId="3" fillId="0" borderId="20" applyAlignment="1" pivotButton="0" quotePrefix="0" xfId="0">
      <alignment wrapText="1"/>
    </xf>
    <xf numFmtId="9" fontId="11" fillId="0" borderId="20" applyAlignment="1" pivotButton="0" quotePrefix="0" xfId="0">
      <alignment horizontal="center" wrapText="1"/>
    </xf>
    <xf numFmtId="1" fontId="11" fillId="4" borderId="28" applyAlignment="1" pivotButton="0" quotePrefix="0" xfId="0">
      <alignment horizontal="center"/>
    </xf>
    <xf numFmtId="0" fontId="3" fillId="0" borderId="20" pivotButton="0" quotePrefix="0" xfId="0"/>
    <xf numFmtId="174" fontId="3" fillId="0" borderId="20" applyAlignment="1" pivotButton="0" quotePrefix="0" xfId="0">
      <alignment horizontal="center"/>
    </xf>
    <xf numFmtId="175" fontId="3" fillId="0" borderId="20" pivotButton="0" quotePrefix="0" xfId="0"/>
    <xf numFmtId="176" fontId="3" fillId="0" borderId="20" pivotButton="0" quotePrefix="0" xfId="0"/>
    <xf numFmtId="176" fontId="11" fillId="0" borderId="50" pivotButton="0" quotePrefix="0" xfId="0"/>
    <xf numFmtId="9" fontId="6" fillId="3" borderId="19" pivotButton="0" quotePrefix="0" xfId="0"/>
    <xf numFmtId="9" fontId="6" fillId="3" borderId="41" pivotButton="0" quotePrefix="0" xfId="0"/>
    <xf numFmtId="1" fontId="3" fillId="0" borderId="27" applyAlignment="1" pivotButton="0" quotePrefix="0" xfId="0">
      <alignment horizontal="center"/>
    </xf>
    <xf numFmtId="1" fontId="32" fillId="0" borderId="27" pivotButton="0" quotePrefix="0" xfId="0"/>
    <xf numFmtId="49" fontId="3" fillId="0" borderId="27" applyAlignment="1" pivotButton="0" quotePrefix="0" xfId="0">
      <alignment wrapText="1"/>
    </xf>
    <xf numFmtId="9" fontId="11" fillId="0" borderId="27" applyAlignment="1" pivotButton="0" quotePrefix="0" xfId="0">
      <alignment horizontal="center" wrapText="1"/>
    </xf>
    <xf numFmtId="1" fontId="11" fillId="4" borderId="51" applyAlignment="1" pivotButton="0" quotePrefix="0" xfId="0">
      <alignment horizontal="center"/>
    </xf>
    <xf numFmtId="0" fontId="3" fillId="0" borderId="27" pivotButton="0" quotePrefix="0" xfId="0"/>
    <xf numFmtId="174" fontId="3" fillId="0" borderId="27" applyAlignment="1" pivotButton="0" quotePrefix="0" xfId="0">
      <alignment horizontal="center"/>
    </xf>
    <xf numFmtId="175" fontId="3" fillId="0" borderId="27" pivotButton="0" quotePrefix="0" xfId="0"/>
    <xf numFmtId="176" fontId="3" fillId="0" borderId="27" pivotButton="0" quotePrefix="0" xfId="0"/>
    <xf numFmtId="176" fontId="11" fillId="0" borderId="46" pivotButton="0" quotePrefix="0" xfId="0"/>
    <xf numFmtId="1" fontId="11" fillId="3" borderId="35" applyAlignment="1" pivotButton="0" quotePrefix="0" xfId="0">
      <alignment horizontal="center" vertical="center" wrapText="1"/>
    </xf>
    <xf numFmtId="1" fontId="3" fillId="3" borderId="36" applyAlignment="1" pivotButton="0" quotePrefix="0" xfId="0">
      <alignment horizontal="center"/>
    </xf>
    <xf numFmtId="1" fontId="32" fillId="3" borderId="36" pivotButton="0" quotePrefix="0" xfId="0"/>
    <xf numFmtId="49" fontId="3" fillId="3" borderId="36" applyAlignment="1" pivotButton="0" quotePrefix="0" xfId="0">
      <alignment wrapText="1"/>
    </xf>
    <xf numFmtId="9" fontId="6" fillId="3" borderId="36" pivotButton="0" quotePrefix="0" xfId="0"/>
    <xf numFmtId="0" fontId="3" fillId="3" borderId="36" pivotButton="0" quotePrefix="0" xfId="0"/>
    <xf numFmtId="174" fontId="3" fillId="3" borderId="36" applyAlignment="1" pivotButton="0" quotePrefix="0" xfId="0">
      <alignment horizontal="center"/>
    </xf>
    <xf numFmtId="175" fontId="3" fillId="3" borderId="36" pivotButton="0" quotePrefix="0" xfId="0"/>
    <xf numFmtId="176" fontId="3" fillId="3" borderId="36" pivotButton="0" quotePrefix="0" xfId="0"/>
    <xf numFmtId="176" fontId="11" fillId="3" borderId="37" pivotButton="0" quotePrefix="0" xfId="0"/>
    <xf numFmtId="176" fontId="11" fillId="3" borderId="37" applyAlignment="1" pivotButton="0" quotePrefix="0" xfId="0">
      <alignment horizontal="center" vertical="center"/>
    </xf>
    <xf numFmtId="1" fontId="3" fillId="0" borderId="41" applyAlignment="1" pivotButton="0" quotePrefix="0" xfId="0">
      <alignment horizontal="center"/>
    </xf>
    <xf numFmtId="1" fontId="32" fillId="0" borderId="41" pivotButton="0" quotePrefix="0" xfId="0"/>
    <xf numFmtId="49" fontId="3" fillId="0" borderId="41" applyAlignment="1" pivotButton="0" quotePrefix="0" xfId="0">
      <alignment wrapText="1"/>
    </xf>
    <xf numFmtId="9" fontId="11" fillId="0" borderId="41" applyAlignment="1" pivotButton="0" quotePrefix="0" xfId="0">
      <alignment horizontal="center" wrapText="1"/>
    </xf>
    <xf numFmtId="0" fontId="3" fillId="0" borderId="41" pivotButton="0" quotePrefix="0" xfId="0"/>
    <xf numFmtId="174" fontId="3" fillId="0" borderId="41" applyAlignment="1" pivotButton="0" quotePrefix="0" xfId="0">
      <alignment horizontal="center"/>
    </xf>
    <xf numFmtId="175" fontId="3" fillId="0" borderId="41" pivotButton="0" quotePrefix="0" xfId="0"/>
    <xf numFmtId="176" fontId="3" fillId="0" borderId="41" pivotButton="0" quotePrefix="0" xfId="0"/>
    <xf numFmtId="176" fontId="11" fillId="0" borderId="42" pivotButton="0" quotePrefix="0" xfId="0"/>
    <xf numFmtId="4" fontId="3" fillId="11" borderId="52" applyAlignment="1" pivotButton="0" quotePrefix="0" xfId="0">
      <alignment horizontal="center"/>
    </xf>
    <xf numFmtId="170" fontId="3" fillId="11" borderId="52" applyAlignment="1" pivotButton="0" quotePrefix="0" xfId="0">
      <alignment horizontal="center"/>
    </xf>
    <xf numFmtId="170" fontId="11" fillId="11" borderId="53" applyAlignment="1" pivotButton="0" quotePrefix="0" xfId="0">
      <alignment horizontal="right"/>
    </xf>
    <xf numFmtId="0" fontId="37" fillId="0" borderId="0" pivotButton="0" quotePrefix="0" xfId="0"/>
    <xf numFmtId="177" fontId="43" fillId="0" borderId="0" pivotButton="0" quotePrefix="0" xfId="0"/>
    <xf numFmtId="0" fontId="24" fillId="13" borderId="11" applyAlignment="1" pivotButton="0" quotePrefix="0" xfId="0">
      <alignment horizontal="left"/>
    </xf>
    <xf numFmtId="0" fontId="24" fillId="13" borderId="9" applyAlignment="1" pivotButton="0" quotePrefix="0" xfId="0">
      <alignment horizontal="left"/>
    </xf>
    <xf numFmtId="170" fontId="24" fillId="4" borderId="12" applyAlignment="1" pivotButton="0" quotePrefix="0" xfId="0">
      <alignment horizontal="right"/>
    </xf>
    <xf numFmtId="0" fontId="24" fillId="12" borderId="19" applyAlignment="1" pivotButton="0" quotePrefix="0" xfId="0">
      <alignment horizontal="center"/>
    </xf>
    <xf numFmtId="9" fontId="24" fillId="13" borderId="9" applyAlignment="1" pivotButton="0" quotePrefix="0" xfId="0">
      <alignment horizontal="right"/>
    </xf>
    <xf numFmtId="170" fontId="24" fillId="13" borderId="12" applyAlignment="1" pivotButton="0" quotePrefix="0" xfId="0">
      <alignment horizontal="right"/>
    </xf>
    <xf numFmtId="0" fontId="6" fillId="5" borderId="9" pivotButton="0" quotePrefix="0" xfId="0"/>
    <xf numFmtId="0" fontId="6" fillId="5" borderId="14" pivotButton="0" quotePrefix="0" xfId="0"/>
    <xf numFmtId="0" fontId="24" fillId="5" borderId="14" pivotButton="0" quotePrefix="0" xfId="0"/>
    <xf numFmtId="0" fontId="24" fillId="9" borderId="19" applyAlignment="1" pivotButton="0" quotePrefix="0" xfId="0">
      <alignment horizontal="center"/>
    </xf>
    <xf numFmtId="0" fontId="24" fillId="12" borderId="13" applyAlignment="1" pivotButton="0" quotePrefix="0" xfId="0">
      <alignment horizontal="left"/>
    </xf>
    <xf numFmtId="0" fontId="24" fillId="12" borderId="14" applyAlignment="1" pivotButton="0" quotePrefix="0" xfId="0">
      <alignment horizontal="left"/>
    </xf>
    <xf numFmtId="9" fontId="24" fillId="4" borderId="15" applyAlignment="1" pivotButton="0" quotePrefix="0" xfId="0">
      <alignment horizontal="center"/>
    </xf>
    <xf numFmtId="0" fontId="24" fillId="13" borderId="13" applyAlignment="1" pivotButton="0" quotePrefix="0" xfId="0">
      <alignment horizontal="left"/>
    </xf>
    <xf numFmtId="0" fontId="24" fillId="13" borderId="14" applyAlignment="1" pivotButton="0" quotePrefix="0" xfId="0">
      <alignment horizontal="left"/>
    </xf>
    <xf numFmtId="170" fontId="24" fillId="13" borderId="15" applyAlignment="1" pivotButton="0" quotePrefix="0" xfId="0">
      <alignment horizontal="right"/>
    </xf>
    <xf numFmtId="0" fontId="24" fillId="2" borderId="19" pivotButton="0" quotePrefix="0" xfId="0"/>
    <xf numFmtId="0" fontId="24" fillId="9" borderId="19" pivotButton="0" quotePrefix="0" xfId="0"/>
    <xf numFmtId="0" fontId="24" fillId="12" borderId="47" pivotButton="0" quotePrefix="0" xfId="0"/>
    <xf numFmtId="0" fontId="24" fillId="13" borderId="47" pivotButton="0" quotePrefix="0" xfId="0"/>
    <xf numFmtId="0" fontId="24" fillId="4" borderId="19" applyAlignment="1" pivotButton="0" quotePrefix="0" xfId="0">
      <alignment horizontal="right"/>
    </xf>
    <xf numFmtId="0" fontId="24" fillId="4" borderId="19" applyAlignment="1" pivotButton="0" quotePrefix="0" xfId="0">
      <alignment horizontal="center"/>
    </xf>
    <xf numFmtId="0" fontId="24" fillId="4" borderId="19" pivotButton="0" quotePrefix="0" xfId="0"/>
    <xf numFmtId="2" fontId="24" fillId="4" borderId="19" pivotButton="0" quotePrefix="0" xfId="0"/>
    <xf numFmtId="166" fontId="24" fillId="4" borderId="19" pivotButton="0" quotePrefix="0" xfId="0"/>
    <xf numFmtId="178" fontId="24" fillId="4" borderId="19" applyAlignment="1" pivotButton="0" quotePrefix="0" xfId="0">
      <alignment horizontal="right"/>
    </xf>
    <xf numFmtId="178" fontId="24" fillId="4" borderId="19" pivotButton="0" quotePrefix="0" xfId="0"/>
    <xf numFmtId="166" fontId="24" fillId="4" borderId="19" applyAlignment="1" pivotButton="0" quotePrefix="0" xfId="0">
      <alignment horizontal="right"/>
    </xf>
    <xf numFmtId="170" fontId="6" fillId="3" borderId="19" applyAlignment="1" pivotButton="0" quotePrefix="0" xfId="0">
      <alignment horizontal="right"/>
    </xf>
    <xf numFmtId="166" fontId="24" fillId="3" borderId="19" applyAlignment="1" pivotButton="0" quotePrefix="0" xfId="0">
      <alignment horizontal="right"/>
    </xf>
    <xf numFmtId="2" fontId="24" fillId="4" borderId="19" applyAlignment="1" pivotButton="0" quotePrefix="0" xfId="0">
      <alignment horizontal="right"/>
    </xf>
    <xf numFmtId="2" fontId="24" fillId="2" borderId="19" applyAlignment="1" pivotButton="0" quotePrefix="0" xfId="0">
      <alignment horizontal="right"/>
    </xf>
    <xf numFmtId="170" fontId="24" fillId="9" borderId="19" applyAlignment="1" pivotButton="0" quotePrefix="0" xfId="0">
      <alignment horizontal="right"/>
    </xf>
    <xf numFmtId="170" fontId="24" fillId="9" borderId="19" pivotButton="0" quotePrefix="0" xfId="0"/>
    <xf numFmtId="170" fontId="24" fillId="12" borderId="19" applyAlignment="1" pivotButton="0" quotePrefix="0" xfId="0">
      <alignment horizontal="right"/>
    </xf>
    <xf numFmtId="170" fontId="24" fillId="12" borderId="19" pivotButton="0" quotePrefix="0" xfId="0"/>
    <xf numFmtId="0" fontId="24" fillId="12" borderId="19" pivotButton="0" quotePrefix="0" xfId="0"/>
    <xf numFmtId="170" fontId="24" fillId="13" borderId="19" applyAlignment="1" pivotButton="0" quotePrefix="0" xfId="0">
      <alignment horizontal="right"/>
    </xf>
    <xf numFmtId="170" fontId="24" fillId="13" borderId="19" pivotButton="0" quotePrefix="0" xfId="0"/>
    <xf numFmtId="166" fontId="24" fillId="2" borderId="19" pivotButton="0" quotePrefix="0" xfId="0"/>
    <xf numFmtId="170" fontId="24" fillId="2" borderId="19" pivotButton="0" quotePrefix="0" xfId="0"/>
    <xf numFmtId="2" fontId="6" fillId="5" borderId="9" applyAlignment="1" pivotButton="0" quotePrefix="0" xfId="0">
      <alignment horizontal="right"/>
    </xf>
    <xf numFmtId="0" fontId="45" fillId="0" borderId="0" applyAlignment="1" pivotButton="0" quotePrefix="0" xfId="0">
      <alignment horizontal="center"/>
    </xf>
    <xf numFmtId="0" fontId="24" fillId="2" borderId="19" applyAlignment="1" pivotButton="0" quotePrefix="0" xfId="0">
      <alignment horizontal="right"/>
    </xf>
    <xf numFmtId="166" fontId="24" fillId="9" borderId="19" applyAlignment="1" pivotButton="0" quotePrefix="0" xfId="0">
      <alignment horizontal="right"/>
    </xf>
    <xf numFmtId="166" fontId="24" fillId="12" borderId="19" applyAlignment="1" pivotButton="0" quotePrefix="0" xfId="0">
      <alignment horizontal="right"/>
    </xf>
    <xf numFmtId="166" fontId="24" fillId="13" borderId="19" applyAlignment="1" pivotButton="0" quotePrefix="0" xfId="0">
      <alignment horizontal="right"/>
    </xf>
    <xf numFmtId="0" fontId="24" fillId="2" borderId="19" applyAlignment="1" pivotButton="0" quotePrefix="0" xfId="0">
      <alignment horizontal="center" vertical="center" wrapText="1"/>
    </xf>
    <xf numFmtId="10" fontId="24" fillId="9" borderId="17" applyAlignment="1" pivotButton="0" quotePrefix="0" xfId="0">
      <alignment horizontal="center" vertical="center"/>
    </xf>
    <xf numFmtId="0" fontId="24" fillId="5" borderId="9" pivotButton="0" quotePrefix="0" xfId="0"/>
    <xf numFmtId="166" fontId="20" fillId="5" borderId="9" applyAlignment="1" pivotButton="0" quotePrefix="0" xfId="0">
      <alignment horizontal="left"/>
    </xf>
    <xf numFmtId="166" fontId="6" fillId="0" borderId="0" pivotButton="0" quotePrefix="0" xfId="0"/>
    <xf numFmtId="166" fontId="24" fillId="5" borderId="14" applyAlignment="1" pivotButton="0" quotePrefix="0" xfId="0">
      <alignment horizontal="center"/>
    </xf>
    <xf numFmtId="166" fontId="20" fillId="5" borderId="14" applyAlignment="1" pivotButton="0" quotePrefix="0" xfId="0">
      <alignment horizontal="left"/>
    </xf>
    <xf numFmtId="166" fontId="6" fillId="5" borderId="14" applyAlignment="1" pivotButton="0" quotePrefix="0" xfId="0">
      <alignment horizontal="center"/>
    </xf>
    <xf numFmtId="166" fontId="46" fillId="5" borderId="14" applyAlignment="1" pivotButton="0" quotePrefix="0" xfId="0">
      <alignment horizontal="left"/>
    </xf>
    <xf numFmtId="166" fontId="6" fillId="5" borderId="9" applyAlignment="1" pivotButton="0" quotePrefix="0" xfId="0">
      <alignment horizontal="center"/>
    </xf>
    <xf numFmtId="166" fontId="33" fillId="5" borderId="14" applyAlignment="1" pivotButton="0" quotePrefix="0" xfId="0">
      <alignment horizontal="center"/>
    </xf>
    <xf numFmtId="0" fontId="24" fillId="2" borderId="19" applyAlignment="1" pivotButton="0" quotePrefix="0" xfId="0">
      <alignment horizontal="center" vertical="top" wrapText="1"/>
    </xf>
    <xf numFmtId="0" fontId="47" fillId="2" borderId="19" applyAlignment="1" pivotButton="0" quotePrefix="0" xfId="0">
      <alignment horizontal="center" vertical="top" wrapText="1"/>
    </xf>
    <xf numFmtId="0" fontId="33" fillId="2" borderId="19" applyAlignment="1" pivotButton="0" quotePrefix="0" xfId="0">
      <alignment horizontal="center" vertical="top" wrapText="1"/>
    </xf>
    <xf numFmtId="168" fontId="47" fillId="2" borderId="19" applyAlignment="1" pivotButton="0" quotePrefix="0" xfId="0">
      <alignment horizontal="center"/>
    </xf>
    <xf numFmtId="0" fontId="47" fillId="2" borderId="14" applyAlignment="1" pivotButton="0" quotePrefix="0" xfId="0">
      <alignment horizontal="center" vertical="top" wrapText="1"/>
    </xf>
    <xf numFmtId="0" fontId="47" fillId="2" borderId="15" applyAlignment="1" pivotButton="0" quotePrefix="0" xfId="0">
      <alignment horizontal="center" vertical="top" wrapText="1"/>
    </xf>
    <xf numFmtId="0" fontId="48" fillId="14" borderId="15" applyAlignment="1" pivotButton="0" quotePrefix="0" xfId="0">
      <alignment horizontal="center" vertical="top" wrapText="1"/>
    </xf>
    <xf numFmtId="0" fontId="6" fillId="3" borderId="19" applyAlignment="1" pivotButton="0" quotePrefix="0" xfId="0">
      <alignment horizontal="right"/>
    </xf>
    <xf numFmtId="0" fontId="6" fillId="3" borderId="19" applyAlignment="1" pivotButton="0" quotePrefix="0" xfId="0">
      <alignment horizontal="center"/>
    </xf>
    <xf numFmtId="2" fontId="6" fillId="3" borderId="19" applyAlignment="1" pivotButton="0" quotePrefix="0" xfId="0">
      <alignment horizontal="right"/>
    </xf>
    <xf numFmtId="168" fontId="49" fillId="3" borderId="19" pivotButton="0" quotePrefix="0" xfId="0"/>
    <xf numFmtId="166" fontId="24" fillId="4" borderId="19" applyAlignment="1" pivotButton="0" quotePrefix="0" xfId="0">
      <alignment horizontal="center"/>
    </xf>
    <xf numFmtId="168" fontId="49" fillId="0" borderId="19" pivotButton="0" quotePrefix="0" xfId="0"/>
    <xf numFmtId="9" fontId="6" fillId="3" borderId="15" applyAlignment="1" pivotButton="0" quotePrefix="0" xfId="0">
      <alignment horizontal="right"/>
    </xf>
    <xf numFmtId="166" fontId="41" fillId="5" borderId="15" applyAlignment="1" pivotButton="0" quotePrefix="0" xfId="0">
      <alignment horizontal="right"/>
    </xf>
    <xf numFmtId="166" fontId="24" fillId="4" borderId="15" applyAlignment="1" pivotButton="0" quotePrefix="0" xfId="0">
      <alignment horizontal="center"/>
    </xf>
    <xf numFmtId="166" fontId="6" fillId="4" borderId="15" applyAlignment="1" pivotButton="0" quotePrefix="0" xfId="0">
      <alignment horizontal="right"/>
    </xf>
    <xf numFmtId="0" fontId="24" fillId="4" borderId="15" applyAlignment="1" pivotButton="0" quotePrefix="0" xfId="0">
      <alignment horizontal="center"/>
    </xf>
    <xf numFmtId="170" fontId="6" fillId="3" borderId="15" applyAlignment="1" pivotButton="0" quotePrefix="0" xfId="0">
      <alignment horizontal="center"/>
    </xf>
    <xf numFmtId="166" fontId="6" fillId="3" borderId="15" applyAlignment="1" pivotButton="0" quotePrefix="0" xfId="0">
      <alignment horizontal="center"/>
    </xf>
    <xf numFmtId="166" fontId="6" fillId="5" borderId="15" applyAlignment="1" pivotButton="0" quotePrefix="0" xfId="0">
      <alignment horizontal="right"/>
    </xf>
    <xf numFmtId="166" fontId="6" fillId="3" borderId="15" applyAlignment="1" pivotButton="0" quotePrefix="0" xfId="0">
      <alignment horizontal="right"/>
    </xf>
    <xf numFmtId="166" fontId="24" fillId="4" borderId="15" applyAlignment="1" pivotButton="0" quotePrefix="0" xfId="0">
      <alignment horizontal="right"/>
    </xf>
    <xf numFmtId="166" fontId="24" fillId="3" borderId="15" applyAlignment="1" pivotButton="0" quotePrefix="0" xfId="0">
      <alignment horizontal="right"/>
    </xf>
    <xf numFmtId="10" fontId="6" fillId="3" borderId="15" applyAlignment="1" pivotButton="0" quotePrefix="0" xfId="0">
      <alignment horizontal="right"/>
    </xf>
    <xf numFmtId="0" fontId="6" fillId="2" borderId="19" pivotButton="0" quotePrefix="0" xfId="0"/>
    <xf numFmtId="0" fontId="6" fillId="2" borderId="47" pivotButton="0" quotePrefix="0" xfId="0"/>
    <xf numFmtId="0" fontId="24" fillId="2" borderId="15" pivotButton="0" quotePrefix="0" xfId="0"/>
    <xf numFmtId="0" fontId="6" fillId="2" borderId="15" pivotButton="0" quotePrefix="0" xfId="0"/>
    <xf numFmtId="2" fontId="24" fillId="2" borderId="15" applyAlignment="1" pivotButton="0" quotePrefix="0" xfId="0">
      <alignment horizontal="right"/>
    </xf>
    <xf numFmtId="166" fontId="24" fillId="2" borderId="15" applyAlignment="1" pivotButton="0" quotePrefix="0" xfId="0">
      <alignment horizontal="right"/>
    </xf>
    <xf numFmtId="166" fontId="48" fillId="14" borderId="15" applyAlignment="1" pivotButton="0" quotePrefix="0" xfId="0">
      <alignment horizontal="right"/>
    </xf>
    <xf numFmtId="166" fontId="24" fillId="2" borderId="15" pivotButton="0" quotePrefix="0" xfId="0"/>
    <xf numFmtId="10" fontId="24" fillId="2" borderId="15" pivotButton="0" quotePrefix="0" xfId="0"/>
    <xf numFmtId="0" fontId="6" fillId="5" borderId="9" applyAlignment="1" pivotButton="0" quotePrefix="0" xfId="0">
      <alignment horizontal="right"/>
    </xf>
    <xf numFmtId="166" fontId="24" fillId="0" borderId="0" applyAlignment="1" pivotButton="0" quotePrefix="0" xfId="0">
      <alignment horizontal="center"/>
    </xf>
    <xf numFmtId="0" fontId="31" fillId="5" borderId="9" pivotButton="0" quotePrefix="0" xfId="0"/>
    <xf numFmtId="1" fontId="6" fillId="5" borderId="9" applyAlignment="1" pivotButton="0" quotePrefix="0" xfId="0">
      <alignment horizontal="right"/>
    </xf>
    <xf numFmtId="9" fontId="20" fillId="5" borderId="9" pivotButton="0" quotePrefix="0" xfId="0"/>
    <xf numFmtId="0" fontId="20" fillId="5" borderId="9" pivotButton="0" quotePrefix="0" xfId="0"/>
    <xf numFmtId="0" fontId="24" fillId="0" borderId="0" applyAlignment="1" pivotButton="0" quotePrefix="0" xfId="0">
      <alignment horizontal="right"/>
    </xf>
    <xf numFmtId="166" fontId="6" fillId="5" borderId="9" pivotButton="0" quotePrefix="0" xfId="0"/>
    <xf numFmtId="0" fontId="50" fillId="0" borderId="0" pivotButton="0" quotePrefix="0" xfId="0"/>
    <xf numFmtId="0" fontId="53" fillId="0" borderId="0" pivotButton="0" quotePrefix="0" xfId="0"/>
    <xf numFmtId="0" fontId="54" fillId="0" borderId="0" pivotButton="0" quotePrefix="0" xfId="0"/>
    <xf numFmtId="10" fontId="55" fillId="18" borderId="54" applyAlignment="1" pivotButton="0" quotePrefix="0" xfId="0">
      <alignment horizontal="center" vertical="center"/>
    </xf>
    <xf numFmtId="0" fontId="56" fillId="0" borderId="0" pivotButton="0" quotePrefix="0" xfId="0"/>
    <xf numFmtId="169" fontId="55" fillId="18" borderId="54" applyAlignment="1" pivotButton="0" quotePrefix="0" xfId="0">
      <alignment horizontal="center" vertical="center"/>
    </xf>
    <xf numFmtId="0" fontId="57" fillId="0" borderId="0" pivotButton="0" quotePrefix="0" xfId="0"/>
    <xf numFmtId="1" fontId="55" fillId="18" borderId="54" applyAlignment="1" pivotButton="0" quotePrefix="0" xfId="0">
      <alignment horizontal="center" vertical="center"/>
    </xf>
    <xf numFmtId="0" fontId="58" fillId="0" borderId="0" pivotButton="0" quotePrefix="0" xfId="0"/>
    <xf numFmtId="179" fontId="59" fillId="0" borderId="0" applyAlignment="1" pivotButton="0" quotePrefix="0" xfId="0">
      <alignment horizontal="center" vertical="center"/>
    </xf>
    <xf numFmtId="0" fontId="60" fillId="0" borderId="0" pivotButton="0" quotePrefix="0" xfId="0"/>
    <xf numFmtId="180" fontId="59" fillId="0" borderId="0" applyAlignment="1" pivotButton="0" quotePrefix="0" xfId="0">
      <alignment horizontal="center" vertical="center"/>
    </xf>
    <xf numFmtId="0" fontId="61" fillId="17" borderId="54" applyAlignment="1" pivotButton="0" quotePrefix="0" xfId="0">
      <alignment horizontal="center" vertical="center" wrapText="1"/>
    </xf>
    <xf numFmtId="0" fontId="59" fillId="0" borderId="54" applyAlignment="1" pivotButton="0" quotePrefix="0" xfId="0">
      <alignment horizontal="center" vertical="center"/>
    </xf>
    <xf numFmtId="0" fontId="62" fillId="0" borderId="54" applyAlignment="1" pivotButton="0" quotePrefix="0" xfId="0">
      <alignment horizontal="center" vertical="center"/>
    </xf>
    <xf numFmtId="2" fontId="62" fillId="0" borderId="54" applyAlignment="1" pivotButton="0" quotePrefix="0" xfId="0">
      <alignment horizontal="center" vertical="center"/>
    </xf>
    <xf numFmtId="181" fontId="62" fillId="0" borderId="54" applyAlignment="1" pivotButton="0" quotePrefix="0" xfId="0">
      <alignment horizontal="right" vertical="center"/>
    </xf>
    <xf numFmtId="181" fontId="59" fillId="0" borderId="54" applyAlignment="1" pivotButton="0" quotePrefix="0" xfId="0">
      <alignment horizontal="right" vertical="center"/>
    </xf>
    <xf numFmtId="169" fontId="59" fillId="19" borderId="54" applyAlignment="1" pivotButton="0" quotePrefix="0" xfId="0">
      <alignment horizontal="right" vertical="center"/>
    </xf>
    <xf numFmtId="169" fontId="59" fillId="0" borderId="54" applyAlignment="1" pivotButton="0" quotePrefix="0" xfId="0">
      <alignment horizontal="right" vertical="center"/>
    </xf>
    <xf numFmtId="0" fontId="63" fillId="20" borderId="54" pivotButton="0" quotePrefix="0" xfId="0"/>
    <xf numFmtId="0" fontId="6" fillId="20" borderId="54" pivotButton="0" quotePrefix="0" xfId="0"/>
    <xf numFmtId="2" fontId="63" fillId="20" borderId="54" pivotButton="0" quotePrefix="0" xfId="0"/>
    <xf numFmtId="169" fontId="63" fillId="20" borderId="54" pivotButton="0" quotePrefix="0" xfId="0"/>
    <xf numFmtId="169" fontId="64" fillId="20" borderId="54" pivotButton="0" quotePrefix="0" xfId="0"/>
    <xf numFmtId="0" fontId="6" fillId="0" borderId="54" pivotButton="0" quotePrefix="0" xfId="0"/>
    <xf numFmtId="169" fontId="62" fillId="0" borderId="0" applyAlignment="1" pivotButton="0" quotePrefix="0" xfId="0">
      <alignment horizontal="right" vertical="center"/>
    </xf>
    <xf numFmtId="169" fontId="59" fillId="0" borderId="0" applyAlignment="1" pivotButton="0" quotePrefix="0" xfId="0">
      <alignment horizontal="right" vertical="center"/>
    </xf>
    <xf numFmtId="0" fontId="63" fillId="0" borderId="0" pivotButton="0" quotePrefix="0" xfId="0"/>
    <xf numFmtId="169" fontId="65" fillId="19" borderId="9" applyAlignment="1" pivotButton="0" quotePrefix="0" xfId="0">
      <alignment horizontal="right" vertical="center"/>
    </xf>
    <xf numFmtId="165" fontId="59" fillId="0" borderId="0" applyAlignment="1" pivotButton="0" quotePrefix="0" xfId="0">
      <alignment horizontal="right" vertical="center"/>
    </xf>
    <xf numFmtId="182" fontId="59" fillId="0" borderId="0" applyAlignment="1" pivotButton="0" quotePrefix="0" xfId="0">
      <alignment horizontal="right" vertical="center"/>
    </xf>
    <xf numFmtId="0" fontId="63" fillId="19" borderId="9" applyAlignment="1" pivotButton="0" quotePrefix="0" xfId="0">
      <alignment horizontal="center" vertical="center"/>
    </xf>
    <xf numFmtId="0" fontId="61" fillId="17" borderId="54" applyAlignment="1" pivotButton="0" quotePrefix="0" xfId="0">
      <alignment horizontal="center" vertical="center"/>
    </xf>
    <xf numFmtId="0" fontId="54" fillId="0" borderId="54" pivotButton="0" quotePrefix="0" xfId="0"/>
    <xf numFmtId="10" fontId="59" fillId="0" borderId="54" applyAlignment="1" pivotButton="0" quotePrefix="0" xfId="0">
      <alignment horizontal="center" vertical="center"/>
    </xf>
    <xf numFmtId="180" fontId="59" fillId="0" borderId="54" applyAlignment="1" pivotButton="0" quotePrefix="0" xfId="0">
      <alignment horizontal="center" vertical="center"/>
    </xf>
    <xf numFmtId="165" fontId="59" fillId="0" borderId="54" applyAlignment="1" pivotButton="0" quotePrefix="0" xfId="0">
      <alignment horizontal="right" vertical="center"/>
    </xf>
    <xf numFmtId="0" fontId="11" fillId="0" borderId="0" applyAlignment="1" pivotButton="0" quotePrefix="0" xfId="0">
      <alignment vertical="center"/>
    </xf>
    <xf numFmtId="0" fontId="40" fillId="0" borderId="0" applyAlignment="1" pivotButton="0" quotePrefix="0" xfId="0">
      <alignment horizontal="center" vertical="center"/>
    </xf>
    <xf numFmtId="0" fontId="11" fillId="6" borderId="19" applyAlignment="1" pivotButton="0" quotePrefix="0" xfId="0">
      <alignment vertical="center"/>
    </xf>
    <xf numFmtId="0" fontId="40" fillId="6" borderId="17" applyAlignment="1" pivotButton="0" quotePrefix="0" xfId="0">
      <alignment horizontal="center" vertical="center"/>
    </xf>
    <xf numFmtId="0" fontId="40" fillId="0" borderId="0" applyAlignment="1" pivotButton="0" quotePrefix="0" xfId="0">
      <alignment horizontal="center"/>
    </xf>
    <xf numFmtId="0" fontId="40" fillId="21" borderId="47" applyAlignment="1" pivotButton="0" quotePrefix="0" xfId="0">
      <alignment horizontal="center"/>
    </xf>
    <xf numFmtId="0" fontId="3" fillId="0" borderId="23" applyAlignment="1" pivotButton="0" quotePrefix="0" xfId="0">
      <alignment horizontal="center"/>
    </xf>
    <xf numFmtId="0" fontId="3" fillId="5" borderId="15" applyAlignment="1" pivotButton="0" quotePrefix="0" xfId="0">
      <alignment horizontal="center"/>
    </xf>
    <xf numFmtId="183" fontId="3" fillId="22" borderId="15" applyAlignment="1" pivotButton="0" quotePrefix="0" xfId="0">
      <alignment horizontal="center"/>
    </xf>
    <xf numFmtId="183" fontId="3" fillId="23" borderId="15" applyAlignment="1" pivotButton="0" quotePrefix="0" xfId="0">
      <alignment horizontal="center"/>
    </xf>
    <xf numFmtId="0" fontId="11" fillId="0" borderId="19" applyAlignment="1" pivotButton="0" quotePrefix="0" xfId="0">
      <alignment horizontal="center"/>
    </xf>
    <xf numFmtId="183" fontId="11" fillId="22" borderId="19" applyAlignment="1" pivotButton="0" quotePrefix="0" xfId="0">
      <alignment horizontal="center" vertical="center"/>
    </xf>
    <xf numFmtId="183" fontId="11" fillId="23" borderId="19" applyAlignment="1" pivotButton="0" quotePrefix="0" xfId="0">
      <alignment horizontal="center" vertical="center"/>
    </xf>
    <xf numFmtId="0" fontId="11" fillId="0" borderId="0" applyAlignment="1" pivotButton="0" quotePrefix="0" xfId="0">
      <alignment horizontal="center" vertical="center"/>
    </xf>
    <xf numFmtId="0" fontId="11" fillId="0" borderId="19" applyAlignment="1" pivotButton="0" quotePrefix="0" xfId="0">
      <alignment horizontal="center" vertical="center"/>
    </xf>
    <xf numFmtId="0" fontId="40" fillId="6" borderId="13" applyAlignment="1" pivotButton="0" quotePrefix="0" xfId="0">
      <alignment horizontal="left"/>
    </xf>
    <xf numFmtId="0" fontId="40" fillId="6" borderId="14" applyAlignment="1" pivotButton="0" quotePrefix="0" xfId="0">
      <alignment horizontal="right"/>
    </xf>
    <xf numFmtId="183" fontId="40" fillId="6" borderId="15" applyAlignment="1" pivotButton="0" quotePrefix="0" xfId="0">
      <alignment horizontal="right"/>
    </xf>
    <xf numFmtId="178" fontId="3" fillId="4" borderId="19" applyAlignment="1" pivotButton="0" quotePrefix="0" xfId="0">
      <alignment horizontal="right"/>
    </xf>
    <xf numFmtId="178" fontId="3" fillId="4" borderId="15" applyAlignment="1" pivotButton="0" quotePrefix="0" xfId="0">
      <alignment horizontal="right"/>
    </xf>
    <xf numFmtId="0" fontId="3" fillId="4" borderId="19" applyAlignment="1" pivotButton="0" quotePrefix="0" xfId="0">
      <alignment horizontal="right"/>
    </xf>
    <xf numFmtId="0" fontId="3" fillId="4" borderId="17" applyAlignment="1" pivotButton="0" quotePrefix="0" xfId="0">
      <alignment horizontal="right"/>
    </xf>
    <xf numFmtId="0" fontId="3" fillId="3" borderId="19" applyAlignment="1" pivotButton="0" quotePrefix="0" xfId="0">
      <alignment horizontal="right"/>
    </xf>
    <xf numFmtId="0" fontId="3" fillId="3" borderId="17" applyAlignment="1" pivotButton="0" quotePrefix="0" xfId="0">
      <alignment horizontal="right"/>
    </xf>
    <xf numFmtId="0" fontId="66" fillId="4" borderId="17" applyAlignment="1" pivotButton="0" quotePrefix="0" xfId="0">
      <alignment horizontal="left" wrapText="1"/>
    </xf>
    <xf numFmtId="0" fontId="67" fillId="0" borderId="0" pivotButton="0" quotePrefix="0" xfId="0"/>
    <xf numFmtId="0" fontId="40" fillId="21" borderId="19" applyAlignment="1" pivotButton="0" quotePrefix="0" xfId="0">
      <alignment vertical="center"/>
    </xf>
    <xf numFmtId="0" fontId="40" fillId="21" borderId="19" applyAlignment="1" pivotButton="0" quotePrefix="0" xfId="0">
      <alignment horizontal="center"/>
    </xf>
    <xf numFmtId="0" fontId="11" fillId="0" borderId="0" applyAlignment="1" pivotButton="0" quotePrefix="0" xfId="0">
      <alignment horizontal="left" vertical="top"/>
    </xf>
    <xf numFmtId="0" fontId="11" fillId="0" borderId="19" applyAlignment="1" pivotButton="0" quotePrefix="0" xfId="0">
      <alignment horizontal="center" vertical="center" wrapText="1"/>
    </xf>
    <xf numFmtId="0" fontId="68" fillId="2" borderId="19" applyAlignment="1" pivotButton="0" quotePrefix="0" xfId="0">
      <alignment horizontal="center" vertical="center" wrapText="1"/>
    </xf>
    <xf numFmtId="0" fontId="3" fillId="0" borderId="0" applyAlignment="1" pivotButton="0" quotePrefix="0" xfId="0">
      <alignment horizontal="center"/>
    </xf>
    <xf numFmtId="0" fontId="11" fillId="3" borderId="19" applyAlignment="1" pivotButton="0" quotePrefix="0" xfId="0">
      <alignment vertical="center" wrapText="1"/>
    </xf>
    <xf numFmtId="0" fontId="69" fillId="0" borderId="0" pivotButton="0" quotePrefix="0" xfId="0"/>
    <xf numFmtId="171" fontId="11" fillId="3" borderId="19" applyAlignment="1" pivotButton="0" quotePrefix="0" xfId="0">
      <alignment horizontal="center" vertical="center"/>
    </xf>
    <xf numFmtId="166" fontId="11" fillId="3" borderId="19" applyAlignment="1" pivotButton="0" quotePrefix="0" xfId="0">
      <alignment vertical="center"/>
    </xf>
    <xf numFmtId="0" fontId="12" fillId="3" borderId="28" applyAlignment="1" pivotButton="0" quotePrefix="0" xfId="0">
      <alignment vertical="center"/>
    </xf>
    <xf numFmtId="0" fontId="12" fillId="3" borderId="28" applyAlignment="1" pivotButton="0" quotePrefix="0" xfId="0">
      <alignment horizontal="center" vertical="center"/>
    </xf>
    <xf numFmtId="166" fontId="12" fillId="9" borderId="19" applyAlignment="1" pivotButton="0" quotePrefix="0" xfId="0">
      <alignment horizontal="center" vertical="center"/>
    </xf>
    <xf numFmtId="10" fontId="12" fillId="9" borderId="19" applyAlignment="1" pivotButton="0" quotePrefix="0" xfId="0">
      <alignment horizontal="center" vertical="center"/>
    </xf>
    <xf numFmtId="0" fontId="12" fillId="13" borderId="19" applyAlignment="1" pivotButton="0" quotePrefix="0" xfId="0">
      <alignment vertical="center"/>
    </xf>
    <xf numFmtId="166" fontId="12" fillId="13" borderId="19" applyAlignment="1" pivotButton="0" quotePrefix="0" xfId="0">
      <alignment horizontal="center" vertical="center"/>
    </xf>
    <xf numFmtId="10" fontId="12" fillId="13" borderId="19" applyAlignment="1" pivotButton="0" quotePrefix="0" xfId="0">
      <alignment horizontal="center" vertical="center"/>
    </xf>
    <xf numFmtId="0" fontId="9" fillId="0" borderId="0" applyAlignment="1" pivotButton="0" quotePrefix="0" xfId="0">
      <alignment vertical="top"/>
    </xf>
    <xf numFmtId="0" fontId="11" fillId="3" borderId="19" applyAlignment="1" pivotButton="0" quotePrefix="0" xfId="0">
      <alignment vertical="top"/>
    </xf>
    <xf numFmtId="165" fontId="11" fillId="3" borderId="19" applyAlignment="1" pivotButton="0" quotePrefix="0" xfId="0">
      <alignment horizontal="center" vertical="top"/>
    </xf>
    <xf numFmtId="0" fontId="11" fillId="24" borderId="19" applyAlignment="1" pivotButton="0" quotePrefix="0" xfId="0">
      <alignment vertical="top"/>
    </xf>
    <xf numFmtId="165" fontId="11" fillId="24" borderId="19" applyAlignment="1" pivotButton="0" quotePrefix="0" xfId="0">
      <alignment horizontal="center" vertical="top"/>
    </xf>
    <xf numFmtId="0" fontId="70" fillId="3" borderId="19" applyAlignment="1" pivotButton="0" quotePrefix="0" xfId="0">
      <alignment vertical="center"/>
    </xf>
    <xf numFmtId="173" fontId="18" fillId="11" borderId="19" applyAlignment="1" pivotButton="0" quotePrefix="0" xfId="0">
      <alignment vertical="center"/>
    </xf>
    <xf numFmtId="168" fontId="12" fillId="11" borderId="19" applyAlignment="1" pivotButton="0" quotePrefix="0" xfId="0">
      <alignment vertical="center"/>
    </xf>
    <xf numFmtId="173" fontId="18" fillId="0" borderId="0" applyAlignment="1" pivotButton="0" quotePrefix="0" xfId="0">
      <alignment horizontal="center" vertical="center"/>
    </xf>
    <xf numFmtId="173" fontId="12" fillId="0" borderId="0" applyAlignment="1" pivotButton="0" quotePrefix="0" xfId="0">
      <alignment horizontal="center" vertical="center"/>
    </xf>
    <xf numFmtId="0" fontId="71" fillId="0" borderId="0" pivotButton="0" quotePrefix="0" xfId="0"/>
    <xf numFmtId="0" fontId="8" fillId="6" borderId="9" applyAlignment="1" pivotButton="0" quotePrefix="0" xfId="0">
      <alignment horizontal="center" vertical="center"/>
    </xf>
    <xf numFmtId="1" fontId="3" fillId="0" borderId="0" applyAlignment="1" pivotButton="0" quotePrefix="0" xfId="0">
      <alignment vertical="center"/>
    </xf>
    <xf numFmtId="184" fontId="3" fillId="0" borderId="0" applyAlignment="1" pivotButton="0" quotePrefix="0" xfId="0">
      <alignment vertical="center"/>
    </xf>
    <xf numFmtId="173" fontId="3" fillId="0" borderId="0" applyAlignment="1" pivotButton="0" quotePrefix="0" xfId="0">
      <alignment vertical="center"/>
    </xf>
    <xf numFmtId="0" fontId="16" fillId="0" borderId="0" pivotButton="0" quotePrefix="0" xfId="0"/>
    <xf numFmtId="0" fontId="72" fillId="25" borderId="9" applyAlignment="1" pivotButton="0" quotePrefix="0" xfId="0">
      <alignment horizontal="center"/>
    </xf>
    <xf numFmtId="10" fontId="32" fillId="0" borderId="0" pivotButton="0" quotePrefix="0" xfId="0"/>
    <xf numFmtId="0" fontId="73" fillId="3" borderId="19" applyAlignment="1" pivotButton="0" quotePrefix="0" xfId="0">
      <alignment horizontal="center" vertical="center" wrapText="1"/>
    </xf>
    <xf numFmtId="165" fontId="73" fillId="3" borderId="19" applyAlignment="1" pivotButton="0" quotePrefix="0" xfId="0">
      <alignment horizontal="center" vertical="center"/>
    </xf>
    <xf numFmtId="0" fontId="73" fillId="3" borderId="19" applyAlignment="1" pivotButton="0" quotePrefix="0" xfId="0">
      <alignment horizontal="center" vertical="center"/>
    </xf>
    <xf numFmtId="0" fontId="74" fillId="13" borderId="0" applyAlignment="1" pivotButton="0" quotePrefix="0" xfId="0">
      <alignment horizontal="center"/>
    </xf>
    <xf numFmtId="0" fontId="3" fillId="5" borderId="9" pivotButton="0" quotePrefix="0" xfId="0"/>
    <xf numFmtId="0" fontId="0" fillId="0" borderId="0" pivotButton="0" quotePrefix="0" xfId="0"/>
    <xf numFmtId="0" fontId="4" fillId="6" borderId="55" applyAlignment="1" pivotButton="0" quotePrefix="0" xfId="0">
      <alignment horizontal="center" vertical="center"/>
    </xf>
    <xf numFmtId="0" fontId="0" fillId="0" borderId="56" pivotButton="0" quotePrefix="0" xfId="0"/>
    <xf numFmtId="0" fontId="3" fillId="0" borderId="0" pivotButton="0" quotePrefix="0" xfId="0"/>
    <xf numFmtId="0" fontId="4" fillId="6" borderId="57" applyAlignment="1" pivotButton="0" quotePrefix="0" xfId="0">
      <alignment horizontal="center" vertical="center"/>
    </xf>
    <xf numFmtId="0" fontId="0" fillId="0" borderId="1" pivotButton="0" quotePrefix="0" xfId="0"/>
    <xf numFmtId="0" fontId="2" fillId="4" borderId="3" applyAlignment="1" pivotButton="0" quotePrefix="0" xfId="0">
      <alignment horizontal="left" vertical="top"/>
    </xf>
    <xf numFmtId="0" fontId="0" fillId="0" borderId="6" pivotButton="0" quotePrefix="0" xfId="0"/>
    <xf numFmtId="0" fontId="0" fillId="0" borderId="7" pivotButton="0" quotePrefix="0" xfId="0"/>
    <xf numFmtId="0" fontId="0" fillId="0" borderId="8" pivotButton="0" quotePrefix="0" xfId="0"/>
    <xf numFmtId="0" fontId="1" fillId="2" borderId="57" applyAlignment="1" pivotButton="0" quotePrefix="0" xfId="0">
      <alignment horizontal="center" vertical="center"/>
    </xf>
    <xf numFmtId="166" fontId="11" fillId="3" borderId="19" applyAlignment="1" pivotButton="0" quotePrefix="0" xfId="0">
      <alignment horizontal="center" vertical="center"/>
    </xf>
    <xf numFmtId="0" fontId="0" fillId="0" borderId="22" pivotButton="0" quotePrefix="0" xfId="0"/>
    <xf numFmtId="169" fontId="3" fillId="3" borderId="19" applyAlignment="1" pivotButton="0" quotePrefix="0" xfId="0">
      <alignment horizontal="center" vertical="center"/>
    </xf>
    <xf numFmtId="0" fontId="0" fillId="0" borderId="10" pivotButton="0" quotePrefix="0" xfId="0"/>
    <xf numFmtId="165" fontId="11" fillId="11" borderId="19" applyAlignment="1" pivotButton="0" quotePrefix="0" xfId="0">
      <alignment vertical="center"/>
    </xf>
    <xf numFmtId="165" fontId="16" fillId="8" borderId="19" applyAlignment="1" pivotButton="0" quotePrefix="0" xfId="0">
      <alignment horizontal="center" vertical="center"/>
    </xf>
    <xf numFmtId="0" fontId="0" fillId="0" borderId="21" pivotButton="0" quotePrefix="0" xfId="0"/>
    <xf numFmtId="0" fontId="0" fillId="0" borderId="23" pivotButton="0" quotePrefix="0" xfId="0"/>
    <xf numFmtId="0" fontId="11" fillId="3" borderId="19" applyAlignment="1" pivotButton="0" quotePrefix="0" xfId="0">
      <alignment horizontal="center" vertical="center"/>
    </xf>
    <xf numFmtId="0" fontId="10" fillId="5" borderId="9" applyAlignment="1" pivotButton="0" quotePrefix="0" xfId="0">
      <alignment vertical="center"/>
    </xf>
    <xf numFmtId="169" fontId="28" fillId="2" borderId="19" applyAlignment="1" pivotButton="0" quotePrefix="0" xfId="0">
      <alignment horizontal="center" vertical="center"/>
    </xf>
    <xf numFmtId="0" fontId="0" fillId="0" borderId="27" pivotButton="0" quotePrefix="0" xfId="0"/>
    <xf numFmtId="0" fontId="3" fillId="3" borderId="19" applyAlignment="1" pivotButton="0" quotePrefix="0" xfId="0">
      <alignment vertical="center"/>
    </xf>
    <xf numFmtId="0" fontId="0" fillId="0" borderId="18" pivotButton="0" quotePrefix="0" xfId="0"/>
    <xf numFmtId="164" fontId="11" fillId="4" borderId="19" applyAlignment="1" pivotButton="0" quotePrefix="0" xfId="0">
      <alignment horizontal="center" vertical="center"/>
    </xf>
    <xf numFmtId="169" fontId="11" fillId="3" borderId="19" applyAlignment="1" pivotButton="0" quotePrefix="0" xfId="0">
      <alignment horizontal="center" vertical="center"/>
    </xf>
    <xf numFmtId="0" fontId="12" fillId="3" borderId="19" applyAlignment="1" pivotButton="0" quotePrefix="0" xfId="0">
      <alignment vertical="center"/>
    </xf>
    <xf numFmtId="0" fontId="2" fillId="2" borderId="28" applyAlignment="1" pivotButton="0" quotePrefix="0" xfId="0">
      <alignment horizontal="center" vertical="center"/>
    </xf>
    <xf numFmtId="0" fontId="0" fillId="0" borderId="29" pivotButton="0" quotePrefix="0" xfId="0"/>
    <xf numFmtId="168" fontId="11" fillId="4" borderId="19" applyAlignment="1" pivotButton="0" quotePrefix="0" xfId="0">
      <alignment horizontal="center" vertical="center"/>
    </xf>
    <xf numFmtId="0" fontId="8" fillId="6" borderId="19" applyAlignment="1" pivotButton="0" quotePrefix="0" xfId="0">
      <alignment horizontal="center" vertical="center"/>
    </xf>
    <xf numFmtId="0" fontId="11" fillId="4" borderId="19" applyAlignment="1" pivotButton="0" quotePrefix="0" xfId="0">
      <alignment horizontal="center" vertical="center"/>
    </xf>
    <xf numFmtId="10" fontId="11" fillId="3" borderId="19" applyAlignment="1" pivotButton="0" quotePrefix="0" xfId="0">
      <alignment horizontal="center" vertical="center"/>
    </xf>
    <xf numFmtId="168" fontId="3" fillId="3" borderId="19" applyAlignment="1" pivotButton="0" quotePrefix="0" xfId="0">
      <alignment horizontal="center" vertical="center"/>
    </xf>
    <xf numFmtId="0" fontId="3" fillId="3" borderId="9" applyAlignment="1" pivotButton="0" quotePrefix="0" xfId="0">
      <alignment horizontal="center" vertical="center"/>
    </xf>
    <xf numFmtId="0" fontId="11" fillId="3" borderId="19" applyAlignment="1" pivotButton="0" quotePrefix="0" xfId="0">
      <alignment vertical="center"/>
    </xf>
    <xf numFmtId="168" fontId="11" fillId="8" borderId="19" applyAlignment="1" pivotButton="0" quotePrefix="0" xfId="0">
      <alignment horizontal="center" vertical="center"/>
    </xf>
    <xf numFmtId="169" fontId="16" fillId="3" borderId="19" applyAlignment="1" pivotButton="0" quotePrefix="0" xfId="0">
      <alignment horizontal="center" vertical="center"/>
    </xf>
    <xf numFmtId="0" fontId="11" fillId="3" borderId="19" applyAlignment="1" pivotButton="0" quotePrefix="0" xfId="0">
      <alignment horizontal="center" vertical="center" wrapText="1"/>
    </xf>
    <xf numFmtId="165" fontId="23" fillId="13" borderId="19" applyAlignment="1" pivotButton="0" quotePrefix="0" xfId="0">
      <alignment vertical="center"/>
    </xf>
    <xf numFmtId="0" fontId="11" fillId="3" borderId="19" applyAlignment="1" pivotButton="0" quotePrefix="0" xfId="0">
      <alignment vertical="center" wrapText="1"/>
    </xf>
    <xf numFmtId="166" fontId="11" fillId="4" borderId="19" applyAlignment="1" pivotButton="0" quotePrefix="0" xfId="0">
      <alignment horizontal="center" vertical="center" shrinkToFit="1"/>
    </xf>
    <xf numFmtId="165" fontId="8" fillId="14" borderId="19" applyAlignment="1" pivotButton="0" quotePrefix="0" xfId="0">
      <alignment horizontal="center" vertical="center"/>
    </xf>
    <xf numFmtId="165" fontId="11" fillId="4" borderId="19" applyAlignment="1" pivotButton="0" quotePrefix="0" xfId="0">
      <alignment horizontal="center" vertical="center"/>
    </xf>
    <xf numFmtId="170" fontId="12" fillId="4" borderId="19" applyAlignment="1" pivotButton="0" quotePrefix="0" xfId="0">
      <alignment horizontal="center" vertical="center"/>
    </xf>
    <xf numFmtId="0" fontId="16" fillId="3" borderId="19" applyAlignment="1" pivotButton="0" quotePrefix="0" xfId="0">
      <alignment horizontal="left" vertical="center"/>
    </xf>
    <xf numFmtId="185" fontId="11" fillId="7" borderId="28" applyAlignment="1" pivotButton="0" quotePrefix="0" xfId="0">
      <alignment horizontal="center" vertical="center"/>
    </xf>
    <xf numFmtId="0" fontId="12" fillId="3" borderId="19" applyAlignment="1" pivotButton="0" quotePrefix="0" xfId="0">
      <alignment horizontal="right" vertical="center"/>
    </xf>
    <xf numFmtId="166" fontId="11" fillId="9" borderId="19" applyAlignment="1" pivotButton="0" quotePrefix="0" xfId="0">
      <alignment vertical="center"/>
    </xf>
    <xf numFmtId="169" fontId="8" fillId="2" borderId="19" applyAlignment="1" pivotButton="0" quotePrefix="0" xfId="0">
      <alignment vertical="center"/>
    </xf>
    <xf numFmtId="0" fontId="0" fillId="0" borderId="25" pivotButton="0" quotePrefix="0" xfId="0"/>
    <xf numFmtId="0" fontId="0" fillId="0" borderId="26" pivotButton="0" quotePrefix="0" xfId="0"/>
    <xf numFmtId="168" fontId="11" fillId="8" borderId="47" applyAlignment="1" pivotButton="0" quotePrefix="0" xfId="0">
      <alignment horizontal="center" vertical="center"/>
    </xf>
    <xf numFmtId="0" fontId="0" fillId="0" borderId="30" pivotButton="0" quotePrefix="0" xfId="0"/>
    <xf numFmtId="0" fontId="10" fillId="5" borderId="19" applyAlignment="1" pivotButton="0" quotePrefix="0" xfId="0">
      <alignment vertical="center"/>
    </xf>
    <xf numFmtId="0" fontId="12" fillId="12" borderId="16" applyAlignment="1" pivotButton="0" quotePrefix="0" xfId="0">
      <alignment horizontal="right" vertical="center"/>
    </xf>
    <xf numFmtId="0" fontId="11" fillId="3" borderId="19" applyAlignment="1" pivotButton="0" quotePrefix="0" xfId="0">
      <alignment horizontal="left" vertical="center"/>
    </xf>
    <xf numFmtId="0" fontId="11" fillId="3" borderId="19" pivotButton="0" quotePrefix="0" xfId="0"/>
    <xf numFmtId="0" fontId="12" fillId="13" borderId="19" applyAlignment="1" pivotButton="0" quotePrefix="0" xfId="0">
      <alignment vertical="center"/>
    </xf>
    <xf numFmtId="0" fontId="3" fillId="3" borderId="19" applyAlignment="1" pivotButton="0" quotePrefix="0" xfId="0">
      <alignment horizontal="left" vertical="center"/>
    </xf>
    <xf numFmtId="9" fontId="11" fillId="4" borderId="19" applyAlignment="1" pivotButton="0" quotePrefix="0" xfId="0">
      <alignment horizontal="center" vertical="center"/>
    </xf>
    <xf numFmtId="168" fontId="27" fillId="2" borderId="19" applyAlignment="1" pivotButton="0" quotePrefix="0" xfId="0">
      <alignment horizontal="center" vertical="center"/>
    </xf>
    <xf numFmtId="165" fontId="3" fillId="3" borderId="19" applyAlignment="1" pivotButton="0" quotePrefix="0" xfId="0">
      <alignment horizontal="center" vertical="center"/>
    </xf>
    <xf numFmtId="0" fontId="20" fillId="0" borderId="0" pivotButton="0" quotePrefix="0" xfId="0"/>
    <xf numFmtId="0" fontId="2" fillId="2" borderId="9" applyAlignment="1" pivotButton="0" quotePrefix="0" xfId="0">
      <alignment horizontal="center" vertical="center"/>
    </xf>
    <xf numFmtId="166" fontId="11" fillId="9" borderId="19" applyAlignment="1" pivotButton="0" quotePrefix="0" xfId="0">
      <alignment horizontal="center" vertical="center"/>
    </xf>
    <xf numFmtId="0" fontId="8" fillId="6" borderId="16" applyAlignment="1" pivotButton="0" quotePrefix="0" xfId="0">
      <alignment horizontal="center" vertical="center"/>
    </xf>
    <xf numFmtId="0" fontId="3" fillId="3" borderId="19" applyAlignment="1" pivotButton="0" quotePrefix="0" xfId="0">
      <alignment vertical="center" wrapText="1"/>
    </xf>
    <xf numFmtId="169" fontId="8" fillId="15" borderId="28" applyAlignment="1" pivotButton="0" quotePrefix="0" xfId="0">
      <alignment horizontal="center" vertical="center"/>
    </xf>
    <xf numFmtId="0" fontId="18" fillId="10" borderId="19" applyAlignment="1" pivotButton="0" quotePrefix="0" xfId="0">
      <alignment horizontal="center" vertical="center"/>
    </xf>
    <xf numFmtId="169" fontId="18" fillId="8" borderId="19" applyAlignment="1" pivotButton="0" quotePrefix="0" xfId="0">
      <alignment horizontal="center" vertical="center"/>
    </xf>
    <xf numFmtId="0" fontId="12" fillId="4" borderId="19" applyAlignment="1" pivotButton="0" quotePrefix="0" xfId="0">
      <alignment horizontal="center" vertical="center"/>
    </xf>
    <xf numFmtId="165" fontId="11" fillId="12" borderId="19" applyAlignment="1" pivotButton="0" quotePrefix="0" xfId="0">
      <alignment vertical="center"/>
    </xf>
    <xf numFmtId="169" fontId="11" fillId="3" borderId="19" applyAlignment="1" pivotButton="0" quotePrefix="0" xfId="0">
      <alignment vertical="center"/>
    </xf>
    <xf numFmtId="166" fontId="11" fillId="4" borderId="19" applyAlignment="1" pivotButton="0" quotePrefix="0" xfId="0">
      <alignment horizontal="center" vertical="center"/>
    </xf>
    <xf numFmtId="0" fontId="11" fillId="4" borderId="9" applyAlignment="1" pivotButton="0" quotePrefix="0" xfId="0">
      <alignment horizontal="center" vertical="center"/>
    </xf>
    <xf numFmtId="169" fontId="18" fillId="2" borderId="19" applyAlignment="1" pivotButton="0" quotePrefix="0" xfId="0">
      <alignment horizontal="center" vertical="center"/>
    </xf>
    <xf numFmtId="0" fontId="12" fillId="4" borderId="19" applyAlignment="1" pivotButton="0" quotePrefix="0" xfId="0">
      <alignment horizontal="center" vertical="center" wrapText="1"/>
    </xf>
    <xf numFmtId="0" fontId="3" fillId="3" borderId="19" applyAlignment="1" pivotButton="0" quotePrefix="0" xfId="0">
      <alignment horizontal="right" vertical="center"/>
    </xf>
    <xf numFmtId="176" fontId="12" fillId="0" borderId="48" applyAlignment="1" pivotButton="0" quotePrefix="0" xfId="0">
      <alignment horizontal="center" vertical="center"/>
    </xf>
    <xf numFmtId="0" fontId="0" fillId="0" borderId="46" pivotButton="0" quotePrefix="0" xfId="0"/>
    <xf numFmtId="0" fontId="0" fillId="0" borderId="48" pivotButton="0" quotePrefix="0" xfId="0"/>
    <xf numFmtId="1" fontId="12" fillId="0" borderId="49" applyAlignment="1" pivotButton="0" quotePrefix="0" xfId="0">
      <alignment horizontal="center" vertical="center" wrapText="1"/>
    </xf>
    <xf numFmtId="0" fontId="0" fillId="0" borderId="44" pivotButton="0" quotePrefix="0" xfId="0"/>
    <xf numFmtId="0" fontId="0" fillId="0" borderId="49" pivotButton="0" quotePrefix="0" xfId="0"/>
    <xf numFmtId="49" fontId="11" fillId="11" borderId="59" applyAlignment="1" pivotButton="0" quotePrefix="0" xfId="0">
      <alignment horizontal="right" wrapText="1"/>
    </xf>
    <xf numFmtId="0" fontId="0" fillId="0" borderId="60" pivotButton="0" quotePrefix="0" xfId="0"/>
    <xf numFmtId="0" fontId="8" fillId="6" borderId="58" applyAlignment="1" pivotButton="0" quotePrefix="0" xfId="0">
      <alignment horizontal="center" vertical="center"/>
    </xf>
    <xf numFmtId="176" fontId="11" fillId="3" borderId="37" applyAlignment="1" pivotButton="0" quotePrefix="0" xfId="0">
      <alignment horizontal="center" vertical="center"/>
    </xf>
    <xf numFmtId="0" fontId="0" fillId="0" borderId="43" pivotButton="0" quotePrefix="0" xfId="0"/>
    <xf numFmtId="176" fontId="11" fillId="0" borderId="48" applyAlignment="1" pivotButton="0" quotePrefix="0" xfId="0">
      <alignment horizontal="center" vertical="center"/>
    </xf>
    <xf numFmtId="0" fontId="11" fillId="3" borderId="19" applyAlignment="1" pivotButton="0" quotePrefix="0" xfId="0">
      <alignment horizontal="right" vertical="center"/>
    </xf>
    <xf numFmtId="176" fontId="12" fillId="3" borderId="37" applyAlignment="1" pivotButton="0" quotePrefix="0" xfId="0">
      <alignment horizontal="center" vertical="center"/>
    </xf>
    <xf numFmtId="186" fontId="3" fillId="16" borderId="19" applyAlignment="1" pivotButton="0" quotePrefix="0" xfId="0">
      <alignment vertical="center"/>
    </xf>
    <xf numFmtId="168" fontId="11" fillId="16" borderId="19" applyAlignment="1" pivotButton="0" quotePrefix="0" xfId="0">
      <alignment vertical="center"/>
    </xf>
    <xf numFmtId="176" fontId="11" fillId="0" borderId="43" applyAlignment="1" pivotButton="0" quotePrefix="0" xfId="0">
      <alignment horizontal="center" vertical="center"/>
    </xf>
    <xf numFmtId="1" fontId="11" fillId="0" borderId="40" applyAlignment="1" pivotButton="0" quotePrefix="0" xfId="0">
      <alignment horizontal="center" vertical="center" wrapText="1"/>
    </xf>
    <xf numFmtId="0" fontId="0" fillId="0" borderId="40" pivotButton="0" quotePrefix="0" xfId="0"/>
    <xf numFmtId="0" fontId="11" fillId="3" borderId="17" applyAlignment="1" pivotButton="0" quotePrefix="0" xfId="0">
      <alignment horizontal="right" vertical="center"/>
    </xf>
    <xf numFmtId="9" fontId="37" fillId="4" borderId="19" applyAlignment="1" pivotButton="0" quotePrefix="0" xfId="0">
      <alignment horizontal="center" vertical="center"/>
    </xf>
    <xf numFmtId="1" fontId="11" fillId="3" borderId="35" applyAlignment="1" pivotButton="0" quotePrefix="0" xfId="0">
      <alignment horizontal="center" vertical="center" wrapText="1"/>
    </xf>
    <xf numFmtId="0" fontId="3" fillId="3" borderId="28" applyAlignment="1" pivotButton="0" quotePrefix="0" xfId="0">
      <alignment horizontal="center" vertical="center"/>
    </xf>
    <xf numFmtId="168" fontId="12" fillId="11" borderId="19" applyAlignment="1" pivotButton="0" quotePrefix="0" xfId="0">
      <alignment vertical="center"/>
    </xf>
    <xf numFmtId="176" fontId="12" fillId="0" borderId="37" applyAlignment="1" pivotButton="0" quotePrefix="0" xfId="0">
      <alignment horizontal="center" vertical="center"/>
    </xf>
    <xf numFmtId="1" fontId="11" fillId="0" borderId="49" applyAlignment="1" pivotButton="0" quotePrefix="0" xfId="0">
      <alignment horizontal="center" vertical="center" wrapText="1"/>
    </xf>
    <xf numFmtId="0" fontId="11" fillId="3" borderId="16" applyAlignment="1" pivotButton="0" quotePrefix="0" xfId="0">
      <alignment horizontal="center" vertical="center" wrapText="1"/>
    </xf>
    <xf numFmtId="1" fontId="12" fillId="3" borderId="35" applyAlignment="1" pivotButton="0" quotePrefix="0" xfId="0">
      <alignment horizontal="center" vertical="center" wrapText="1"/>
    </xf>
    <xf numFmtId="173" fontId="18" fillId="11" borderId="19" applyAlignment="1" pivotButton="0" quotePrefix="0" xfId="0">
      <alignment vertical="center"/>
    </xf>
    <xf numFmtId="173" fontId="18" fillId="16" borderId="19" applyAlignment="1" pivotButton="0" quotePrefix="0" xfId="0">
      <alignment horizontal="center" vertical="center"/>
    </xf>
    <xf numFmtId="1" fontId="12" fillId="0" borderId="35" applyAlignment="1" pivotButton="0" quotePrefix="0" xfId="0">
      <alignment horizontal="center" vertical="center" wrapText="1"/>
    </xf>
    <xf numFmtId="168" fontId="3" fillId="16" borderId="19" applyAlignment="1" pivotButton="0" quotePrefix="0" xfId="0">
      <alignment vertical="center"/>
    </xf>
    <xf numFmtId="186" fontId="11" fillId="16" borderId="19" applyAlignment="1" pivotButton="0" quotePrefix="0" xfId="0">
      <alignment vertical="center"/>
    </xf>
    <xf numFmtId="0" fontId="24" fillId="13" borderId="28" applyAlignment="1" pivotButton="0" quotePrefix="0" xfId="0">
      <alignment horizontal="center"/>
    </xf>
    <xf numFmtId="0" fontId="24" fillId="12" borderId="28" applyAlignment="1" pivotButton="0" quotePrefix="0" xfId="0">
      <alignment horizontal="center"/>
    </xf>
    <xf numFmtId="166" fontId="24" fillId="9" borderId="19" applyAlignment="1" pivotButton="0" quotePrefix="0" xfId="0">
      <alignment horizontal="center"/>
    </xf>
    <xf numFmtId="0" fontId="24" fillId="2" borderId="19" applyAlignment="1" pivotButton="0" quotePrefix="0" xfId="0">
      <alignment horizontal="center"/>
    </xf>
    <xf numFmtId="166" fontId="24" fillId="12" borderId="19" applyAlignment="1" pivotButton="0" quotePrefix="0" xfId="0">
      <alignment horizontal="center"/>
    </xf>
    <xf numFmtId="166" fontId="24" fillId="13" borderId="19" applyAlignment="1" pivotButton="0" quotePrefix="0" xfId="0">
      <alignment horizontal="center"/>
    </xf>
    <xf numFmtId="0" fontId="53" fillId="0" borderId="0" pivotButton="0" quotePrefix="0" xfId="0"/>
    <xf numFmtId="0" fontId="52" fillId="0" borderId="0" applyAlignment="1" pivotButton="0" quotePrefix="0" xfId="0">
      <alignment horizontal="left" vertical="center"/>
    </xf>
    <xf numFmtId="0" fontId="51" fillId="17" borderId="9" applyAlignment="1" pivotButton="0" quotePrefix="0" xfId="0">
      <alignment horizontal="center" vertical="center"/>
    </xf>
    <xf numFmtId="0" fontId="3" fillId="0" borderId="23" applyAlignment="1" pivotButton="0" quotePrefix="0" xfId="0">
      <alignment horizontal="center"/>
    </xf>
    <xf numFmtId="0" fontId="40" fillId="6" borderId="28" applyAlignment="1" pivotButton="0" quotePrefix="0" xfId="0">
      <alignment horizontal="center"/>
    </xf>
    <xf numFmtId="0" fontId="3" fillId="3" borderId="19" pivotButton="0" quotePrefix="0" xfId="0"/>
    <xf numFmtId="0" fontId="40" fillId="6" borderId="17" applyAlignment="1" pivotButton="0" quotePrefix="0" xfId="0">
      <alignment horizontal="center" vertical="center"/>
    </xf>
    <xf numFmtId="0" fontId="3" fillId="3" borderId="47" pivotButton="0" quotePrefix="0" xfId="0"/>
    <xf numFmtId="0" fontId="40" fillId="6" borderId="16" applyAlignment="1" pivotButton="0" quotePrefix="0" xfId="0">
      <alignment horizontal="center" vertical="center"/>
    </xf>
    <xf numFmtId="183" fontId="8" fillId="21" borderId="47" applyAlignment="1" pivotButton="0" quotePrefix="0" xfId="0">
      <alignment horizontal="center" vertical="center"/>
    </xf>
    <xf numFmtId="0" fontId="3" fillId="0" borderId="0" applyAlignment="1" pivotButton="0" quotePrefix="0" xfId="0">
      <alignment vertical="center"/>
    </xf>
    <xf numFmtId="0" fontId="12" fillId="3" borderId="19" applyAlignment="1" pivotButton="0" quotePrefix="0" xfId="0">
      <alignment horizontal="center" vertical="top"/>
    </xf>
    <xf numFmtId="0" fontId="8" fillId="15" borderId="19" applyAlignment="1" pivotButton="0" quotePrefix="0" xfId="0">
      <alignment horizontal="center"/>
    </xf>
    <xf numFmtId="0" fontId="11" fillId="4" borderId="19" applyAlignment="1" pivotButton="0" quotePrefix="0" xfId="0">
      <alignment horizontal="left" vertical="top"/>
    </xf>
    <xf numFmtId="0" fontId="8" fillId="6" borderId="9" applyAlignment="1" pivotButton="0" quotePrefix="0" xfId="0">
      <alignment horizontal="center" vertical="center"/>
    </xf>
    <xf numFmtId="0" fontId="12" fillId="4" borderId="19" applyAlignment="1" pivotButton="0" quotePrefix="0" xfId="0">
      <alignment horizontal="left" vertical="center"/>
    </xf>
    <xf numFmtId="0" fontId="11" fillId="4" borderId="19" applyAlignment="1" pivotButton="0" quotePrefix="0" xfId="0">
      <alignment vertical="top"/>
    </xf>
    <xf numFmtId="166" fontId="12" fillId="3" borderId="19" applyAlignment="1" pivotButton="0" quotePrefix="0" xfId="0">
      <alignment horizontal="center" vertical="top"/>
    </xf>
    <xf numFmtId="0" fontId="8" fillId="15" borderId="28" applyAlignment="1" pivotButton="0" quotePrefix="0" xfId="0">
      <alignment horizontal="center"/>
    </xf>
    <xf numFmtId="0" fontId="11" fillId="24" borderId="19" applyAlignment="1" pivotButton="0" quotePrefix="0" xfId="0">
      <alignment vertical="top"/>
    </xf>
    <xf numFmtId="0" fontId="8" fillId="15" borderId="19" applyAlignment="1" pivotButton="0" quotePrefix="0" xfId="0">
      <alignment horizontal="center" vertical="center"/>
    </xf>
    <xf numFmtId="0" fontId="37" fillId="3" borderId="19" applyAlignment="1" pivotButton="0" quotePrefix="0" xfId="0">
      <alignment horizontal="center"/>
    </xf>
    <xf numFmtId="187" fontId="44" fillId="4" borderId="16" applyAlignment="1" pivotButton="0" quotePrefix="0" xfId="0">
      <alignment horizontal="center"/>
    </xf>
    <xf numFmtId="0" fontId="3" fillId="0" borderId="9" pivotButton="0" quotePrefix="0" xfId="0"/>
    <xf numFmtId="0" fontId="0" fillId="0" borderId="13" pivotButton="0" quotePrefix="0" xfId="0"/>
    <xf numFmtId="0" fontId="0" fillId="0" borderId="17" pivotButton="0" quotePrefix="0" xfId="0"/>
    <xf numFmtId="0" fontId="0" fillId="0" borderId="24" pivotButton="0" quotePrefix="0" xfId="0"/>
    <xf numFmtId="0" fontId="0" fillId="0" borderId="47" pivotButton="0" quotePrefix="0" xfId="0"/>
    <xf numFmtId="185" fontId="11" fillId="7" borderId="28" applyAlignment="1" pivotButton="0" quotePrefix="0" xfId="0">
      <alignment horizontal="center" vertical="center"/>
    </xf>
    <xf numFmtId="167" fontId="12" fillId="7" borderId="19" applyAlignment="1" pivotButton="0" quotePrefix="0" xfId="0">
      <alignment horizontal="center" vertical="center"/>
    </xf>
    <xf numFmtId="168" fontId="11" fillId="4" borderId="19" applyAlignment="1" pivotButton="0" quotePrefix="0" xfId="0">
      <alignment horizontal="center" vertical="center"/>
    </xf>
    <xf numFmtId="168" fontId="3" fillId="3" borderId="19" applyAlignment="1" pivotButton="0" quotePrefix="0" xfId="0">
      <alignment horizontal="center" vertical="center"/>
    </xf>
    <xf numFmtId="168" fontId="3" fillId="3" borderId="17" applyAlignment="1" pivotButton="0" quotePrefix="0" xfId="0">
      <alignment horizontal="center" vertical="center"/>
    </xf>
    <xf numFmtId="169" fontId="3" fillId="3" borderId="19" applyAlignment="1" pivotButton="0" quotePrefix="0" xfId="0">
      <alignment horizontal="center" vertical="center"/>
    </xf>
    <xf numFmtId="169" fontId="16" fillId="3" borderId="19" applyAlignment="1" pivotButton="0" quotePrefix="0" xfId="0">
      <alignment horizontal="center" vertical="center"/>
    </xf>
    <xf numFmtId="168" fontId="11" fillId="8" borderId="19" applyAlignment="1" pivotButton="0" quotePrefix="0" xfId="0">
      <alignment horizontal="center" vertical="center"/>
    </xf>
    <xf numFmtId="168" fontId="11" fillId="8" borderId="47" applyAlignment="1" pivotButton="0" quotePrefix="0" xfId="0">
      <alignment horizontal="center" vertical="center"/>
    </xf>
    <xf numFmtId="169" fontId="18" fillId="8" borderId="19" applyAlignment="1" pivotButton="0" quotePrefix="0" xfId="0">
      <alignment horizontal="center" vertical="center"/>
    </xf>
    <xf numFmtId="169" fontId="16" fillId="3" borderId="19" applyAlignment="1" pivotButton="0" quotePrefix="0" xfId="0">
      <alignment vertical="center"/>
    </xf>
    <xf numFmtId="169" fontId="11" fillId="3" borderId="19" applyAlignment="1" pivotButton="0" quotePrefix="0" xfId="0">
      <alignment horizontal="center" vertical="center"/>
    </xf>
    <xf numFmtId="169" fontId="11" fillId="3" borderId="19" applyAlignment="1" pivotButton="0" quotePrefix="0" xfId="0">
      <alignment vertical="center"/>
    </xf>
    <xf numFmtId="0" fontId="20" fillId="0" borderId="9" pivotButton="0" quotePrefix="0" xfId="0"/>
    <xf numFmtId="170" fontId="12" fillId="4" borderId="19" applyAlignment="1" pivotButton="0" quotePrefix="0" xfId="0">
      <alignment horizontal="center" vertical="center"/>
    </xf>
    <xf numFmtId="168" fontId="3" fillId="9" borderId="19" applyAlignment="1" pivotButton="0" quotePrefix="0" xfId="0">
      <alignment horizontal="right" vertical="center"/>
    </xf>
    <xf numFmtId="168" fontId="3" fillId="11" borderId="19" applyAlignment="1" pivotButton="0" quotePrefix="0" xfId="0">
      <alignment horizontal="right" vertical="center"/>
    </xf>
    <xf numFmtId="168" fontId="3" fillId="12" borderId="19" applyAlignment="1" pivotButton="0" quotePrefix="0" xfId="0">
      <alignment horizontal="right" vertical="center"/>
    </xf>
    <xf numFmtId="170" fontId="3" fillId="4" borderId="19" applyAlignment="1" pivotButton="0" quotePrefix="0" xfId="0">
      <alignment horizontal="right" vertical="center"/>
    </xf>
    <xf numFmtId="168" fontId="11" fillId="3" borderId="19" applyAlignment="1" pivotButton="0" quotePrefix="0" xfId="0">
      <alignment horizontal="right" vertical="center"/>
    </xf>
    <xf numFmtId="171" fontId="16" fillId="3" borderId="19" applyAlignment="1" pivotButton="0" quotePrefix="0" xfId="0">
      <alignment horizontal="center" vertical="center"/>
    </xf>
    <xf numFmtId="172" fontId="26" fillId="5" borderId="9" applyAlignment="1" pivotButton="0" quotePrefix="0" xfId="0">
      <alignment vertical="center"/>
    </xf>
    <xf numFmtId="172" fontId="11" fillId="4" borderId="19" applyAlignment="1" pivotButton="0" quotePrefix="0" xfId="0">
      <alignment horizontal="center" vertical="center"/>
    </xf>
    <xf numFmtId="169" fontId="8" fillId="2" borderId="19" applyAlignment="1" pivotButton="0" quotePrefix="0" xfId="0">
      <alignment vertical="center"/>
    </xf>
    <xf numFmtId="168" fontId="27" fillId="2" borderId="19" applyAlignment="1" pivotButton="0" quotePrefix="0" xfId="0">
      <alignment horizontal="center" vertical="center"/>
    </xf>
    <xf numFmtId="169" fontId="28" fillId="2" borderId="19" applyAlignment="1" pivotButton="0" quotePrefix="0" xfId="0">
      <alignment horizontal="center" vertical="center"/>
    </xf>
    <xf numFmtId="0" fontId="0" fillId="0" borderId="51" pivotButton="0" quotePrefix="0" xfId="0"/>
    <xf numFmtId="171" fontId="3" fillId="3" borderId="19" applyAlignment="1" pivotButton="0" quotePrefix="0" xfId="0">
      <alignment horizontal="center"/>
    </xf>
    <xf numFmtId="168" fontId="3" fillId="3" borderId="28" applyAlignment="1" pivotButton="0" quotePrefix="0" xfId="0">
      <alignment horizontal="center" vertical="center"/>
    </xf>
    <xf numFmtId="169" fontId="8" fillId="15" borderId="28" applyAlignment="1" pivotButton="0" quotePrefix="0" xfId="0">
      <alignment horizontal="center" vertical="center"/>
    </xf>
    <xf numFmtId="171" fontId="12" fillId="4" borderId="19" applyAlignment="1" pivotButton="0" quotePrefix="0" xfId="0">
      <alignment horizontal="center" vertical="center"/>
    </xf>
    <xf numFmtId="169" fontId="18" fillId="2" borderId="19" applyAlignment="1" pivotButton="0" quotePrefix="0" xfId="0">
      <alignment horizontal="center" vertical="center"/>
    </xf>
    <xf numFmtId="171" fontId="12" fillId="7" borderId="19" applyAlignment="1" pivotButton="0" quotePrefix="0" xfId="0">
      <alignment horizontal="center" vertical="center"/>
    </xf>
    <xf numFmtId="186" fontId="3" fillId="16" borderId="19" applyAlignment="1" pivotButton="0" quotePrefix="0" xfId="0">
      <alignment vertical="center"/>
    </xf>
    <xf numFmtId="168" fontId="3" fillId="16" borderId="19" applyAlignment="1" pivotButton="0" quotePrefix="0" xfId="0">
      <alignment vertical="center"/>
    </xf>
    <xf numFmtId="170" fontId="34" fillId="3" borderId="17" pivotButton="0" quotePrefix="0" xfId="0"/>
    <xf numFmtId="186" fontId="11" fillId="16" borderId="19" applyAlignment="1" pivotButton="0" quotePrefix="0" xfId="0">
      <alignment vertical="center"/>
    </xf>
    <xf numFmtId="168" fontId="11" fillId="16" borderId="19" applyAlignment="1" pivotButton="0" quotePrefix="0" xfId="0">
      <alignment vertical="center"/>
    </xf>
    <xf numFmtId="173" fontId="11" fillId="0" borderId="0" applyAlignment="1" pivotButton="0" quotePrefix="0" xfId="0">
      <alignment horizontal="center"/>
    </xf>
    <xf numFmtId="173" fontId="18" fillId="11" borderId="19" applyAlignment="1" pivotButton="0" quotePrefix="0" xfId="0">
      <alignment vertical="center"/>
    </xf>
    <xf numFmtId="168" fontId="12" fillId="11" borderId="19" applyAlignment="1" pivotButton="0" quotePrefix="0" xfId="0">
      <alignment vertical="center"/>
    </xf>
    <xf numFmtId="173" fontId="18" fillId="16" borderId="19" applyAlignment="1" pivotButton="0" quotePrefix="0" xfId="0">
      <alignment horizontal="center" vertical="center"/>
    </xf>
    <xf numFmtId="174" fontId="3" fillId="0" borderId="36" applyAlignment="1" pivotButton="0" quotePrefix="0" xfId="0">
      <alignment horizontal="center"/>
    </xf>
    <xf numFmtId="175" fontId="3" fillId="0" borderId="36" applyAlignment="1" pivotButton="0" quotePrefix="0" xfId="0">
      <alignment vertical="center"/>
    </xf>
    <xf numFmtId="176" fontId="3" fillId="0" borderId="36" applyAlignment="1" pivotButton="0" quotePrefix="0" xfId="0">
      <alignment vertical="center"/>
    </xf>
    <xf numFmtId="176" fontId="11" fillId="0" borderId="37" applyAlignment="1" pivotButton="0" quotePrefix="0" xfId="0">
      <alignment vertical="center"/>
    </xf>
    <xf numFmtId="176" fontId="11" fillId="0" borderId="37" applyAlignment="1" pivotButton="0" quotePrefix="0" xfId="0">
      <alignment horizontal="center" vertical="center"/>
    </xf>
    <xf numFmtId="174" fontId="3" fillId="3" borderId="38" applyAlignment="1" pivotButton="0" quotePrefix="0" xfId="0">
      <alignment horizontal="center"/>
    </xf>
    <xf numFmtId="175" fontId="3" fillId="3" borderId="38" pivotButton="0" quotePrefix="0" xfId="0"/>
    <xf numFmtId="176" fontId="3" fillId="3" borderId="38" pivotButton="0" quotePrefix="0" xfId="0"/>
    <xf numFmtId="176" fontId="11" fillId="3" borderId="39" pivotButton="0" quotePrefix="0" xfId="0"/>
    <xf numFmtId="176" fontId="11" fillId="3" borderId="37" applyAlignment="1" pivotButton="0" quotePrefix="0" xfId="0">
      <alignment horizontal="center" vertical="center"/>
    </xf>
    <xf numFmtId="174" fontId="3" fillId="3" borderId="41" applyAlignment="1" pivotButton="0" quotePrefix="0" xfId="0">
      <alignment horizontal="center"/>
    </xf>
    <xf numFmtId="175" fontId="3" fillId="3" borderId="41" pivotButton="0" quotePrefix="0" xfId="0"/>
    <xf numFmtId="176" fontId="3" fillId="3" borderId="41" pivotButton="0" quotePrefix="0" xfId="0"/>
    <xf numFmtId="176" fontId="11" fillId="3" borderId="42" pivotButton="0" quotePrefix="0" xfId="0"/>
    <xf numFmtId="174" fontId="16" fillId="0" borderId="38" applyAlignment="1" pivotButton="0" quotePrefix="0" xfId="0">
      <alignment horizontal="center"/>
    </xf>
    <xf numFmtId="175" fontId="16" fillId="0" borderId="38" pivotButton="0" quotePrefix="0" xfId="0"/>
    <xf numFmtId="176" fontId="16" fillId="0" borderId="38" pivotButton="0" quotePrefix="0" xfId="0"/>
    <xf numFmtId="176" fontId="12" fillId="0" borderId="39" pivotButton="0" quotePrefix="0" xfId="0"/>
    <xf numFmtId="176" fontId="12" fillId="0" borderId="37" applyAlignment="1" pivotButton="0" quotePrefix="0" xfId="0">
      <alignment horizontal="center" vertical="center"/>
    </xf>
    <xf numFmtId="174" fontId="16" fillId="0" borderId="19" applyAlignment="1" pivotButton="0" quotePrefix="0" xfId="0">
      <alignment horizontal="center"/>
    </xf>
    <xf numFmtId="175" fontId="16" fillId="0" borderId="19" pivotButton="0" quotePrefix="0" xfId="0"/>
    <xf numFmtId="176" fontId="16" fillId="0" borderId="19" pivotButton="0" quotePrefix="0" xfId="0"/>
    <xf numFmtId="176" fontId="12" fillId="0" borderId="45" pivotButton="0" quotePrefix="0" xfId="0"/>
    <xf numFmtId="174" fontId="16" fillId="0" borderId="20" applyAlignment="1" pivotButton="0" quotePrefix="0" xfId="0">
      <alignment horizontal="center"/>
    </xf>
    <xf numFmtId="174" fontId="16" fillId="0" borderId="41" applyAlignment="1" pivotButton="0" quotePrefix="0" xfId="0">
      <alignment horizontal="center"/>
    </xf>
    <xf numFmtId="175" fontId="16" fillId="0" borderId="41" pivotButton="0" quotePrefix="0" xfId="0"/>
    <xf numFmtId="176" fontId="16" fillId="0" borderId="41" pivotButton="0" quotePrefix="0" xfId="0"/>
    <xf numFmtId="176" fontId="12" fillId="0" borderId="42" pivotButton="0" quotePrefix="0" xfId="0"/>
    <xf numFmtId="174" fontId="16" fillId="3" borderId="38" applyAlignment="1" pivotButton="0" quotePrefix="0" xfId="0">
      <alignment horizontal="center"/>
    </xf>
    <xf numFmtId="175" fontId="16" fillId="3" borderId="38" pivotButton="0" quotePrefix="0" xfId="0"/>
    <xf numFmtId="176" fontId="16" fillId="3" borderId="38" pivotButton="0" quotePrefix="0" xfId="0"/>
    <xf numFmtId="176" fontId="12" fillId="3" borderId="39" pivotButton="0" quotePrefix="0" xfId="0"/>
    <xf numFmtId="176" fontId="12" fillId="3" borderId="37" applyAlignment="1" pivotButton="0" quotePrefix="0" xfId="0">
      <alignment horizontal="center" vertical="center"/>
    </xf>
    <xf numFmtId="174" fontId="16" fillId="3" borderId="19" applyAlignment="1" pivotButton="0" quotePrefix="0" xfId="0">
      <alignment horizontal="center"/>
    </xf>
    <xf numFmtId="175" fontId="16" fillId="3" borderId="19" pivotButton="0" quotePrefix="0" xfId="0"/>
    <xf numFmtId="176" fontId="16" fillId="3" borderId="19" pivotButton="0" quotePrefix="0" xfId="0"/>
    <xf numFmtId="176" fontId="12" fillId="3" borderId="45" pivotButton="0" quotePrefix="0" xfId="0"/>
    <xf numFmtId="174" fontId="16" fillId="3" borderId="41" applyAlignment="1" pivotButton="0" quotePrefix="0" xfId="0">
      <alignment horizontal="center"/>
    </xf>
    <xf numFmtId="175" fontId="16" fillId="3" borderId="41" pivotButton="0" quotePrefix="0" xfId="0"/>
    <xf numFmtId="176" fontId="16" fillId="3" borderId="41" pivotButton="0" quotePrefix="0" xfId="0"/>
    <xf numFmtId="176" fontId="12" fillId="3" borderId="42" pivotButton="0" quotePrefix="0" xfId="0"/>
    <xf numFmtId="174" fontId="16" fillId="0" borderId="22" applyAlignment="1" pivotButton="0" quotePrefix="0" xfId="0">
      <alignment horizontal="center"/>
    </xf>
    <xf numFmtId="175" fontId="16" fillId="0" borderId="22" pivotButton="0" quotePrefix="0" xfId="0"/>
    <xf numFmtId="176" fontId="16" fillId="0" borderId="22" pivotButton="0" quotePrefix="0" xfId="0"/>
    <xf numFmtId="176" fontId="12" fillId="0" borderId="48" pivotButton="0" quotePrefix="0" xfId="0"/>
    <xf numFmtId="176" fontId="12" fillId="0" borderId="48" applyAlignment="1" pivotButton="0" quotePrefix="0" xfId="0">
      <alignment horizontal="center" vertical="center"/>
    </xf>
    <xf numFmtId="175" fontId="16" fillId="0" borderId="20" pivotButton="0" quotePrefix="0" xfId="0"/>
    <xf numFmtId="176" fontId="16" fillId="0" borderId="20" pivotButton="0" quotePrefix="0" xfId="0"/>
    <xf numFmtId="176" fontId="12" fillId="0" borderId="50" pivotButton="0" quotePrefix="0" xfId="0"/>
    <xf numFmtId="174" fontId="3" fillId="3" borderId="19" applyAlignment="1" pivotButton="0" quotePrefix="0" xfId="0">
      <alignment horizontal="center"/>
    </xf>
    <xf numFmtId="175" fontId="3" fillId="3" borderId="19" pivotButton="0" quotePrefix="0" xfId="0"/>
    <xf numFmtId="176" fontId="3" fillId="3" borderId="19" pivotButton="0" quotePrefix="0" xfId="0"/>
    <xf numFmtId="176" fontId="11" fillId="3" borderId="45" pivotButton="0" quotePrefix="0" xfId="0"/>
    <xf numFmtId="176" fontId="11" fillId="0" borderId="48" applyAlignment="1" pivotButton="0" quotePrefix="0" xfId="0">
      <alignment horizontal="center" vertical="center"/>
    </xf>
    <xf numFmtId="174" fontId="3" fillId="0" borderId="22" applyAlignment="1" pivotButton="0" quotePrefix="0" xfId="0">
      <alignment horizontal="center"/>
    </xf>
    <xf numFmtId="175" fontId="3" fillId="0" borderId="22" pivotButton="0" quotePrefix="0" xfId="0"/>
    <xf numFmtId="176" fontId="3" fillId="0" borderId="22" pivotButton="0" quotePrefix="0" xfId="0"/>
    <xf numFmtId="176" fontId="11" fillId="0" borderId="48" pivotButton="0" quotePrefix="0" xfId="0"/>
    <xf numFmtId="174" fontId="3" fillId="0" borderId="19" applyAlignment="1" pivotButton="0" quotePrefix="0" xfId="0">
      <alignment horizontal="center"/>
    </xf>
    <xf numFmtId="175" fontId="3" fillId="0" borderId="19" pivotButton="0" quotePrefix="0" xfId="0"/>
    <xf numFmtId="176" fontId="3" fillId="0" borderId="19" pivotButton="0" quotePrefix="0" xfId="0"/>
    <xf numFmtId="176" fontId="11" fillId="0" borderId="45" pivotButton="0" quotePrefix="0" xfId="0"/>
    <xf numFmtId="175" fontId="3" fillId="0" borderId="19" applyAlignment="1" pivotButton="0" quotePrefix="0" xfId="0">
      <alignment vertical="center"/>
    </xf>
    <xf numFmtId="176" fontId="3" fillId="0" borderId="19" applyAlignment="1" pivotButton="0" quotePrefix="0" xfId="0">
      <alignment vertical="center"/>
    </xf>
    <xf numFmtId="176" fontId="11" fillId="0" borderId="45" applyAlignment="1" pivotButton="0" quotePrefix="0" xfId="0">
      <alignment vertical="center"/>
    </xf>
    <xf numFmtId="174" fontId="3" fillId="0" borderId="20" applyAlignment="1" pivotButton="0" quotePrefix="0" xfId="0">
      <alignment horizontal="center"/>
    </xf>
    <xf numFmtId="175" fontId="3" fillId="0" borderId="20" pivotButton="0" quotePrefix="0" xfId="0"/>
    <xf numFmtId="176" fontId="3" fillId="0" borderId="20" pivotButton="0" quotePrefix="0" xfId="0"/>
    <xf numFmtId="176" fontId="11" fillId="0" borderId="50" pivotButton="0" quotePrefix="0" xfId="0"/>
    <xf numFmtId="174" fontId="3" fillId="0" borderId="27" applyAlignment="1" pivotButton="0" quotePrefix="0" xfId="0">
      <alignment horizontal="center"/>
    </xf>
    <xf numFmtId="175" fontId="3" fillId="0" borderId="27" pivotButton="0" quotePrefix="0" xfId="0"/>
    <xf numFmtId="176" fontId="3" fillId="0" borderId="27" pivotButton="0" quotePrefix="0" xfId="0"/>
    <xf numFmtId="176" fontId="11" fillId="0" borderId="46" pivotButton="0" quotePrefix="0" xfId="0"/>
    <xf numFmtId="176" fontId="11" fillId="0" borderId="46" applyAlignment="1" pivotButton="0" quotePrefix="0" xfId="0">
      <alignment horizontal="center" vertical="center"/>
    </xf>
    <xf numFmtId="174" fontId="3" fillId="3" borderId="36" applyAlignment="1" pivotButton="0" quotePrefix="0" xfId="0">
      <alignment horizontal="center"/>
    </xf>
    <xf numFmtId="175" fontId="3" fillId="3" borderId="36" pivotButton="0" quotePrefix="0" xfId="0"/>
    <xf numFmtId="176" fontId="3" fillId="3" borderId="36" pivotButton="0" quotePrefix="0" xfId="0"/>
    <xf numFmtId="176" fontId="11" fillId="3" borderId="37" pivotButton="0" quotePrefix="0" xfId="0"/>
    <xf numFmtId="176" fontId="11" fillId="0" borderId="43" applyAlignment="1" pivotButton="0" quotePrefix="0" xfId="0">
      <alignment horizontal="center" vertical="center"/>
    </xf>
    <xf numFmtId="174" fontId="3" fillId="0" borderId="41" applyAlignment="1" pivotButton="0" quotePrefix="0" xfId="0">
      <alignment horizontal="center"/>
    </xf>
    <xf numFmtId="175" fontId="3" fillId="0" borderId="41" pivotButton="0" quotePrefix="0" xfId="0"/>
    <xf numFmtId="176" fontId="3" fillId="0" borderId="41" pivotButton="0" quotePrefix="0" xfId="0"/>
    <xf numFmtId="176" fontId="11" fillId="0" borderId="42" pivotButton="0" quotePrefix="0" xfId="0"/>
    <xf numFmtId="49" fontId="11" fillId="11" borderId="60" applyAlignment="1" pivotButton="0" quotePrefix="0" xfId="0">
      <alignment horizontal="right" wrapText="1"/>
    </xf>
    <xf numFmtId="170" fontId="3" fillId="11" borderId="52" applyAlignment="1" pivotButton="0" quotePrefix="0" xfId="0">
      <alignment horizontal="center"/>
    </xf>
    <xf numFmtId="170" fontId="11" fillId="11" borderId="53" applyAlignment="1" pivotButton="0" quotePrefix="0" xfId="0">
      <alignment horizontal="right"/>
    </xf>
    <xf numFmtId="177" fontId="43" fillId="0" borderId="0" pivotButton="0" quotePrefix="0" xfId="0"/>
    <xf numFmtId="170" fontId="24" fillId="4" borderId="12" applyAlignment="1" pivotButton="0" quotePrefix="0" xfId="0">
      <alignment horizontal="right"/>
    </xf>
    <xf numFmtId="170" fontId="24" fillId="13" borderId="12" applyAlignment="1" pivotButton="0" quotePrefix="0" xfId="0">
      <alignment horizontal="right"/>
    </xf>
    <xf numFmtId="187" fontId="44" fillId="4" borderId="16" applyAlignment="1" pivotButton="0" quotePrefix="0" xfId="0">
      <alignment horizontal="center"/>
    </xf>
    <xf numFmtId="170" fontId="24" fillId="13" borderId="15" applyAlignment="1" pivotButton="0" quotePrefix="0" xfId="0">
      <alignment horizontal="right"/>
    </xf>
    <xf numFmtId="178" fontId="24" fillId="4" borderId="19" applyAlignment="1" pivotButton="0" quotePrefix="0" xfId="0">
      <alignment horizontal="right"/>
    </xf>
    <xf numFmtId="178" fontId="24" fillId="4" borderId="19" pivotButton="0" quotePrefix="0" xfId="0"/>
    <xf numFmtId="170" fontId="6" fillId="3" borderId="19" applyAlignment="1" pivotButton="0" quotePrefix="0" xfId="0">
      <alignment horizontal="right"/>
    </xf>
    <xf numFmtId="170" fontId="24" fillId="9" borderId="19" applyAlignment="1" pivotButton="0" quotePrefix="0" xfId="0">
      <alignment horizontal="right"/>
    </xf>
    <xf numFmtId="170" fontId="24" fillId="9" borderId="19" pivotButton="0" quotePrefix="0" xfId="0"/>
    <xf numFmtId="170" fontId="24" fillId="12" borderId="19" applyAlignment="1" pivotButton="0" quotePrefix="0" xfId="0">
      <alignment horizontal="right"/>
    </xf>
    <xf numFmtId="170" fontId="24" fillId="12" borderId="19" pivotButton="0" quotePrefix="0" xfId="0"/>
    <xf numFmtId="170" fontId="24" fillId="13" borderId="19" applyAlignment="1" pivotButton="0" quotePrefix="0" xfId="0">
      <alignment horizontal="right"/>
    </xf>
    <xf numFmtId="170" fontId="24" fillId="13" borderId="19" pivotButton="0" quotePrefix="0" xfId="0"/>
    <xf numFmtId="170" fontId="24" fillId="2" borderId="19" pivotButton="0" quotePrefix="0" xfId="0"/>
    <xf numFmtId="168" fontId="47" fillId="2" borderId="19" applyAlignment="1" pivotButton="0" quotePrefix="0" xfId="0">
      <alignment horizontal="center"/>
    </xf>
    <xf numFmtId="168" fontId="49" fillId="3" borderId="19" pivotButton="0" quotePrefix="0" xfId="0"/>
    <xf numFmtId="168" fontId="49" fillId="0" borderId="19" pivotButton="0" quotePrefix="0" xfId="0"/>
    <xf numFmtId="170" fontId="6" fillId="3" borderId="15" applyAlignment="1" pivotButton="0" quotePrefix="0" xfId="0">
      <alignment horizontal="center"/>
    </xf>
    <xf numFmtId="0" fontId="52" fillId="0" borderId="9" applyAlignment="1" pivotButton="0" quotePrefix="0" xfId="0">
      <alignment horizontal="left" vertical="center"/>
    </xf>
    <xf numFmtId="0" fontId="53" fillId="0" borderId="9" pivotButton="0" quotePrefix="0" xfId="0"/>
    <xf numFmtId="169" fontId="55" fillId="18" borderId="54" applyAlignment="1" pivotButton="0" quotePrefix="0" xfId="0">
      <alignment horizontal="center" vertical="center"/>
    </xf>
    <xf numFmtId="179" fontId="59" fillId="0" borderId="0" applyAlignment="1" pivotButton="0" quotePrefix="0" xfId="0">
      <alignment horizontal="center" vertical="center"/>
    </xf>
    <xf numFmtId="180" fontId="59" fillId="0" borderId="0" applyAlignment="1" pivotButton="0" quotePrefix="0" xfId="0">
      <alignment horizontal="center" vertical="center"/>
    </xf>
    <xf numFmtId="181" fontId="62" fillId="0" borderId="54" applyAlignment="1" pivotButton="0" quotePrefix="0" xfId="0">
      <alignment horizontal="right" vertical="center"/>
    </xf>
    <xf numFmtId="181" fontId="59" fillId="0" borderId="54" applyAlignment="1" pivotButton="0" quotePrefix="0" xfId="0">
      <alignment horizontal="right" vertical="center"/>
    </xf>
    <xf numFmtId="169" fontId="59" fillId="19" borderId="54" applyAlignment="1" pivotButton="0" quotePrefix="0" xfId="0">
      <alignment horizontal="right" vertical="center"/>
    </xf>
    <xf numFmtId="169" fontId="59" fillId="0" borderId="54" applyAlignment="1" pivotButton="0" quotePrefix="0" xfId="0">
      <alignment horizontal="right" vertical="center"/>
    </xf>
    <xf numFmtId="169" fontId="63" fillId="20" borderId="54" pivotButton="0" quotePrefix="0" xfId="0"/>
    <xf numFmtId="169" fontId="64" fillId="20" borderId="54" pivotButton="0" quotePrefix="0" xfId="0"/>
    <xf numFmtId="169" fontId="62" fillId="0" borderId="0" applyAlignment="1" pivotButton="0" quotePrefix="0" xfId="0">
      <alignment horizontal="right" vertical="center"/>
    </xf>
    <xf numFmtId="169" fontId="59" fillId="0" borderId="0" applyAlignment="1" pivotButton="0" quotePrefix="0" xfId="0">
      <alignment horizontal="right" vertical="center"/>
    </xf>
    <xf numFmtId="169" fontId="65" fillId="19" borderId="9" applyAlignment="1" pivotButton="0" quotePrefix="0" xfId="0">
      <alignment horizontal="right" vertical="center"/>
    </xf>
    <xf numFmtId="182" fontId="59" fillId="0" borderId="0" applyAlignment="1" pivotButton="0" quotePrefix="0" xfId="0">
      <alignment horizontal="right" vertical="center"/>
    </xf>
    <xf numFmtId="180" fontId="59" fillId="0" borderId="54" applyAlignment="1" pivotButton="0" quotePrefix="0" xfId="0">
      <alignment horizontal="center" vertical="center"/>
    </xf>
    <xf numFmtId="183" fontId="3" fillId="22" borderId="15" applyAlignment="1" pivotButton="0" quotePrefix="0" xfId="0">
      <alignment horizontal="center"/>
    </xf>
    <xf numFmtId="183" fontId="3" fillId="23" borderId="15" applyAlignment="1" pivotButton="0" quotePrefix="0" xfId="0">
      <alignment horizontal="center"/>
    </xf>
    <xf numFmtId="183" fontId="11" fillId="22" borderId="19" applyAlignment="1" pivotButton="0" quotePrefix="0" xfId="0">
      <alignment horizontal="center" vertical="center"/>
    </xf>
    <xf numFmtId="183" fontId="11" fillId="23" borderId="19" applyAlignment="1" pivotButton="0" quotePrefix="0" xfId="0">
      <alignment horizontal="center" vertical="center"/>
    </xf>
    <xf numFmtId="183" fontId="8" fillId="21" borderId="47" applyAlignment="1" pivotButton="0" quotePrefix="0" xfId="0">
      <alignment horizontal="center" vertical="center"/>
    </xf>
    <xf numFmtId="183" fontId="40" fillId="6" borderId="15" applyAlignment="1" pivotButton="0" quotePrefix="0" xfId="0">
      <alignment horizontal="right"/>
    </xf>
    <xf numFmtId="178" fontId="3" fillId="4" borderId="19" applyAlignment="1" pivotButton="0" quotePrefix="0" xfId="0">
      <alignment horizontal="right"/>
    </xf>
    <xf numFmtId="178" fontId="3" fillId="4" borderId="15" applyAlignment="1" pivotButton="0" quotePrefix="0" xfId="0">
      <alignment horizontal="right"/>
    </xf>
    <xf numFmtId="171" fontId="11" fillId="3" borderId="19" applyAlignment="1" pivotButton="0" quotePrefix="0" xfId="0">
      <alignment horizontal="center" vertical="center"/>
    </xf>
    <xf numFmtId="173" fontId="18" fillId="0" borderId="0" applyAlignment="1" pivotButton="0" quotePrefix="0" xfId="0">
      <alignment horizontal="center" vertical="center"/>
    </xf>
    <xf numFmtId="173" fontId="12" fillId="0" borderId="0" applyAlignment="1" pivotButton="0" quotePrefix="0" xfId="0">
      <alignment horizontal="center" vertical="center"/>
    </xf>
    <xf numFmtId="0" fontId="3" fillId="0" borderId="9" applyAlignment="1" pivotButton="0" quotePrefix="0" xfId="0">
      <alignment vertical="center"/>
    </xf>
    <xf numFmtId="184" fontId="3" fillId="0" borderId="0" applyAlignment="1" pivotButton="0" quotePrefix="0" xfId="0">
      <alignment vertical="center"/>
    </xf>
    <xf numFmtId="173" fontId="3" fillId="0" borderId="0" applyAlignment="1" pivotButton="0" quotePrefix="0" xfId="0">
      <alignment vertical="center"/>
    </xf>
    <xf numFmtId="10" fontId="59" fillId="0" borderId="54" applyAlignment="1" pivotButton="0" quotePrefix="0" xfId="0">
      <alignment horizontal="center"/>
    </xf>
    <xf numFmtId="3" fontId="55" fillId="26" borderId="0" applyAlignment="1" pivotButton="0" quotePrefix="0" xfId="0">
      <alignment horizontal="center"/>
    </xf>
    <xf numFmtId="1" fontId="59" fillId="0" borderId="0" applyAlignment="1" pivotButton="0" quotePrefix="0" xfId="0">
      <alignment horizontal="center"/>
    </xf>
    <xf numFmtId="188" fontId="55" fillId="26" borderId="0" applyAlignment="1" pivotButton="0" quotePrefix="0" xfId="0">
      <alignment horizontal="center"/>
    </xf>
    <xf numFmtId="188" fontId="59" fillId="0" borderId="0" applyAlignment="1" pivotButton="0" quotePrefix="0" xfId="0">
      <alignment horizontal="center"/>
    </xf>
    <xf numFmtId="3" fontId="59" fillId="0" borderId="0" applyAlignment="1" pivotButton="0" quotePrefix="0" xfId="0">
      <alignment horizontal="center"/>
    </xf>
    <xf numFmtId="10" fontId="59" fillId="0" borderId="0" applyAlignment="1" pivotButton="0" quotePrefix="0" xfId="0">
      <alignment horizontal="center"/>
    </xf>
    <xf numFmtId="0" fontId="75" fillId="27" borderId="0" applyAlignment="1" pivotButton="0" quotePrefix="0" xfId="0">
      <alignment horizontal="center"/>
    </xf>
    <xf numFmtId="171" fontId="59" fillId="0" borderId="0" applyAlignment="1" pivotButton="0" quotePrefix="0" xfId="0">
      <alignment horizontal="center"/>
    </xf>
    <xf numFmtId="0" fontId="6" fillId="0" borderId="9" pivotButton="0" quotePrefix="0" xfId="0"/>
    <xf numFmtId="10" fontId="76" fillId="18" borderId="54" applyAlignment="1" pivotButton="0" quotePrefix="0" xfId="0">
      <alignment horizontal="center" vertical="center"/>
    </xf>
    <xf numFmtId="0" fontId="54" fillId="0" borderId="9" pivotButton="0" quotePrefix="0" xfId="0"/>
    <xf numFmtId="10" fontId="76" fillId="18" borderId="0" pivotButton="0" quotePrefix="0" xfId="0"/>
    <xf numFmtId="188" fontId="76" fillId="18" borderId="0" pivotButton="0" quotePrefix="0" xfId="0"/>
    <xf numFmtId="168" fontId="76" fillId="18" borderId="0" pivotButton="0" quotePrefix="0" xfId="0"/>
    <xf numFmtId="10" fontId="77" fillId="0" borderId="54" applyAlignment="1" pivotButton="0" quotePrefix="0" xfId="0">
      <alignment horizontal="center"/>
    </xf>
    <xf numFmtId="1" fontId="76" fillId="18" borderId="0" pivotButton="0" quotePrefix="0" xfId="0"/>
    <xf numFmtId="169" fontId="77" fillId="0" borderId="0" pivotButton="0" quotePrefix="0" xfId="0"/>
    <xf numFmtId="169" fontId="76" fillId="18" borderId="54" applyAlignment="1" pivotButton="0" quotePrefix="0" xfId="0">
      <alignment horizontal="center" vertical="center"/>
    </xf>
    <xf numFmtId="1" fontId="76" fillId="18" borderId="54" applyAlignment="1" pivotButton="0" quotePrefix="0" xfId="0">
      <alignment horizontal="center" vertical="center"/>
    </xf>
    <xf numFmtId="171" fontId="76" fillId="18" borderId="0" pivotButton="0" quotePrefix="0" xfId="0"/>
    <xf numFmtId="179" fontId="77" fillId="0" borderId="0" applyAlignment="1" pivotButton="0" quotePrefix="0" xfId="0">
      <alignment horizontal="center" vertical="center"/>
    </xf>
    <xf numFmtId="179" fontId="77" fillId="0" borderId="0" pivotButton="0" quotePrefix="0" xfId="0"/>
    <xf numFmtId="180" fontId="77" fillId="0" borderId="0" applyAlignment="1" pivotButton="0" quotePrefix="0" xfId="0">
      <alignment horizontal="center" vertical="center"/>
    </xf>
    <xf numFmtId="0" fontId="78" fillId="17" borderId="54" applyAlignment="1" pivotButton="0" quotePrefix="0" xfId="0">
      <alignment horizontal="center" vertical="center" wrapText="1"/>
    </xf>
    <xf numFmtId="0" fontId="78" fillId="17" borderId="0" applyAlignment="1" pivotButton="0" quotePrefix="0" xfId="0">
      <alignment horizontal="center" vertical="center" wrapText="1"/>
    </xf>
    <xf numFmtId="1" fontId="77" fillId="0" borderId="54" applyAlignment="1" pivotButton="0" quotePrefix="0" xfId="0">
      <alignment horizontal="center" vertical="center"/>
    </xf>
    <xf numFmtId="0" fontId="77" fillId="0" borderId="54" applyAlignment="1" pivotButton="0" quotePrefix="0" xfId="0">
      <alignment horizontal="center" vertical="center"/>
    </xf>
    <xf numFmtId="2" fontId="77" fillId="0" borderId="54" applyAlignment="1" pivotButton="0" quotePrefix="0" xfId="0">
      <alignment horizontal="center" vertical="center"/>
    </xf>
    <xf numFmtId="0" fontId="76" fillId="18" borderId="54" applyAlignment="1" pivotButton="0" quotePrefix="0" xfId="0">
      <alignment horizontal="right" vertical="center"/>
    </xf>
    <xf numFmtId="1" fontId="76" fillId="18" borderId="54" applyAlignment="1" pivotButton="0" quotePrefix="0" xfId="0">
      <alignment horizontal="right" vertical="center"/>
    </xf>
    <xf numFmtId="10" fontId="77" fillId="0" borderId="54" applyAlignment="1" pivotButton="0" quotePrefix="0" xfId="0">
      <alignment horizontal="right" vertical="center"/>
    </xf>
    <xf numFmtId="168" fontId="76" fillId="18" borderId="54" applyAlignment="1" pivotButton="0" quotePrefix="0" xfId="0">
      <alignment horizontal="right" vertical="center"/>
    </xf>
    <xf numFmtId="168" fontId="77" fillId="0" borderId="54" applyAlignment="1" pivotButton="0" quotePrefix="0" xfId="0">
      <alignment horizontal="right" vertical="center"/>
    </xf>
    <xf numFmtId="182" fontId="77" fillId="0" borderId="54" applyAlignment="1" pivotButton="0" quotePrefix="0" xfId="0">
      <alignment horizontal="right" vertical="center"/>
    </xf>
    <xf numFmtId="165" fontId="76" fillId="18" borderId="0" pivotButton="0" quotePrefix="0" xfId="0"/>
    <xf numFmtId="169" fontId="76" fillId="18" borderId="0" pivotButton="0" quotePrefix="0" xfId="0"/>
    <xf numFmtId="10" fontId="77" fillId="0" borderId="0" pivotButton="0" quotePrefix="0" xfId="0"/>
    <xf numFmtId="168" fontId="77" fillId="0" borderId="0" pivotButton="0" quotePrefix="0" xfId="0"/>
    <xf numFmtId="181" fontId="76" fillId="18" borderId="0" pivotButton="0" quotePrefix="0" xfId="0"/>
    <xf numFmtId="181" fontId="77" fillId="0" borderId="0" pivotButton="0" quotePrefix="0" xfId="0"/>
    <xf numFmtId="187" fontId="77" fillId="0" borderId="0" pivotButton="0" quotePrefix="0" xfId="0"/>
    <xf numFmtId="178" fontId="77" fillId="0" borderId="0" pivotButton="0" quotePrefix="0" xfId="0"/>
    <xf numFmtId="1" fontId="77" fillId="0" borderId="0" pivotButton="0" quotePrefix="0" xfId="0"/>
    <xf numFmtId="171" fontId="77" fillId="0" borderId="0" pivotButton="0" quotePrefix="0" xfId="0"/>
    <xf numFmtId="0" fontId="77" fillId="0" borderId="0" pivotButton="0" quotePrefix="0" xfId="0"/>
    <xf numFmtId="189" fontId="77" fillId="0" borderId="0" pivotButton="0" quotePrefix="0" xfId="0"/>
    <xf numFmtId="165" fontId="77" fillId="0" borderId="0" pivotButton="0" quotePrefix="0" xfId="0"/>
    <xf numFmtId="180" fontId="77" fillId="0" borderId="0" pivotButton="0" quotePrefix="0" xfId="0"/>
    <xf numFmtId="190" fontId="77" fillId="0" borderId="0" pivotButton="0" quotePrefix="0" xfId="0"/>
    <xf numFmtId="191" fontId="77" fillId="0" borderId="0" pivotButton="0" quotePrefix="0" xfId="0"/>
    <xf numFmtId="1" fontId="79" fillId="0" borderId="54" pivotButton="0" quotePrefix="0" xfId="0"/>
    <xf numFmtId="0" fontId="79" fillId="0" borderId="54" pivotButton="0" quotePrefix="0" xfId="0"/>
    <xf numFmtId="2" fontId="79" fillId="0" borderId="54" pivotButton="0" quotePrefix="0" xfId="0"/>
    <xf numFmtId="10" fontId="79" fillId="0" borderId="54" pivotButton="0" quotePrefix="0" xfId="0"/>
    <xf numFmtId="168" fontId="79" fillId="0" borderId="54" pivotButton="0" quotePrefix="0" xfId="0"/>
    <xf numFmtId="182" fontId="79" fillId="0" borderId="54" pivotButton="0" quotePrefix="0" xfId="0"/>
    <xf numFmtId="165" fontId="79" fillId="0" borderId="0" pivotButton="0" quotePrefix="0" xfId="0"/>
    <xf numFmtId="169" fontId="79" fillId="0" borderId="0" pivotButton="0" quotePrefix="0" xfId="0"/>
    <xf numFmtId="10" fontId="79" fillId="0" borderId="0" pivotButton="0" quotePrefix="0" xfId="0"/>
    <xf numFmtId="168" fontId="79" fillId="0" borderId="0" pivotButton="0" quotePrefix="0" xfId="0"/>
    <xf numFmtId="181" fontId="79" fillId="0" borderId="0" pivotButton="0" quotePrefix="0" xfId="0"/>
    <xf numFmtId="187" fontId="79" fillId="0" borderId="0" pivotButton="0" quotePrefix="0" xfId="0"/>
    <xf numFmtId="178" fontId="79" fillId="0" borderId="0" pivotButton="0" quotePrefix="0" xfId="0"/>
    <xf numFmtId="1" fontId="79" fillId="0" borderId="0" pivotButton="0" quotePrefix="0" xfId="0"/>
    <xf numFmtId="171" fontId="79" fillId="0" borderId="0" pivotButton="0" quotePrefix="0" xfId="0"/>
    <xf numFmtId="0" fontId="79" fillId="0" borderId="0" pivotButton="0" quotePrefix="0" xfId="0"/>
    <xf numFmtId="189" fontId="79" fillId="0" borderId="0" pivotButton="0" quotePrefix="0" xfId="0"/>
    <xf numFmtId="180" fontId="79" fillId="0" borderId="0" pivotButton="0" quotePrefix="0" xfId="0"/>
    <xf numFmtId="190" fontId="79" fillId="0" borderId="0" pivotButton="0" quotePrefix="0" xfId="0"/>
    <xf numFmtId="191" fontId="79" fillId="0" borderId="0" pivotButton="0" quotePrefix="0" xfId="0"/>
    <xf numFmtId="169" fontId="77" fillId="0" borderId="0" applyAlignment="1" pivotButton="0" quotePrefix="0" xfId="0">
      <alignment horizontal="right" vertical="center"/>
    </xf>
    <xf numFmtId="3" fontId="76" fillId="18" borderId="0" applyAlignment="1" pivotButton="0" quotePrefix="0" xfId="0">
      <alignment horizontal="center"/>
    </xf>
    <xf numFmtId="1" fontId="77" fillId="0" borderId="0" applyAlignment="1" pivotButton="0" quotePrefix="0" xfId="0">
      <alignment horizontal="center"/>
    </xf>
    <xf numFmtId="188" fontId="76" fillId="18" borderId="0" applyAlignment="1" pivotButton="0" quotePrefix="0" xfId="0">
      <alignment horizontal="center"/>
    </xf>
    <xf numFmtId="188" fontId="77" fillId="0" borderId="0" applyAlignment="1" pivotButton="0" quotePrefix="0" xfId="0">
      <alignment horizontal="center"/>
    </xf>
    <xf numFmtId="3" fontId="77" fillId="0" borderId="0" applyAlignment="1" pivotButton="0" quotePrefix="0" xfId="0">
      <alignment horizontal="center"/>
    </xf>
    <xf numFmtId="0" fontId="81" fillId="28" borderId="64" applyAlignment="1" pivotButton="0" quotePrefix="0" xfId="0">
      <alignment horizontal="center" vertical="center"/>
    </xf>
    <xf numFmtId="0" fontId="0" fillId="0" borderId="9" pivotButton="0" quotePrefix="0" xfId="0"/>
    <xf numFmtId="0" fontId="81" fillId="29" borderId="64" applyAlignment="1" pivotButton="0" quotePrefix="0" xfId="0">
      <alignment horizontal="center" vertical="center"/>
    </xf>
    <xf numFmtId="0" fontId="81" fillId="19" borderId="64" applyAlignment="1" pivotButton="0" quotePrefix="0" xfId="0">
      <alignment horizontal="center" vertical="center"/>
    </xf>
    <xf numFmtId="0" fontId="81" fillId="18" borderId="64" applyAlignment="1" pivotButton="0" quotePrefix="0" xfId="0">
      <alignment horizontal="center" vertical="center"/>
    </xf>
    <xf numFmtId="0" fontId="81" fillId="30" borderId="64" applyAlignment="1" pivotButton="0" quotePrefix="0" xfId="0">
      <alignment horizontal="center" vertical="center"/>
    </xf>
    <xf numFmtId="0" fontId="81" fillId="31" borderId="64" applyAlignment="1" pivotButton="0" quotePrefix="0" xfId="0">
      <alignment horizontal="center" vertical="center"/>
    </xf>
    <xf numFmtId="0" fontId="82" fillId="28" borderId="65" applyAlignment="1" pivotButton="0" quotePrefix="0" xfId="0">
      <alignment horizontal="center" vertical="center" wrapText="1"/>
    </xf>
    <xf numFmtId="0" fontId="82" fillId="29" borderId="65" applyAlignment="1" pivotButton="0" quotePrefix="0" xfId="0">
      <alignment horizontal="center" vertical="center" wrapText="1"/>
    </xf>
    <xf numFmtId="0" fontId="82" fillId="19" borderId="65" applyAlignment="1" pivotButton="0" quotePrefix="0" xfId="0">
      <alignment horizontal="center" vertical="center" wrapText="1"/>
    </xf>
    <xf numFmtId="0" fontId="82" fillId="18" borderId="65" applyAlignment="1" pivotButton="0" quotePrefix="0" xfId="0">
      <alignment horizontal="center" vertical="center" wrapText="1"/>
    </xf>
    <xf numFmtId="0" fontId="82" fillId="30" borderId="65" applyAlignment="1" pivotButton="0" quotePrefix="0" xfId="0">
      <alignment horizontal="center" vertical="center" wrapText="1"/>
    </xf>
    <xf numFmtId="0" fontId="82" fillId="31" borderId="65" applyAlignment="1" pivotButton="0" quotePrefix="0" xfId="0">
      <alignment horizontal="center" vertical="center" wrapText="1"/>
    </xf>
    <xf numFmtId="1" fontId="80" fillId="0" borderId="65" pivotButton="0" quotePrefix="0" xfId="0"/>
    <xf numFmtId="0" fontId="80" fillId="0" borderId="65" pivotButton="0" quotePrefix="0" xfId="0"/>
    <xf numFmtId="2" fontId="80" fillId="0" borderId="65" pivotButton="0" quotePrefix="0" xfId="0"/>
    <xf numFmtId="0" fontId="83" fillId="34" borderId="65" pivotButton="0" quotePrefix="0" xfId="0"/>
    <xf numFmtId="1" fontId="83" fillId="34" borderId="65" pivotButton="0" quotePrefix="0" xfId="0"/>
    <xf numFmtId="10" fontId="80" fillId="0" borderId="65" pivotButton="0" quotePrefix="0" xfId="0"/>
    <xf numFmtId="168" fontId="83" fillId="34" borderId="65" pivotButton="0" quotePrefix="0" xfId="0"/>
    <xf numFmtId="168" fontId="80" fillId="0" borderId="65" pivotButton="0" quotePrefix="0" xfId="0"/>
    <xf numFmtId="171" fontId="80" fillId="0" borderId="65" pivotButton="0" quotePrefix="0" xfId="0"/>
    <xf numFmtId="165" fontId="83" fillId="34" borderId="65" pivotButton="0" quotePrefix="0" xfId="0"/>
    <xf numFmtId="169" fontId="80" fillId="0" borderId="65" pivotButton="0" quotePrefix="0" xfId="0"/>
    <xf numFmtId="169" fontId="83" fillId="34" borderId="65" pivotButton="0" quotePrefix="0" xfId="0"/>
    <xf numFmtId="10" fontId="83" fillId="34" borderId="65" pivotButton="0" quotePrefix="0" xfId="0"/>
    <xf numFmtId="181" fontId="83" fillId="34" borderId="65" pivotButton="0" quotePrefix="0" xfId="0"/>
    <xf numFmtId="181" fontId="80" fillId="0" borderId="65" pivotButton="0" quotePrefix="0" xfId="0"/>
    <xf numFmtId="187" fontId="80" fillId="0" borderId="65" pivotButton="0" quotePrefix="0" xfId="0"/>
    <xf numFmtId="178" fontId="80" fillId="0" borderId="65" pivotButton="0" quotePrefix="0" xfId="0"/>
    <xf numFmtId="171" fontId="83" fillId="34" borderId="65" pivotButton="0" quotePrefix="0" xfId="0"/>
    <xf numFmtId="189" fontId="80" fillId="0" borderId="65" pivotButton="0" quotePrefix="0" xfId="0"/>
    <xf numFmtId="165" fontId="80" fillId="0" borderId="65" pivotButton="0" quotePrefix="0" xfId="0"/>
    <xf numFmtId="180" fontId="80" fillId="0" borderId="65" pivotButton="0" quotePrefix="0" xfId="0"/>
    <xf numFmtId="190" fontId="80" fillId="0" borderId="65" pivotButton="0" quotePrefix="0" xfId="0"/>
    <xf numFmtId="191" fontId="80" fillId="0" borderId="65" pivotButton="0" quotePrefix="0" xfId="0"/>
    <xf numFmtId="1" fontId="80" fillId="32" borderId="65" pivotButton="0" quotePrefix="0" xfId="0"/>
    <xf numFmtId="0" fontId="80" fillId="32" borderId="65" pivotButton="0" quotePrefix="0" xfId="0"/>
    <xf numFmtId="2" fontId="80" fillId="32" borderId="65" pivotButton="0" quotePrefix="0" xfId="0"/>
    <xf numFmtId="10" fontId="80" fillId="32" borderId="65" pivotButton="0" quotePrefix="0" xfId="0"/>
    <xf numFmtId="168" fontId="80" fillId="32" borderId="65" pivotButton="0" quotePrefix="0" xfId="0"/>
    <xf numFmtId="171" fontId="80" fillId="32" borderId="65" pivotButton="0" quotePrefix="0" xfId="0"/>
    <xf numFmtId="169" fontId="80" fillId="32" borderId="65" pivotButton="0" quotePrefix="0" xfId="0"/>
    <xf numFmtId="181" fontId="80" fillId="32" borderId="65" pivotButton="0" quotePrefix="0" xfId="0"/>
    <xf numFmtId="187" fontId="80" fillId="32" borderId="65" pivotButton="0" quotePrefix="0" xfId="0"/>
    <xf numFmtId="178" fontId="80" fillId="32" borderId="65" pivotButton="0" quotePrefix="0" xfId="0"/>
    <xf numFmtId="189" fontId="80" fillId="32" borderId="65" pivotButton="0" quotePrefix="0" xfId="0"/>
    <xf numFmtId="165" fontId="80" fillId="32" borderId="65" pivotButton="0" quotePrefix="0" xfId="0"/>
    <xf numFmtId="180" fontId="80" fillId="32" borderId="65" pivotButton="0" quotePrefix="0" xfId="0"/>
    <xf numFmtId="190" fontId="80" fillId="32" borderId="65" pivotButton="0" quotePrefix="0" xfId="0"/>
    <xf numFmtId="191" fontId="80" fillId="32" borderId="65" pivotButton="0" quotePrefix="0" xfId="0"/>
    <xf numFmtId="1" fontId="81" fillId="33" borderId="66" pivotButton="0" quotePrefix="0" xfId="0"/>
    <xf numFmtId="0" fontId="81" fillId="33" borderId="66" pivotButton="0" quotePrefix="0" xfId="0"/>
    <xf numFmtId="2" fontId="81" fillId="33" borderId="66" pivotButton="0" quotePrefix="0" xfId="0"/>
    <xf numFmtId="10" fontId="81" fillId="33" borderId="66" pivotButton="0" quotePrefix="0" xfId="0"/>
    <xf numFmtId="168" fontId="81" fillId="33" borderId="66" pivotButton="0" quotePrefix="0" xfId="0"/>
    <xf numFmtId="171" fontId="81" fillId="33" borderId="66" pivotButton="0" quotePrefix="0" xfId="0"/>
    <xf numFmtId="165" fontId="81" fillId="33" borderId="66" pivotButton="0" quotePrefix="0" xfId="0"/>
    <xf numFmtId="169" fontId="81" fillId="33" borderId="66" pivotButton="0" quotePrefix="0" xfId="0"/>
    <xf numFmtId="181" fontId="81" fillId="33" borderId="66" pivotButton="0" quotePrefix="0" xfId="0"/>
    <xf numFmtId="187" fontId="81" fillId="33" borderId="66" pivotButton="0" quotePrefix="0" xfId="0"/>
    <xf numFmtId="178" fontId="81" fillId="33" borderId="66" pivotButton="0" quotePrefix="0" xfId="0"/>
    <xf numFmtId="189" fontId="81" fillId="33" borderId="66" pivotButton="0" quotePrefix="0" xfId="0"/>
    <xf numFmtId="180" fontId="81" fillId="33" borderId="66" pivotButton="0" quotePrefix="0" xfId="0"/>
    <xf numFmtId="190" fontId="81" fillId="33" borderId="66" pivotButton="0" quotePrefix="0" xfId="0"/>
    <xf numFmtId="191" fontId="81" fillId="33" borderId="66" pivotButton="0" quotePrefix="0" xfId="0"/>
    <xf numFmtId="0" fontId="80" fillId="0" borderId="64" pivotButton="0" quotePrefix="0" xfId="0"/>
    <xf numFmtId="0" fontId="81" fillId="29" borderId="64" applyAlignment="1" pivotButton="0" quotePrefix="0" xfId="0">
      <alignment vertical="center"/>
    </xf>
    <xf numFmtId="0" fontId="81" fillId="29" borderId="64" pivotButton="0" quotePrefix="0" xfId="0"/>
    <xf numFmtId="0" fontId="84" fillId="0" borderId="64" applyAlignment="1" pivotButton="0" quotePrefix="0" xfId="0">
      <alignment vertical="center" wrapText="1"/>
    </xf>
    <xf numFmtId="10" fontId="83" fillId="34" borderId="65" applyAlignment="1" pivotButton="0" quotePrefix="0" xfId="0">
      <alignment vertical="center"/>
    </xf>
    <xf numFmtId="0" fontId="82" fillId="0" borderId="64" applyAlignment="1" pivotButton="0" quotePrefix="0" xfId="0">
      <alignment vertical="center" wrapText="1"/>
    </xf>
    <xf numFmtId="188" fontId="83" fillId="34" borderId="65" applyAlignment="1" pivotButton="0" quotePrefix="0" xfId="0">
      <alignment vertical="center"/>
    </xf>
    <xf numFmtId="168" fontId="83" fillId="34" borderId="65" applyAlignment="1" pivotButton="0" quotePrefix="0" xfId="0">
      <alignment vertical="center"/>
    </xf>
    <xf numFmtId="10" fontId="80" fillId="0" borderId="65" applyAlignment="1" pivotButton="0" quotePrefix="0" xfId="0">
      <alignment vertical="center"/>
    </xf>
    <xf numFmtId="1" fontId="83" fillId="34" borderId="65" applyAlignment="1" pivotButton="0" quotePrefix="0" xfId="0">
      <alignment vertical="center"/>
    </xf>
    <xf numFmtId="169" fontId="80" fillId="0" borderId="65" applyAlignment="1" pivotButton="0" quotePrefix="0" xfId="0">
      <alignment vertical="center"/>
    </xf>
    <xf numFmtId="169" fontId="83" fillId="34" borderId="65" applyAlignment="1" pivotButton="0" quotePrefix="0" xfId="0">
      <alignment vertical="center"/>
    </xf>
    <xf numFmtId="171" fontId="83" fillId="34" borderId="65" applyAlignment="1" pivotButton="0" quotePrefix="0" xfId="0">
      <alignment vertical="center"/>
    </xf>
    <xf numFmtId="179" fontId="80" fillId="0" borderId="65" applyAlignment="1" pivotButton="0" quotePrefix="0" xfId="0">
      <alignment vertical="center"/>
    </xf>
    <xf numFmtId="180" fontId="80" fillId="0" borderId="65" applyAlignment="1" pivotButton="0" quotePrefix="0" xfId="0">
      <alignment vertical="center"/>
    </xf>
    <xf numFmtId="0" fontId="84" fillId="0" borderId="0" applyAlignment="1" pivotButton="0" quotePrefix="0" xfId="0">
      <alignment vertical="center" wrapText="1"/>
    </xf>
    <xf numFmtId="3" fontId="83" fillId="34" borderId="65" applyAlignment="1" pivotButton="0" quotePrefix="0" xfId="0">
      <alignment vertical="center"/>
    </xf>
    <xf numFmtId="1" fontId="80" fillId="0" borderId="65" applyAlignment="1" pivotButton="0" quotePrefix="0" xfId="0">
      <alignment vertical="center"/>
    </xf>
    <xf numFmtId="188" fontId="80" fillId="0" borderId="65" applyAlignment="1" pivotButton="0" quotePrefix="0" xfId="0">
      <alignment vertical="center"/>
    </xf>
    <xf numFmtId="3" fontId="80" fillId="0" borderId="65" applyAlignment="1" pivotButton="0" quotePrefix="0" xfId="0">
      <alignment vertical="center"/>
    </xf>
  </cellXfs>
  <cellStyles count="1">
    <cellStyle name="Standard" xfId="0" builtinId="0"/>
  </cellStyles>
  <dxfs count="26">
    <dxf>
      <fill>
        <patternFill patternType="solid">
          <fgColor rgb="FFB6D7A8"/>
          <bgColor rgb="FFB6D7A8"/>
        </patternFill>
      </fill>
    </dxf>
    <dxf>
      <fill>
        <patternFill patternType="solid">
          <fgColor rgb="FFEA9999"/>
          <bgColor rgb="FFEA9999"/>
        </patternFill>
      </fill>
    </dxf>
    <dxf>
      <fill>
        <patternFill patternType="solid">
          <fgColor rgb="FFEFEFEF"/>
          <bgColor rgb="FFEFEFEF"/>
        </patternFill>
      </fill>
    </dxf>
    <dxf>
      <fill>
        <patternFill patternType="solid">
          <fgColor rgb="FFB7E1CD"/>
          <bgColor rgb="FFB7E1CD"/>
        </patternFill>
      </fill>
    </dxf>
    <dxf>
      <font>
        <color rgb="FFFF0000"/>
      </font>
    </dxf>
    <dxf>
      <font>
        <color rgb="FF57BB8A"/>
      </font>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06666"/>
          <bgColor rgb="FFE06666"/>
        </patternFill>
      </fill>
    </dxf>
    <dxf>
      <fill>
        <patternFill patternType="solid">
          <fgColor rgb="FFEA9999"/>
          <bgColor rgb="FFEA9999"/>
        </patternFill>
      </fill>
    </dxf>
    <dxf>
      <fill>
        <patternFill patternType="solid">
          <fgColor rgb="FFB7E1CD"/>
          <bgColor rgb="FFB7E1CD"/>
        </patternFill>
      </fill>
    </dxf>
    <dxf>
      <fill>
        <patternFill patternType="solid">
          <fgColor rgb="FF9BD0C2"/>
          <bgColor rgb="FF9BD0C2"/>
        </patternFill>
      </fill>
    </dxf>
    <dxf>
      <fill>
        <patternFill patternType="solid">
          <fgColor rgb="FFF8696B"/>
          <bgColor rgb="FFF8696B"/>
        </patternFill>
      </fill>
    </dxf>
    <dxf>
      <fill>
        <patternFill patternType="solid">
          <fgColor rgb="FFFFF2CC"/>
          <bgColor rgb="FFFFF2CC"/>
        </patternFill>
      </fill>
    </dxf>
    <dxf>
      <fill>
        <patternFill patternType="solid">
          <fgColor rgb="FFF4B183"/>
          <bgColor rgb="FFF4B183"/>
        </patternFill>
      </fill>
    </dxf>
    <dxf>
      <fill>
        <patternFill patternType="solid">
          <fgColor rgb="FF63BE7B"/>
          <bgColor rgb="FF63BE7B"/>
        </patternFill>
      </fill>
    </dxf>
    <dxf>
      <fill>
        <patternFill patternType="solid">
          <fgColor rgb="FFFFEB84"/>
          <bgColor rgb="FFFFEB84"/>
        </patternFill>
      </fill>
    </dxf>
    <dxf>
      <fill>
        <patternFill patternType="solid">
          <fgColor rgb="FFD9D9D9"/>
          <bgColor rgb="FFD9D9D9"/>
        </patternFill>
      </fill>
    </dxf>
    <dxf>
      <fill>
        <patternFill patternType="solid">
          <fgColor rgb="FFE2EFDA"/>
          <bgColor rgb="FFE2EFDA"/>
        </patternFill>
      </fill>
    </dxf>
    <dxf>
      <fill>
        <patternFill patternType="solid">
          <fgColor rgb="FFFFC7CE"/>
          <bgColor rgb="FFFFC7CE"/>
        </patternFill>
      </fill>
    </dxf>
    <dxf>
      <fill>
        <patternFill patternType="solid">
          <fgColor rgb="FFFFE0B2"/>
          <bgColor rgb="FFFFE0B2"/>
        </patternFill>
      </fill>
    </dxf>
    <dxf>
      <fill>
        <patternFill patternType="solid">
          <fgColor rgb="FFC6EFCE"/>
          <bgColor rgb="FFC6EFCE"/>
        </patternFill>
      </fill>
    </dxf>
    <dxf>
      <fill>
        <patternFill patternType="solid">
          <fgColor rgb="FFFFEB9C"/>
          <bgColor rgb="FFFFEB9C"/>
        </patternFill>
      </fill>
    </dxf>
    <dxf>
      <fill>
        <patternFill patternType="solid">
          <fgColor rgb="FFEDEDED"/>
          <bgColor rgb="FFEDEDED"/>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plotArea>
      <layout/>
      <barChart>
        <barDir val="col"/>
        <grouping val="stacked"/>
        <varyColors val="1"/>
        <ser>
          <idx val="0"/>
          <order val="0"/>
          <spPr>
            <a:solidFill xmlns:a="http://schemas.openxmlformats.org/drawingml/2006/main">
              <a:srgbClr val="EFEFEF"/>
            </a:solidFill>
            <a:ln xmlns:a="http://schemas.openxmlformats.org/drawingml/2006/main" cmpd="sng">
              <a:solidFill>
                <a:srgbClr val="000000"/>
              </a:solidFill>
              <a:prstDash val="solid"/>
            </a:ln>
          </spPr>
          <invertIfNegative val="1"/>
          <cat>
            <strRef>
              <f>NK!$A$37:$A$43</f>
              <strCache>
                <ptCount val="7"/>
                <pt idx="0">
                  <v>ANGEBOT</v>
                </pt>
                <pt idx="1">
                  <v>NK</v>
                </pt>
                <pt idx="2">
                  <v>RENO</v>
                </pt>
                <pt idx="3">
                  <v>ZINS</v>
                </pt>
                <pt idx="4">
                  <v>GIK</v>
                </pt>
                <pt idx="5">
                  <v>GEWINN</v>
                </pt>
                <pt idx="6">
                  <v>VK</v>
                </pt>
              </strCache>
            </strRef>
          </cat>
          <val>
            <numRef>
              <f>NK!$B$37:$B$43</f>
              <numCache>
                <formatCode>#,##0" €";[Red]\-#,##0" €"</formatCode>
                <ptCount val="7"/>
                <pt idx="1">
                  <v>0</v>
                </pt>
                <pt idx="2">
                  <v>0</v>
                </pt>
                <pt idx="3">
                  <v>0</v>
                </pt>
                <pt idx="5">
                  <v>0</v>
                </pt>
              </numCache>
            </numRef>
          </val>
        </ser>
        <ser>
          <idx val="1"/>
          <order val="1"/>
          <spPr>
            <a:solidFill xmlns:a="http://schemas.openxmlformats.org/drawingml/2006/main">
              <a:srgbClr val="ED7D31"/>
            </a:solidFill>
            <a:ln xmlns:a="http://schemas.openxmlformats.org/drawingml/2006/main" cmpd="sng">
              <a:solidFill>
                <a:srgbClr val="000000"/>
              </a:solidFill>
              <a:prstDash val="solid"/>
            </a:ln>
          </spPr>
          <invertIfNegative val="1"/>
          <dPt>
            <idx val="0"/>
            <invertIfNegative val="1"/>
            <bubble3D val="0"/>
            <spPr>
              <a:solidFill xmlns:a="http://schemas.openxmlformats.org/drawingml/2006/main">
                <a:srgbClr val="D4B948"/>
              </a:solidFill>
              <a:ln xmlns:a="http://schemas.openxmlformats.org/drawingml/2006/main" cmpd="sng">
                <a:solidFill>
                  <a:srgbClr val="000000"/>
                </a:solidFill>
                <a:prstDash val="solid"/>
              </a:ln>
            </spPr>
          </dPt>
          <dPt>
            <idx val="1"/>
            <invertIfNegative val="1"/>
            <bubble3D val="0"/>
            <spPr>
              <a:solidFill xmlns:a="http://schemas.openxmlformats.org/drawingml/2006/main">
                <a:srgbClr val="F9CB9C"/>
              </a:solidFill>
              <a:ln xmlns:a="http://schemas.openxmlformats.org/drawingml/2006/main" cmpd="sng">
                <a:solidFill>
                  <a:srgbClr val="000000"/>
                </a:solidFill>
                <a:prstDash val="solid"/>
              </a:ln>
            </spPr>
          </dPt>
          <dPt>
            <idx val="2"/>
            <invertIfNegative val="1"/>
            <bubble3D val="0"/>
            <spPr>
              <a:solidFill xmlns:a="http://schemas.openxmlformats.org/drawingml/2006/main">
                <a:srgbClr val="B4A7D6"/>
              </a:solidFill>
              <a:ln xmlns:a="http://schemas.openxmlformats.org/drawingml/2006/main" cmpd="sng">
                <a:solidFill>
                  <a:srgbClr val="000000"/>
                </a:solidFill>
                <a:prstDash val="solid"/>
              </a:ln>
            </spPr>
          </dPt>
          <dPt>
            <idx val="3"/>
            <invertIfNegative val="1"/>
            <bubble3D val="0"/>
            <spPr>
              <a:solidFill xmlns:a="http://schemas.openxmlformats.org/drawingml/2006/main">
                <a:srgbClr val="A4C2F4"/>
              </a:solidFill>
              <a:ln xmlns:a="http://schemas.openxmlformats.org/drawingml/2006/main" cmpd="sng">
                <a:solidFill>
                  <a:srgbClr val="000000"/>
                </a:solidFill>
                <a:prstDash val="solid"/>
              </a:ln>
            </spPr>
          </dPt>
          <dPt>
            <idx val="4"/>
            <invertIfNegative val="1"/>
            <bubble3D val="0"/>
            <spPr>
              <a:solidFill xmlns:a="http://schemas.openxmlformats.org/drawingml/2006/main">
                <a:srgbClr val="3A3838"/>
              </a:solidFill>
              <a:ln xmlns:a="http://schemas.openxmlformats.org/drawingml/2006/main" cmpd="sng">
                <a:solidFill>
                  <a:srgbClr val="000000"/>
                </a:solidFill>
                <a:prstDash val="solid"/>
              </a:ln>
            </spPr>
          </dPt>
          <dPt>
            <idx val="5"/>
            <invertIfNegative val="1"/>
            <bubble3D val="0"/>
            <spPr>
              <a:solidFill xmlns:a="http://schemas.openxmlformats.org/drawingml/2006/main">
                <a:srgbClr val="D4B948"/>
              </a:solidFill>
              <a:ln xmlns:a="http://schemas.openxmlformats.org/drawingml/2006/main" cmpd="sng">
                <a:solidFill>
                  <a:srgbClr val="000000"/>
                </a:solidFill>
                <a:prstDash val="solid"/>
              </a:ln>
            </spPr>
          </dPt>
          <dPt>
            <idx val="6"/>
            <invertIfNegative val="1"/>
            <bubble3D val="0"/>
            <spPr>
              <a:solidFill xmlns:a="http://schemas.openxmlformats.org/drawingml/2006/main">
                <a:srgbClr val="6AA84F"/>
              </a:solidFill>
              <a:ln xmlns:a="http://schemas.openxmlformats.org/drawingml/2006/main" cmpd="sng">
                <a:solidFill>
                  <a:srgbClr val="000000"/>
                </a:solidFill>
                <a:prstDash val="solid"/>
              </a:ln>
            </spPr>
          </dPt>
          <dLbls>
            <dLbl>
              <idx val="0"/>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FFFFFF"/>
                      </a:solidFill>
                      <a:latin typeface="Arial"/>
                    </a:defRPr>
                  </a:pPr>
                  <a:r>
                    <a:t>None</a:t>
                  </a:r>
                  <a:endParaRPr lang="de-DE"/>
                </a:p>
              </txPr>
              <showLegendKey val="0"/>
              <showVal val="1"/>
              <showCatName val="0"/>
              <showSerName val="0"/>
              <showPercent val="0"/>
              <showBubbleSize val="0"/>
            </dLbl>
            <dLbl>
              <idx val="1"/>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endParaRPr lang="de-DE"/>
                </a:p>
              </txPr>
              <showLegendKey val="0"/>
              <showVal val="1"/>
              <showCatName val="0"/>
              <showSerName val="0"/>
              <showPercent val="0"/>
              <showBubbleSize val="0"/>
            </dLbl>
            <dLbl>
              <idx val="2"/>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endParaRPr lang="de-DE"/>
                </a:p>
              </txPr>
              <showLegendKey val="0"/>
              <showVal val="1"/>
              <showCatName val="0"/>
              <showSerName val="0"/>
              <showPercent val="0"/>
              <showBubbleSize val="0"/>
            </dLbl>
            <dLbl>
              <idx val="3"/>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endParaRPr lang="de-DE"/>
                </a:p>
              </txPr>
              <showLegendKey val="0"/>
              <showVal val="1"/>
              <showCatName val="0"/>
              <showSerName val="0"/>
              <showPercent val="0"/>
              <showBubbleSize val="0"/>
            </dLbl>
            <dLbl>
              <idx val="4"/>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endParaRPr lang="de-DE"/>
                </a:p>
              </txPr>
              <showLegendKey val="0"/>
              <showVal val="1"/>
              <showCatName val="0"/>
              <showSerName val="0"/>
              <showPercent val="0"/>
              <showBubbleSize val="0"/>
            </dLbl>
            <dLbl>
              <idx val="5"/>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endParaRPr lang="de-DE"/>
                </a:p>
              </txPr>
              <showLegendKey val="0"/>
              <showVal val="1"/>
              <showCatName val="0"/>
              <showSerName val="0"/>
              <showPercent val="0"/>
              <showBubbleSize val="0"/>
            </dLbl>
            <dLbl>
              <idx val="6"/>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endParaRPr lang="de-DE"/>
                </a:p>
              </txPr>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t>None</a:t>
                </a:r>
                <a:endParaRPr lang="de-DE"/>
              </a:p>
            </txPr>
            <showLegendKey val="0"/>
            <showVal val="1"/>
            <showCatName val="0"/>
            <showSerName val="0"/>
            <showPercent val="0"/>
            <showBubbleSize val="0"/>
            <showLeaderLines val="0"/>
          </dLbls>
          <cat>
            <strRef>
              <f>NK!$A$37:$A$43</f>
              <strCache>
                <ptCount val="7"/>
                <pt idx="0">
                  <v>ANGEBOT</v>
                </pt>
                <pt idx="1">
                  <v>NK</v>
                </pt>
                <pt idx="2">
                  <v>RENO</v>
                </pt>
                <pt idx="3">
                  <v>ZINS</v>
                </pt>
                <pt idx="4">
                  <v>GIK</v>
                </pt>
                <pt idx="5">
                  <v>GEWINN</v>
                </pt>
                <pt idx="6">
                  <v>VK</v>
                </pt>
              </strCache>
            </strRef>
          </cat>
          <val>
            <numRef>
              <f>NK!$C$37:$C$43</f>
              <numCache>
                <formatCode>#,##0" €";[Red]\-#,##0" €"</formatCode>
                <ptCount val="7"/>
                <pt idx="0">
                  <v>0</v>
                </pt>
                <pt idx="1">
                  <v>0</v>
                </pt>
                <pt idx="2">
                  <v>0</v>
                </pt>
                <pt idx="3">
                  <v>0</v>
                </pt>
                <pt idx="4">
                  <v>0</v>
                </pt>
                <pt idx="5">
                  <v>0</v>
                </pt>
                <pt idx="6">
                  <v>0</v>
                </pt>
              </numCache>
            </numRef>
          </val>
        </ser>
        <dLbls>
          <showLegendKey val="0"/>
          <showVal val="0"/>
          <showCatName val="0"/>
          <showSerName val="0"/>
          <showPercent val="0"/>
          <showBubbleSize val="0"/>
        </dLbls>
        <gapWidth val="150"/>
        <overlap val="100"/>
        <axId val="1511911940"/>
        <axId val="322897700"/>
      </barChart>
      <catAx>
        <axId val="1511911940"/>
        <scaling>
          <orientation val="minMax"/>
        </scaling>
        <delete val="0"/>
        <axPos val="b"/>
        <title>
          <tx>
            <rich>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rPr sz="1000" b="0" i="0">
                    <a:solidFill>
                      <a:srgbClr val="000000"/>
                    </a:solidFill>
                    <a:latin typeface="Calibri"/>
                  </a:rPr>
                  <a:t>None</a:t>
                </a:r>
              </a:p>
            </rich>
          </tx>
          <overlay val="0"/>
        </title>
        <numFmt formatCode="General" sourceLinked="0"/>
        <majorTickMark val="none"/>
        <minorTickMark val="none"/>
        <tickLblPos val="nextTo"/>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800" b="1" i="0">
                <a:solidFill>
                  <a:srgbClr val="000000"/>
                </a:solidFill>
                <a:latin typeface="Arial"/>
              </a:defRPr>
            </a:pPr>
            <a:r>
              <a:t>None</a:t>
            </a:r>
            <a:endParaRPr lang="de-DE"/>
          </a:p>
        </txPr>
        <crossAx val="322897700"/>
        <crosses val="autoZero"/>
        <auto val="1"/>
        <lblAlgn val="ctr"/>
        <lblOffset val="100"/>
        <noMultiLvlLbl val="1"/>
      </catAx>
      <valAx>
        <axId val="322897700"/>
        <scaling>
          <orientation val="minMax"/>
        </scaling>
        <delete val="0"/>
        <axPos val="l"/>
        <minorGridlines>
          <spPr>
            <a:ln xmlns:a="http://schemas.openxmlformats.org/drawingml/2006/main">
              <a:solidFill>
                <a:srgbClr val="CCCCCC"/>
              </a:solidFill>
              <a:prstDash val="solid"/>
            </a:ln>
          </spPr>
        </minorGridlines>
        <title>
          <tx>
            <rich>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rPr sz="1000" b="0" i="0">
                    <a:solidFill>
                      <a:srgbClr val="000000"/>
                    </a:solidFill>
                    <a:latin typeface="Calibri"/>
                  </a:rPr>
                  <a:t>None</a:t>
                </a:r>
              </a:p>
            </rich>
          </tx>
          <overlay val="0"/>
        </title>
        <numFmt formatCode="General" sourceLinked="0"/>
        <majorTickMark val="none"/>
        <minorTickMark val="none"/>
        <tickLblPos val="nextTo"/>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endParaRPr lang="de-DE"/>
          </a:p>
        </txPr>
        <crossAx val="1511911940"/>
        <crosses val="autoZero"/>
        <crossBetween val="between"/>
      </valAx>
    </plotArea>
    <plotVisOnly val="1"/>
    <dispBlanksAs val="gap"/>
  </chart>
  <spPr>
    <a:solidFill xmlns:a="http://schemas.openxmlformats.org/drawingml/2006/main">
      <a:srgbClr val="EFEFEF"/>
    </a:solidFill>
    <a:ln xmlns:a="http://schemas.openxmlformats.org/drawingml/2006/main">
      <a:prstDash val="solid"/>
    </a:ln>
  </spPr>
</chartSpace>
</file>

<file path=xl/comments/comment1.xml><?xml version="1.0" encoding="utf-8"?>
<comments xmlns="http://schemas.openxmlformats.org/spreadsheetml/2006/main">
  <authors>
    <author>None</author>
  </authors>
  <commentList>
    <comment ref="H3" authorId="0" shapeId="0">
      <text>
        <t>1. Begrenzte Zielgruppe: Wohnungen mit mehr als 120 Quadratmetern Wohnfläche sprechen oft eine spezifische Zielgruppe an, die möglicherweise kleiner ist als diejenige für kleinere Wohnungen. Familien mit Kindern oder Personen, die ein großes Platzangebot benötigen, könnten potenzielle Käufer sein, aber diese Gruppe ist normalerweise kleiner als diejenigen, die nach kleineren Wohnungen suchen, wie junge Berufstätige oder Paare ohne Kinder.
2. Höhere Kosten: Größere Wohnungen bedeuten in der Regel höhere Kosten für den Käufer in Bezug auf den Kaufpreis, aber auch in Bezug auf Unterhalt, Energiekosten und möglicherweise sogar Steuern. Dies kann potenzielle Käufer abschrecken, insbesondere wenn sie nicht unbedingt viel Platz benötigen.
3. Begrenzte Verfügbarkeit: Wohnungen über 120 Quadratmetern Wohnfläche sind oft seltener auf dem Markt zu finden, was den Handel mit ihnen etwas komplizierter machen kann. Dies könnte bedeuten, dass sie länger zum Verkauf stehen oder dass es schwieriger ist, potenzielle Käufer zu finden.
4. Wertsteigerung: Größere Wohnungen haben nicht unbedingt eine höhere Wertsteigerung im Vergleich zu kleineren Einheiten. In einigen Märkten könnte es sogar schwieriger sein, eine angemessene Rendite für größere Einheiten zu erzielen, insbesondere wenn die Nachfrage nach kleineren Wohnungen höher ist.
Diese Faktoren bedeuten nicht, dass es grundsätzlich falsch ist, Wohnungen über 120 Quadratmeter zu handeln, sondern dass es möglicherweise zusätzliche Herausforderungen und Überlegungen gibt, die beachtet werden müssen. Es hängt letztendlich von den individuellen Marktbedingungen und den Präferenzen der potenziellen Käufer ab.
======</t>
      </text>
    </comment>
    <comment ref="H4" authorId="0" shapeId="0">
      <text>
        <t>1. Bausubstanz und Bauqualität: Ältere Gebäude, insbesondere solche, die vor 1950 gebaut wurden, könnten strukturelle Probleme haben oder aus Materialien bestehen, die heute als weniger haltbar gelten. Dies könnte zu teuren Renovierungen oder Reparaturen führen.
2. Elektrik und Sanitär: Die elektrischen und sanitären Installationen in älteren Gebäuden entsprechen oft nicht mehr den modernen Standards und können veraltet oder nicht mehr sicher sein. Das Austauschen oder Aktualisieren dieser Systeme kann kostspielig sein.
3. Energieeffizienz: Ältere Gebäude sind oft weniger energieeffizient als neuere, da sie möglicherweise nicht über moderne Isolierung, Fenster und Heizungssysteme verfügen. Dies kann zu höheren Energiekosten für die Bewohner führen.
4. Denkmalschutz und Bauregulierungen: In einigen Fällen könnten ältere Gebäude unter Denkmalschutz stehen oder speziellen Bauregulierungen unterliegen, die ihre Renovierung oder Veränderung einschränken. Dies kann die Flexibilität und Rentabilität eines Immobilienhandels beeinträchtigen.
5. Schadstoffe und Asbest: Gebäude, die vor 1950 gebaut wurden, könnten Schadstoffe wie Asbest oder Blei enthalten, die gesundheitsschädlich sein können. Die Sanierung solcher Gebäude erfordert oft spezielle Maßnahmen und kann teuer sein.
6. Versicherung und Haftung: Ältere Gebäude könnten möglicherweise teurere Versicherungen erfordern, insbesondere wenn sie bestimmte Risiken wie veraltete Verkabelung oder Rohrleitungen aufweisen. Dies kann die Kosten für den Eigentümer erhöhen und potenzielle Käufer abschrecken.
Diese Probleme bedeuten nicht zwangsläufig, dass es nie sinnvoll ist, mit älteren Immobilien zu handeln, aber sie zeigen auf, dass es zusätzliche Herausforderungen und Kosten geben kann, die berücksichtigt werden müssen. Bei einem Immobilienhandel ist es wichtig, sich über die Besonderheiten des jeweiligen Objekts im Klaren zu sein und mögliche Risiken abzuwägen.
======</t>
      </text>
    </comment>
    <comment ref="H5" authorId="0" shapeId="0">
      <text>
        <t>1. Geteilte Kosten: Als Eigentümer in einem gemeinschaftlichen Eigentum teilen Sie sich die Kosten für Instandhaltung, Reparaturen und Verbesserungen des Gebäudes mit den anderen Eigentümern. Dies kann dazu beitragen, die finanzielle Belastung zu verringern, insbesondere bei größeren Projekten wie der Renovierung des Dachs oder der Erneuerung von Gemeinschaftseinrichtungen.
2. Gemeinsame Verwaltung und Entscheidungsfindung: In einer Eigentümergemeinschaft werden wichtige Entscheidungen über das Gebäude und die Gemeinschaftseinrichtungen gemeinsam getroffen. Dies bedeutet, dass Sie als Eigentümer eine Stimme bei Entscheidungen haben, die das Gebäude betreffen, und dass diese Entscheidungen demokratisch getroffen werden.
3. Erfahrungsaustausch und Gemeinschaftsgefühl: Das Leben in einem gemeinschaftlichen Eigentum ermöglicht es Ihnen, mit anderen Eigentümern in Kontakt zu treten und sich auszutauschen. Dies kann zu einem Gefühl der Gemeinschaft und des Zusammenhalts führen, da Sie gemeinsame Interessen und Verantwortlichkeiten teilen.
4. Professionelle Verwaltung: Viele gemeinschaftliche Eigentumswohnungen werden von professionellen Verwaltungsunternehmen betreut, die sich um die täglichen Angelegenheiten des Gebäudes kümmern. Dies kann die Verwaltungsaufgaben für die Eigentümer erleichtern und sicherstellen, dass das Gebäude effizient betrieben wird.
Insgesamt bietet gemeinschaftliches Eigentum den Vorteil der geteilten Verantwortung und der geteilten Kosten, was dazu beitragen kann, die Belastung für Einzelne zu verringern und gleichzeitig den Zugang zu gemeinschaftlichen Annehmlichkeiten und die Möglichkeit zur Mitbestimmung zu ermöglichen.
======</t>
      </text>
    </comment>
    <comment ref="I13"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I14"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I15"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I16"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I17"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C21" authorId="0" shapeId="0">
      <text>
        <t>Frage in der Community, in den wöchentlichen Calls oder in der WhatsApp Gruppe nach dem aktuellen variablen Zinssatz nach - dort bekommst du Antworten von Händlern die in der aktuellen Marktlage finanzieren.
======</t>
      </text>
    </comment>
    <comment ref="D21" authorId="0" shapeId="0">
      <text>
        <t>Zinsbindung in Monaten. Sprich wie lange das Projekt voraussichtlich laufen wird bzw. wie lange das Darlehen von der Bank benötigt wird (abgenommen wird).
======</t>
      </text>
    </comment>
    <comment ref="C23" authorId="0" shapeId="0">
      <text>
        <t>Zinsen für eine langfristige Finanzierung (Sollzinsbindung 10 Jahre) kannst du z.B. unter diesem Link einsehen: 
https://www.interhyp.de/zinsen/
Hinweis: Die aktuellen Zinssätze können von verschiedenen Faktoren abhängen, wie zum Beispiel von der jeweiligen Bank, dem individuellen Kreditnehmerprofil und den aktuellen Markttrends.
Um den aktuellen Zinssatz für eine Immobilienfinanzierung zu finden, empfehle ich dir, die Websites verschiedener Banken und Finanzinstitute zu besuchen, die solche Kredite anbieten. Dort findest du oft Informationen zu den aktuellen Zinssätzen sowie möglicherweise auch Tools oder Rechner, mit denen du deine potenzielle monatliche Rate abschätzen kannst. Es kann auch hilfreich sein, direkt mit den Banken Kontakt aufzunehmen, um individuelle Angebote zu erhalten, die auf deiner finanziellen Situation basieren.
======</t>
      </text>
    </comment>
    <comment ref="H27" authorId="0" shapeId="0">
      <text>
        <t>Die Finanzierungskosten setzen sich zusammen aus:
+ Zinskosten für das Darlehen der Bank
+ Zinskosten für das Darlehen des Investor
+ Einmalkosten der Finanzierung
======</t>
      </text>
    </comment>
    <comment ref="D30" authorId="0" shapeId="0">
      <text>
        <t>Maklerprovision Netto eintragen -&gt; Brutto Provision wird errechnet.
======</t>
      </text>
    </comment>
    <comment ref="O41" authorId="0" shapeId="0">
      <text>
        <t>Liegt dieser Wert unter 20% dann ist es ein heißer Deal - hierbei ist besonders Schnelligkeit gefragt! Vereinbare zeitnah eine Besichtigung und hole schon mal die vollständigen Objektunterlagen ein.
Liegt der Wert hingegen über 40% dann solltest du dich auf weitere / andere Leads konzentrieren. Eine Differenz über 40% muss nicht per se ein ungeeigneter Deal sein, hierbei solltest du nochmals genauer prüfen ob die Immobilie wirklich in dein Ankaufsprofil passt und in wieweit sich eine Besichtigung lohnt.
======</t>
      </text>
    </comment>
  </commentList>
</comments>
</file>

<file path=xl/comments/comment2.xml><?xml version="1.0" encoding="utf-8"?>
<comments xmlns="http://schemas.openxmlformats.org/spreadsheetml/2006/main">
  <authors>
    <author>None</author>
  </authors>
  <commentList>
    <comment ref="K8" authorId="0" shapeId="0">
      <text>
        <t>Die Preise für Handwerksleistungen in Deutschland variieren je nach Bundesland erheblich. Faktoren wie Lohnniveau, Nachfrage und regionale Unterschiede bei Materialkosten führen dazu, dass Bau- und Renovierungskosten in manchen Regionen höher oder niedriger ausfallen können. 
Aus diesem Grund haben wir hier ein Feld hinzugefügt, über das Sie Ihren individuellen Auf- oder Abschlag prozentual angeben können, um regionale Unterschiede bei den Kosten präzise zu berücksichtigen.
======</t>
      </text>
    </comment>
    <comment ref="F12" authorId="0" shapeId="0">
      <text>
        <t>pro Wohneinheit
======</t>
      </text>
    </comment>
    <comment ref="F13" authorId="0" shapeId="0">
      <text>
        <t>Entsorgungskosten werden separat berechnet -&gt; siehe unten!
======</t>
      </text>
    </comment>
    <comment ref="F14" authorId="0" shapeId="0">
      <text>
        <t>Entfernung aller Boden- und Wandbeläge inkl. der darunter liegenden Leitungen (Wasser und Strom).
======</t>
      </text>
    </comment>
    <comment ref="F16" authorId="0" shapeId="0">
      <text>
        <t>Verteilerkasten in der Wohnung neu machen inkl. aller Sicherungen und FI-Schutzschalter.
======</t>
      </text>
    </comment>
    <comment ref="F26" authorId="0" shapeId="0">
      <text>
        <t>Neue Heizleitungen in der Wohnung verlegen.
======</t>
      </text>
    </comment>
    <comment ref="F27" authorId="0" shapeId="0">
      <text>
        <t>Stromleitungen neu verlegen für die neue Elektroheizung.
======</t>
      </text>
    </comment>
    <comment ref="F28" authorId="0" shapeId="0">
      <text>
        <t>(inkl. Abdecken + Abkleben)
======</t>
      </text>
    </comment>
    <comment ref="F37" authorId="0" shapeId="0">
      <text>
        <t>Wasserleitungen in der Wohnung komplett erneuern.
======</t>
      </text>
    </comment>
    <comment ref="F50" authorId="0" shapeId="0">
      <text>
        <t>Material und Arbeitszeit. Hier bitte die genaue Wandfläche errechnen auf der neue Fliesen aufgetragen werden sollen.
======</t>
      </text>
    </comment>
    <comment ref="F51" authorId="0" shapeId="0">
      <text>
        <t>Pauschalbetrag für ein typisches Badezimmer mit ca. 5-10qm Wohnfläche.
======</t>
      </text>
    </comment>
    <comment ref="F69" authorId="0" shapeId="0">
      <text>
        <t>(zzgl. Unterverteilung, siehe Pos. 44)
======</t>
      </text>
    </comment>
    <comment ref="F73" authorId="0" shapeId="0">
      <text>
        <t>Hier bitte die Fläche der einzuziehenden Wand eintragen.
======</t>
      </text>
    </comment>
    <comment ref="F74" authorId="0" shapeId="0">
      <text>
        <t>Hier bitte die Fläche der abzuhängenden Decke eintragen.
======</t>
      </text>
    </comment>
    <comment ref="F76" authorId="0" shapeId="0">
      <text>
        <t>(inkl. Abdecken + Abkleben)
======</t>
      </text>
    </comment>
  </commentList>
</comments>
</file>

<file path=xl/comments/comment3.xml><?xml version="1.0" encoding="utf-8"?>
<comments xmlns="http://schemas.openxmlformats.org/spreadsheetml/2006/main">
  <authors>
    <author>None</author>
    <author>Aufteiler-Skill</author>
  </authors>
  <commentList>
    <comment ref="R3" authorId="0" shapeId="0">
      <text>
        <t>§ 559 BGB regelt die Mieterhöhung nach einer Modernisierung. Hier sind die wichtigsten Punkte:
1. Modernisierungsmaßnahmen: Wenn der Vermieter Modernisierungsarbeiten durchführt, die den Wohnwert der Immobilie verbessern oder zu einer Energieeinsparung führen (z. B. Wärmedämmung, neue Fenster, Heizung), darf er die Miete erhöhen.
2. Berechnung der Mieterhöhung: Der Vermieter kann 8% der Modernisierungskosten auf die jährliche Miete umlegen. Das bedeutet, die Kosten der Modernisierung dürfen anteilig auf den Mieter verteilt werden.
3. Keine Kappungsgrenze: Im Gegensatz zu einer normalen Mieterhöhung (nach § 558 BGB) gibt es bei Modernisierungen keine prozentuale Begrenzung der Mieterhöhung innerhalb von drei Jahren. Allerdings gibt es eine monatliche Höchstgrenze, um Mieter vor zu hohen Belastungen zu schützen:
Die Miete darf innerhalb von sechs Jahren um maximal 3 Euro pro Quadratmeter erhöht werden.
Bei einer Miete unter 7 Euro pro Quadratmeter ist die Erhöhung auf 2 Euro pro Quadratmeter begrenzt.
Ankündigungsfrist: Der Vermieter muss die Modernisierung mindestens drei Monate vor Beginn der Arbeiten schriftlich ankündigen. Er muss dabei genau erklären, welche Maßnahmen durchgeführt werden, welche Kosten entstehen und wie viel die Miete steigen wird.
Sonderregelungen für Härtefälle: Wenn die Mieterhöhung für den Mieter eine unzumutbare Härte darstellt (z. B. finanziell nicht tragbar), kann der Mieter sich dagegen wehren. Der Vermieter muss solche Fälle berücksichtigen, und es kann zu einer Reduzierung der Mieterhöhung kommen.
Zusammengefasst erlaubt § 559 BGB Vermietern, einen Teil der Kosten von Modernisierungsmaßnahmen auf die Miete umzulegen, jedoch mit Grenzen, um den Mieter vor zu starken finanziellen Belastungen zu schützen.
======</t>
      </text>
    </comment>
    <comment ref="T4" authorId="0" shapeId="0">
      <text>
        <t>Modernisierungsmaßnahmen: 
Wenn der Vermieter Modernisierungsarbeiten durchführt, die den Wohnwert der Immobilie verbessern oder zu einer Energieeinsparung führen (z. B. Wärmedämmung, neue Fenster, Heizung), darf er die Miete erhöhen.
Hier dürfen nur die Kosten angesetzt / umgelegt werden, die z.B. zur energetischen Sanierung aufgewendet wurden.
======</t>
      </text>
    </comment>
    <comment ref="N5" authorId="0" shapeId="0">
      <text>
        <t>§ 558 BGB regelt, wie ein Vermieter die Miete bis zur ortsüblichen Vergleichsmiete erhöhen kann. Hier die wichtigsten Details:
- Anpassung an die ortsübliche Vergleichsmiete: Der Vermieter darf die Miete erhöhen, um sie an die durchschnittliche Miete für vergleichbare Wohnungen in der gleichen Stadt oder Region anzupassen. Diese Vergleichsmiete orientiert sich an Faktoren wie Größe, Lage, Ausstattung und Zustand der Wohnung und wird meist anhand eines Mietspiegels ermittelt.
- Obergrenze für Mieterhöhung (Kappungsgrenze): Innerhalb von drei Jahren darf die Miete nur um maximal 20% erhöht werden. In einigen Regionen mit angespanntem Wohnungsmarkt liegt diese Grenze sogar bei 15%. Diese Regel schützt Mieter vor übermäßigen Mietsteigerungen.
-Sperrfrist: Eine Mieterhöhung nach § 558 ist nur möglich, wenn die Miete seit mindestens 12 Monaten unverändert ist. Das heißt, der Vermieter darf frühestens ein Jahr nach der letzten Erhöhung eine neue Erhöhung anstreben.
- Begründungspflicht: Der Vermieter muss die Mieterhöhung schriftlich ankündigen und nachvollziehbar begründen. Zur Begründung kann er sich auf den Mietspiegel, ein Gutachten, Mietdatenbanken oder die Miete für mindestens drei vergleichbare Wohnungen beziehen.
- Zustimmung des Mieters: Der Mieter hat nach Erhalt der Ankündigung zwei Monate Zeit, der Mieterhöhung zuzustimmen. Wenn der Mieter nicht zustimmt, kann der Vermieter die Zustimmung einklagen.
Zusammengefasst regelt § 558 BGB also, dass die Miete angepasst werden kann, aber es gibt klare Schutzmechanismen für Mieter, damit die Erhöhungen im Rahmen bleiben und regelmäßig überprüfbar sind.
======</t>
      </text>
    </comment>
    <comment ref="L6" authorId="0" shapeId="0">
      <text>
        <t>Gibt es keinen offiziellen Mietspiegel so nehmen wir marktübliche Vergleichsmieten an.
Ein Mietspiegel ist eine Übersicht, die die durchschnittlichen Mietpreise in einer bestimmten Stadt oder Region angibt. Er zeigt an, wie hoch die Miete für vergleichbare Wohnungen in dieser Gegend ist, basierend auf Faktoren wie:
 - Wohnungsgröße
 - Baujahr des Gebäudes
 - Ausstattung (z. B. Balkon, Heizung)
 - Lage (zentral oder eher am Stadtrand)
Für die Kalkulation einer Immobilie, wie z. B. einer Mietwohnung, hilft der Mietspiegel dabei, die ortsübliche Vergleichsmiete festzulegen. Das ist wichtig, wenn du den Mietpreis für eine Wohnung festlegen willst, der weder zu hoch noch zu niedrig im Vergleich zu ähnlichen Wohnungen in der Gegend ist.
! Eine einvernehmliche Mieterhöhung ist selbstverständlich immer möglich. Stimmt der Mieter einer Mieterhöhung um mehr als 20% zu, ist auch das möglich.
======</t>
      </text>
    </comment>
    <comment ref="P6" authorId="0" shapeId="0">
      <text>
        <t>Kappungsgrenze = Obergrenze für Mieterhöhung: Innerhalb von drei Jahren darf die Miete nur um maximal 20% erhöht werden. In einigen Regionen mit angespanntem Wohnungsmarkt liegt diese Grenze sogar bei 15%. Diese Regel schützt Mieter vor übermäßigen Mietsteigerungen.
======</t>
      </text>
    </comment>
    <comment ref="K7" authorId="1" shapeId="0">
      <text>
        <t>Formel-Spiegel aus Verkauf Cashflow AL+AM - dort eintragen</t>
      </text>
    </comment>
    <comment ref="N7" authorId="0" shapeId="0">
      <text>
        <t>Rechenweg Logik erklären
laut Gesetz ... Gesetz mit Chatgpt einfach erklären lassen
======</t>
      </text>
    </comment>
    <comment ref="J32" authorId="0" shapeId="0">
      <text>
        <t>Rendite für uns als Käufer im B&amp;H FAll
======</t>
      </text>
    </comment>
  </commentList>
</comments>
</file>

<file path=xl/comments/comment4.xml><?xml version="1.0" encoding="utf-8"?>
<comments xmlns="http://schemas.openxmlformats.org/spreadsheetml/2006/main">
  <authors>
    <author>None</author>
    <author>Aufteiler-Skill</author>
  </authors>
  <commentList>
    <comment ref="G5" authorId="0" shapeId="0">
      <text>
        <t>Wert kommt aus Tabellenblatt KALKU
======</t>
      </text>
    </comment>
    <comment ref="H5" authorId="0" shapeId="0">
      <text>
        <t>Wert kommt aus Tabellenblatt KALKU
======</t>
      </text>
    </comment>
    <comment ref="V5" authorId="1" shapeId="0">
      <text>
        <t>Spiegel aus Verkauf Cashflow Q+R - dort eintragen</t>
      </text>
    </comment>
    <comment ref="X5" authorId="1" shapeId="0">
      <text>
        <t>Eingabe im Reiter Verkauf Cashflow, Spalte O</t>
      </text>
    </comment>
    <comment ref="Y5" authorId="1" shapeId="0">
      <text>
        <t>= gesetzter Abgabepreis gesamt aus Verkauf Cashflow (Spalte S)</t>
      </text>
    </comment>
    <comment ref="Z5" authorId="0" shapeId="0">
      <text>
        <t>Verkaufspreis pro qm auf mein Preis.
======</t>
      </text>
    </comment>
    <comment ref="AA5" authorId="0" shapeId="0">
      <text>
        <t>Mietrendite die unsere Käufer erzielen, wenn sie zu meinem Preis kaufen. (Bruttomietrendite)
Die Rendite wird je nachdem ob wir eine Modernisierungsmieterhöhung machen oder nicht, von der jeweilig aktuellen Miete berechnet.
======</t>
      </text>
    </comment>
  </commentList>
</comments>
</file>

<file path=xl/comments/comment5.xml><?xml version="1.0" encoding="utf-8"?>
<comments xmlns="http://schemas.openxmlformats.org/spreadsheetml/2006/main">
  <authors>
    <author>Aufteiler-Skill</author>
  </authors>
  <commentList>
    <comment ref="G2" authorId="0" shapeId="0">
      <text>
        <t>(Export schreibt "ja"/"nein" aus dem boolean; leer = vermietet; None, nie "" oder 0)</t>
      </text>
    </comment>
    <comment ref="H2" authorId="0" shapeId="0">
      <text>
        <t>(leer = keine Garage, None)</t>
      </text>
    </comment>
    <comment ref="I2" authorId="0" shapeId="0">
      <text>
        <t>(leer = kein Stellplatz, None)</t>
      </text>
    </comment>
    <comment ref="J2" authorId="0" shapeId="0">
      <text>
        <t>(leer = kein MEA -&gt; Gebaeudeanteil faellt auf BF bzw. C10 zurueck)</t>
      </text>
    </comment>
    <comment ref="L2" authorId="0" shapeId="0">
      <text>
        <t>(leer = kein Preis gesetzt, None. Setzt den Abgabepreis der WOHNUNG - was Andre bekommt.)</t>
      </text>
    </comment>
    <comment ref="O2" authorId="0" shapeId="0">
      <text>
        <t>(leer = 0, None; negativ = Abschlag)</t>
      </text>
    </comment>
    <comment ref="Q2" authorId="0" shapeId="0">
      <text>
        <t>(Export-Write aus Anzahl x Preis je Einheit; leer = keine, None)</t>
      </text>
    </comment>
    <comment ref="R2" authorId="0" shapeId="0">
      <text>
        <t>(Export-Write aus Anzahl x Preis je Einheit; leer = keine, None)</t>
      </text>
    </comment>
    <comment ref="T2" authorId="0" shapeId="0">
      <text>
        <t>(leer = N5 greift, None; 0 = provisionsfrei)</t>
      </text>
    </comment>
    <comment ref="AG2" authorId="0" shapeId="0">
      <text>
        <t>(leer = MIETER!J gilt, None. Wirkt nur nach OBEN: MAX(MIETER!J, Eingabe))</t>
      </text>
    </comment>
    <comment ref="AI2" authorId="0" shapeId="0">
      <text>
        <t>(Export-Write; leer = Fallback MIETER!R8 in AJ, None)</t>
      </text>
    </comment>
    <comment ref="AK2" authorId="0" shapeId="0">
      <text>
        <t>(Export-Write; leer = AJ als Obergrenze in AU, None)</t>
      </text>
    </comment>
    <comment ref="AL2" authorId="0" shapeId="0">
      <text>
        <t>(Export-Write; leer = keine, None)</t>
      </text>
    </comment>
    <comment ref="AM2" authorId="0" shapeId="0">
      <text>
        <t>(Export-Write; leer = keine, None)</t>
      </text>
    </comment>
    <comment ref="AS2" authorId="0" shapeId="0">
      <text>
        <t>(Export-Write; leer = Formel-Fallback in AT, None)</t>
      </text>
    </comment>
    <comment ref="AW2" authorId="0" shapeId="0">
      <text>
        <t>(leer = aus Euro bzw. Standard, None)</t>
      </text>
    </comment>
    <comment ref="AX2" authorId="0" shapeId="0">
      <text>
        <t>(leer = Prozent bzw. Standard, None; 0 = kein Hausgeld, z.B. CRM-Objekt ohne Angabe; bei Leerstand VOLLES Hausgeld eintragen)</t>
      </text>
    </comment>
    <comment ref="AZ2" authorId="0" shapeId="0">
      <text>
        <t>(leer = Flaechen-Standard als Obergrenze, None)</t>
      </text>
    </comment>
    <comment ref="BF2" authorId="0" shapeId="0">
      <text>
        <t>(leer = berechnet bzw. C10, None; 0,5..1)</t>
      </text>
    </comment>
    <comment ref="BJ2" authorId="0" shapeId="0">
      <text>
        <t>(leer = C9, None; 0,01..0,06)</t>
      </text>
    </comment>
    <comment ref="C26" authorId="0" shapeId="0">
      <text>
        <t>Template-Default / User-Eingabe (unveraendert)</t>
      </text>
    </comment>
    <comment ref="H26" authorId="0" shapeId="0">
      <text>
        <t>Provision Standard (% vom Abgabepreis) | NEU - Eingabe. CRM ANNAHMEN_DEFAULTS.provision_default. Greift je Zeile, wenn T leer.</t>
      </text>
    </comment>
    <comment ref="C27" authorId="0" shapeId="0">
      <text>
        <t>Template-Default / User-Eingabe (unveraendert)</t>
      </text>
    </comment>
    <comment ref="H27" authorId="0" shapeId="0">
      <text>
        <t>Grundstuecksflaeche gesamt (m2) | NEU - Export-Write aus modul_2.grundstuecksflaeche_qm (Grundbuch Bestandsverzeichnis vor Flurkarte vor Expose; Quelle modul_2.grundstuecksflaeche_quelle als Zellkommentar). CRM grundstuecksflaeche_m2.</t>
      </text>
    </comment>
    <comment ref="C28" authorId="0" shapeId="0">
      <text>
        <t>Template-Default / User-Eingabe (unveraendert)</t>
      </text>
    </comment>
    <comment ref="H28" authorId="0" shapeId="0">
      <text>
        <t>Bodenrichtwert (EUR/m2) | NEU - Export-Write aus modul_2.brw_eur_pro_qm. CRM bodenrichtwert_qm.</t>
      </text>
    </comment>
    <comment ref="C29" authorId="0" shapeId="0">
      <text>
        <t>Bewirtschaftungsquote gesamt (ALT-KONTROLLE, speist nur Sektion Z.73-87) | Formel, nicht schreiben. IFERROR-Default 0,2 entfernt (stiller Fallback). Vorwaertsrechnung nutzt je WE Spalte BB.</t>
      </text>
    </comment>
    <comment ref="H29" authorId="0" shapeId="0">
      <text>
        <t>MEA-Nenner (Teilungserklaerung; ohne TE = Wohnflaeche x 100) | NEU - Export-Write aus modul_2.mea_nenner; modul_2.mea_quelle als Zellkommentar. CRM mea_nenner.</t>
      </text>
    </comment>
    <comment ref="C30" authorId="0" shapeId="0">
      <text>
        <t>AfA-Satz Wohnung (p.a.) - Standard, je WE ueberschreibbar in BJ | modul_3.afa_empfehlung_prozent/100 (Export-Write, unveraendert)</t>
      </text>
    </comment>
    <comment ref="H30" authorId="0" shapeId="0">
      <text>
        <t>Bodenwert Haus gesamt (EUR) | NEU - Formel, nicht schreiben. Rautenstrauch 1.341 x 235 = 315.135.</t>
      </text>
    </comment>
    <comment ref="C31" authorId="0" shapeId="0">
      <text>
        <t>Gebaeudeanteil STANDARD (Stufe 3 der Rangfolge vertrag &gt; berechnet &gt; standard) | modul_2.gebaeude_anteil_prozent/100 (Export-Write). Greift nur, wenn BF leer und kein Bodenwert je WE rechenbar (CRM gebaeude_anteil_default).</t>
      </text>
    </comment>
    <comment ref="H31" authorId="0" shapeId="0">
      <text>
        <t>AfA-Satz GARAGE (p.a.) | NEU - Eingabe, Entscheidung 5. CRM afa_satz_garage.</t>
      </text>
    </comment>
    <comment ref="C32" authorId="0" shapeId="0">
      <text>
        <t>Template-Default / User-Eingabe. Speist BZ/CA/CB.</t>
      </text>
    </comment>
    <comment ref="H32" authorId="0" shapeId="0">
      <text>
        <t>AfA-Satz AUSSENSTELLPLATZ (p.a.) - bewusst 0 | NEU - Eingabe, Entscheidung 5 (kein abnutzbares Gebaeude). CRM afa_satz_stellplatz = 0. Zellkommentar sagt das.</t>
      </text>
    </comment>
    <comment ref="C33" authorId="0" shapeId="0">
      <text>
        <t>Finanzierungsannahme der VORWAERTS-Rechnung (1 = 100 % KP, 2 = alles finanziert) | Template-Default / User-Eingabe. Nur fuer Beurkundung AA, KNK AB, Darlehen AD, EK AE, AfA BL/BM, Zins BN, Annuitaet BO, CF BS-BU. Die Kontrollspalten BZ/CA/CB tragen ihren Faktor selbst. | CRM-Mapping: schnellblick_alles_finanziert 1 (109,3 %) -&gt; C12 = 2; 0 (Nebenkosten aus EK) -&gt; C12 = 1.</t>
      </text>
    </comment>
    <comment ref="H33" authorId="0" shapeId="0">
      <text>
        <t>Ampel-Toleranz ueber max. tragbar | NEU - Eingabe. Schwelle GELB/ROT in CG/CH.</t>
      </text>
    </comment>
    <comment ref="C34" authorId="0" shapeId="0">
      <text>
        <t>Loan-Faktor alles finanziert = 1/(1-KNK) | Formel, nicht schreiben. Entscheidung 8: 1/(1-0,085) = 1,0928961749 wie CRM financingQuote(). Label A13 mitziehen; Vault-Regel LRN-aufteiler-knk-loan-faktor-c13 im selben Commit umschreiben.</t>
      </text>
    </comment>
    <comment ref="H34" authorId="0" shapeId="0">
      <text>
        <t>Loan-Faktor der VORWAERTS-Rechnung (aus C12) | NEU - Formel, nicht schreiben. = CRM financingQuote (1 oder 1/(1-knk)).</t>
      </text>
    </comment>
    <comment ref="C35" authorId="0" shapeId="0">
      <text>
        <t>k-Faktor global (ALT-KONTROLLE fuer Z.53-59 und Z.73-87) | Formel. GEAENDERT: Loan-Faktor aus N13, AfA-Term mit (1+C15) UND Quote N13 (Entscheidung 9: AfA-Basis = beurkundet x (1+KNK) x Anteil). Identisch zu BY bei Standard-Anteil. C56:C59 analog.</t>
      </text>
    </comment>
    <comment ref="H35" authorId="0" shapeId="0">
      <text>
        <t>Sperrfrist Mieterhoehung (Monate) | NEU - Eingabe (M9). AR = EDATE(AQ,$N$14). MIETER!N8:N27 bleibt unangetastet (dortiges EDATE($N$4,-36) im Zellkommentar von N14 nennen).</t>
      </text>
    </comment>
    <comment ref="C36" authorId="0" shapeId="0">
      <text>
        <t>Kaufnebenkosten-Quote (GrESt NRW 6,5 % + Notar/GB 2,0 %, OHNE Makler) | NEU - Eingabe (gelb), Entscheidung 4. CRM knk_quote = 0.085. Speist C13, C14, AB, BL/BM, BV-BY.</t>
      </text>
    </comment>
    <comment ref="C45" authorId="0" shapeId="0">
      <text>
        <t>Kaufpreis Garagen + Stellplaetze gesamt (EUR) - Basis der Sensitivitaet | NEU befuellt (C45 heute leer, aber von D56:D59 gelesen). Roh-Preise wie im CRM (garage_preis/stellplatz_preis werden vom Kaufpreis gesamt abgezogen, keine eigene Provisionsspalte). Label A45 setzen.</t>
      </text>
    </comment>
    <comment ref="C62" authorId="0" shapeId="0">
      <text>
        <t>Template-Default / User-Eingabe (bestehend)</t>
      </text>
    </comment>
    <comment ref="C63" authorId="0" shapeId="0">
      <text>
        <t>Formel, unveraendert (F bleibt an Ort und Stelle)</t>
      </text>
    </comment>
    <comment ref="C64" authorId="0" shapeId="0">
      <text>
        <t>RND-Staffel 10/14/18 aus modul_3.rnd_jahre (Export-Write, bestehend)</t>
      </text>
    </comment>
    <comment ref="C65" authorId="0" shapeId="0">
      <text>
        <t>Formel, unveraendert</t>
      </text>
    </comment>
    <comment ref="C69" authorId="0" shapeId="0">
      <text>
        <t>GEAENDERT: zeigte auf G38 (alte Mietspalte, jetzt Leerstands-Zaehler). Neue Quelle AH38 = Summe Kaltmiete IST (inkl. Override).</t>
      </text>
    </comment>
  </commentList>
</comments>
</file>

<file path=xl/comments/comment6.xml><?xml version="1.0" encoding="utf-8"?>
<comments xmlns="http://schemas.openxmlformats.org/spreadsheetml/2006/main">
  <authors>
    <author>None</author>
  </authors>
  <commentList>
    <comment ref="E3" authorId="0" shapeId="0">
      <text>
        <t>z.B. sind dir Besonderheiten beim Lesen der Protokolle der letzten Eigentümerversammlungen aufgefallen?
sind dir Besonderheiten in den Nebenkostenabrechnungen aufgefallen?
======</t>
      </text>
    </comment>
    <comment ref="B7" authorId="0" shapeId="0">
      <text>
        <t>Wenn nicht in Grundrissen ersichtlich
======</t>
      </text>
    </comment>
    <comment ref="E10" authorId="0" shapeId="0">
      <text>
        <t>z.B. sind dir Besonderheiten beim Lesen der Protokolle der letzten Eigentümerversammlungen aufgefallen?
sind dir Besonderheiten in den Nebenkostenabrechnungen aufgefallen?
======</t>
      </text>
    </comment>
    <comment ref="G15" authorId="0" shapeId="0">
      <text>
        <t>Besonderheiten sind z.B.:
- Denkmalschutz
- Anbau
- Umnutzung
- Gewerbe
- Millieuschutz
- Hochwassergebiet
- Extreme Lärmbelästigung
- etc.
======</t>
      </text>
    </comment>
    <comment ref="E18" authorId="0" shapeId="0">
      <text>
        <t>z.B. sind dir Besonderheiten beim Lesen der Protokolle der letzten Eigentümerversammlungen aufgefallen?
sind dir Besonderheiten in den Nebenkostenabrechnungen aufgefallen?
======</t>
      </text>
    </comment>
    <comment ref="G28" authorId="0" shapeId="0">
      <text>
        <t>Es gibt Möglichkieten auch Deals ohne dein eigenes EK zu realisieren. In der Stein Consulting Community gibt es viele Investoren die das EK zur Verfügung stellen und dafür eine Gewinnbeteiligung erhalten. Bei Interesse, melde dich unter...
======</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9</col>
      <colOff>219075</colOff>
      <row>0</row>
      <rowOff>219075</rowOff>
    </from>
    <ext cx="4629150" cy="1628775"/>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homeday.de/de/preisatlas" TargetMode="External" Id="rId1"/><Relationship Type="http://schemas.openxmlformats.org/officeDocument/2006/relationships/hyperlink" Target="https://atlas.immobilienscout24.de/" TargetMode="External" Id="rId2"/><Relationship Type="http://schemas.openxmlformats.org/officeDocument/2006/relationships/hyperlink" Target="https://baufinanzierung.check24.de/baufinanzierung/immobilienbewertung?deviceoutput=desktop" TargetMode="External" Id="rId3"/><Relationship Type="http://schemas.openxmlformats.org/officeDocument/2006/relationships/hyperlink" Target="https://www.interhyp.de/rechner/immobilienbewertung/" TargetMode="External" Id="rId4"/><Relationship Type="http://schemas.openxmlformats.org/officeDocument/2006/relationships/hyperlink" Target="https://de.statista.com/statistik/daten/studie/201216/umfrage/ezb-zinssatz-fuer-das-hauptrefinanzierungsgeschaeft-seit-1999/" TargetMode="External" Id="rId5"/><Relationship Type="http://schemas.openxmlformats.org/officeDocument/2006/relationships/hyperlink" Target="https://www.interhyp.de/zinsen/" TargetMode="External" Id="rId6"/><Relationship Type="http://schemas.openxmlformats.org/officeDocument/2006/relationships/drawing" Target="/xl/drawings/drawing1.xml" Id="rId7"/><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fitToPage="1"/>
  </sheetPr>
  <dimension ref="A1:B1000"/>
  <sheetViews>
    <sheetView showGridLines="0" zoomScale="55" zoomScaleNormal="55" workbookViewId="0">
      <selection activeCell="A1" sqref="A1:B1"/>
    </sheetView>
  </sheetViews>
  <sheetFormatPr baseColWidth="10" defaultColWidth="14.4609375" defaultRowHeight="15" customHeight="1"/>
  <cols>
    <col width="49.4609375" customWidth="1" style="545" min="1" max="1"/>
    <col width="57.84375" customWidth="1" style="545" min="2" max="2"/>
    <col width="14.4609375" customWidth="1" style="545" min="3" max="6"/>
  </cols>
  <sheetData>
    <row r="1" ht="60" customHeight="1" s="545">
      <c r="A1" s="555" t="inlineStr">
        <is>
          <t>CHECKLISTE BESICHTIGUNG</t>
        </is>
      </c>
      <c r="B1" s="550" t="n"/>
    </row>
    <row r="2" ht="60" customHeight="1" s="545">
      <c r="A2" s="1" t="inlineStr">
        <is>
          <t xml:space="preserve"> Datum Besichtigung</t>
        </is>
      </c>
      <c r="B2" s="2" t="n"/>
    </row>
    <row r="3" ht="60" customHeight="1" s="545">
      <c r="A3" s="3" t="inlineStr">
        <is>
          <t xml:space="preserve"> Lead Herkunft</t>
        </is>
      </c>
      <c r="B3" s="4" t="n"/>
    </row>
    <row r="4" ht="60" customHeight="1" s="545">
      <c r="A4" s="544" t="n"/>
    </row>
    <row r="5" ht="60" customHeight="1" s="545">
      <c r="A5" s="549" t="inlineStr">
        <is>
          <t>EINKAUF</t>
        </is>
      </c>
      <c r="B5" s="550" t="n"/>
    </row>
    <row r="6" ht="60" customHeight="1" s="545">
      <c r="A6" s="1" t="inlineStr">
        <is>
          <t xml:space="preserve"> Anschrift</t>
        </is>
      </c>
      <c r="B6" s="5" t="n"/>
    </row>
    <row r="7" ht="60" customHeight="1" s="545">
      <c r="A7" s="1" t="inlineStr">
        <is>
          <t xml:space="preserve"> Wohnfläche in m²</t>
        </is>
      </c>
      <c r="B7" s="6" t="n"/>
    </row>
    <row r="8" ht="60" customHeight="1" s="545">
      <c r="A8" s="1" t="inlineStr">
        <is>
          <t xml:space="preserve"> Baujahr</t>
        </is>
      </c>
      <c r="B8" s="2" t="n"/>
    </row>
    <row r="9" ht="60" customHeight="1" s="545">
      <c r="A9" s="1" t="inlineStr">
        <is>
          <t xml:space="preserve"> Wohneinheiten im Haus</t>
        </is>
      </c>
      <c r="B9" s="2" t="n"/>
    </row>
    <row r="10" ht="60" customHeight="1" s="545">
      <c r="A10" s="7" t="inlineStr">
        <is>
          <t xml:space="preserve"> Hausgeld pro Monat</t>
        </is>
      </c>
      <c r="B10" s="8" t="n">
        <v>0</v>
      </c>
    </row>
    <row r="11" ht="60" customHeight="1" s="545">
      <c r="A11" s="1" t="inlineStr">
        <is>
          <t xml:space="preserve"> Rücklagen des Hauses</t>
        </is>
      </c>
      <c r="B11" s="8" t="n">
        <v>0</v>
      </c>
    </row>
    <row r="12" ht="60" customHeight="1" s="545">
      <c r="A12" s="1" t="inlineStr">
        <is>
          <t xml:space="preserve"> Gewinn</t>
        </is>
      </c>
      <c r="B12" s="9" t="n">
        <v>0.3</v>
      </c>
    </row>
    <row r="13" ht="60" customHeight="1" s="545">
      <c r="A13" s="10" t="inlineStr">
        <is>
          <t xml:space="preserve"> Inseratspreis</t>
        </is>
      </c>
      <c r="B13" s="8" t="n"/>
    </row>
    <row r="14" ht="60" customHeight="1" s="545">
      <c r="A14" s="10" t="inlineStr">
        <is>
          <t xml:space="preserve"> Inseratspreis pro m²</t>
        </is>
      </c>
      <c r="B14" s="11">
        <f>B13/B7</f>
        <v/>
      </c>
    </row>
    <row r="15" ht="60" customHeight="1" s="545">
      <c r="A15" s="12" t="inlineStr">
        <is>
          <t xml:space="preserve"> Besonderheiten Haus /
 Erster Eindruck Umgebung</t>
        </is>
      </c>
      <c r="B15" s="13" t="inlineStr">
        <is>
          <t>Text</t>
        </is>
      </c>
    </row>
    <row r="16" ht="60" customHeight="1" s="545">
      <c r="A16" s="687" t="n"/>
    </row>
    <row r="17" ht="60" customHeight="1" s="545">
      <c r="A17" s="549" t="inlineStr">
        <is>
          <t>ZUSTAND (MIT BILDER DOKUMENTIEREN!)</t>
        </is>
      </c>
      <c r="B17" s="550" t="n"/>
    </row>
    <row r="18" ht="60" customHeight="1" s="545">
      <c r="A18" s="1" t="inlineStr">
        <is>
          <t xml:space="preserve"> Dach</t>
        </is>
      </c>
      <c r="B18" s="551" t="inlineStr">
        <is>
          <t>Zustand?</t>
        </is>
      </c>
    </row>
    <row r="19" ht="60" customHeight="1" s="545">
      <c r="A19" s="1" t="inlineStr">
        <is>
          <t xml:space="preserve"> Fassade</t>
        </is>
      </c>
      <c r="B19" s="551" t="inlineStr">
        <is>
          <t>Zustand?</t>
        </is>
      </c>
    </row>
    <row r="20" ht="60" customHeight="1" s="545">
      <c r="A20" s="1" t="inlineStr">
        <is>
          <t xml:space="preserve"> Fenster</t>
        </is>
      </c>
      <c r="B20" s="551" t="inlineStr">
        <is>
          <t>Zustand?</t>
        </is>
      </c>
    </row>
    <row r="21" ht="60" customHeight="1" s="545">
      <c r="A21" s="1" t="inlineStr">
        <is>
          <t xml:space="preserve"> Stellplatz / Garage</t>
        </is>
      </c>
      <c r="B21" s="551" t="inlineStr">
        <is>
          <t>Vorhanden?</t>
        </is>
      </c>
    </row>
    <row r="22" ht="60" customHeight="1" s="545">
      <c r="A22" s="1" t="inlineStr">
        <is>
          <t xml:space="preserve"> Heizung</t>
        </is>
      </c>
      <c r="B22" s="551" t="inlineStr">
        <is>
          <t>Art? Baujahr?</t>
        </is>
      </c>
    </row>
    <row r="23" ht="60" customHeight="1" s="545">
      <c r="A23" s="3" t="inlineStr">
        <is>
          <t xml:space="preserve"> Elektrik</t>
        </is>
      </c>
      <c r="B23" s="13" t="inlineStr">
        <is>
          <t>Zustand?</t>
        </is>
      </c>
    </row>
    <row r="24" ht="60" customHeight="1" s="545">
      <c r="A24" s="687" t="n"/>
    </row>
    <row r="25" ht="60" customHeight="1" s="545">
      <c r="A25" s="549" t="inlineStr">
        <is>
          <t>VERKÄUFER</t>
        </is>
      </c>
      <c r="B25" s="550" t="n"/>
    </row>
    <row r="26" ht="60" customHeight="1" s="545">
      <c r="A26" s="1" t="inlineStr">
        <is>
          <t xml:space="preserve"> Wer ist der Eigentümer?</t>
        </is>
      </c>
      <c r="B26" s="551" t="inlineStr">
        <is>
          <t>Text</t>
        </is>
      </c>
    </row>
    <row r="27" ht="60" customHeight="1" s="545">
      <c r="A27" s="1" t="inlineStr">
        <is>
          <t xml:space="preserve"> Warum wird verkauft?</t>
        </is>
      </c>
      <c r="B27" s="551" t="inlineStr">
        <is>
          <t>Text</t>
        </is>
      </c>
    </row>
    <row r="28" ht="60" customHeight="1" s="545">
      <c r="A28" s="3" t="inlineStr">
        <is>
          <t xml:space="preserve"> Schmerzgrenze Preis?</t>
        </is>
      </c>
      <c r="B28" s="16" t="n"/>
    </row>
    <row r="29" ht="60" customHeight="1" s="545">
      <c r="A29" s="687" t="n"/>
    </row>
    <row r="30" ht="60" customHeight="1" s="545">
      <c r="A30" s="546" t="inlineStr">
        <is>
          <t>MIETSITUATION</t>
        </is>
      </c>
      <c r="B30" s="547" t="n"/>
    </row>
    <row r="31" ht="60" customHeight="1" s="545">
      <c r="A31" s="17" t="inlineStr">
        <is>
          <t>Wie viele Einheiten
sind vermietet?</t>
        </is>
      </c>
      <c r="B31" s="2" t="n"/>
    </row>
    <row r="32" ht="60" customHeight="1" s="545">
      <c r="A32" s="17" t="inlineStr">
        <is>
          <t>Wie viele Einheiten
stehen leer?</t>
        </is>
      </c>
      <c r="B32" s="2" t="n"/>
    </row>
    <row r="33" ht="60" customHeight="1" s="545">
      <c r="A33" s="17" t="inlineStr">
        <is>
          <t>IST Jahresnettokaltmiete?
(JNKM)</t>
        </is>
      </c>
      <c r="B33" s="18" t="n"/>
    </row>
    <row r="34" ht="60" customHeight="1" s="545">
      <c r="A34" s="17" t="inlineStr">
        <is>
          <t>Kappungsgrenze?</t>
        </is>
      </c>
      <c r="B34" s="9" t="n">
        <v>0</v>
      </c>
    </row>
    <row r="35" ht="60" customHeight="1" s="545">
      <c r="A35" s="17" t="inlineStr">
        <is>
          <t>Wann waren die letzten Mieterhöhungen?</t>
        </is>
      </c>
      <c r="B35" s="2" t="n"/>
    </row>
    <row r="36" ht="60" customHeight="1" s="545">
      <c r="A36" s="17" t="inlineStr">
        <is>
          <t>SOLL Jahresnettokaltmiete?
(JNKM)</t>
        </is>
      </c>
      <c r="B36" s="18" t="n"/>
    </row>
    <row r="37" ht="60" customHeight="1" s="545">
      <c r="A37" s="12" t="n"/>
      <c r="B37" s="16" t="n"/>
    </row>
    <row r="38" ht="60" customHeight="1" s="545">
      <c r="A38" s="687" t="n"/>
    </row>
    <row r="39" ht="60" customHeight="1" s="545">
      <c r="A39" s="549" t="inlineStr">
        <is>
          <t>SONSTIGE NOTIZEN</t>
        </is>
      </c>
      <c r="B39" s="550" t="n"/>
    </row>
    <row r="40" ht="60" customHeight="1" s="545">
      <c r="A40" s="551" t="inlineStr">
        <is>
          <t>Text</t>
        </is>
      </c>
      <c r="B40" s="552" t="n"/>
    </row>
    <row r="41" ht="60" customHeight="1" s="545">
      <c r="A41" s="688" t="n"/>
      <c r="B41" s="554" t="n"/>
    </row>
    <row r="42" ht="60" customHeight="1" s="545">
      <c r="A42" s="687" t="n"/>
    </row>
    <row r="43" ht="15.75" customHeight="1" s="545">
      <c r="A43" s="19" t="n"/>
      <c r="B43" s="19" t="n"/>
    </row>
    <row r="44" ht="15.75" customHeight="1" s="545">
      <c r="A44" s="19" t="n"/>
      <c r="B44" s="19" t="n"/>
    </row>
    <row r="45" ht="15.75" customHeight="1" s="545">
      <c r="A45" s="19" t="n"/>
      <c r="B45" s="19" t="n"/>
    </row>
    <row r="46" ht="15.75" customHeight="1" s="545">
      <c r="A46" s="19" t="n"/>
      <c r="B46" s="19" t="n"/>
    </row>
    <row r="47" ht="15.75" customHeight="1" s="545">
      <c r="A47" s="19" t="n"/>
      <c r="B47" s="19" t="n"/>
    </row>
    <row r="48" ht="15.75" customHeight="1" s="545">
      <c r="A48" s="19" t="n"/>
      <c r="B48" s="19" t="n"/>
    </row>
    <row r="49" ht="15.75" customHeight="1" s="545">
      <c r="A49" s="19" t="n"/>
      <c r="B49" s="19" t="n"/>
    </row>
    <row r="50" ht="15.75" customHeight="1" s="545">
      <c r="A50" s="19" t="n"/>
      <c r="B50" s="19" t="n"/>
    </row>
    <row r="51" ht="15.75" customHeight="1" s="545">
      <c r="A51" s="19" t="n"/>
      <c r="B51" s="19" t="n"/>
    </row>
    <row r="52" ht="15.75" customHeight="1" s="545">
      <c r="A52" s="19" t="n"/>
      <c r="B52" s="19" t="n"/>
    </row>
    <row r="53" ht="15.75" customHeight="1" s="545">
      <c r="A53" s="19" t="n"/>
      <c r="B53" s="19" t="n"/>
    </row>
    <row r="54" ht="15.75" customHeight="1" s="545">
      <c r="A54" s="19" t="n"/>
      <c r="B54" s="19" t="n"/>
    </row>
    <row r="55" ht="15.75" customHeight="1" s="545">
      <c r="A55" s="19" t="n"/>
      <c r="B55" s="19" t="n"/>
    </row>
    <row r="56" ht="15.75" customHeight="1" s="545">
      <c r="A56" s="19" t="n"/>
      <c r="B56" s="19" t="n"/>
    </row>
    <row r="57" ht="15.75" customHeight="1" s="545">
      <c r="A57" s="19" t="n"/>
      <c r="B57" s="19" t="n"/>
    </row>
    <row r="58" ht="15.75" customHeight="1" s="545">
      <c r="A58" s="19" t="n"/>
      <c r="B58" s="19" t="n"/>
    </row>
    <row r="59" ht="15.75" customHeight="1" s="545">
      <c r="A59" s="19" t="n"/>
      <c r="B59" s="19" t="n"/>
    </row>
    <row r="60" ht="15.75" customHeight="1" s="545">
      <c r="A60" s="19" t="n"/>
      <c r="B60" s="19" t="n"/>
    </row>
    <row r="61" ht="15.75" customHeight="1" s="545">
      <c r="A61" s="19" t="n"/>
      <c r="B61" s="19" t="n"/>
    </row>
    <row r="62" ht="15.75" customHeight="1" s="545">
      <c r="A62" s="19" t="n"/>
      <c r="B62" s="19" t="n"/>
    </row>
    <row r="63" ht="15.75" customHeight="1" s="545">
      <c r="A63" s="19" t="n"/>
      <c r="B63" s="19" t="n"/>
    </row>
    <row r="64" ht="15.75" customHeight="1" s="545">
      <c r="A64" s="19" t="n"/>
      <c r="B64" s="19" t="n"/>
    </row>
    <row r="65" ht="15.75" customHeight="1" s="545">
      <c r="A65" s="19" t="n"/>
      <c r="B65" s="19" t="n"/>
    </row>
    <row r="66" ht="15.75" customHeight="1" s="545">
      <c r="A66" s="19" t="n"/>
      <c r="B66" s="19" t="n"/>
    </row>
    <row r="67" ht="15.75" customHeight="1" s="545">
      <c r="A67" s="19" t="n"/>
      <c r="B67" s="19" t="n"/>
    </row>
    <row r="68" ht="15.75" customHeight="1" s="545">
      <c r="A68" s="19" t="n"/>
      <c r="B68" s="19" t="n"/>
    </row>
    <row r="69" ht="15.75" customHeight="1" s="545">
      <c r="A69" s="19" t="n"/>
      <c r="B69" s="19" t="n"/>
    </row>
    <row r="70" ht="15.75" customHeight="1" s="545">
      <c r="A70" s="19" t="n"/>
      <c r="B70" s="19" t="n"/>
    </row>
    <row r="71" ht="15.75" customHeight="1" s="545">
      <c r="A71" s="19" t="n"/>
      <c r="B71" s="19" t="n"/>
    </row>
    <row r="72" ht="15.75" customHeight="1" s="545">
      <c r="A72" s="19" t="n"/>
      <c r="B72" s="19" t="n"/>
    </row>
    <row r="73" ht="15.75" customHeight="1" s="545">
      <c r="A73" s="19" t="n"/>
      <c r="B73" s="19" t="n"/>
    </row>
    <row r="74" ht="15.75" customHeight="1" s="545">
      <c r="A74" s="19" t="n"/>
      <c r="B74" s="19" t="n"/>
    </row>
    <row r="75" ht="15.75" customHeight="1" s="545">
      <c r="A75" s="19" t="n"/>
      <c r="B75" s="19" t="n"/>
    </row>
    <row r="76" ht="15.75" customHeight="1" s="545">
      <c r="A76" s="19" t="n"/>
      <c r="B76" s="19" t="n"/>
    </row>
    <row r="77" ht="15.75" customHeight="1" s="545">
      <c r="A77" s="19" t="n"/>
      <c r="B77" s="19" t="n"/>
    </row>
    <row r="78" ht="15.75" customHeight="1" s="545">
      <c r="A78" s="19" t="n"/>
      <c r="B78" s="19" t="n"/>
    </row>
    <row r="79" ht="15.75" customHeight="1" s="545">
      <c r="A79" s="19" t="n"/>
      <c r="B79" s="19" t="n"/>
    </row>
    <row r="80" ht="15.75" customHeight="1" s="545">
      <c r="A80" s="19" t="n"/>
      <c r="B80" s="19" t="n"/>
    </row>
    <row r="81" ht="15.75" customHeight="1" s="545">
      <c r="A81" s="19" t="n"/>
      <c r="B81" s="19" t="n"/>
    </row>
    <row r="82" ht="15.75" customHeight="1" s="545">
      <c r="A82" s="19" t="n"/>
      <c r="B82" s="19" t="n"/>
    </row>
    <row r="83" ht="15.75" customHeight="1" s="545">
      <c r="A83" s="19" t="n"/>
      <c r="B83" s="19" t="n"/>
    </row>
    <row r="84" ht="15.75" customHeight="1" s="545">
      <c r="A84" s="19" t="n"/>
      <c r="B84" s="19" t="n"/>
    </row>
    <row r="85" ht="15.75" customHeight="1" s="545">
      <c r="A85" s="19" t="n"/>
      <c r="B85" s="19" t="n"/>
    </row>
    <row r="86" ht="15.75" customHeight="1" s="545">
      <c r="A86" s="19" t="n"/>
      <c r="B86" s="19" t="n"/>
    </row>
    <row r="87" ht="15.75" customHeight="1" s="545">
      <c r="A87" s="19" t="n"/>
      <c r="B87" s="19" t="n"/>
    </row>
    <row r="88" ht="15.75" customHeight="1" s="545">
      <c r="A88" s="19" t="n"/>
      <c r="B88" s="19" t="n"/>
    </row>
    <row r="89" ht="15.75" customHeight="1" s="545">
      <c r="A89" s="19" t="n"/>
      <c r="B89" s="19" t="n"/>
    </row>
    <row r="90" ht="15.75" customHeight="1" s="545">
      <c r="A90" s="19" t="n"/>
      <c r="B90" s="19" t="n"/>
    </row>
    <row r="91" ht="15.75" customHeight="1" s="545">
      <c r="A91" s="19" t="n"/>
      <c r="B91" s="19" t="n"/>
    </row>
    <row r="92" ht="15.75" customHeight="1" s="545">
      <c r="A92" s="19" t="n"/>
      <c r="B92" s="19" t="n"/>
    </row>
    <row r="93" ht="15.75" customHeight="1" s="545">
      <c r="A93" s="19" t="n"/>
      <c r="B93" s="19" t="n"/>
    </row>
    <row r="94" ht="15.75" customHeight="1" s="545">
      <c r="A94" s="19" t="n"/>
      <c r="B94" s="19" t="n"/>
    </row>
    <row r="95" ht="15.75" customHeight="1" s="545">
      <c r="A95" s="19" t="n"/>
      <c r="B95" s="19" t="n"/>
    </row>
    <row r="96" ht="15.75" customHeight="1" s="545">
      <c r="A96" s="19" t="n"/>
      <c r="B96" s="19" t="n"/>
    </row>
    <row r="97" ht="15.75" customHeight="1" s="545">
      <c r="A97" s="19" t="n"/>
      <c r="B97" s="19" t="n"/>
    </row>
    <row r="98" ht="15.75" customHeight="1" s="545">
      <c r="A98" s="19" t="n"/>
      <c r="B98" s="19" t="n"/>
    </row>
    <row r="99" ht="15.75" customHeight="1" s="545">
      <c r="A99" s="19" t="n"/>
      <c r="B99" s="19" t="n"/>
    </row>
    <row r="100" ht="15.75" customHeight="1" s="545">
      <c r="A100" s="19" t="n"/>
      <c r="B100" s="19" t="n"/>
    </row>
    <row r="101" ht="15.75" customHeight="1" s="545">
      <c r="A101" s="19" t="n"/>
      <c r="B101" s="19" t="n"/>
    </row>
    <row r="102" ht="15.75" customHeight="1" s="545">
      <c r="A102" s="19" t="n"/>
      <c r="B102" s="19" t="n"/>
    </row>
    <row r="103" ht="15.75" customHeight="1" s="545">
      <c r="A103" s="19" t="n"/>
      <c r="B103" s="19" t="n"/>
    </row>
    <row r="104" ht="15.75" customHeight="1" s="545">
      <c r="A104" s="19" t="n"/>
      <c r="B104" s="19" t="n"/>
    </row>
    <row r="105" ht="15.75" customHeight="1" s="545">
      <c r="A105" s="19" t="n"/>
      <c r="B105" s="19" t="n"/>
    </row>
    <row r="106" ht="15.75" customHeight="1" s="545">
      <c r="A106" s="19" t="n"/>
      <c r="B106" s="19" t="n"/>
    </row>
    <row r="107" ht="15.75" customHeight="1" s="545">
      <c r="A107" s="19" t="n"/>
      <c r="B107" s="19" t="n"/>
    </row>
    <row r="108" ht="15.75" customHeight="1" s="545">
      <c r="A108" s="19" t="n"/>
      <c r="B108" s="19" t="n"/>
    </row>
    <row r="109" ht="15.75" customHeight="1" s="545">
      <c r="A109" s="19" t="n"/>
      <c r="B109" s="19" t="n"/>
    </row>
    <row r="110" ht="15.75" customHeight="1" s="545">
      <c r="A110" s="19" t="n"/>
      <c r="B110" s="19" t="n"/>
    </row>
    <row r="111" ht="15.75" customHeight="1" s="545">
      <c r="A111" s="19" t="n"/>
      <c r="B111" s="19" t="n"/>
    </row>
    <row r="112" ht="15.75" customHeight="1" s="545">
      <c r="A112" s="19" t="n"/>
      <c r="B112" s="19" t="n"/>
    </row>
    <row r="113" ht="15.75" customHeight="1" s="545">
      <c r="A113" s="19" t="n"/>
      <c r="B113" s="19" t="n"/>
    </row>
    <row r="114" ht="15.75" customHeight="1" s="545">
      <c r="A114" s="19" t="n"/>
      <c r="B114" s="19" t="n"/>
    </row>
    <row r="115" ht="15.75" customHeight="1" s="545">
      <c r="A115" s="19" t="n"/>
      <c r="B115" s="19" t="n"/>
    </row>
    <row r="116" ht="15.75" customHeight="1" s="545">
      <c r="A116" s="19" t="n"/>
      <c r="B116" s="19" t="n"/>
    </row>
    <row r="117" ht="15.75" customHeight="1" s="545">
      <c r="A117" s="19" t="n"/>
      <c r="B117" s="19" t="n"/>
    </row>
    <row r="118" ht="15.75" customHeight="1" s="545">
      <c r="A118" s="19" t="n"/>
      <c r="B118" s="19" t="n"/>
    </row>
    <row r="119" ht="15.75" customHeight="1" s="545">
      <c r="A119" s="19" t="n"/>
      <c r="B119" s="19" t="n"/>
    </row>
    <row r="120" ht="15.75" customHeight="1" s="545">
      <c r="A120" s="19" t="n"/>
      <c r="B120" s="19" t="n"/>
    </row>
    <row r="121" ht="15.75" customHeight="1" s="545">
      <c r="A121" s="19" t="n"/>
      <c r="B121" s="19" t="n"/>
    </row>
    <row r="122" ht="15.75" customHeight="1" s="545">
      <c r="A122" s="19" t="n"/>
      <c r="B122" s="19" t="n"/>
    </row>
    <row r="123" ht="15.75" customHeight="1" s="545">
      <c r="A123" s="19" t="n"/>
      <c r="B123" s="19" t="n"/>
    </row>
    <row r="124" ht="15.75" customHeight="1" s="545">
      <c r="A124" s="19" t="n"/>
      <c r="B124" s="19" t="n"/>
    </row>
    <row r="125" ht="15.75" customHeight="1" s="545">
      <c r="A125" s="19" t="n"/>
      <c r="B125" s="19" t="n"/>
    </row>
    <row r="126" ht="15.75" customHeight="1" s="545">
      <c r="A126" s="19" t="n"/>
      <c r="B126" s="19" t="n"/>
    </row>
    <row r="127" ht="15.75" customHeight="1" s="545">
      <c r="A127" s="19" t="n"/>
      <c r="B127" s="19" t="n"/>
    </row>
    <row r="128" ht="15.75" customHeight="1" s="545">
      <c r="A128" s="19" t="n"/>
      <c r="B128" s="19" t="n"/>
    </row>
    <row r="129" ht="15.75" customHeight="1" s="545">
      <c r="A129" s="19" t="n"/>
      <c r="B129" s="19" t="n"/>
    </row>
    <row r="130" ht="15.75" customHeight="1" s="545">
      <c r="A130" s="19" t="n"/>
      <c r="B130" s="19" t="n"/>
    </row>
    <row r="131" ht="15.75" customHeight="1" s="545">
      <c r="A131" s="19" t="n"/>
      <c r="B131" s="19" t="n"/>
    </row>
    <row r="132" ht="15.75" customHeight="1" s="545">
      <c r="A132" s="19" t="n"/>
      <c r="B132" s="19" t="n"/>
    </row>
    <row r="133" ht="15.75" customHeight="1" s="545">
      <c r="A133" s="19" t="n"/>
      <c r="B133" s="19" t="n"/>
    </row>
    <row r="134" ht="15.75" customHeight="1" s="545">
      <c r="A134" s="19" t="n"/>
      <c r="B134" s="19" t="n"/>
    </row>
    <row r="135" ht="15.75" customHeight="1" s="545">
      <c r="A135" s="19" t="n"/>
      <c r="B135" s="19" t="n"/>
    </row>
    <row r="136" ht="15.75" customHeight="1" s="545">
      <c r="A136" s="19" t="n"/>
      <c r="B136" s="19" t="n"/>
    </row>
    <row r="137" ht="15.75" customHeight="1" s="545">
      <c r="A137" s="19" t="n"/>
      <c r="B137" s="19" t="n"/>
    </row>
    <row r="138" ht="15.75" customHeight="1" s="545">
      <c r="A138" s="19" t="n"/>
      <c r="B138" s="19" t="n"/>
    </row>
    <row r="139" ht="15.75" customHeight="1" s="545">
      <c r="A139" s="19" t="n"/>
      <c r="B139" s="19" t="n"/>
    </row>
    <row r="140" ht="15.75" customHeight="1" s="545">
      <c r="A140" s="19" t="n"/>
      <c r="B140" s="19" t="n"/>
    </row>
    <row r="141" ht="15.75" customHeight="1" s="545">
      <c r="A141" s="19" t="n"/>
      <c r="B141" s="19" t="n"/>
    </row>
    <row r="142" ht="15.75" customHeight="1" s="545">
      <c r="A142" s="19" t="n"/>
      <c r="B142" s="19" t="n"/>
    </row>
    <row r="143" ht="15.75" customHeight="1" s="545">
      <c r="A143" s="19" t="n"/>
      <c r="B143" s="19" t="n"/>
    </row>
    <row r="144" ht="15.75" customHeight="1" s="545">
      <c r="A144" s="19" t="n"/>
      <c r="B144" s="19" t="n"/>
    </row>
    <row r="145" ht="15.75" customHeight="1" s="545">
      <c r="A145" s="19" t="n"/>
      <c r="B145" s="19" t="n"/>
    </row>
    <row r="146" ht="15.75" customHeight="1" s="545">
      <c r="A146" s="19" t="n"/>
      <c r="B146" s="19" t="n"/>
    </row>
    <row r="147" ht="15.75" customHeight="1" s="545">
      <c r="A147" s="19" t="n"/>
      <c r="B147" s="19" t="n"/>
    </row>
    <row r="148" ht="15.75" customHeight="1" s="545">
      <c r="A148" s="19" t="n"/>
      <c r="B148" s="19" t="n"/>
    </row>
    <row r="149" ht="15.75" customHeight="1" s="545">
      <c r="A149" s="19" t="n"/>
      <c r="B149" s="19" t="n"/>
    </row>
    <row r="150" ht="15.75" customHeight="1" s="545">
      <c r="A150" s="19" t="n"/>
      <c r="B150" s="19" t="n"/>
    </row>
    <row r="151" ht="15.75" customHeight="1" s="545">
      <c r="A151" s="19" t="n"/>
      <c r="B151" s="19" t="n"/>
    </row>
    <row r="152" ht="15.75" customHeight="1" s="545">
      <c r="A152" s="19" t="n"/>
      <c r="B152" s="19" t="n"/>
    </row>
    <row r="153" ht="15.75" customHeight="1" s="545">
      <c r="A153" s="19" t="n"/>
      <c r="B153" s="19" t="n"/>
    </row>
    <row r="154" ht="15.75" customHeight="1" s="545">
      <c r="A154" s="19" t="n"/>
      <c r="B154" s="19" t="n"/>
    </row>
    <row r="155" ht="15.75" customHeight="1" s="545">
      <c r="A155" s="19" t="n"/>
      <c r="B155" s="19" t="n"/>
    </row>
    <row r="156" ht="15.75" customHeight="1" s="545">
      <c r="A156" s="19" t="n"/>
      <c r="B156" s="19" t="n"/>
    </row>
    <row r="157" ht="15.75" customHeight="1" s="545">
      <c r="A157" s="19" t="n"/>
      <c r="B157" s="19" t="n"/>
    </row>
    <row r="158" ht="15.75" customHeight="1" s="545">
      <c r="A158" s="19" t="n"/>
      <c r="B158" s="19" t="n"/>
    </row>
    <row r="159" ht="15.75" customHeight="1" s="545">
      <c r="A159" s="19" t="n"/>
      <c r="B159" s="19" t="n"/>
    </row>
    <row r="160" ht="15.75" customHeight="1" s="545">
      <c r="A160" s="19" t="n"/>
      <c r="B160" s="19" t="n"/>
    </row>
    <row r="161" ht="15.75" customHeight="1" s="545">
      <c r="A161" s="19" t="n"/>
      <c r="B161" s="19" t="n"/>
    </row>
    <row r="162" ht="15.75" customHeight="1" s="545">
      <c r="A162" s="19" t="n"/>
      <c r="B162" s="19" t="n"/>
    </row>
    <row r="163" ht="15.75" customHeight="1" s="545">
      <c r="A163" s="19" t="n"/>
      <c r="B163" s="19" t="n"/>
    </row>
    <row r="164" ht="15.75" customHeight="1" s="545">
      <c r="A164" s="19" t="n"/>
      <c r="B164" s="19" t="n"/>
    </row>
    <row r="165" ht="15.75" customHeight="1" s="545">
      <c r="A165" s="19" t="n"/>
      <c r="B165" s="19" t="n"/>
    </row>
    <row r="166" ht="15.75" customHeight="1" s="545">
      <c r="A166" s="19" t="n"/>
      <c r="B166" s="19" t="n"/>
    </row>
    <row r="167" ht="15.75" customHeight="1" s="545">
      <c r="A167" s="19" t="n"/>
      <c r="B167" s="19" t="n"/>
    </row>
    <row r="168" ht="15.75" customHeight="1" s="545">
      <c r="A168" s="19" t="n"/>
      <c r="B168" s="19" t="n"/>
    </row>
    <row r="169" ht="15.75" customHeight="1" s="545">
      <c r="A169" s="19" t="n"/>
      <c r="B169" s="19" t="n"/>
    </row>
    <row r="170" ht="15.75" customHeight="1" s="545">
      <c r="A170" s="19" t="n"/>
      <c r="B170" s="19" t="n"/>
    </row>
    <row r="171" ht="15.75" customHeight="1" s="545">
      <c r="A171" s="19" t="n"/>
      <c r="B171" s="19" t="n"/>
    </row>
    <row r="172" ht="15.75" customHeight="1" s="545">
      <c r="A172" s="19" t="n"/>
      <c r="B172" s="19" t="n"/>
    </row>
    <row r="173" ht="15.75" customHeight="1" s="545">
      <c r="A173" s="19" t="n"/>
      <c r="B173" s="19" t="n"/>
    </row>
    <row r="174" ht="15.75" customHeight="1" s="545">
      <c r="A174" s="19" t="n"/>
      <c r="B174" s="19" t="n"/>
    </row>
    <row r="175" ht="15.75" customHeight="1" s="545">
      <c r="A175" s="19" t="n"/>
      <c r="B175" s="19" t="n"/>
    </row>
    <row r="176" ht="15.75" customHeight="1" s="545">
      <c r="A176" s="19" t="n"/>
      <c r="B176" s="19" t="n"/>
    </row>
    <row r="177" ht="15.75" customHeight="1" s="545">
      <c r="A177" s="19" t="n"/>
      <c r="B177" s="19" t="n"/>
    </row>
    <row r="178" ht="15.75" customHeight="1" s="545">
      <c r="A178" s="19" t="n"/>
      <c r="B178" s="19" t="n"/>
    </row>
    <row r="179" ht="15.75" customHeight="1" s="545">
      <c r="A179" s="19" t="n"/>
      <c r="B179" s="19" t="n"/>
    </row>
    <row r="180" ht="15.75" customHeight="1" s="545">
      <c r="A180" s="19" t="n"/>
      <c r="B180" s="19" t="n"/>
    </row>
    <row r="181" ht="15.75" customHeight="1" s="545">
      <c r="A181" s="19" t="n"/>
      <c r="B181" s="19" t="n"/>
    </row>
    <row r="182" ht="15.75" customHeight="1" s="545">
      <c r="A182" s="19" t="n"/>
      <c r="B182" s="19" t="n"/>
    </row>
    <row r="183" ht="15.75" customHeight="1" s="545">
      <c r="A183" s="19" t="n"/>
      <c r="B183" s="19" t="n"/>
    </row>
    <row r="184" ht="15.75" customHeight="1" s="545">
      <c r="A184" s="19" t="n"/>
      <c r="B184" s="19" t="n"/>
    </row>
    <row r="185" ht="15.75" customHeight="1" s="545">
      <c r="A185" s="19" t="n"/>
      <c r="B185" s="19" t="n"/>
    </row>
    <row r="186" ht="15.75" customHeight="1" s="545">
      <c r="A186" s="19" t="n"/>
      <c r="B186" s="19" t="n"/>
    </row>
    <row r="187" ht="15.75" customHeight="1" s="545">
      <c r="A187" s="19" t="n"/>
      <c r="B187" s="19" t="n"/>
    </row>
    <row r="188" ht="15.75" customHeight="1" s="545">
      <c r="A188" s="19" t="n"/>
      <c r="B188" s="19" t="n"/>
    </row>
    <row r="189" ht="15.75" customHeight="1" s="545">
      <c r="A189" s="19" t="n"/>
      <c r="B189" s="19" t="n"/>
    </row>
    <row r="190" ht="15.75" customHeight="1" s="545">
      <c r="A190" s="19" t="n"/>
      <c r="B190" s="19" t="n"/>
    </row>
    <row r="191" ht="15.75" customHeight="1" s="545">
      <c r="A191" s="19" t="n"/>
      <c r="B191" s="19" t="n"/>
    </row>
    <row r="192" ht="15.75" customHeight="1" s="545">
      <c r="A192" s="19" t="n"/>
      <c r="B192" s="19" t="n"/>
    </row>
    <row r="193" ht="15.75" customHeight="1" s="545">
      <c r="A193" s="19" t="n"/>
      <c r="B193" s="19" t="n"/>
    </row>
    <row r="194" ht="15.75" customHeight="1" s="545">
      <c r="A194" s="19" t="n"/>
      <c r="B194" s="19" t="n"/>
    </row>
    <row r="195" ht="15.75" customHeight="1" s="545">
      <c r="A195" s="19" t="n"/>
      <c r="B195" s="19" t="n"/>
    </row>
    <row r="196" ht="15.75" customHeight="1" s="545">
      <c r="A196" s="19" t="n"/>
      <c r="B196" s="19" t="n"/>
    </row>
    <row r="197" ht="15.75" customHeight="1" s="545">
      <c r="A197" s="19" t="n"/>
      <c r="B197" s="19" t="n"/>
    </row>
    <row r="198" ht="15.75" customHeight="1" s="545">
      <c r="A198" s="19" t="n"/>
      <c r="B198" s="19" t="n"/>
    </row>
    <row r="199" ht="15.75" customHeight="1" s="545">
      <c r="A199" s="19" t="n"/>
      <c r="B199" s="19" t="n"/>
    </row>
    <row r="200" ht="15.75" customHeight="1" s="545">
      <c r="A200" s="19" t="n"/>
      <c r="B200" s="19" t="n"/>
    </row>
    <row r="201" ht="15.75" customHeight="1" s="545">
      <c r="A201" s="19" t="n"/>
      <c r="B201" s="19" t="n"/>
    </row>
    <row r="202" ht="15.75" customHeight="1" s="545">
      <c r="A202" s="19" t="n"/>
      <c r="B202" s="19" t="n"/>
    </row>
    <row r="203" ht="15.75" customHeight="1" s="545">
      <c r="A203" s="19" t="n"/>
      <c r="B203" s="19" t="n"/>
    </row>
    <row r="204" ht="15.75" customHeight="1" s="545">
      <c r="A204" s="19" t="n"/>
      <c r="B204" s="19" t="n"/>
    </row>
    <row r="205" ht="15.75" customHeight="1" s="545">
      <c r="A205" s="19" t="n"/>
      <c r="B205" s="19" t="n"/>
    </row>
    <row r="206" ht="15.75" customHeight="1" s="545">
      <c r="A206" s="19" t="n"/>
      <c r="B206" s="19" t="n"/>
    </row>
    <row r="207" ht="15.75" customHeight="1" s="545">
      <c r="A207" s="19" t="n"/>
      <c r="B207" s="19" t="n"/>
    </row>
    <row r="208" ht="15.75" customHeight="1" s="545">
      <c r="A208" s="19" t="n"/>
      <c r="B208" s="19" t="n"/>
    </row>
    <row r="209" ht="15.75" customHeight="1" s="545">
      <c r="A209" s="19" t="n"/>
      <c r="B209" s="19" t="n"/>
    </row>
    <row r="210" ht="15.75" customHeight="1" s="545">
      <c r="A210" s="19" t="n"/>
      <c r="B210" s="19" t="n"/>
    </row>
    <row r="211" ht="15.75" customHeight="1" s="545">
      <c r="A211" s="19" t="n"/>
      <c r="B211" s="19" t="n"/>
    </row>
    <row r="212" ht="15.75" customHeight="1" s="545">
      <c r="A212" s="19" t="n"/>
      <c r="B212" s="19" t="n"/>
    </row>
    <row r="213" ht="15.75" customHeight="1" s="545">
      <c r="A213" s="19" t="n"/>
      <c r="B213" s="19" t="n"/>
    </row>
    <row r="214" ht="15.75" customHeight="1" s="545">
      <c r="A214" s="19" t="n"/>
      <c r="B214" s="19" t="n"/>
    </row>
    <row r="215" ht="15.75" customHeight="1" s="545">
      <c r="A215" s="19" t="n"/>
      <c r="B215" s="19" t="n"/>
    </row>
    <row r="216" ht="15.75" customHeight="1" s="545">
      <c r="A216" s="19" t="n"/>
      <c r="B216" s="19" t="n"/>
    </row>
    <row r="217" ht="15.75" customHeight="1" s="545">
      <c r="A217" s="19" t="n"/>
      <c r="B217" s="19" t="n"/>
    </row>
    <row r="218" ht="15.75" customHeight="1" s="545">
      <c r="A218" s="19" t="n"/>
      <c r="B218" s="19" t="n"/>
    </row>
    <row r="219" ht="15.75" customHeight="1" s="545">
      <c r="A219" s="19" t="n"/>
      <c r="B219" s="19" t="n"/>
    </row>
    <row r="220" ht="15.75" customHeight="1" s="545">
      <c r="A220" s="19" t="n"/>
      <c r="B220" s="19" t="n"/>
    </row>
    <row r="221" ht="15.75" customHeight="1" s="545">
      <c r="A221" s="19" t="n"/>
      <c r="B221" s="19" t="n"/>
    </row>
    <row r="222" ht="15.75" customHeight="1" s="545">
      <c r="A222" s="19" t="n"/>
      <c r="B222" s="19" t="n"/>
    </row>
    <row r="223" ht="15.75" customHeight="1" s="545">
      <c r="A223" s="19" t="n"/>
      <c r="B223" s="19" t="n"/>
    </row>
    <row r="224" ht="15.75" customHeight="1" s="545">
      <c r="A224" s="19" t="n"/>
      <c r="B224" s="19" t="n"/>
    </row>
    <row r="225" ht="15.75" customHeight="1" s="545">
      <c r="A225" s="19" t="n"/>
      <c r="B225" s="19" t="n"/>
    </row>
    <row r="226" ht="15.75" customHeight="1" s="545">
      <c r="A226" s="19" t="n"/>
      <c r="B226" s="19" t="n"/>
    </row>
    <row r="227" ht="15.75" customHeight="1" s="545">
      <c r="A227" s="19" t="n"/>
      <c r="B227" s="19" t="n"/>
    </row>
    <row r="228" ht="15.75" customHeight="1" s="545">
      <c r="A228" s="19" t="n"/>
      <c r="B228" s="19" t="n"/>
    </row>
    <row r="229" ht="15.75" customHeight="1" s="545">
      <c r="A229" s="19" t="n"/>
      <c r="B229" s="19" t="n"/>
    </row>
    <row r="230" ht="15.75" customHeight="1" s="545">
      <c r="A230" s="19" t="n"/>
      <c r="B230" s="19" t="n"/>
    </row>
    <row r="231" ht="15.75" customHeight="1" s="545">
      <c r="A231" s="19" t="n"/>
      <c r="B231" s="19" t="n"/>
    </row>
    <row r="232" ht="15.75" customHeight="1" s="545">
      <c r="A232" s="19" t="n"/>
      <c r="B232" s="19" t="n"/>
    </row>
    <row r="233" ht="15.75" customHeight="1" s="545">
      <c r="A233" s="19" t="n"/>
      <c r="B233" s="19" t="n"/>
    </row>
    <row r="234" ht="15.75" customHeight="1" s="545">
      <c r="A234" s="19" t="n"/>
      <c r="B234" s="19" t="n"/>
    </row>
    <row r="235" ht="15.75" customHeight="1" s="545">
      <c r="A235" s="19" t="n"/>
      <c r="B235" s="19" t="n"/>
    </row>
    <row r="236" ht="15.75" customHeight="1" s="545">
      <c r="A236" s="19" t="n"/>
      <c r="B236" s="19" t="n"/>
    </row>
    <row r="237" ht="15.75" customHeight="1" s="545">
      <c r="A237" s="19" t="n"/>
      <c r="B237" s="19" t="n"/>
    </row>
    <row r="238" ht="15.75" customHeight="1" s="545">
      <c r="A238" s="19" t="n"/>
      <c r="B238" s="19" t="n"/>
    </row>
    <row r="239" ht="15.75" customHeight="1" s="545">
      <c r="A239" s="19" t="n"/>
      <c r="B239" s="19" t="n"/>
    </row>
    <row r="240" ht="15.75" customHeight="1" s="545">
      <c r="A240" s="19" t="n"/>
      <c r="B240" s="19" t="n"/>
    </row>
    <row r="241" ht="15.75" customHeight="1" s="545">
      <c r="A241" s="19" t="n"/>
      <c r="B241" s="19" t="n"/>
    </row>
    <row r="242" ht="15.75" customHeight="1" s="545">
      <c r="A242" s="19" t="n"/>
      <c r="B242" s="19" t="n"/>
    </row>
    <row r="243" ht="15.75" customHeight="1" s="545">
      <c r="A243" s="19" t="n"/>
      <c r="B243" s="19" t="n"/>
    </row>
    <row r="244" ht="15.75" customHeight="1" s="545">
      <c r="A244" s="19" t="n"/>
      <c r="B244" s="19" t="n"/>
    </row>
    <row r="245" ht="15.75" customHeight="1" s="545">
      <c r="A245" s="19" t="n"/>
      <c r="B245" s="19" t="n"/>
    </row>
    <row r="246" ht="15.75" customHeight="1" s="545">
      <c r="A246" s="19" t="n"/>
      <c r="B246" s="19" t="n"/>
    </row>
    <row r="247" ht="15.75" customHeight="1" s="545">
      <c r="A247" s="19" t="n"/>
      <c r="B247" s="19" t="n"/>
    </row>
    <row r="248" ht="15.75" customHeight="1" s="545">
      <c r="A248" s="19" t="n"/>
      <c r="B248" s="19" t="n"/>
    </row>
    <row r="249" ht="15.75" customHeight="1" s="545">
      <c r="A249" s="19" t="n"/>
      <c r="B249" s="19" t="n"/>
    </row>
    <row r="250" ht="15.75" customHeight="1" s="545">
      <c r="A250" s="19" t="n"/>
      <c r="B250" s="19" t="n"/>
    </row>
    <row r="251" ht="15.75" customHeight="1" s="545">
      <c r="A251" s="19" t="n"/>
      <c r="B251" s="19" t="n"/>
    </row>
    <row r="252" ht="15.75" customHeight="1" s="545">
      <c r="A252" s="19" t="n"/>
      <c r="B252" s="19" t="n"/>
    </row>
    <row r="253" ht="15.75" customHeight="1" s="545">
      <c r="A253" s="19" t="n"/>
      <c r="B253" s="19" t="n"/>
    </row>
    <row r="254" ht="15.75" customHeight="1" s="545">
      <c r="A254" s="19" t="n"/>
      <c r="B254" s="19" t="n"/>
    </row>
    <row r="255" ht="15.75" customHeight="1" s="545">
      <c r="A255" s="19" t="n"/>
      <c r="B255" s="19" t="n"/>
    </row>
    <row r="256" ht="15.75" customHeight="1" s="545">
      <c r="A256" s="19" t="n"/>
      <c r="B256" s="19" t="n"/>
    </row>
    <row r="257" ht="15.75" customHeight="1" s="545">
      <c r="A257" s="19" t="n"/>
      <c r="B257" s="19" t="n"/>
    </row>
    <row r="258" ht="15.75" customHeight="1" s="545">
      <c r="A258" s="19" t="n"/>
      <c r="B258" s="19" t="n"/>
    </row>
    <row r="259" ht="15.75" customHeight="1" s="545">
      <c r="A259" s="19" t="n"/>
      <c r="B259" s="19" t="n"/>
    </row>
    <row r="260" ht="15.75" customHeight="1" s="545">
      <c r="A260" s="19" t="n"/>
      <c r="B260" s="19" t="n"/>
    </row>
    <row r="261" ht="15.75" customHeight="1" s="545">
      <c r="A261" s="19" t="n"/>
      <c r="B261" s="19" t="n"/>
    </row>
    <row r="262" ht="15.75" customHeight="1" s="545">
      <c r="A262" s="19" t="n"/>
      <c r="B262" s="19" t="n"/>
    </row>
    <row r="263" ht="15.75" customHeight="1" s="545">
      <c r="A263" s="19" t="n"/>
      <c r="B263" s="19" t="n"/>
    </row>
    <row r="264" ht="15.75" customHeight="1" s="545">
      <c r="A264" s="19" t="n"/>
      <c r="B264" s="19" t="n"/>
    </row>
    <row r="265" ht="15.75" customHeight="1" s="545">
      <c r="A265" s="19" t="n"/>
      <c r="B265" s="19" t="n"/>
    </row>
    <row r="266" ht="15.75" customHeight="1" s="545">
      <c r="A266" s="19" t="n"/>
      <c r="B266" s="19" t="n"/>
    </row>
    <row r="267" ht="15.75" customHeight="1" s="545">
      <c r="A267" s="19" t="n"/>
      <c r="B267" s="19" t="n"/>
    </row>
    <row r="268" ht="15.75" customHeight="1" s="545">
      <c r="A268" s="19" t="n"/>
      <c r="B268" s="19" t="n"/>
    </row>
    <row r="269" ht="15.75" customHeight="1" s="545">
      <c r="A269" s="19" t="n"/>
      <c r="B269" s="19" t="n"/>
    </row>
    <row r="270" ht="15.75" customHeight="1" s="545">
      <c r="A270" s="19" t="n"/>
      <c r="B270" s="19" t="n"/>
    </row>
    <row r="271" ht="15.75" customHeight="1" s="545">
      <c r="A271" s="19" t="n"/>
      <c r="B271" s="19" t="n"/>
    </row>
    <row r="272" ht="15.75" customHeight="1" s="545">
      <c r="A272" s="19" t="n"/>
      <c r="B272" s="19" t="n"/>
    </row>
    <row r="273" ht="15.75" customHeight="1" s="545">
      <c r="A273" s="19" t="n"/>
      <c r="B273" s="19" t="n"/>
    </row>
    <row r="274" ht="15.75" customHeight="1" s="545">
      <c r="A274" s="19" t="n"/>
      <c r="B274" s="19" t="n"/>
    </row>
    <row r="275" ht="15.75" customHeight="1" s="545">
      <c r="A275" s="19" t="n"/>
      <c r="B275" s="19" t="n"/>
    </row>
    <row r="276" ht="15.75" customHeight="1" s="545">
      <c r="A276" s="19" t="n"/>
      <c r="B276" s="19" t="n"/>
    </row>
    <row r="277" ht="15.75" customHeight="1" s="545">
      <c r="A277" s="19" t="n"/>
      <c r="B277" s="19" t="n"/>
    </row>
    <row r="278" ht="15.75" customHeight="1" s="545">
      <c r="A278" s="19" t="n"/>
      <c r="B278" s="19" t="n"/>
    </row>
    <row r="279" ht="15.75" customHeight="1" s="545">
      <c r="A279" s="19" t="n"/>
      <c r="B279" s="19" t="n"/>
    </row>
    <row r="280" ht="15.75" customHeight="1" s="545">
      <c r="A280" s="19" t="n"/>
      <c r="B280" s="19" t="n"/>
    </row>
    <row r="281" ht="15.75" customHeight="1" s="545">
      <c r="A281" s="19" t="n"/>
      <c r="B281" s="19" t="n"/>
    </row>
    <row r="282" ht="15.75" customHeight="1" s="545">
      <c r="A282" s="19" t="n"/>
      <c r="B282" s="19" t="n"/>
    </row>
    <row r="283" ht="15.75" customHeight="1" s="545">
      <c r="A283" s="19" t="n"/>
      <c r="B283" s="19" t="n"/>
    </row>
    <row r="284" ht="15.75" customHeight="1" s="545">
      <c r="A284" s="19" t="n"/>
      <c r="B284" s="19" t="n"/>
    </row>
    <row r="285" ht="15.75" customHeight="1" s="545">
      <c r="A285" s="19" t="n"/>
      <c r="B285" s="19" t="n"/>
    </row>
    <row r="286" ht="15.75" customHeight="1" s="545">
      <c r="A286" s="19" t="n"/>
      <c r="B286" s="19" t="n"/>
    </row>
    <row r="287" ht="15.75" customHeight="1" s="545">
      <c r="A287" s="19" t="n"/>
      <c r="B287" s="19" t="n"/>
    </row>
    <row r="288" ht="15.75" customHeight="1" s="545">
      <c r="A288" s="19" t="n"/>
      <c r="B288" s="19" t="n"/>
    </row>
    <row r="289" ht="15.75" customHeight="1" s="545">
      <c r="A289" s="19" t="n"/>
      <c r="B289" s="19" t="n"/>
    </row>
    <row r="290" ht="15.75" customHeight="1" s="545">
      <c r="A290" s="19" t="n"/>
      <c r="B290" s="19" t="n"/>
    </row>
    <row r="291" ht="15.75" customHeight="1" s="545">
      <c r="A291" s="19" t="n"/>
      <c r="B291" s="19" t="n"/>
    </row>
    <row r="292" ht="15.75" customHeight="1" s="545">
      <c r="A292" s="19" t="n"/>
      <c r="B292" s="19" t="n"/>
    </row>
    <row r="293" ht="15.75" customHeight="1" s="545">
      <c r="A293" s="19" t="n"/>
      <c r="B293" s="19" t="n"/>
    </row>
    <row r="294" ht="15.75" customHeight="1" s="545">
      <c r="A294" s="19" t="n"/>
      <c r="B294" s="19" t="n"/>
    </row>
    <row r="295" ht="15.75" customHeight="1" s="545">
      <c r="A295" s="19" t="n"/>
      <c r="B295" s="19" t="n"/>
    </row>
    <row r="296" ht="15.75" customHeight="1" s="545">
      <c r="A296" s="19" t="n"/>
      <c r="B296" s="19" t="n"/>
    </row>
    <row r="297" ht="15.75" customHeight="1" s="545">
      <c r="A297" s="19" t="n"/>
      <c r="B297" s="19" t="n"/>
    </row>
    <row r="298" ht="15.75" customHeight="1" s="545">
      <c r="A298" s="19" t="n"/>
      <c r="B298" s="19" t="n"/>
    </row>
    <row r="299" ht="15.75" customHeight="1" s="545">
      <c r="A299" s="19" t="n"/>
      <c r="B299" s="19" t="n"/>
    </row>
    <row r="300" ht="15.75" customHeight="1" s="545">
      <c r="A300" s="19" t="n"/>
      <c r="B300" s="19" t="n"/>
    </row>
    <row r="301" ht="15.75" customHeight="1" s="545">
      <c r="A301" s="19" t="n"/>
      <c r="B301" s="19" t="n"/>
    </row>
    <row r="302" ht="15.75" customHeight="1" s="545">
      <c r="A302" s="19" t="n"/>
      <c r="B302" s="19" t="n"/>
    </row>
    <row r="303" ht="15.75" customHeight="1" s="545">
      <c r="A303" s="19" t="n"/>
      <c r="B303" s="19" t="n"/>
    </row>
    <row r="304" ht="15.75" customHeight="1" s="545">
      <c r="A304" s="19" t="n"/>
      <c r="B304" s="19" t="n"/>
    </row>
    <row r="305" ht="15.75" customHeight="1" s="545">
      <c r="A305" s="19" t="n"/>
      <c r="B305" s="19" t="n"/>
    </row>
    <row r="306" ht="15.75" customHeight="1" s="545">
      <c r="A306" s="19" t="n"/>
      <c r="B306" s="19" t="n"/>
    </row>
    <row r="307" ht="15.75" customHeight="1" s="545">
      <c r="A307" s="19" t="n"/>
      <c r="B307" s="19" t="n"/>
    </row>
    <row r="308" ht="15.75" customHeight="1" s="545">
      <c r="A308" s="19" t="n"/>
      <c r="B308" s="19" t="n"/>
    </row>
    <row r="309" ht="15.75" customHeight="1" s="545">
      <c r="A309" s="19" t="n"/>
      <c r="B309" s="19" t="n"/>
    </row>
    <row r="310" ht="15.75" customHeight="1" s="545">
      <c r="A310" s="19" t="n"/>
      <c r="B310" s="19" t="n"/>
    </row>
    <row r="311" ht="15.75" customHeight="1" s="545">
      <c r="A311" s="19" t="n"/>
      <c r="B311" s="19" t="n"/>
    </row>
    <row r="312" ht="15.75" customHeight="1" s="545">
      <c r="A312" s="19" t="n"/>
      <c r="B312" s="19" t="n"/>
    </row>
    <row r="313" ht="15.75" customHeight="1" s="545">
      <c r="A313" s="19" t="n"/>
      <c r="B313" s="19" t="n"/>
    </row>
    <row r="314" ht="15.75" customHeight="1" s="545">
      <c r="A314" s="19" t="n"/>
      <c r="B314" s="19" t="n"/>
    </row>
    <row r="315" ht="15.75" customHeight="1" s="545">
      <c r="A315" s="19" t="n"/>
      <c r="B315" s="19" t="n"/>
    </row>
    <row r="316" ht="15.75" customHeight="1" s="545">
      <c r="A316" s="19" t="n"/>
      <c r="B316" s="19" t="n"/>
    </row>
    <row r="317" ht="15.75" customHeight="1" s="545">
      <c r="A317" s="19" t="n"/>
      <c r="B317" s="19" t="n"/>
    </row>
    <row r="318" ht="15.75" customHeight="1" s="545">
      <c r="A318" s="19" t="n"/>
      <c r="B318" s="19" t="n"/>
    </row>
    <row r="319" ht="15.75" customHeight="1" s="545">
      <c r="A319" s="19" t="n"/>
      <c r="B319" s="19" t="n"/>
    </row>
    <row r="320" ht="15.75" customHeight="1" s="545">
      <c r="A320" s="19" t="n"/>
      <c r="B320" s="19" t="n"/>
    </row>
    <row r="321" ht="15.75" customHeight="1" s="545">
      <c r="A321" s="19" t="n"/>
      <c r="B321" s="19" t="n"/>
    </row>
    <row r="322" ht="15.75" customHeight="1" s="545">
      <c r="A322" s="19" t="n"/>
      <c r="B322" s="19" t="n"/>
    </row>
    <row r="323" ht="15.75" customHeight="1" s="545">
      <c r="A323" s="19" t="n"/>
      <c r="B323" s="19" t="n"/>
    </row>
    <row r="324" ht="15.75" customHeight="1" s="545">
      <c r="A324" s="19" t="n"/>
      <c r="B324" s="19" t="n"/>
    </row>
    <row r="325" ht="15.75" customHeight="1" s="545">
      <c r="A325" s="19" t="n"/>
      <c r="B325" s="19" t="n"/>
    </row>
    <row r="326" ht="15.75" customHeight="1" s="545">
      <c r="A326" s="19" t="n"/>
      <c r="B326" s="19" t="n"/>
    </row>
    <row r="327" ht="15.75" customHeight="1" s="545">
      <c r="A327" s="19" t="n"/>
      <c r="B327" s="19" t="n"/>
    </row>
    <row r="328" ht="15.75" customHeight="1" s="545">
      <c r="A328" s="19" t="n"/>
      <c r="B328" s="19" t="n"/>
    </row>
    <row r="329" ht="15.75" customHeight="1" s="545">
      <c r="A329" s="19" t="n"/>
      <c r="B329" s="19" t="n"/>
    </row>
    <row r="330" ht="15.75" customHeight="1" s="545">
      <c r="A330" s="19" t="n"/>
      <c r="B330" s="19" t="n"/>
    </row>
    <row r="331" ht="15.75" customHeight="1" s="545">
      <c r="A331" s="19" t="n"/>
      <c r="B331" s="19" t="n"/>
    </row>
    <row r="332" ht="15.75" customHeight="1" s="545">
      <c r="A332" s="19" t="n"/>
      <c r="B332" s="19" t="n"/>
    </row>
    <row r="333" ht="15.75" customHeight="1" s="545">
      <c r="A333" s="19" t="n"/>
      <c r="B333" s="19" t="n"/>
    </row>
    <row r="334" ht="15.75" customHeight="1" s="545">
      <c r="A334" s="19" t="n"/>
      <c r="B334" s="19" t="n"/>
    </row>
    <row r="335" ht="15.75" customHeight="1" s="545">
      <c r="A335" s="19" t="n"/>
      <c r="B335" s="19" t="n"/>
    </row>
    <row r="336" ht="15.75" customHeight="1" s="545">
      <c r="A336" s="19" t="n"/>
      <c r="B336" s="19" t="n"/>
    </row>
    <row r="337" ht="15.75" customHeight="1" s="545">
      <c r="A337" s="19" t="n"/>
      <c r="B337" s="19" t="n"/>
    </row>
    <row r="338" ht="15.75" customHeight="1" s="545">
      <c r="A338" s="19" t="n"/>
      <c r="B338" s="19" t="n"/>
    </row>
    <row r="339" ht="15.75" customHeight="1" s="545">
      <c r="A339" s="19" t="n"/>
      <c r="B339" s="19" t="n"/>
    </row>
    <row r="340" ht="15.75" customHeight="1" s="545">
      <c r="A340" s="19" t="n"/>
      <c r="B340" s="19" t="n"/>
    </row>
    <row r="341" ht="15.75" customHeight="1" s="545">
      <c r="A341" s="19" t="n"/>
      <c r="B341" s="19" t="n"/>
    </row>
    <row r="342" ht="15.75" customHeight="1" s="545">
      <c r="A342" s="19" t="n"/>
      <c r="B342" s="19" t="n"/>
    </row>
    <row r="343" ht="15.75" customHeight="1" s="545">
      <c r="A343" s="19" t="n"/>
      <c r="B343" s="19" t="n"/>
    </row>
    <row r="344" ht="15.75" customHeight="1" s="545">
      <c r="A344" s="19" t="n"/>
      <c r="B344" s="19" t="n"/>
    </row>
    <row r="345" ht="15.75" customHeight="1" s="545">
      <c r="A345" s="19" t="n"/>
      <c r="B345" s="19" t="n"/>
    </row>
    <row r="346" ht="15.75" customHeight="1" s="545">
      <c r="A346" s="19" t="n"/>
      <c r="B346" s="19" t="n"/>
    </row>
    <row r="347" ht="15.75" customHeight="1" s="545">
      <c r="A347" s="19" t="n"/>
      <c r="B347" s="19" t="n"/>
    </row>
    <row r="348" ht="15.75" customHeight="1" s="545">
      <c r="A348" s="19" t="n"/>
      <c r="B348" s="19" t="n"/>
    </row>
    <row r="349" ht="15.75" customHeight="1" s="545">
      <c r="A349" s="19" t="n"/>
      <c r="B349" s="19" t="n"/>
    </row>
    <row r="350" ht="15.75" customHeight="1" s="545">
      <c r="A350" s="19" t="n"/>
      <c r="B350" s="19" t="n"/>
    </row>
    <row r="351" ht="15.75" customHeight="1" s="545">
      <c r="A351" s="19" t="n"/>
      <c r="B351" s="19" t="n"/>
    </row>
    <row r="352" ht="15.75" customHeight="1" s="545">
      <c r="A352" s="19" t="n"/>
      <c r="B352" s="19" t="n"/>
    </row>
    <row r="353" ht="15.75" customHeight="1" s="545">
      <c r="A353" s="19" t="n"/>
      <c r="B353" s="19" t="n"/>
    </row>
    <row r="354" ht="15.75" customHeight="1" s="545">
      <c r="A354" s="19" t="n"/>
      <c r="B354" s="19" t="n"/>
    </row>
    <row r="355" ht="15.75" customHeight="1" s="545">
      <c r="A355" s="19" t="n"/>
      <c r="B355" s="19" t="n"/>
    </row>
    <row r="356" ht="15.75" customHeight="1" s="545">
      <c r="A356" s="19" t="n"/>
      <c r="B356" s="19" t="n"/>
    </row>
    <row r="357" ht="15.75" customHeight="1" s="545">
      <c r="A357" s="19" t="n"/>
      <c r="B357" s="19" t="n"/>
    </row>
    <row r="358" ht="15.75" customHeight="1" s="545">
      <c r="A358" s="19" t="n"/>
      <c r="B358" s="19" t="n"/>
    </row>
    <row r="359" ht="15.75" customHeight="1" s="545">
      <c r="A359" s="19" t="n"/>
      <c r="B359" s="19" t="n"/>
    </row>
    <row r="360" ht="15.75" customHeight="1" s="545">
      <c r="A360" s="19" t="n"/>
      <c r="B360" s="19" t="n"/>
    </row>
    <row r="361" ht="15.75" customHeight="1" s="545">
      <c r="A361" s="19" t="n"/>
      <c r="B361" s="19" t="n"/>
    </row>
    <row r="362" ht="15.75" customHeight="1" s="545">
      <c r="A362" s="19" t="n"/>
      <c r="B362" s="19" t="n"/>
    </row>
    <row r="363" ht="15.75" customHeight="1" s="545">
      <c r="A363" s="19" t="n"/>
      <c r="B363" s="19" t="n"/>
    </row>
    <row r="364" ht="15.75" customHeight="1" s="545">
      <c r="A364" s="19" t="n"/>
      <c r="B364" s="19" t="n"/>
    </row>
    <row r="365" ht="15.75" customHeight="1" s="545">
      <c r="A365" s="19" t="n"/>
      <c r="B365" s="19" t="n"/>
    </row>
    <row r="366" ht="15.75" customHeight="1" s="545">
      <c r="A366" s="19" t="n"/>
      <c r="B366" s="19" t="n"/>
    </row>
    <row r="367" ht="15.75" customHeight="1" s="545">
      <c r="A367" s="19" t="n"/>
      <c r="B367" s="19" t="n"/>
    </row>
    <row r="368" ht="15.75" customHeight="1" s="545">
      <c r="A368" s="19" t="n"/>
      <c r="B368" s="19" t="n"/>
    </row>
    <row r="369" ht="15.75" customHeight="1" s="545">
      <c r="A369" s="19" t="n"/>
      <c r="B369" s="19" t="n"/>
    </row>
    <row r="370" ht="15.75" customHeight="1" s="545">
      <c r="A370" s="19" t="n"/>
      <c r="B370" s="19" t="n"/>
    </row>
    <row r="371" ht="15.75" customHeight="1" s="545">
      <c r="A371" s="19" t="n"/>
      <c r="B371" s="19" t="n"/>
    </row>
    <row r="372" ht="15.75" customHeight="1" s="545">
      <c r="A372" s="19" t="n"/>
      <c r="B372" s="19" t="n"/>
    </row>
    <row r="373" ht="15.75" customHeight="1" s="545">
      <c r="A373" s="19" t="n"/>
      <c r="B373" s="19" t="n"/>
    </row>
    <row r="374" ht="15.75" customHeight="1" s="545">
      <c r="A374" s="19" t="n"/>
      <c r="B374" s="19" t="n"/>
    </row>
    <row r="375" ht="15.75" customHeight="1" s="545">
      <c r="A375" s="19" t="n"/>
      <c r="B375" s="19" t="n"/>
    </row>
    <row r="376" ht="15.75" customHeight="1" s="545">
      <c r="A376" s="19" t="n"/>
      <c r="B376" s="19" t="n"/>
    </row>
    <row r="377" ht="15.75" customHeight="1" s="545">
      <c r="A377" s="19" t="n"/>
      <c r="B377" s="19" t="n"/>
    </row>
    <row r="378" ht="15.75" customHeight="1" s="545">
      <c r="A378" s="19" t="n"/>
      <c r="B378" s="19" t="n"/>
    </row>
    <row r="379" ht="15.75" customHeight="1" s="545">
      <c r="A379" s="19" t="n"/>
      <c r="B379" s="19" t="n"/>
    </row>
    <row r="380" ht="15.75" customHeight="1" s="545">
      <c r="A380" s="19" t="n"/>
      <c r="B380" s="19" t="n"/>
    </row>
    <row r="381" ht="15.75" customHeight="1" s="545">
      <c r="A381" s="19" t="n"/>
      <c r="B381" s="19" t="n"/>
    </row>
    <row r="382" ht="15.75" customHeight="1" s="545">
      <c r="A382" s="19" t="n"/>
      <c r="B382" s="19" t="n"/>
    </row>
    <row r="383" ht="15.75" customHeight="1" s="545">
      <c r="A383" s="19" t="n"/>
      <c r="B383" s="19" t="n"/>
    </row>
    <row r="384" ht="15.75" customHeight="1" s="545">
      <c r="A384" s="19" t="n"/>
      <c r="B384" s="19" t="n"/>
    </row>
    <row r="385" ht="15.75" customHeight="1" s="545">
      <c r="A385" s="19" t="n"/>
      <c r="B385" s="19" t="n"/>
    </row>
    <row r="386" ht="15.75" customHeight="1" s="545">
      <c r="A386" s="19" t="n"/>
      <c r="B386" s="19" t="n"/>
    </row>
    <row r="387" ht="15.75" customHeight="1" s="545">
      <c r="A387" s="19" t="n"/>
      <c r="B387" s="19" t="n"/>
    </row>
    <row r="388" ht="15.75" customHeight="1" s="545">
      <c r="A388" s="19" t="n"/>
      <c r="B388" s="19" t="n"/>
    </row>
    <row r="389" ht="15.75" customHeight="1" s="545">
      <c r="A389" s="19" t="n"/>
      <c r="B389" s="19" t="n"/>
    </row>
    <row r="390" ht="15.75" customHeight="1" s="545">
      <c r="A390" s="19" t="n"/>
      <c r="B390" s="19" t="n"/>
    </row>
    <row r="391" ht="15.75" customHeight="1" s="545">
      <c r="A391" s="19" t="n"/>
      <c r="B391" s="19" t="n"/>
    </row>
    <row r="392" ht="15.75" customHeight="1" s="545">
      <c r="A392" s="19" t="n"/>
      <c r="B392" s="19" t="n"/>
    </row>
    <row r="393" ht="15.75" customHeight="1" s="545">
      <c r="A393" s="19" t="n"/>
      <c r="B393" s="19" t="n"/>
    </row>
    <row r="394" ht="15.75" customHeight="1" s="545">
      <c r="A394" s="19" t="n"/>
      <c r="B394" s="19" t="n"/>
    </row>
    <row r="395" ht="15.75" customHeight="1" s="545">
      <c r="A395" s="19" t="n"/>
      <c r="B395" s="19" t="n"/>
    </row>
    <row r="396" ht="15.75" customHeight="1" s="545">
      <c r="A396" s="19" t="n"/>
      <c r="B396" s="19" t="n"/>
    </row>
    <row r="397" ht="15.75" customHeight="1" s="545">
      <c r="A397" s="19" t="n"/>
      <c r="B397" s="19" t="n"/>
    </row>
    <row r="398" ht="15.75" customHeight="1" s="545">
      <c r="A398" s="19" t="n"/>
      <c r="B398" s="19" t="n"/>
    </row>
    <row r="399" ht="15.75" customHeight="1" s="545">
      <c r="A399" s="19" t="n"/>
      <c r="B399" s="19" t="n"/>
    </row>
    <row r="400" ht="15.75" customHeight="1" s="545">
      <c r="A400" s="19" t="n"/>
      <c r="B400" s="19" t="n"/>
    </row>
    <row r="401" ht="15.75" customHeight="1" s="545">
      <c r="A401" s="19" t="n"/>
      <c r="B401" s="19" t="n"/>
    </row>
    <row r="402" ht="15.75" customHeight="1" s="545">
      <c r="A402" s="19" t="n"/>
      <c r="B402" s="19" t="n"/>
    </row>
    <row r="403" ht="15.75" customHeight="1" s="545">
      <c r="A403" s="19" t="n"/>
      <c r="B403" s="19" t="n"/>
    </row>
    <row r="404" ht="15.75" customHeight="1" s="545">
      <c r="A404" s="19" t="n"/>
      <c r="B404" s="19" t="n"/>
    </row>
    <row r="405" ht="15.75" customHeight="1" s="545">
      <c r="A405" s="19" t="n"/>
      <c r="B405" s="19" t="n"/>
    </row>
    <row r="406" ht="15.75" customHeight="1" s="545">
      <c r="A406" s="19" t="n"/>
      <c r="B406" s="19" t="n"/>
    </row>
    <row r="407" ht="15.75" customHeight="1" s="545">
      <c r="A407" s="19" t="n"/>
      <c r="B407" s="19" t="n"/>
    </row>
    <row r="408" ht="15.75" customHeight="1" s="545">
      <c r="A408" s="19" t="n"/>
      <c r="B408" s="19" t="n"/>
    </row>
    <row r="409" ht="15.75" customHeight="1" s="545">
      <c r="A409" s="19" t="n"/>
      <c r="B409" s="19" t="n"/>
    </row>
    <row r="410" ht="15.75" customHeight="1" s="545">
      <c r="A410" s="19" t="n"/>
      <c r="B410" s="19" t="n"/>
    </row>
    <row r="411" ht="15.75" customHeight="1" s="545">
      <c r="A411" s="19" t="n"/>
      <c r="B411" s="19" t="n"/>
    </row>
    <row r="412" ht="15.75" customHeight="1" s="545">
      <c r="A412" s="19" t="n"/>
      <c r="B412" s="19" t="n"/>
    </row>
    <row r="413" ht="15.75" customHeight="1" s="545">
      <c r="A413" s="19" t="n"/>
      <c r="B413" s="19" t="n"/>
    </row>
    <row r="414" ht="15.75" customHeight="1" s="545">
      <c r="A414" s="19" t="n"/>
      <c r="B414" s="19" t="n"/>
    </row>
    <row r="415" ht="15.75" customHeight="1" s="545">
      <c r="A415" s="19" t="n"/>
      <c r="B415" s="19" t="n"/>
    </row>
    <row r="416" ht="15.75" customHeight="1" s="545">
      <c r="A416" s="19" t="n"/>
      <c r="B416" s="19" t="n"/>
    </row>
    <row r="417" ht="15.75" customHeight="1" s="545">
      <c r="A417" s="19" t="n"/>
      <c r="B417" s="19" t="n"/>
    </row>
    <row r="418" ht="15.75" customHeight="1" s="545">
      <c r="A418" s="19" t="n"/>
      <c r="B418" s="19" t="n"/>
    </row>
    <row r="419" ht="15.75" customHeight="1" s="545">
      <c r="A419" s="19" t="n"/>
      <c r="B419" s="19" t="n"/>
    </row>
    <row r="420" ht="15.75" customHeight="1" s="545">
      <c r="A420" s="19" t="n"/>
      <c r="B420" s="19" t="n"/>
    </row>
    <row r="421" ht="15.75" customHeight="1" s="545">
      <c r="A421" s="19" t="n"/>
      <c r="B421" s="19" t="n"/>
    </row>
    <row r="422" ht="15.75" customHeight="1" s="545">
      <c r="A422" s="19" t="n"/>
      <c r="B422" s="19" t="n"/>
    </row>
    <row r="423" ht="15.75" customHeight="1" s="545">
      <c r="A423" s="19" t="n"/>
      <c r="B423" s="19" t="n"/>
    </row>
    <row r="424" ht="15.75" customHeight="1" s="545">
      <c r="A424" s="19" t="n"/>
      <c r="B424" s="19" t="n"/>
    </row>
    <row r="425" ht="15.75" customHeight="1" s="545">
      <c r="A425" s="19" t="n"/>
      <c r="B425" s="19" t="n"/>
    </row>
    <row r="426" ht="15.75" customHeight="1" s="545">
      <c r="A426" s="19" t="n"/>
      <c r="B426" s="19" t="n"/>
    </row>
    <row r="427" ht="15.75" customHeight="1" s="545">
      <c r="A427" s="19" t="n"/>
      <c r="B427" s="19" t="n"/>
    </row>
    <row r="428" ht="15.75" customHeight="1" s="545">
      <c r="A428" s="19" t="n"/>
      <c r="B428" s="19" t="n"/>
    </row>
    <row r="429" ht="15.75" customHeight="1" s="545">
      <c r="A429" s="19" t="n"/>
      <c r="B429" s="19" t="n"/>
    </row>
    <row r="430" ht="15.75" customHeight="1" s="545">
      <c r="A430" s="19" t="n"/>
      <c r="B430" s="19" t="n"/>
    </row>
    <row r="431" ht="15.75" customHeight="1" s="545">
      <c r="A431" s="19" t="n"/>
      <c r="B431" s="19" t="n"/>
    </row>
    <row r="432" ht="15.75" customHeight="1" s="545">
      <c r="A432" s="19" t="n"/>
      <c r="B432" s="19" t="n"/>
    </row>
    <row r="433" ht="15.75" customHeight="1" s="545">
      <c r="A433" s="19" t="n"/>
      <c r="B433" s="19" t="n"/>
    </row>
    <row r="434" ht="15.75" customHeight="1" s="545">
      <c r="A434" s="19" t="n"/>
      <c r="B434" s="19" t="n"/>
    </row>
    <row r="435" ht="15.75" customHeight="1" s="545">
      <c r="A435" s="19" t="n"/>
      <c r="B435" s="19" t="n"/>
    </row>
    <row r="436" ht="15.75" customHeight="1" s="545">
      <c r="A436" s="19" t="n"/>
      <c r="B436" s="19" t="n"/>
    </row>
    <row r="437" ht="15.75" customHeight="1" s="545">
      <c r="A437" s="19" t="n"/>
      <c r="B437" s="19" t="n"/>
    </row>
    <row r="438" ht="15.75" customHeight="1" s="545">
      <c r="A438" s="19" t="n"/>
      <c r="B438" s="19" t="n"/>
    </row>
    <row r="439" ht="15.75" customHeight="1" s="545">
      <c r="A439" s="19" t="n"/>
      <c r="B439" s="19" t="n"/>
    </row>
    <row r="440" ht="15.75" customHeight="1" s="545">
      <c r="A440" s="19" t="n"/>
      <c r="B440" s="19" t="n"/>
    </row>
    <row r="441" ht="15.75" customHeight="1" s="545">
      <c r="A441" s="19" t="n"/>
      <c r="B441" s="19" t="n"/>
    </row>
    <row r="442" ht="15.75" customHeight="1" s="545">
      <c r="A442" s="19" t="n"/>
      <c r="B442" s="19" t="n"/>
    </row>
    <row r="443" ht="15.75" customHeight="1" s="545">
      <c r="A443" s="19" t="n"/>
      <c r="B443" s="19" t="n"/>
    </row>
    <row r="444" ht="15.75" customHeight="1" s="545">
      <c r="A444" s="19" t="n"/>
      <c r="B444" s="19" t="n"/>
    </row>
    <row r="445" ht="15.75" customHeight="1" s="545">
      <c r="A445" s="19" t="n"/>
      <c r="B445" s="19" t="n"/>
    </row>
    <row r="446" ht="15.75" customHeight="1" s="545">
      <c r="A446" s="19" t="n"/>
      <c r="B446" s="19" t="n"/>
    </row>
    <row r="447" ht="15.75" customHeight="1" s="545">
      <c r="A447" s="19" t="n"/>
      <c r="B447" s="19" t="n"/>
    </row>
    <row r="448" ht="15.75" customHeight="1" s="545">
      <c r="A448" s="19" t="n"/>
      <c r="B448" s="19" t="n"/>
    </row>
    <row r="449" ht="15.75" customHeight="1" s="545">
      <c r="A449" s="19" t="n"/>
      <c r="B449" s="19" t="n"/>
    </row>
    <row r="450" ht="15.75" customHeight="1" s="545">
      <c r="A450" s="19" t="n"/>
      <c r="B450" s="19" t="n"/>
    </row>
    <row r="451" ht="15.75" customHeight="1" s="545">
      <c r="A451" s="19" t="n"/>
      <c r="B451" s="19" t="n"/>
    </row>
    <row r="452" ht="15.75" customHeight="1" s="545">
      <c r="A452" s="19" t="n"/>
      <c r="B452" s="19" t="n"/>
    </row>
    <row r="453" ht="15.75" customHeight="1" s="545">
      <c r="A453" s="19" t="n"/>
      <c r="B453" s="19" t="n"/>
    </row>
    <row r="454" ht="15.75" customHeight="1" s="545">
      <c r="A454" s="19" t="n"/>
      <c r="B454" s="19" t="n"/>
    </row>
    <row r="455" ht="15.75" customHeight="1" s="545">
      <c r="A455" s="19" t="n"/>
      <c r="B455" s="19" t="n"/>
    </row>
    <row r="456" ht="15.75" customHeight="1" s="545">
      <c r="A456" s="19" t="n"/>
      <c r="B456" s="19" t="n"/>
    </row>
    <row r="457" ht="15.75" customHeight="1" s="545">
      <c r="A457" s="19" t="n"/>
      <c r="B457" s="19" t="n"/>
    </row>
    <row r="458" ht="15.75" customHeight="1" s="545">
      <c r="A458" s="19" t="n"/>
      <c r="B458" s="19" t="n"/>
    </row>
    <row r="459" ht="15.75" customHeight="1" s="545">
      <c r="A459" s="19" t="n"/>
      <c r="B459" s="19" t="n"/>
    </row>
    <row r="460" ht="15.75" customHeight="1" s="545">
      <c r="A460" s="19" t="n"/>
      <c r="B460" s="19" t="n"/>
    </row>
    <row r="461" ht="15.75" customHeight="1" s="545">
      <c r="A461" s="19" t="n"/>
      <c r="B461" s="19" t="n"/>
    </row>
    <row r="462" ht="15.75" customHeight="1" s="545">
      <c r="A462" s="19" t="n"/>
      <c r="B462" s="19" t="n"/>
    </row>
    <row r="463" ht="15.75" customHeight="1" s="545">
      <c r="A463" s="19" t="n"/>
      <c r="B463" s="19" t="n"/>
    </row>
    <row r="464" ht="15.75" customHeight="1" s="545">
      <c r="A464" s="19" t="n"/>
      <c r="B464" s="19" t="n"/>
    </row>
    <row r="465" ht="15.75" customHeight="1" s="545">
      <c r="A465" s="19" t="n"/>
      <c r="B465" s="19" t="n"/>
    </row>
    <row r="466" ht="15.75" customHeight="1" s="545">
      <c r="A466" s="19" t="n"/>
      <c r="B466" s="19" t="n"/>
    </row>
    <row r="467" ht="15.75" customHeight="1" s="545">
      <c r="A467" s="19" t="n"/>
      <c r="B467" s="19" t="n"/>
    </row>
    <row r="468" ht="15.75" customHeight="1" s="545">
      <c r="A468" s="19" t="n"/>
      <c r="B468" s="19" t="n"/>
    </row>
    <row r="469" ht="15.75" customHeight="1" s="545">
      <c r="A469" s="19" t="n"/>
      <c r="B469" s="19" t="n"/>
    </row>
    <row r="470" ht="15.75" customHeight="1" s="545">
      <c r="A470" s="19" t="n"/>
      <c r="B470" s="19" t="n"/>
    </row>
    <row r="471" ht="15.75" customHeight="1" s="545">
      <c r="A471" s="19" t="n"/>
      <c r="B471" s="19" t="n"/>
    </row>
    <row r="472" ht="15.75" customHeight="1" s="545">
      <c r="A472" s="19" t="n"/>
      <c r="B472" s="19" t="n"/>
    </row>
    <row r="473" ht="15.75" customHeight="1" s="545">
      <c r="A473" s="19" t="n"/>
      <c r="B473" s="19" t="n"/>
    </row>
    <row r="474" ht="15.75" customHeight="1" s="545">
      <c r="A474" s="19" t="n"/>
      <c r="B474" s="19" t="n"/>
    </row>
    <row r="475" ht="15.75" customHeight="1" s="545">
      <c r="A475" s="19" t="n"/>
      <c r="B475" s="19" t="n"/>
    </row>
    <row r="476" ht="15.75" customHeight="1" s="545">
      <c r="A476" s="19" t="n"/>
      <c r="B476" s="19" t="n"/>
    </row>
    <row r="477" ht="15.75" customHeight="1" s="545">
      <c r="A477" s="19" t="n"/>
      <c r="B477" s="19" t="n"/>
    </row>
    <row r="478" ht="15.75" customHeight="1" s="545">
      <c r="A478" s="19" t="n"/>
      <c r="B478" s="19" t="n"/>
    </row>
    <row r="479" ht="15.75" customHeight="1" s="545">
      <c r="A479" s="19" t="n"/>
      <c r="B479" s="19" t="n"/>
    </row>
    <row r="480" ht="15.75" customHeight="1" s="545">
      <c r="A480" s="19" t="n"/>
      <c r="B480" s="19" t="n"/>
    </row>
    <row r="481" ht="15.75" customHeight="1" s="545">
      <c r="A481" s="19" t="n"/>
      <c r="B481" s="19" t="n"/>
    </row>
    <row r="482" ht="15.75" customHeight="1" s="545">
      <c r="A482" s="19" t="n"/>
      <c r="B482" s="19" t="n"/>
    </row>
    <row r="483" ht="15.75" customHeight="1" s="545">
      <c r="A483" s="19" t="n"/>
      <c r="B483" s="19" t="n"/>
    </row>
    <row r="484" ht="15.75" customHeight="1" s="545">
      <c r="A484" s="19" t="n"/>
      <c r="B484" s="19" t="n"/>
    </row>
    <row r="485" ht="15.75" customHeight="1" s="545">
      <c r="A485" s="19" t="n"/>
      <c r="B485" s="19" t="n"/>
    </row>
    <row r="486" ht="15.75" customHeight="1" s="545">
      <c r="A486" s="19" t="n"/>
      <c r="B486" s="19" t="n"/>
    </row>
    <row r="487" ht="15.75" customHeight="1" s="545">
      <c r="A487" s="19" t="n"/>
      <c r="B487" s="19" t="n"/>
    </row>
    <row r="488" ht="15.75" customHeight="1" s="545">
      <c r="A488" s="19" t="n"/>
      <c r="B488" s="19" t="n"/>
    </row>
    <row r="489" ht="15.75" customHeight="1" s="545">
      <c r="A489" s="19" t="n"/>
      <c r="B489" s="19" t="n"/>
    </row>
    <row r="490" ht="15.75" customHeight="1" s="545">
      <c r="A490" s="19" t="n"/>
      <c r="B490" s="19" t="n"/>
    </row>
    <row r="491" ht="15.75" customHeight="1" s="545">
      <c r="A491" s="19" t="n"/>
      <c r="B491" s="19" t="n"/>
    </row>
    <row r="492" ht="15.75" customHeight="1" s="545">
      <c r="A492" s="19" t="n"/>
      <c r="B492" s="19" t="n"/>
    </row>
    <row r="493" ht="15.75" customHeight="1" s="545">
      <c r="A493" s="19" t="n"/>
      <c r="B493" s="19" t="n"/>
    </row>
    <row r="494" ht="15.75" customHeight="1" s="545">
      <c r="A494" s="19" t="n"/>
      <c r="B494" s="19" t="n"/>
    </row>
    <row r="495" ht="15.75" customHeight="1" s="545">
      <c r="A495" s="19" t="n"/>
      <c r="B495" s="19" t="n"/>
    </row>
    <row r="496" ht="15.75" customHeight="1" s="545">
      <c r="A496" s="19" t="n"/>
      <c r="B496" s="19" t="n"/>
    </row>
    <row r="497" ht="15.75" customHeight="1" s="545">
      <c r="A497" s="19" t="n"/>
      <c r="B497" s="19" t="n"/>
    </row>
    <row r="498" ht="15.75" customHeight="1" s="545">
      <c r="A498" s="19" t="n"/>
      <c r="B498" s="19" t="n"/>
    </row>
    <row r="499" ht="15.75" customHeight="1" s="545">
      <c r="A499" s="19" t="n"/>
      <c r="B499" s="19" t="n"/>
    </row>
    <row r="500" ht="15.75" customHeight="1" s="545">
      <c r="A500" s="19" t="n"/>
      <c r="B500" s="19" t="n"/>
    </row>
    <row r="501" ht="15.75" customHeight="1" s="545">
      <c r="A501" s="19" t="n"/>
      <c r="B501" s="19" t="n"/>
    </row>
    <row r="502" ht="15.75" customHeight="1" s="545">
      <c r="A502" s="19" t="n"/>
      <c r="B502" s="19" t="n"/>
    </row>
    <row r="503" ht="15.75" customHeight="1" s="545">
      <c r="A503" s="19" t="n"/>
      <c r="B503" s="19" t="n"/>
    </row>
    <row r="504" ht="15.75" customHeight="1" s="545">
      <c r="A504" s="19" t="n"/>
      <c r="B504" s="19" t="n"/>
    </row>
    <row r="505" ht="15.75" customHeight="1" s="545">
      <c r="A505" s="19" t="n"/>
      <c r="B505" s="19" t="n"/>
    </row>
    <row r="506" ht="15.75" customHeight="1" s="545">
      <c r="A506" s="19" t="n"/>
      <c r="B506" s="19" t="n"/>
    </row>
    <row r="507" ht="15.75" customHeight="1" s="545">
      <c r="A507" s="19" t="n"/>
      <c r="B507" s="19" t="n"/>
    </row>
    <row r="508" ht="15.75" customHeight="1" s="545">
      <c r="A508" s="19" t="n"/>
      <c r="B508" s="19" t="n"/>
    </row>
    <row r="509" ht="15.75" customHeight="1" s="545">
      <c r="A509" s="19" t="n"/>
      <c r="B509" s="19" t="n"/>
    </row>
    <row r="510" ht="15.75" customHeight="1" s="545">
      <c r="A510" s="19" t="n"/>
      <c r="B510" s="19" t="n"/>
    </row>
    <row r="511" ht="15.75" customHeight="1" s="545">
      <c r="A511" s="19" t="n"/>
      <c r="B511" s="19" t="n"/>
    </row>
    <row r="512" ht="15.75" customHeight="1" s="545">
      <c r="A512" s="19" t="n"/>
      <c r="B512" s="19" t="n"/>
    </row>
    <row r="513" ht="15.75" customHeight="1" s="545">
      <c r="A513" s="19" t="n"/>
      <c r="B513" s="19" t="n"/>
    </row>
    <row r="514" ht="15.75" customHeight="1" s="545">
      <c r="A514" s="19" t="n"/>
      <c r="B514" s="19" t="n"/>
    </row>
    <row r="515" ht="15.75" customHeight="1" s="545">
      <c r="A515" s="19" t="n"/>
      <c r="B515" s="19" t="n"/>
    </row>
    <row r="516" ht="15.75" customHeight="1" s="545">
      <c r="A516" s="19" t="n"/>
      <c r="B516" s="19" t="n"/>
    </row>
    <row r="517" ht="15.75" customHeight="1" s="545">
      <c r="A517" s="19" t="n"/>
      <c r="B517" s="19" t="n"/>
    </row>
    <row r="518" ht="15.75" customHeight="1" s="545">
      <c r="A518" s="19" t="n"/>
      <c r="B518" s="19" t="n"/>
    </row>
    <row r="519" ht="15.75" customHeight="1" s="545">
      <c r="A519" s="19" t="n"/>
      <c r="B519" s="19" t="n"/>
    </row>
    <row r="520" ht="15.75" customHeight="1" s="545">
      <c r="A520" s="19" t="n"/>
      <c r="B520" s="19" t="n"/>
    </row>
    <row r="521" ht="15.75" customHeight="1" s="545">
      <c r="A521" s="19" t="n"/>
      <c r="B521" s="19" t="n"/>
    </row>
    <row r="522" ht="15.75" customHeight="1" s="545">
      <c r="A522" s="19" t="n"/>
      <c r="B522" s="19" t="n"/>
    </row>
    <row r="523" ht="15.75" customHeight="1" s="545">
      <c r="A523" s="19" t="n"/>
      <c r="B523" s="19" t="n"/>
    </row>
    <row r="524" ht="15.75" customHeight="1" s="545">
      <c r="A524" s="19" t="n"/>
      <c r="B524" s="19" t="n"/>
    </row>
    <row r="525" ht="15.75" customHeight="1" s="545">
      <c r="A525" s="19" t="n"/>
      <c r="B525" s="19" t="n"/>
    </row>
    <row r="526" ht="15.75" customHeight="1" s="545">
      <c r="A526" s="19" t="n"/>
      <c r="B526" s="19" t="n"/>
    </row>
    <row r="527" ht="15.75" customHeight="1" s="545">
      <c r="A527" s="19" t="n"/>
      <c r="B527" s="19" t="n"/>
    </row>
    <row r="528" ht="15.75" customHeight="1" s="545">
      <c r="A528" s="19" t="n"/>
      <c r="B528" s="19" t="n"/>
    </row>
    <row r="529" ht="15.75" customHeight="1" s="545">
      <c r="A529" s="19" t="n"/>
      <c r="B529" s="19" t="n"/>
    </row>
    <row r="530" ht="15.75" customHeight="1" s="545">
      <c r="A530" s="19" t="n"/>
      <c r="B530" s="19" t="n"/>
    </row>
    <row r="531" ht="15.75" customHeight="1" s="545">
      <c r="A531" s="19" t="n"/>
      <c r="B531" s="19" t="n"/>
    </row>
    <row r="532" ht="15.75" customHeight="1" s="545">
      <c r="A532" s="19" t="n"/>
      <c r="B532" s="19" t="n"/>
    </row>
    <row r="533" ht="15.75" customHeight="1" s="545">
      <c r="A533" s="19" t="n"/>
      <c r="B533" s="19" t="n"/>
    </row>
    <row r="534" ht="15.75" customHeight="1" s="545">
      <c r="A534" s="19" t="n"/>
      <c r="B534" s="19" t="n"/>
    </row>
    <row r="535" ht="15.75" customHeight="1" s="545">
      <c r="A535" s="19" t="n"/>
      <c r="B535" s="19" t="n"/>
    </row>
    <row r="536" ht="15.75" customHeight="1" s="545">
      <c r="A536" s="19" t="n"/>
      <c r="B536" s="19" t="n"/>
    </row>
    <row r="537" ht="15.75" customHeight="1" s="545">
      <c r="A537" s="19" t="n"/>
      <c r="B537" s="19" t="n"/>
    </row>
    <row r="538" ht="15.75" customHeight="1" s="545">
      <c r="A538" s="19" t="n"/>
      <c r="B538" s="19" t="n"/>
    </row>
    <row r="539" ht="15.75" customHeight="1" s="545">
      <c r="A539" s="19" t="n"/>
      <c r="B539" s="19" t="n"/>
    </row>
    <row r="540" ht="15.75" customHeight="1" s="545">
      <c r="A540" s="19" t="n"/>
      <c r="B540" s="19" t="n"/>
    </row>
    <row r="541" ht="15.75" customHeight="1" s="545">
      <c r="A541" s="19" t="n"/>
      <c r="B541" s="19" t="n"/>
    </row>
    <row r="542" ht="15.75" customHeight="1" s="545">
      <c r="A542" s="19" t="n"/>
      <c r="B542" s="19" t="n"/>
    </row>
    <row r="543" ht="15.75" customHeight="1" s="545">
      <c r="A543" s="19" t="n"/>
      <c r="B543" s="19" t="n"/>
    </row>
    <row r="544" ht="15.75" customHeight="1" s="545">
      <c r="A544" s="19" t="n"/>
      <c r="B544" s="19" t="n"/>
    </row>
    <row r="545" ht="15.75" customHeight="1" s="545">
      <c r="A545" s="19" t="n"/>
      <c r="B545" s="19" t="n"/>
    </row>
    <row r="546" ht="15.75" customHeight="1" s="545">
      <c r="A546" s="19" t="n"/>
      <c r="B546" s="19" t="n"/>
    </row>
    <row r="547" ht="15.75" customHeight="1" s="545">
      <c r="A547" s="19" t="n"/>
      <c r="B547" s="19" t="n"/>
    </row>
    <row r="548" ht="15.75" customHeight="1" s="545">
      <c r="A548" s="19" t="n"/>
      <c r="B548" s="19" t="n"/>
    </row>
    <row r="549" ht="15.75" customHeight="1" s="545">
      <c r="A549" s="19" t="n"/>
      <c r="B549" s="19" t="n"/>
    </row>
    <row r="550" ht="15.75" customHeight="1" s="545">
      <c r="A550" s="19" t="n"/>
      <c r="B550" s="19" t="n"/>
    </row>
    <row r="551" ht="15.75" customHeight="1" s="545">
      <c r="A551" s="19" t="n"/>
      <c r="B551" s="19" t="n"/>
    </row>
    <row r="552" ht="15.75" customHeight="1" s="545">
      <c r="A552" s="19" t="n"/>
      <c r="B552" s="19" t="n"/>
    </row>
    <row r="553" ht="15.75" customHeight="1" s="545">
      <c r="A553" s="19" t="n"/>
      <c r="B553" s="19" t="n"/>
    </row>
    <row r="554" ht="15.75" customHeight="1" s="545">
      <c r="A554" s="19" t="n"/>
      <c r="B554" s="19" t="n"/>
    </row>
    <row r="555" ht="15.75" customHeight="1" s="545">
      <c r="A555" s="19" t="n"/>
      <c r="B555" s="19" t="n"/>
    </row>
    <row r="556" ht="15.75" customHeight="1" s="545">
      <c r="A556" s="19" t="n"/>
      <c r="B556" s="19" t="n"/>
    </row>
    <row r="557" ht="15.75" customHeight="1" s="545">
      <c r="A557" s="19" t="n"/>
      <c r="B557" s="19" t="n"/>
    </row>
    <row r="558" ht="15.75" customHeight="1" s="545">
      <c r="A558" s="19" t="n"/>
      <c r="B558" s="19" t="n"/>
    </row>
    <row r="559" ht="15.75" customHeight="1" s="545">
      <c r="A559" s="19" t="n"/>
      <c r="B559" s="19" t="n"/>
    </row>
    <row r="560" ht="15.75" customHeight="1" s="545">
      <c r="A560" s="19" t="n"/>
      <c r="B560" s="19" t="n"/>
    </row>
    <row r="561" ht="15.75" customHeight="1" s="545">
      <c r="A561" s="19" t="n"/>
      <c r="B561" s="19" t="n"/>
    </row>
    <row r="562" ht="15.75" customHeight="1" s="545">
      <c r="A562" s="19" t="n"/>
      <c r="B562" s="19" t="n"/>
    </row>
    <row r="563" ht="15.75" customHeight="1" s="545">
      <c r="A563" s="19" t="n"/>
      <c r="B563" s="19" t="n"/>
    </row>
    <row r="564" ht="15.75" customHeight="1" s="545">
      <c r="A564" s="19" t="n"/>
      <c r="B564" s="19" t="n"/>
    </row>
    <row r="565" ht="15.75" customHeight="1" s="545">
      <c r="A565" s="19" t="n"/>
      <c r="B565" s="19" t="n"/>
    </row>
    <row r="566" ht="15.75" customHeight="1" s="545">
      <c r="A566" s="19" t="n"/>
      <c r="B566" s="19" t="n"/>
    </row>
    <row r="567" ht="15.75" customHeight="1" s="545">
      <c r="A567" s="19" t="n"/>
      <c r="B567" s="19" t="n"/>
    </row>
    <row r="568" ht="15.75" customHeight="1" s="545">
      <c r="A568" s="19" t="n"/>
      <c r="B568" s="19" t="n"/>
    </row>
    <row r="569" ht="15.75" customHeight="1" s="545">
      <c r="A569" s="19" t="n"/>
      <c r="B569" s="19" t="n"/>
    </row>
    <row r="570" ht="15.75" customHeight="1" s="545">
      <c r="A570" s="19" t="n"/>
      <c r="B570" s="19" t="n"/>
    </row>
    <row r="571" ht="15.75" customHeight="1" s="545">
      <c r="A571" s="19" t="n"/>
      <c r="B571" s="19" t="n"/>
    </row>
    <row r="572" ht="15.75" customHeight="1" s="545">
      <c r="A572" s="19" t="n"/>
      <c r="B572" s="19" t="n"/>
    </row>
    <row r="573" ht="15.75" customHeight="1" s="545">
      <c r="A573" s="19" t="n"/>
      <c r="B573" s="19" t="n"/>
    </row>
    <row r="574" ht="15.75" customHeight="1" s="545">
      <c r="A574" s="19" t="n"/>
      <c r="B574" s="19" t="n"/>
    </row>
    <row r="575" ht="15.75" customHeight="1" s="545">
      <c r="A575" s="19" t="n"/>
      <c r="B575" s="19" t="n"/>
    </row>
    <row r="576" ht="15.75" customHeight="1" s="545">
      <c r="A576" s="19" t="n"/>
      <c r="B576" s="19" t="n"/>
    </row>
    <row r="577" ht="15.75" customHeight="1" s="545">
      <c r="A577" s="19" t="n"/>
      <c r="B577" s="19" t="n"/>
    </row>
    <row r="578" ht="15.75" customHeight="1" s="545">
      <c r="A578" s="19" t="n"/>
      <c r="B578" s="19" t="n"/>
    </row>
    <row r="579" ht="15.75" customHeight="1" s="545">
      <c r="A579" s="19" t="n"/>
      <c r="B579" s="19" t="n"/>
    </row>
    <row r="580" ht="15.75" customHeight="1" s="545">
      <c r="A580" s="19" t="n"/>
      <c r="B580" s="19" t="n"/>
    </row>
    <row r="581" ht="15.75" customHeight="1" s="545">
      <c r="A581" s="19" t="n"/>
      <c r="B581" s="19" t="n"/>
    </row>
    <row r="582" ht="15.75" customHeight="1" s="545">
      <c r="A582" s="19" t="n"/>
      <c r="B582" s="19" t="n"/>
    </row>
    <row r="583" ht="15.75" customHeight="1" s="545">
      <c r="A583" s="19" t="n"/>
      <c r="B583" s="19" t="n"/>
    </row>
    <row r="584" ht="15.75" customHeight="1" s="545">
      <c r="A584" s="19" t="n"/>
      <c r="B584" s="19" t="n"/>
    </row>
    <row r="585" ht="15.75" customHeight="1" s="545">
      <c r="A585" s="19" t="n"/>
      <c r="B585" s="19" t="n"/>
    </row>
    <row r="586" ht="15.75" customHeight="1" s="545">
      <c r="A586" s="19" t="n"/>
      <c r="B586" s="19" t="n"/>
    </row>
    <row r="587" ht="15.75" customHeight="1" s="545">
      <c r="A587" s="19" t="n"/>
      <c r="B587" s="19" t="n"/>
    </row>
    <row r="588" ht="15.75" customHeight="1" s="545">
      <c r="A588" s="19" t="n"/>
      <c r="B588" s="19" t="n"/>
    </row>
    <row r="589" ht="15.75" customHeight="1" s="545">
      <c r="A589" s="19" t="n"/>
      <c r="B589" s="19" t="n"/>
    </row>
    <row r="590" ht="15.75" customHeight="1" s="545">
      <c r="A590" s="19" t="n"/>
      <c r="B590" s="19" t="n"/>
    </row>
    <row r="591" ht="15.75" customHeight="1" s="545">
      <c r="A591" s="19" t="n"/>
      <c r="B591" s="19" t="n"/>
    </row>
    <row r="592" ht="15.75" customHeight="1" s="545">
      <c r="A592" s="19" t="n"/>
      <c r="B592" s="19" t="n"/>
    </row>
    <row r="593" ht="15.75" customHeight="1" s="545">
      <c r="A593" s="19" t="n"/>
      <c r="B593" s="19" t="n"/>
    </row>
    <row r="594" ht="15.75" customHeight="1" s="545">
      <c r="A594" s="19" t="n"/>
      <c r="B594" s="19" t="n"/>
    </row>
    <row r="595" ht="15.75" customHeight="1" s="545">
      <c r="A595" s="19" t="n"/>
      <c r="B595" s="19" t="n"/>
    </row>
    <row r="596" ht="15.75" customHeight="1" s="545">
      <c r="A596" s="19" t="n"/>
      <c r="B596" s="19" t="n"/>
    </row>
    <row r="597" ht="15.75" customHeight="1" s="545">
      <c r="A597" s="19" t="n"/>
      <c r="B597" s="19" t="n"/>
    </row>
    <row r="598" ht="15.75" customHeight="1" s="545">
      <c r="A598" s="19" t="n"/>
      <c r="B598" s="19" t="n"/>
    </row>
    <row r="599" ht="15.75" customHeight="1" s="545">
      <c r="A599" s="19" t="n"/>
      <c r="B599" s="19" t="n"/>
    </row>
    <row r="600" ht="15.75" customHeight="1" s="545">
      <c r="A600" s="19" t="n"/>
      <c r="B600" s="19" t="n"/>
    </row>
    <row r="601" ht="15.75" customHeight="1" s="545">
      <c r="A601" s="19" t="n"/>
      <c r="B601" s="19" t="n"/>
    </row>
    <row r="602" ht="15.75" customHeight="1" s="545">
      <c r="A602" s="19" t="n"/>
      <c r="B602" s="19" t="n"/>
    </row>
    <row r="603" ht="15.75" customHeight="1" s="545">
      <c r="A603" s="19" t="n"/>
      <c r="B603" s="19" t="n"/>
    </row>
    <row r="604" ht="15.75" customHeight="1" s="545">
      <c r="A604" s="19" t="n"/>
      <c r="B604" s="19" t="n"/>
    </row>
    <row r="605" ht="15.75" customHeight="1" s="545">
      <c r="A605" s="19" t="n"/>
      <c r="B605" s="19" t="n"/>
    </row>
    <row r="606" ht="15.75" customHeight="1" s="545">
      <c r="A606" s="19" t="n"/>
      <c r="B606" s="19" t="n"/>
    </row>
    <row r="607" ht="15.75" customHeight="1" s="545">
      <c r="A607" s="19" t="n"/>
      <c r="B607" s="19" t="n"/>
    </row>
    <row r="608" ht="15.75" customHeight="1" s="545">
      <c r="A608" s="19" t="n"/>
      <c r="B608" s="19" t="n"/>
    </row>
    <row r="609" ht="15.75" customHeight="1" s="545">
      <c r="A609" s="19" t="n"/>
      <c r="B609" s="19" t="n"/>
    </row>
    <row r="610" ht="15.75" customHeight="1" s="545">
      <c r="A610" s="19" t="n"/>
      <c r="B610" s="19" t="n"/>
    </row>
    <row r="611" ht="15.75" customHeight="1" s="545">
      <c r="A611" s="19" t="n"/>
      <c r="B611" s="19" t="n"/>
    </row>
    <row r="612" ht="15.75" customHeight="1" s="545">
      <c r="A612" s="19" t="n"/>
      <c r="B612" s="19" t="n"/>
    </row>
    <row r="613" ht="15.75" customHeight="1" s="545">
      <c r="A613" s="19" t="n"/>
      <c r="B613" s="19" t="n"/>
    </row>
    <row r="614" ht="15.75" customHeight="1" s="545">
      <c r="A614" s="19" t="n"/>
      <c r="B614" s="19" t="n"/>
    </row>
    <row r="615" ht="15.75" customHeight="1" s="545">
      <c r="A615" s="19" t="n"/>
      <c r="B615" s="19" t="n"/>
    </row>
    <row r="616" ht="15.75" customHeight="1" s="545">
      <c r="A616" s="19" t="n"/>
      <c r="B616" s="19" t="n"/>
    </row>
    <row r="617" ht="15.75" customHeight="1" s="545">
      <c r="A617" s="19" t="n"/>
      <c r="B617" s="19" t="n"/>
    </row>
    <row r="618" ht="15.75" customHeight="1" s="545">
      <c r="A618" s="19" t="n"/>
      <c r="B618" s="19" t="n"/>
    </row>
    <row r="619" ht="15.75" customHeight="1" s="545">
      <c r="A619" s="19" t="n"/>
      <c r="B619" s="19" t="n"/>
    </row>
    <row r="620" ht="15.75" customHeight="1" s="545">
      <c r="A620" s="19" t="n"/>
      <c r="B620" s="19" t="n"/>
    </row>
    <row r="621" ht="15.75" customHeight="1" s="545">
      <c r="A621" s="19" t="n"/>
      <c r="B621" s="19" t="n"/>
    </row>
    <row r="622" ht="15.75" customHeight="1" s="545">
      <c r="A622" s="19" t="n"/>
      <c r="B622" s="19" t="n"/>
    </row>
    <row r="623" ht="15.75" customHeight="1" s="545">
      <c r="A623" s="19" t="n"/>
      <c r="B623" s="19" t="n"/>
    </row>
    <row r="624" ht="15.75" customHeight="1" s="545">
      <c r="A624" s="19" t="n"/>
      <c r="B624" s="19" t="n"/>
    </row>
    <row r="625" ht="15.75" customHeight="1" s="545">
      <c r="A625" s="19" t="n"/>
      <c r="B625" s="19" t="n"/>
    </row>
    <row r="626" ht="15.75" customHeight="1" s="545">
      <c r="A626" s="19" t="n"/>
      <c r="B626" s="19" t="n"/>
    </row>
    <row r="627" ht="15.75" customHeight="1" s="545">
      <c r="A627" s="19" t="n"/>
      <c r="B627" s="19" t="n"/>
    </row>
    <row r="628" ht="15.75" customHeight="1" s="545">
      <c r="A628" s="19" t="n"/>
      <c r="B628" s="19" t="n"/>
    </row>
    <row r="629" ht="15.75" customHeight="1" s="545">
      <c r="A629" s="19" t="n"/>
      <c r="B629" s="19" t="n"/>
    </row>
    <row r="630" ht="15.75" customHeight="1" s="545">
      <c r="A630" s="19" t="n"/>
      <c r="B630" s="19" t="n"/>
    </row>
    <row r="631" ht="15.75" customHeight="1" s="545">
      <c r="A631" s="19" t="n"/>
      <c r="B631" s="19" t="n"/>
    </row>
    <row r="632" ht="15.75" customHeight="1" s="545">
      <c r="A632" s="19" t="n"/>
      <c r="B632" s="19" t="n"/>
    </row>
    <row r="633" ht="15.75" customHeight="1" s="545">
      <c r="A633" s="19" t="n"/>
      <c r="B633" s="19" t="n"/>
    </row>
    <row r="634" ht="15.75" customHeight="1" s="545">
      <c r="A634" s="19" t="n"/>
      <c r="B634" s="19" t="n"/>
    </row>
    <row r="635" ht="15.75" customHeight="1" s="545">
      <c r="A635" s="19" t="n"/>
      <c r="B635" s="19" t="n"/>
    </row>
    <row r="636" ht="15.75" customHeight="1" s="545">
      <c r="A636" s="19" t="n"/>
      <c r="B636" s="19" t="n"/>
    </row>
    <row r="637" ht="15.75" customHeight="1" s="545">
      <c r="A637" s="19" t="n"/>
      <c r="B637" s="19" t="n"/>
    </row>
    <row r="638" ht="15.75" customHeight="1" s="545">
      <c r="A638" s="19" t="n"/>
      <c r="B638" s="19" t="n"/>
    </row>
    <row r="639" ht="15.75" customHeight="1" s="545">
      <c r="A639" s="19" t="n"/>
      <c r="B639" s="19" t="n"/>
    </row>
    <row r="640" ht="15.75" customHeight="1" s="545">
      <c r="A640" s="19" t="n"/>
      <c r="B640" s="19" t="n"/>
    </row>
    <row r="641" ht="15.75" customHeight="1" s="545">
      <c r="A641" s="19" t="n"/>
      <c r="B641" s="19" t="n"/>
    </row>
    <row r="642" ht="15.75" customHeight="1" s="545">
      <c r="A642" s="19" t="n"/>
      <c r="B642" s="19" t="n"/>
    </row>
    <row r="643" ht="15.75" customHeight="1" s="545">
      <c r="A643" s="19" t="n"/>
      <c r="B643" s="19" t="n"/>
    </row>
    <row r="644" ht="15.75" customHeight="1" s="545">
      <c r="A644" s="19" t="n"/>
      <c r="B644" s="19" t="n"/>
    </row>
    <row r="645" ht="15.75" customHeight="1" s="545">
      <c r="A645" s="19" t="n"/>
      <c r="B645" s="19" t="n"/>
    </row>
    <row r="646" ht="15.75" customHeight="1" s="545">
      <c r="A646" s="19" t="n"/>
      <c r="B646" s="19" t="n"/>
    </row>
    <row r="647" ht="15.75" customHeight="1" s="545">
      <c r="A647" s="19" t="n"/>
      <c r="B647" s="19" t="n"/>
    </row>
    <row r="648" ht="15.75" customHeight="1" s="545">
      <c r="A648" s="19" t="n"/>
      <c r="B648" s="19" t="n"/>
    </row>
    <row r="649" ht="15.75" customHeight="1" s="545">
      <c r="A649" s="19" t="n"/>
      <c r="B649" s="19" t="n"/>
    </row>
    <row r="650" ht="15.75" customHeight="1" s="545">
      <c r="A650" s="19" t="n"/>
      <c r="B650" s="19" t="n"/>
    </row>
    <row r="651" ht="15.75" customHeight="1" s="545">
      <c r="A651" s="19" t="n"/>
      <c r="B651" s="19" t="n"/>
    </row>
    <row r="652" ht="15.75" customHeight="1" s="545">
      <c r="A652" s="19" t="n"/>
      <c r="B652" s="19" t="n"/>
    </row>
    <row r="653" ht="15.75" customHeight="1" s="545">
      <c r="A653" s="19" t="n"/>
      <c r="B653" s="19" t="n"/>
    </row>
    <row r="654" ht="15.75" customHeight="1" s="545">
      <c r="A654" s="19" t="n"/>
      <c r="B654" s="19" t="n"/>
    </row>
    <row r="655" ht="15.75" customHeight="1" s="545">
      <c r="A655" s="19" t="n"/>
      <c r="B655" s="19" t="n"/>
    </row>
    <row r="656" ht="15.75" customHeight="1" s="545">
      <c r="A656" s="19" t="n"/>
      <c r="B656" s="19" t="n"/>
    </row>
    <row r="657" ht="15.75" customHeight="1" s="545">
      <c r="A657" s="19" t="n"/>
      <c r="B657" s="19" t="n"/>
    </row>
    <row r="658" ht="15.75" customHeight="1" s="545">
      <c r="A658" s="19" t="n"/>
      <c r="B658" s="19" t="n"/>
    </row>
    <row r="659" ht="15.75" customHeight="1" s="545">
      <c r="A659" s="19" t="n"/>
      <c r="B659" s="19" t="n"/>
    </row>
    <row r="660" ht="15.75" customHeight="1" s="545">
      <c r="A660" s="19" t="n"/>
      <c r="B660" s="19" t="n"/>
    </row>
    <row r="661" ht="15.75" customHeight="1" s="545">
      <c r="A661" s="19" t="n"/>
      <c r="B661" s="19" t="n"/>
    </row>
    <row r="662" ht="15.75" customHeight="1" s="545">
      <c r="A662" s="19" t="n"/>
      <c r="B662" s="19" t="n"/>
    </row>
    <row r="663" ht="15.75" customHeight="1" s="545">
      <c r="A663" s="19" t="n"/>
      <c r="B663" s="19" t="n"/>
    </row>
    <row r="664" ht="15.75" customHeight="1" s="545">
      <c r="A664" s="19" t="n"/>
      <c r="B664" s="19" t="n"/>
    </row>
    <row r="665" ht="15.75" customHeight="1" s="545">
      <c r="A665" s="19" t="n"/>
      <c r="B665" s="19" t="n"/>
    </row>
    <row r="666" ht="15.75" customHeight="1" s="545">
      <c r="A666" s="19" t="n"/>
      <c r="B666" s="19" t="n"/>
    </row>
    <row r="667" ht="15.75" customHeight="1" s="545">
      <c r="A667" s="19" t="n"/>
      <c r="B667" s="19" t="n"/>
    </row>
    <row r="668" ht="15.75" customHeight="1" s="545">
      <c r="A668" s="19" t="n"/>
      <c r="B668" s="19" t="n"/>
    </row>
    <row r="669" ht="15.75" customHeight="1" s="545">
      <c r="A669" s="19" t="n"/>
      <c r="B669" s="19" t="n"/>
    </row>
    <row r="670" ht="15.75" customHeight="1" s="545">
      <c r="A670" s="19" t="n"/>
      <c r="B670" s="19" t="n"/>
    </row>
    <row r="671" ht="15.75" customHeight="1" s="545">
      <c r="A671" s="19" t="n"/>
      <c r="B671" s="19" t="n"/>
    </row>
    <row r="672" ht="15.75" customHeight="1" s="545">
      <c r="A672" s="19" t="n"/>
      <c r="B672" s="19" t="n"/>
    </row>
    <row r="673" ht="15.75" customHeight="1" s="545">
      <c r="A673" s="19" t="n"/>
      <c r="B673" s="19" t="n"/>
    </row>
    <row r="674" ht="15.75" customHeight="1" s="545">
      <c r="A674" s="19" t="n"/>
      <c r="B674" s="19" t="n"/>
    </row>
    <row r="675" ht="15.75" customHeight="1" s="545">
      <c r="A675" s="19" t="n"/>
      <c r="B675" s="19" t="n"/>
    </row>
    <row r="676" ht="15.75" customHeight="1" s="545">
      <c r="A676" s="19" t="n"/>
      <c r="B676" s="19" t="n"/>
    </row>
    <row r="677" ht="15.75" customHeight="1" s="545">
      <c r="A677" s="19" t="n"/>
      <c r="B677" s="19" t="n"/>
    </row>
    <row r="678" ht="15.75" customHeight="1" s="545">
      <c r="A678" s="19" t="n"/>
      <c r="B678" s="19" t="n"/>
    </row>
    <row r="679" ht="15.75" customHeight="1" s="545">
      <c r="A679" s="19" t="n"/>
      <c r="B679" s="19" t="n"/>
    </row>
    <row r="680" ht="15.75" customHeight="1" s="545">
      <c r="A680" s="19" t="n"/>
      <c r="B680" s="19" t="n"/>
    </row>
    <row r="681" ht="15.75" customHeight="1" s="545">
      <c r="A681" s="19" t="n"/>
      <c r="B681" s="19" t="n"/>
    </row>
    <row r="682" ht="15.75" customHeight="1" s="545">
      <c r="A682" s="19" t="n"/>
      <c r="B682" s="19" t="n"/>
    </row>
    <row r="683" ht="15.75" customHeight="1" s="545">
      <c r="A683" s="19" t="n"/>
      <c r="B683" s="19" t="n"/>
    </row>
    <row r="684" ht="15.75" customHeight="1" s="545">
      <c r="A684" s="19" t="n"/>
      <c r="B684" s="19" t="n"/>
    </row>
    <row r="685" ht="15.75" customHeight="1" s="545">
      <c r="A685" s="19" t="n"/>
      <c r="B685" s="19" t="n"/>
    </row>
    <row r="686" ht="15.75" customHeight="1" s="545">
      <c r="A686" s="19" t="n"/>
      <c r="B686" s="19" t="n"/>
    </row>
    <row r="687" ht="15.75" customHeight="1" s="545">
      <c r="A687" s="19" t="n"/>
      <c r="B687" s="19" t="n"/>
    </row>
    <row r="688" ht="15.75" customHeight="1" s="545">
      <c r="A688" s="19" t="n"/>
      <c r="B688" s="19" t="n"/>
    </row>
    <row r="689" ht="15.75" customHeight="1" s="545">
      <c r="A689" s="19" t="n"/>
      <c r="B689" s="19" t="n"/>
    </row>
    <row r="690" ht="15.75" customHeight="1" s="545">
      <c r="A690" s="19" t="n"/>
      <c r="B690" s="19" t="n"/>
    </row>
    <row r="691" ht="15.75" customHeight="1" s="545">
      <c r="A691" s="19" t="n"/>
      <c r="B691" s="19" t="n"/>
    </row>
    <row r="692" ht="15.75" customHeight="1" s="545">
      <c r="A692" s="19" t="n"/>
      <c r="B692" s="19" t="n"/>
    </row>
    <row r="693" ht="15.75" customHeight="1" s="545">
      <c r="A693" s="19" t="n"/>
      <c r="B693" s="19" t="n"/>
    </row>
    <row r="694" ht="15.75" customHeight="1" s="545">
      <c r="A694" s="19" t="n"/>
      <c r="B694" s="19" t="n"/>
    </row>
    <row r="695" ht="15.75" customHeight="1" s="545">
      <c r="A695" s="19" t="n"/>
      <c r="B695" s="19" t="n"/>
    </row>
    <row r="696" ht="15.75" customHeight="1" s="545">
      <c r="A696" s="19" t="n"/>
      <c r="B696" s="19" t="n"/>
    </row>
    <row r="697" ht="15.75" customHeight="1" s="545">
      <c r="A697" s="19" t="n"/>
      <c r="B697" s="19" t="n"/>
    </row>
    <row r="698" ht="15.75" customHeight="1" s="545">
      <c r="A698" s="19" t="n"/>
      <c r="B698" s="19" t="n"/>
    </row>
    <row r="699" ht="15.75" customHeight="1" s="545">
      <c r="A699" s="19" t="n"/>
      <c r="B699" s="19" t="n"/>
    </row>
    <row r="700" ht="15.75" customHeight="1" s="545">
      <c r="A700" s="19" t="n"/>
      <c r="B700" s="19" t="n"/>
    </row>
    <row r="701" ht="15.75" customHeight="1" s="545">
      <c r="A701" s="19" t="n"/>
      <c r="B701" s="19" t="n"/>
    </row>
    <row r="702" ht="15.75" customHeight="1" s="545">
      <c r="A702" s="19" t="n"/>
      <c r="B702" s="19" t="n"/>
    </row>
    <row r="703" ht="15.75" customHeight="1" s="545">
      <c r="A703" s="19" t="n"/>
      <c r="B703" s="19" t="n"/>
    </row>
    <row r="704" ht="15.75" customHeight="1" s="545">
      <c r="A704" s="19" t="n"/>
      <c r="B704" s="19" t="n"/>
    </row>
    <row r="705" ht="15.75" customHeight="1" s="545">
      <c r="A705" s="19" t="n"/>
      <c r="B705" s="19" t="n"/>
    </row>
    <row r="706" ht="15.75" customHeight="1" s="545">
      <c r="A706" s="19" t="n"/>
      <c r="B706" s="19" t="n"/>
    </row>
    <row r="707" ht="15.75" customHeight="1" s="545">
      <c r="A707" s="19" t="n"/>
      <c r="B707" s="19" t="n"/>
    </row>
    <row r="708" ht="15.75" customHeight="1" s="545">
      <c r="A708" s="19" t="n"/>
      <c r="B708" s="19" t="n"/>
    </row>
    <row r="709" ht="15.75" customHeight="1" s="545">
      <c r="A709" s="19" t="n"/>
      <c r="B709" s="19" t="n"/>
    </row>
    <row r="710" ht="15.75" customHeight="1" s="545">
      <c r="A710" s="19" t="n"/>
      <c r="B710" s="19" t="n"/>
    </row>
    <row r="711" ht="15.75" customHeight="1" s="545">
      <c r="A711" s="19" t="n"/>
      <c r="B711" s="19" t="n"/>
    </row>
    <row r="712" ht="15.75" customHeight="1" s="545">
      <c r="A712" s="19" t="n"/>
      <c r="B712" s="19" t="n"/>
    </row>
    <row r="713" ht="15.75" customHeight="1" s="545">
      <c r="A713" s="19" t="n"/>
      <c r="B713" s="19" t="n"/>
    </row>
    <row r="714" ht="15.75" customHeight="1" s="545">
      <c r="A714" s="19" t="n"/>
      <c r="B714" s="19" t="n"/>
    </row>
    <row r="715" ht="15.75" customHeight="1" s="545">
      <c r="A715" s="19" t="n"/>
      <c r="B715" s="19" t="n"/>
    </row>
    <row r="716" ht="15.75" customHeight="1" s="545">
      <c r="A716" s="19" t="n"/>
      <c r="B716" s="19" t="n"/>
    </row>
    <row r="717" ht="15.75" customHeight="1" s="545">
      <c r="A717" s="19" t="n"/>
      <c r="B717" s="19" t="n"/>
    </row>
    <row r="718" ht="15.75" customHeight="1" s="545">
      <c r="A718" s="19" t="n"/>
      <c r="B718" s="19" t="n"/>
    </row>
    <row r="719" ht="15.75" customHeight="1" s="545">
      <c r="A719" s="19" t="n"/>
      <c r="B719" s="19" t="n"/>
    </row>
    <row r="720" ht="15.75" customHeight="1" s="545">
      <c r="A720" s="19" t="n"/>
      <c r="B720" s="19" t="n"/>
    </row>
    <row r="721" ht="15.75" customHeight="1" s="545">
      <c r="A721" s="19" t="n"/>
      <c r="B721" s="19" t="n"/>
    </row>
    <row r="722" ht="15.75" customHeight="1" s="545">
      <c r="A722" s="19" t="n"/>
      <c r="B722" s="19" t="n"/>
    </row>
    <row r="723" ht="15.75" customHeight="1" s="545">
      <c r="A723" s="19" t="n"/>
      <c r="B723" s="19" t="n"/>
    </row>
    <row r="724" ht="15.75" customHeight="1" s="545">
      <c r="A724" s="19" t="n"/>
      <c r="B724" s="19" t="n"/>
    </row>
    <row r="725" ht="15.75" customHeight="1" s="545">
      <c r="A725" s="19" t="n"/>
      <c r="B725" s="19" t="n"/>
    </row>
    <row r="726" ht="15.75" customHeight="1" s="545">
      <c r="A726" s="19" t="n"/>
      <c r="B726" s="19" t="n"/>
    </row>
    <row r="727" ht="15.75" customHeight="1" s="545">
      <c r="A727" s="19" t="n"/>
      <c r="B727" s="19" t="n"/>
    </row>
    <row r="728" ht="15.75" customHeight="1" s="545">
      <c r="A728" s="19" t="n"/>
      <c r="B728" s="19" t="n"/>
    </row>
    <row r="729" ht="15.75" customHeight="1" s="545">
      <c r="A729" s="19" t="n"/>
      <c r="B729" s="19" t="n"/>
    </row>
    <row r="730" ht="15.75" customHeight="1" s="545">
      <c r="A730" s="19" t="n"/>
      <c r="B730" s="19" t="n"/>
    </row>
    <row r="731" ht="15.75" customHeight="1" s="545">
      <c r="A731" s="19" t="n"/>
      <c r="B731" s="19" t="n"/>
    </row>
    <row r="732" ht="15.75" customHeight="1" s="545">
      <c r="A732" s="19" t="n"/>
      <c r="B732" s="19" t="n"/>
    </row>
    <row r="733" ht="15.75" customHeight="1" s="545">
      <c r="A733" s="19" t="n"/>
      <c r="B733" s="19" t="n"/>
    </row>
    <row r="734" ht="15.75" customHeight="1" s="545">
      <c r="A734" s="19" t="n"/>
      <c r="B734" s="19" t="n"/>
    </row>
    <row r="735" ht="15.75" customHeight="1" s="545">
      <c r="A735" s="19" t="n"/>
      <c r="B735" s="19" t="n"/>
    </row>
    <row r="736" ht="15.75" customHeight="1" s="545">
      <c r="A736" s="19" t="n"/>
      <c r="B736" s="19" t="n"/>
    </row>
    <row r="737" ht="15.75" customHeight="1" s="545">
      <c r="A737" s="19" t="n"/>
      <c r="B737" s="19" t="n"/>
    </row>
    <row r="738" ht="15.75" customHeight="1" s="545">
      <c r="A738" s="19" t="n"/>
      <c r="B738" s="19" t="n"/>
    </row>
    <row r="739" ht="15.75" customHeight="1" s="545">
      <c r="A739" s="19" t="n"/>
      <c r="B739" s="19" t="n"/>
    </row>
    <row r="740" ht="15.75" customHeight="1" s="545">
      <c r="A740" s="19" t="n"/>
      <c r="B740" s="19" t="n"/>
    </row>
    <row r="741" ht="15.75" customHeight="1" s="545">
      <c r="A741" s="19" t="n"/>
      <c r="B741" s="19" t="n"/>
    </row>
    <row r="742" ht="15.75" customHeight="1" s="545">
      <c r="A742" s="19" t="n"/>
      <c r="B742" s="19" t="n"/>
    </row>
    <row r="743" ht="15.75" customHeight="1" s="545">
      <c r="A743" s="19" t="n"/>
      <c r="B743" s="19" t="n"/>
    </row>
    <row r="744" ht="15.75" customHeight="1" s="545">
      <c r="A744" s="19" t="n"/>
      <c r="B744" s="19" t="n"/>
    </row>
    <row r="745" ht="15.75" customHeight="1" s="545">
      <c r="A745" s="19" t="n"/>
      <c r="B745" s="19" t="n"/>
    </row>
    <row r="746" ht="15.75" customHeight="1" s="545">
      <c r="A746" s="19" t="n"/>
      <c r="B746" s="19" t="n"/>
    </row>
    <row r="747" ht="15.75" customHeight="1" s="545">
      <c r="A747" s="19" t="n"/>
      <c r="B747" s="19" t="n"/>
    </row>
    <row r="748" ht="15.75" customHeight="1" s="545">
      <c r="A748" s="19" t="n"/>
      <c r="B748" s="19" t="n"/>
    </row>
    <row r="749" ht="15.75" customHeight="1" s="545">
      <c r="A749" s="19" t="n"/>
      <c r="B749" s="19" t="n"/>
    </row>
    <row r="750" ht="15.75" customHeight="1" s="545">
      <c r="A750" s="19" t="n"/>
      <c r="B750" s="19" t="n"/>
    </row>
    <row r="751" ht="15.75" customHeight="1" s="545">
      <c r="A751" s="19" t="n"/>
      <c r="B751" s="19" t="n"/>
    </row>
    <row r="752" ht="15.75" customHeight="1" s="545">
      <c r="A752" s="19" t="n"/>
      <c r="B752" s="19" t="n"/>
    </row>
    <row r="753" ht="15.75" customHeight="1" s="545">
      <c r="A753" s="19" t="n"/>
      <c r="B753" s="19" t="n"/>
    </row>
    <row r="754" ht="15.75" customHeight="1" s="545">
      <c r="A754" s="19" t="n"/>
      <c r="B754" s="19" t="n"/>
    </row>
    <row r="755" ht="15.75" customHeight="1" s="545">
      <c r="A755" s="19" t="n"/>
      <c r="B755" s="19" t="n"/>
    </row>
    <row r="756" ht="15.75" customHeight="1" s="545">
      <c r="A756" s="19" t="n"/>
      <c r="B756" s="19" t="n"/>
    </row>
    <row r="757" ht="15.75" customHeight="1" s="545">
      <c r="A757" s="19" t="n"/>
      <c r="B757" s="19" t="n"/>
    </row>
    <row r="758" ht="15.75" customHeight="1" s="545">
      <c r="A758" s="19" t="n"/>
      <c r="B758" s="19" t="n"/>
    </row>
    <row r="759" ht="15.75" customHeight="1" s="545">
      <c r="A759" s="19" t="n"/>
      <c r="B759" s="19" t="n"/>
    </row>
    <row r="760" ht="15.75" customHeight="1" s="545">
      <c r="A760" s="19" t="n"/>
      <c r="B760" s="19" t="n"/>
    </row>
    <row r="761" ht="15.75" customHeight="1" s="545">
      <c r="A761" s="19" t="n"/>
      <c r="B761" s="19" t="n"/>
    </row>
    <row r="762" ht="15.75" customHeight="1" s="545">
      <c r="A762" s="19" t="n"/>
      <c r="B762" s="19" t="n"/>
    </row>
    <row r="763" ht="15.75" customHeight="1" s="545">
      <c r="A763" s="19" t="n"/>
      <c r="B763" s="19" t="n"/>
    </row>
    <row r="764" ht="15.75" customHeight="1" s="545">
      <c r="A764" s="19" t="n"/>
      <c r="B764" s="19" t="n"/>
    </row>
    <row r="765" ht="15.75" customHeight="1" s="545">
      <c r="A765" s="19" t="n"/>
      <c r="B765" s="19" t="n"/>
    </row>
    <row r="766" ht="15.75" customHeight="1" s="545">
      <c r="A766" s="19" t="n"/>
      <c r="B766" s="19" t="n"/>
    </row>
    <row r="767" ht="15.75" customHeight="1" s="545">
      <c r="A767" s="19" t="n"/>
      <c r="B767" s="19" t="n"/>
    </row>
    <row r="768" ht="15.75" customHeight="1" s="545">
      <c r="A768" s="19" t="n"/>
      <c r="B768" s="19" t="n"/>
    </row>
    <row r="769" ht="15.75" customHeight="1" s="545">
      <c r="A769" s="19" t="n"/>
      <c r="B769" s="19" t="n"/>
    </row>
    <row r="770" ht="15.75" customHeight="1" s="545">
      <c r="A770" s="19" t="n"/>
      <c r="B770" s="19" t="n"/>
    </row>
    <row r="771" ht="15.75" customHeight="1" s="545">
      <c r="A771" s="19" t="n"/>
      <c r="B771" s="19" t="n"/>
    </row>
    <row r="772" ht="15.75" customHeight="1" s="545">
      <c r="A772" s="19" t="n"/>
      <c r="B772" s="19" t="n"/>
    </row>
    <row r="773" ht="15.75" customHeight="1" s="545">
      <c r="A773" s="19" t="n"/>
      <c r="B773" s="19" t="n"/>
    </row>
    <row r="774" ht="15.75" customHeight="1" s="545">
      <c r="A774" s="19" t="n"/>
      <c r="B774" s="19" t="n"/>
    </row>
    <row r="775" ht="15.75" customHeight="1" s="545">
      <c r="A775" s="19" t="n"/>
      <c r="B775" s="19" t="n"/>
    </row>
    <row r="776" ht="15.75" customHeight="1" s="545">
      <c r="A776" s="19" t="n"/>
      <c r="B776" s="19" t="n"/>
    </row>
    <row r="777" ht="15.75" customHeight="1" s="545">
      <c r="A777" s="19" t="n"/>
      <c r="B777" s="19" t="n"/>
    </row>
    <row r="778" ht="15.75" customHeight="1" s="545">
      <c r="A778" s="19" t="n"/>
      <c r="B778" s="19" t="n"/>
    </row>
    <row r="779" ht="15.75" customHeight="1" s="545">
      <c r="A779" s="19" t="n"/>
      <c r="B779" s="19" t="n"/>
    </row>
    <row r="780" ht="15.75" customHeight="1" s="545">
      <c r="A780" s="19" t="n"/>
      <c r="B780" s="19" t="n"/>
    </row>
    <row r="781" ht="15.75" customHeight="1" s="545">
      <c r="A781" s="19" t="n"/>
      <c r="B781" s="19" t="n"/>
    </row>
    <row r="782" ht="15.75" customHeight="1" s="545">
      <c r="A782" s="19" t="n"/>
      <c r="B782" s="19" t="n"/>
    </row>
    <row r="783" ht="15.75" customHeight="1" s="545">
      <c r="A783" s="19" t="n"/>
      <c r="B783" s="19" t="n"/>
    </row>
    <row r="784" ht="15.75" customHeight="1" s="545">
      <c r="A784" s="19" t="n"/>
      <c r="B784" s="19" t="n"/>
    </row>
    <row r="785" ht="15.75" customHeight="1" s="545">
      <c r="A785" s="19" t="n"/>
      <c r="B785" s="19" t="n"/>
    </row>
    <row r="786" ht="15.75" customHeight="1" s="545">
      <c r="A786" s="19" t="n"/>
      <c r="B786" s="19" t="n"/>
    </row>
    <row r="787" ht="15.75" customHeight="1" s="545">
      <c r="A787" s="19" t="n"/>
      <c r="B787" s="19" t="n"/>
    </row>
    <row r="788" ht="15.75" customHeight="1" s="545">
      <c r="A788" s="19" t="n"/>
      <c r="B788" s="19" t="n"/>
    </row>
    <row r="789" ht="15.75" customHeight="1" s="545">
      <c r="A789" s="19" t="n"/>
      <c r="B789" s="19" t="n"/>
    </row>
    <row r="790" ht="15.75" customHeight="1" s="545">
      <c r="A790" s="19" t="n"/>
      <c r="B790" s="19" t="n"/>
    </row>
    <row r="791" ht="15.75" customHeight="1" s="545">
      <c r="A791" s="19" t="n"/>
      <c r="B791" s="19" t="n"/>
    </row>
    <row r="792" ht="15.75" customHeight="1" s="545">
      <c r="A792" s="19" t="n"/>
      <c r="B792" s="19" t="n"/>
    </row>
    <row r="793" ht="15.75" customHeight="1" s="545">
      <c r="A793" s="19" t="n"/>
      <c r="B793" s="19" t="n"/>
    </row>
    <row r="794" ht="15.75" customHeight="1" s="545">
      <c r="A794" s="19" t="n"/>
      <c r="B794" s="19" t="n"/>
    </row>
    <row r="795" ht="15.75" customHeight="1" s="545">
      <c r="A795" s="19" t="n"/>
      <c r="B795" s="19" t="n"/>
    </row>
    <row r="796" ht="15.75" customHeight="1" s="545">
      <c r="A796" s="19" t="n"/>
      <c r="B796" s="19" t="n"/>
    </row>
    <row r="797" ht="15.75" customHeight="1" s="545">
      <c r="A797" s="19" t="n"/>
      <c r="B797" s="19" t="n"/>
    </row>
    <row r="798" ht="15.75" customHeight="1" s="545">
      <c r="A798" s="19" t="n"/>
      <c r="B798" s="19" t="n"/>
    </row>
    <row r="799" ht="15.75" customHeight="1" s="545">
      <c r="A799" s="19" t="n"/>
      <c r="B799" s="19" t="n"/>
    </row>
    <row r="800" ht="15.75" customHeight="1" s="545">
      <c r="A800" s="19" t="n"/>
      <c r="B800" s="19" t="n"/>
    </row>
    <row r="801" ht="15.75" customHeight="1" s="545">
      <c r="A801" s="19" t="n"/>
      <c r="B801" s="19" t="n"/>
    </row>
    <row r="802" ht="15.75" customHeight="1" s="545">
      <c r="A802" s="19" t="n"/>
      <c r="B802" s="19" t="n"/>
    </row>
    <row r="803" ht="15.75" customHeight="1" s="545">
      <c r="A803" s="19" t="n"/>
      <c r="B803" s="19" t="n"/>
    </row>
    <row r="804" ht="15.75" customHeight="1" s="545">
      <c r="A804" s="19" t="n"/>
      <c r="B804" s="19" t="n"/>
    </row>
    <row r="805" ht="15.75" customHeight="1" s="545">
      <c r="A805" s="19" t="n"/>
      <c r="B805" s="19" t="n"/>
    </row>
    <row r="806" ht="15.75" customHeight="1" s="545">
      <c r="A806" s="19" t="n"/>
      <c r="B806" s="19" t="n"/>
    </row>
    <row r="807" ht="15.75" customHeight="1" s="545">
      <c r="A807" s="19" t="n"/>
      <c r="B807" s="19" t="n"/>
    </row>
    <row r="808" ht="15.75" customHeight="1" s="545">
      <c r="A808" s="19" t="n"/>
      <c r="B808" s="19" t="n"/>
    </row>
    <row r="809" ht="15.75" customHeight="1" s="545">
      <c r="A809" s="19" t="n"/>
      <c r="B809" s="19" t="n"/>
    </row>
    <row r="810" ht="15.75" customHeight="1" s="545">
      <c r="A810" s="19" t="n"/>
      <c r="B810" s="19" t="n"/>
    </row>
    <row r="811" ht="15.75" customHeight="1" s="545">
      <c r="A811" s="19" t="n"/>
      <c r="B811" s="19" t="n"/>
    </row>
    <row r="812" ht="15.75" customHeight="1" s="545">
      <c r="A812" s="19" t="n"/>
      <c r="B812" s="19" t="n"/>
    </row>
    <row r="813" ht="15.75" customHeight="1" s="545">
      <c r="A813" s="19" t="n"/>
      <c r="B813" s="19" t="n"/>
    </row>
    <row r="814" ht="15.75" customHeight="1" s="545">
      <c r="A814" s="19" t="n"/>
      <c r="B814" s="19" t="n"/>
    </row>
    <row r="815" ht="15.75" customHeight="1" s="545">
      <c r="A815" s="19" t="n"/>
      <c r="B815" s="19" t="n"/>
    </row>
    <row r="816" ht="15.75" customHeight="1" s="545">
      <c r="A816" s="19" t="n"/>
      <c r="B816" s="19" t="n"/>
    </row>
    <row r="817" ht="15.75" customHeight="1" s="545">
      <c r="A817" s="19" t="n"/>
      <c r="B817" s="19" t="n"/>
    </row>
    <row r="818" ht="15.75" customHeight="1" s="545">
      <c r="A818" s="19" t="n"/>
      <c r="B818" s="19" t="n"/>
    </row>
    <row r="819" ht="15.75" customHeight="1" s="545">
      <c r="A819" s="19" t="n"/>
      <c r="B819" s="19" t="n"/>
    </row>
    <row r="820" ht="15.75" customHeight="1" s="545">
      <c r="A820" s="19" t="n"/>
      <c r="B820" s="19" t="n"/>
    </row>
    <row r="821" ht="15.75" customHeight="1" s="545">
      <c r="A821" s="19" t="n"/>
      <c r="B821" s="19" t="n"/>
    </row>
    <row r="822" ht="15.75" customHeight="1" s="545">
      <c r="A822" s="19" t="n"/>
      <c r="B822" s="19" t="n"/>
    </row>
    <row r="823" ht="15.75" customHeight="1" s="545">
      <c r="A823" s="19" t="n"/>
      <c r="B823" s="19" t="n"/>
    </row>
    <row r="824" ht="15.75" customHeight="1" s="545">
      <c r="A824" s="19" t="n"/>
      <c r="B824" s="19" t="n"/>
    </row>
    <row r="825" ht="15.75" customHeight="1" s="545">
      <c r="A825" s="19" t="n"/>
      <c r="B825" s="19" t="n"/>
    </row>
    <row r="826" ht="15.75" customHeight="1" s="545">
      <c r="A826" s="19" t="n"/>
      <c r="B826" s="19" t="n"/>
    </row>
    <row r="827" ht="15.75" customHeight="1" s="545">
      <c r="A827" s="19" t="n"/>
      <c r="B827" s="19" t="n"/>
    </row>
    <row r="828" ht="15.75" customHeight="1" s="545">
      <c r="A828" s="19" t="n"/>
      <c r="B828" s="19" t="n"/>
    </row>
    <row r="829" ht="15.75" customHeight="1" s="545">
      <c r="A829" s="19" t="n"/>
      <c r="B829" s="19" t="n"/>
    </row>
    <row r="830" ht="15.75" customHeight="1" s="545">
      <c r="A830" s="19" t="n"/>
      <c r="B830" s="19" t="n"/>
    </row>
    <row r="831" ht="15.75" customHeight="1" s="545">
      <c r="A831" s="19" t="n"/>
      <c r="B831" s="19" t="n"/>
    </row>
    <row r="832" ht="15.75" customHeight="1" s="545">
      <c r="A832" s="19" t="n"/>
      <c r="B832" s="19" t="n"/>
    </row>
    <row r="833" ht="15.75" customHeight="1" s="545">
      <c r="A833" s="19" t="n"/>
      <c r="B833" s="19" t="n"/>
    </row>
    <row r="834" ht="15.75" customHeight="1" s="545">
      <c r="A834" s="19" t="n"/>
      <c r="B834" s="19" t="n"/>
    </row>
    <row r="835" ht="15.75" customHeight="1" s="545">
      <c r="A835" s="19" t="n"/>
      <c r="B835" s="19" t="n"/>
    </row>
    <row r="836" ht="15.75" customHeight="1" s="545">
      <c r="A836" s="19" t="n"/>
      <c r="B836" s="19" t="n"/>
    </row>
    <row r="837" ht="15.75" customHeight="1" s="545">
      <c r="A837" s="19" t="n"/>
      <c r="B837" s="19" t="n"/>
    </row>
    <row r="838" ht="15.75" customHeight="1" s="545">
      <c r="A838" s="19" t="n"/>
      <c r="B838" s="19" t="n"/>
    </row>
    <row r="839" ht="15.75" customHeight="1" s="545">
      <c r="A839" s="19" t="n"/>
      <c r="B839" s="19" t="n"/>
    </row>
    <row r="840" ht="15.75" customHeight="1" s="545">
      <c r="A840" s="19" t="n"/>
      <c r="B840" s="19" t="n"/>
    </row>
    <row r="841" ht="15.75" customHeight="1" s="545">
      <c r="A841" s="19" t="n"/>
      <c r="B841" s="19" t="n"/>
    </row>
    <row r="842" ht="15.75" customHeight="1" s="545">
      <c r="A842" s="19" t="n"/>
      <c r="B842" s="19" t="n"/>
    </row>
    <row r="843" ht="15.75" customHeight="1" s="545">
      <c r="A843" s="19" t="n"/>
      <c r="B843" s="19" t="n"/>
    </row>
    <row r="844" ht="15.75" customHeight="1" s="545">
      <c r="A844" s="19" t="n"/>
      <c r="B844" s="19" t="n"/>
    </row>
    <row r="845" ht="15.75" customHeight="1" s="545">
      <c r="A845" s="19" t="n"/>
      <c r="B845" s="19" t="n"/>
    </row>
    <row r="846" ht="15.75" customHeight="1" s="545">
      <c r="A846" s="19" t="n"/>
      <c r="B846" s="19" t="n"/>
    </row>
    <row r="847" ht="15.75" customHeight="1" s="545">
      <c r="A847" s="19" t="n"/>
      <c r="B847" s="19" t="n"/>
    </row>
    <row r="848" ht="15.75" customHeight="1" s="545">
      <c r="A848" s="19" t="n"/>
      <c r="B848" s="19" t="n"/>
    </row>
    <row r="849" ht="15.75" customHeight="1" s="545">
      <c r="A849" s="19" t="n"/>
      <c r="B849" s="19" t="n"/>
    </row>
    <row r="850" ht="15.75" customHeight="1" s="545">
      <c r="A850" s="19" t="n"/>
      <c r="B850" s="19" t="n"/>
    </row>
    <row r="851" ht="15.75" customHeight="1" s="545">
      <c r="A851" s="19" t="n"/>
      <c r="B851" s="19" t="n"/>
    </row>
    <row r="852" ht="15.75" customHeight="1" s="545">
      <c r="A852" s="19" t="n"/>
      <c r="B852" s="19" t="n"/>
    </row>
    <row r="853" ht="15.75" customHeight="1" s="545">
      <c r="A853" s="19" t="n"/>
      <c r="B853" s="19" t="n"/>
    </row>
    <row r="854" ht="15.75" customHeight="1" s="545">
      <c r="A854" s="19" t="n"/>
      <c r="B854" s="19" t="n"/>
    </row>
    <row r="855" ht="15.75" customHeight="1" s="545">
      <c r="A855" s="19" t="n"/>
      <c r="B855" s="19" t="n"/>
    </row>
    <row r="856" ht="15.75" customHeight="1" s="545">
      <c r="A856" s="19" t="n"/>
      <c r="B856" s="19" t="n"/>
    </row>
    <row r="857" ht="15.75" customHeight="1" s="545">
      <c r="A857" s="19" t="n"/>
      <c r="B857" s="19" t="n"/>
    </row>
    <row r="858" ht="15.75" customHeight="1" s="545">
      <c r="A858" s="19" t="n"/>
      <c r="B858" s="19" t="n"/>
    </row>
    <row r="859" ht="15.75" customHeight="1" s="545">
      <c r="A859" s="19" t="n"/>
      <c r="B859" s="19" t="n"/>
    </row>
    <row r="860" ht="15.75" customHeight="1" s="545">
      <c r="A860" s="19" t="n"/>
      <c r="B860" s="19" t="n"/>
    </row>
    <row r="861" ht="15.75" customHeight="1" s="545">
      <c r="A861" s="19" t="n"/>
      <c r="B861" s="19" t="n"/>
    </row>
    <row r="862" ht="15.75" customHeight="1" s="545">
      <c r="A862" s="19" t="n"/>
      <c r="B862" s="19" t="n"/>
    </row>
    <row r="863" ht="15.75" customHeight="1" s="545">
      <c r="A863" s="19" t="n"/>
      <c r="B863" s="19" t="n"/>
    </row>
    <row r="864" ht="15.75" customHeight="1" s="545">
      <c r="A864" s="19" t="n"/>
      <c r="B864" s="19" t="n"/>
    </row>
    <row r="865" ht="15.75" customHeight="1" s="545">
      <c r="A865" s="19" t="n"/>
      <c r="B865" s="19" t="n"/>
    </row>
    <row r="866" ht="15.75" customHeight="1" s="545">
      <c r="A866" s="19" t="n"/>
      <c r="B866" s="19" t="n"/>
    </row>
    <row r="867" ht="15.75" customHeight="1" s="545">
      <c r="A867" s="19" t="n"/>
      <c r="B867" s="19" t="n"/>
    </row>
    <row r="868" ht="15.75" customHeight="1" s="545">
      <c r="A868" s="19" t="n"/>
      <c r="B868" s="19" t="n"/>
    </row>
    <row r="869" ht="15.75" customHeight="1" s="545">
      <c r="A869" s="19" t="n"/>
      <c r="B869" s="19" t="n"/>
    </row>
    <row r="870" ht="15.75" customHeight="1" s="545">
      <c r="A870" s="19" t="n"/>
      <c r="B870" s="19" t="n"/>
    </row>
    <row r="871" ht="15.75" customHeight="1" s="545">
      <c r="A871" s="19" t="n"/>
      <c r="B871" s="19" t="n"/>
    </row>
    <row r="872" ht="15.75" customHeight="1" s="545">
      <c r="A872" s="19" t="n"/>
      <c r="B872" s="19" t="n"/>
    </row>
    <row r="873" ht="15.75" customHeight="1" s="545">
      <c r="A873" s="19" t="n"/>
      <c r="B873" s="19" t="n"/>
    </row>
    <row r="874" ht="15.75" customHeight="1" s="545">
      <c r="A874" s="19" t="n"/>
      <c r="B874" s="19" t="n"/>
    </row>
    <row r="875" ht="15.75" customHeight="1" s="545">
      <c r="A875" s="19" t="n"/>
      <c r="B875" s="19" t="n"/>
    </row>
    <row r="876" ht="15.75" customHeight="1" s="545">
      <c r="A876" s="19" t="n"/>
      <c r="B876" s="19" t="n"/>
    </row>
    <row r="877" ht="15.75" customHeight="1" s="545">
      <c r="A877" s="19" t="n"/>
      <c r="B877" s="19" t="n"/>
    </row>
    <row r="878" ht="15.75" customHeight="1" s="545">
      <c r="A878" s="19" t="n"/>
      <c r="B878" s="19" t="n"/>
    </row>
    <row r="879" ht="15.75" customHeight="1" s="545">
      <c r="A879" s="19" t="n"/>
      <c r="B879" s="19" t="n"/>
    </row>
    <row r="880" ht="15.75" customHeight="1" s="545">
      <c r="A880" s="19" t="n"/>
      <c r="B880" s="19" t="n"/>
    </row>
    <row r="881" ht="15.75" customHeight="1" s="545">
      <c r="A881" s="19" t="n"/>
      <c r="B881" s="19" t="n"/>
    </row>
    <row r="882" ht="15.75" customHeight="1" s="545">
      <c r="A882" s="19" t="n"/>
      <c r="B882" s="19" t="n"/>
    </row>
    <row r="883" ht="15.75" customHeight="1" s="545">
      <c r="A883" s="19" t="n"/>
      <c r="B883" s="19" t="n"/>
    </row>
    <row r="884" ht="15.75" customHeight="1" s="545">
      <c r="A884" s="19" t="n"/>
      <c r="B884" s="19" t="n"/>
    </row>
    <row r="885" ht="15.75" customHeight="1" s="545">
      <c r="A885" s="19" t="n"/>
      <c r="B885" s="19" t="n"/>
    </row>
    <row r="886" ht="15.75" customHeight="1" s="545">
      <c r="A886" s="19" t="n"/>
      <c r="B886" s="19" t="n"/>
    </row>
    <row r="887" ht="15.75" customHeight="1" s="545">
      <c r="A887" s="19" t="n"/>
      <c r="B887" s="19" t="n"/>
    </row>
    <row r="888" ht="15.75" customHeight="1" s="545">
      <c r="A888" s="19" t="n"/>
      <c r="B888" s="19" t="n"/>
    </row>
    <row r="889" ht="15.75" customHeight="1" s="545">
      <c r="A889" s="19" t="n"/>
      <c r="B889" s="19" t="n"/>
    </row>
    <row r="890" ht="15.75" customHeight="1" s="545">
      <c r="A890" s="19" t="n"/>
      <c r="B890" s="19" t="n"/>
    </row>
    <row r="891" ht="15.75" customHeight="1" s="545">
      <c r="A891" s="19" t="n"/>
      <c r="B891" s="19" t="n"/>
    </row>
    <row r="892" ht="15.75" customHeight="1" s="545">
      <c r="A892" s="19" t="n"/>
      <c r="B892" s="19" t="n"/>
    </row>
    <row r="893" ht="15.75" customHeight="1" s="545">
      <c r="A893" s="19" t="n"/>
      <c r="B893" s="19" t="n"/>
    </row>
    <row r="894" ht="15.75" customHeight="1" s="545">
      <c r="A894" s="19" t="n"/>
      <c r="B894" s="19" t="n"/>
    </row>
    <row r="895" ht="15.75" customHeight="1" s="545">
      <c r="A895" s="19" t="n"/>
      <c r="B895" s="19" t="n"/>
    </row>
    <row r="896" ht="15.75" customHeight="1" s="545">
      <c r="A896" s="19" t="n"/>
      <c r="B896" s="19" t="n"/>
    </row>
    <row r="897" ht="15.75" customHeight="1" s="545">
      <c r="A897" s="19" t="n"/>
      <c r="B897" s="19" t="n"/>
    </row>
    <row r="898" ht="15.75" customHeight="1" s="545">
      <c r="A898" s="19" t="n"/>
      <c r="B898" s="19" t="n"/>
    </row>
    <row r="899" ht="15.75" customHeight="1" s="545">
      <c r="A899" s="19" t="n"/>
      <c r="B899" s="19" t="n"/>
    </row>
    <row r="900" ht="15.75" customHeight="1" s="545">
      <c r="A900" s="19" t="n"/>
      <c r="B900" s="19" t="n"/>
    </row>
    <row r="901" ht="15.75" customHeight="1" s="545">
      <c r="A901" s="19" t="n"/>
      <c r="B901" s="19" t="n"/>
    </row>
    <row r="902" ht="15.75" customHeight="1" s="545">
      <c r="A902" s="19" t="n"/>
      <c r="B902" s="19" t="n"/>
    </row>
    <row r="903" ht="15.75" customHeight="1" s="545">
      <c r="A903" s="19" t="n"/>
      <c r="B903" s="19" t="n"/>
    </row>
    <row r="904" ht="15.75" customHeight="1" s="545">
      <c r="A904" s="19" t="n"/>
      <c r="B904" s="19" t="n"/>
    </row>
    <row r="905" ht="15.75" customHeight="1" s="545">
      <c r="A905" s="19" t="n"/>
      <c r="B905" s="19" t="n"/>
    </row>
    <row r="906" ht="15.75" customHeight="1" s="545">
      <c r="A906" s="19" t="n"/>
      <c r="B906" s="19" t="n"/>
    </row>
    <row r="907" ht="15.75" customHeight="1" s="545">
      <c r="A907" s="19" t="n"/>
      <c r="B907" s="19" t="n"/>
    </row>
    <row r="908" ht="15.75" customHeight="1" s="545">
      <c r="A908" s="19" t="n"/>
      <c r="B908" s="19" t="n"/>
    </row>
    <row r="909" ht="15.75" customHeight="1" s="545">
      <c r="A909" s="19" t="n"/>
      <c r="B909" s="19" t="n"/>
    </row>
    <row r="910" ht="15.75" customHeight="1" s="545">
      <c r="A910" s="19" t="n"/>
      <c r="B910" s="19" t="n"/>
    </row>
    <row r="911" ht="15.75" customHeight="1" s="545">
      <c r="A911" s="19" t="n"/>
      <c r="B911" s="19" t="n"/>
    </row>
    <row r="912" ht="15.75" customHeight="1" s="545">
      <c r="A912" s="19" t="n"/>
      <c r="B912" s="19" t="n"/>
    </row>
    <row r="913" ht="15.75" customHeight="1" s="545">
      <c r="A913" s="19" t="n"/>
      <c r="B913" s="19" t="n"/>
    </row>
    <row r="914" ht="15.75" customHeight="1" s="545">
      <c r="A914" s="19" t="n"/>
      <c r="B914" s="19" t="n"/>
    </row>
    <row r="915" ht="15.75" customHeight="1" s="545">
      <c r="A915" s="19" t="n"/>
      <c r="B915" s="19" t="n"/>
    </row>
    <row r="916" ht="15.75" customHeight="1" s="545">
      <c r="A916" s="19" t="n"/>
      <c r="B916" s="19" t="n"/>
    </row>
    <row r="917" ht="15.75" customHeight="1" s="545">
      <c r="A917" s="19" t="n"/>
      <c r="B917" s="19" t="n"/>
    </row>
    <row r="918" ht="15.75" customHeight="1" s="545">
      <c r="A918" s="19" t="n"/>
      <c r="B918" s="19" t="n"/>
    </row>
    <row r="919" ht="15.75" customHeight="1" s="545">
      <c r="A919" s="19" t="n"/>
      <c r="B919" s="19" t="n"/>
    </row>
    <row r="920" ht="15.75" customHeight="1" s="545">
      <c r="A920" s="19" t="n"/>
      <c r="B920" s="19" t="n"/>
    </row>
    <row r="921" ht="15.75" customHeight="1" s="545">
      <c r="A921" s="19" t="n"/>
      <c r="B921" s="19" t="n"/>
    </row>
    <row r="922" ht="15.75" customHeight="1" s="545">
      <c r="A922" s="19" t="n"/>
      <c r="B922" s="19" t="n"/>
    </row>
    <row r="923" ht="15.75" customHeight="1" s="545">
      <c r="A923" s="19" t="n"/>
      <c r="B923" s="19" t="n"/>
    </row>
    <row r="924" ht="15.75" customHeight="1" s="545">
      <c r="A924" s="19" t="n"/>
      <c r="B924" s="19" t="n"/>
    </row>
    <row r="925" ht="15.75" customHeight="1" s="545">
      <c r="A925" s="19" t="n"/>
      <c r="B925" s="19" t="n"/>
    </row>
    <row r="926" ht="15.75" customHeight="1" s="545">
      <c r="A926" s="19" t="n"/>
      <c r="B926" s="19" t="n"/>
    </row>
    <row r="927" ht="15.75" customHeight="1" s="545">
      <c r="A927" s="19" t="n"/>
      <c r="B927" s="19" t="n"/>
    </row>
    <row r="928" ht="15.75" customHeight="1" s="545">
      <c r="A928" s="19" t="n"/>
      <c r="B928" s="19" t="n"/>
    </row>
    <row r="929" ht="15.75" customHeight="1" s="545">
      <c r="A929" s="19" t="n"/>
      <c r="B929" s="19" t="n"/>
    </row>
    <row r="930" ht="15.75" customHeight="1" s="545">
      <c r="A930" s="19" t="n"/>
      <c r="B930" s="19" t="n"/>
    </row>
    <row r="931" ht="15.75" customHeight="1" s="545">
      <c r="A931" s="19" t="n"/>
      <c r="B931" s="19" t="n"/>
    </row>
    <row r="932" ht="15.75" customHeight="1" s="545">
      <c r="A932" s="19" t="n"/>
      <c r="B932" s="19" t="n"/>
    </row>
    <row r="933" ht="15.75" customHeight="1" s="545">
      <c r="A933" s="19" t="n"/>
      <c r="B933" s="19" t="n"/>
    </row>
    <row r="934" ht="15.75" customHeight="1" s="545">
      <c r="A934" s="19" t="n"/>
      <c r="B934" s="19" t="n"/>
    </row>
    <row r="935" ht="15.75" customHeight="1" s="545">
      <c r="A935" s="19" t="n"/>
      <c r="B935" s="19" t="n"/>
    </row>
    <row r="936" ht="15.75" customHeight="1" s="545">
      <c r="A936" s="19" t="n"/>
      <c r="B936" s="19" t="n"/>
    </row>
    <row r="937" ht="15.75" customHeight="1" s="545">
      <c r="A937" s="19" t="n"/>
      <c r="B937" s="19" t="n"/>
    </row>
    <row r="938" ht="15.75" customHeight="1" s="545">
      <c r="A938" s="19" t="n"/>
      <c r="B938" s="19" t="n"/>
    </row>
    <row r="939" ht="15.75" customHeight="1" s="545">
      <c r="A939" s="19" t="n"/>
      <c r="B939" s="19" t="n"/>
    </row>
    <row r="940" ht="15.75" customHeight="1" s="545">
      <c r="A940" s="19" t="n"/>
      <c r="B940" s="19" t="n"/>
    </row>
    <row r="941" ht="15.75" customHeight="1" s="545">
      <c r="A941" s="19" t="n"/>
      <c r="B941" s="19" t="n"/>
    </row>
    <row r="942" ht="15.75" customHeight="1" s="545">
      <c r="A942" s="19" t="n"/>
      <c r="B942" s="19" t="n"/>
    </row>
    <row r="943" ht="15.75" customHeight="1" s="545">
      <c r="A943" s="19" t="n"/>
      <c r="B943" s="19" t="n"/>
    </row>
    <row r="944" ht="15.75" customHeight="1" s="545">
      <c r="A944" s="19" t="n"/>
      <c r="B944" s="19" t="n"/>
    </row>
    <row r="945" ht="15.75" customHeight="1" s="545">
      <c r="A945" s="19" t="n"/>
      <c r="B945" s="19" t="n"/>
    </row>
    <row r="946" ht="15.75" customHeight="1" s="545">
      <c r="A946" s="19" t="n"/>
      <c r="B946" s="19" t="n"/>
    </row>
    <row r="947" ht="15.75" customHeight="1" s="545">
      <c r="A947" s="19" t="n"/>
      <c r="B947" s="19" t="n"/>
    </row>
    <row r="948" ht="15.75" customHeight="1" s="545">
      <c r="A948" s="19" t="n"/>
      <c r="B948" s="19" t="n"/>
    </row>
    <row r="949" ht="15.75" customHeight="1" s="545">
      <c r="A949" s="19" t="n"/>
      <c r="B949" s="19" t="n"/>
    </row>
    <row r="950" ht="15.75" customHeight="1" s="545">
      <c r="A950" s="19" t="n"/>
      <c r="B950" s="19" t="n"/>
    </row>
    <row r="951" ht="15.75" customHeight="1" s="545">
      <c r="A951" s="19" t="n"/>
      <c r="B951" s="19" t="n"/>
    </row>
    <row r="952" ht="15.75" customHeight="1" s="545">
      <c r="A952" s="19" t="n"/>
      <c r="B952" s="19" t="n"/>
    </row>
    <row r="953" ht="15.75" customHeight="1" s="545">
      <c r="A953" s="19" t="n"/>
      <c r="B953" s="19" t="n"/>
    </row>
    <row r="954" ht="15.75" customHeight="1" s="545">
      <c r="A954" s="19" t="n"/>
      <c r="B954" s="19" t="n"/>
    </row>
    <row r="955" ht="15.75" customHeight="1" s="545">
      <c r="A955" s="19" t="n"/>
      <c r="B955" s="19" t="n"/>
    </row>
    <row r="956" ht="15.75" customHeight="1" s="545">
      <c r="A956" s="19" t="n"/>
      <c r="B956" s="19" t="n"/>
    </row>
    <row r="957" ht="15.75" customHeight="1" s="545">
      <c r="A957" s="19" t="n"/>
      <c r="B957" s="19" t="n"/>
    </row>
    <row r="958" ht="15.75" customHeight="1" s="545">
      <c r="A958" s="19" t="n"/>
      <c r="B958" s="19" t="n"/>
    </row>
    <row r="959" ht="15.75" customHeight="1" s="545">
      <c r="A959" s="19" t="n"/>
      <c r="B959" s="19" t="n"/>
    </row>
    <row r="960" ht="15.75" customHeight="1" s="545">
      <c r="A960" s="19" t="n"/>
      <c r="B960" s="19" t="n"/>
    </row>
    <row r="961" ht="15.75" customHeight="1" s="545">
      <c r="A961" s="19" t="n"/>
      <c r="B961" s="19" t="n"/>
    </row>
    <row r="962" ht="15.75" customHeight="1" s="545">
      <c r="A962" s="19" t="n"/>
      <c r="B962" s="19" t="n"/>
    </row>
    <row r="963" ht="15.75" customHeight="1" s="545">
      <c r="A963" s="19" t="n"/>
      <c r="B963" s="19" t="n"/>
    </row>
    <row r="964" ht="15.75" customHeight="1" s="545">
      <c r="A964" s="19" t="n"/>
      <c r="B964" s="19" t="n"/>
    </row>
    <row r="965" ht="15.75" customHeight="1" s="545">
      <c r="A965" s="19" t="n"/>
      <c r="B965" s="19" t="n"/>
    </row>
    <row r="966" ht="15.75" customHeight="1" s="545">
      <c r="A966" s="19" t="n"/>
      <c r="B966" s="19" t="n"/>
    </row>
    <row r="967" ht="15.75" customHeight="1" s="545">
      <c r="A967" s="19" t="n"/>
      <c r="B967" s="19" t="n"/>
    </row>
    <row r="968" ht="15.75" customHeight="1" s="545">
      <c r="A968" s="19" t="n"/>
      <c r="B968" s="19" t="n"/>
    </row>
    <row r="969" ht="15.75" customHeight="1" s="545">
      <c r="A969" s="19" t="n"/>
      <c r="B969" s="19" t="n"/>
    </row>
    <row r="970" ht="15.75" customHeight="1" s="545">
      <c r="A970" s="19" t="n"/>
      <c r="B970" s="19" t="n"/>
    </row>
    <row r="971" ht="15.75" customHeight="1" s="545">
      <c r="A971" s="19" t="n"/>
      <c r="B971" s="19" t="n"/>
    </row>
    <row r="972" ht="15.75" customHeight="1" s="545">
      <c r="A972" s="19" t="n"/>
      <c r="B972" s="19" t="n"/>
    </row>
    <row r="973" ht="15.75" customHeight="1" s="545">
      <c r="A973" s="19" t="n"/>
      <c r="B973" s="19" t="n"/>
    </row>
    <row r="974" ht="15.75" customHeight="1" s="545">
      <c r="A974" s="19" t="n"/>
      <c r="B974" s="19" t="n"/>
    </row>
    <row r="975" ht="15.75" customHeight="1" s="545">
      <c r="A975" s="19" t="n"/>
      <c r="B975" s="19" t="n"/>
    </row>
    <row r="976" ht="15.75" customHeight="1" s="545">
      <c r="A976" s="19" t="n"/>
      <c r="B976" s="19" t="n"/>
    </row>
    <row r="977" ht="15.75" customHeight="1" s="545">
      <c r="A977" s="19" t="n"/>
      <c r="B977" s="19" t="n"/>
    </row>
    <row r="978" ht="15.75" customHeight="1" s="545">
      <c r="A978" s="19" t="n"/>
      <c r="B978" s="19" t="n"/>
    </row>
    <row r="979" ht="15.75" customHeight="1" s="545">
      <c r="A979" s="19" t="n"/>
      <c r="B979" s="19" t="n"/>
    </row>
    <row r="980" ht="15.75" customHeight="1" s="545">
      <c r="A980" s="19" t="n"/>
      <c r="B980" s="19" t="n"/>
    </row>
    <row r="981" ht="15.75" customHeight="1" s="545">
      <c r="A981" s="19" t="n"/>
      <c r="B981" s="19" t="n"/>
    </row>
    <row r="982" ht="15.75" customHeight="1" s="545">
      <c r="A982" s="19" t="n"/>
      <c r="B982" s="19" t="n"/>
    </row>
    <row r="983" ht="15.75" customHeight="1" s="545">
      <c r="A983" s="19" t="n"/>
      <c r="B983" s="19" t="n"/>
    </row>
    <row r="984" ht="15.75" customHeight="1" s="545">
      <c r="A984" s="19" t="n"/>
      <c r="B984" s="19" t="n"/>
    </row>
    <row r="985" ht="15.75" customHeight="1" s="545">
      <c r="A985" s="19" t="n"/>
      <c r="B985" s="19" t="n"/>
    </row>
    <row r="986" ht="15.75" customHeight="1" s="545">
      <c r="A986" s="19" t="n"/>
      <c r="B986" s="19" t="n"/>
    </row>
    <row r="987" ht="15.75" customHeight="1" s="545">
      <c r="A987" s="19" t="n"/>
      <c r="B987" s="19" t="n"/>
    </row>
    <row r="988" ht="15.75" customHeight="1" s="545">
      <c r="A988" s="19" t="n"/>
      <c r="B988" s="19" t="n"/>
    </row>
    <row r="989" ht="15.75" customHeight="1" s="545">
      <c r="A989" s="19" t="n"/>
      <c r="B989" s="19" t="n"/>
    </row>
    <row r="990" ht="15.75" customHeight="1" s="545">
      <c r="A990" s="19" t="n"/>
      <c r="B990" s="19" t="n"/>
    </row>
    <row r="991" ht="15.75" customHeight="1" s="545">
      <c r="A991" s="19" t="n"/>
      <c r="B991" s="19" t="n"/>
    </row>
    <row r="992" ht="15.75" customHeight="1" s="545">
      <c r="A992" s="19" t="n"/>
      <c r="B992" s="19" t="n"/>
    </row>
    <row r="993" ht="15.75" customHeight="1" s="545">
      <c r="A993" s="19" t="n"/>
      <c r="B993" s="19" t="n"/>
    </row>
    <row r="994" ht="15.75" customHeight="1" s="545">
      <c r="A994" s="19" t="n"/>
      <c r="B994" s="19" t="n"/>
    </row>
    <row r="995" ht="15.75" customHeight="1" s="545">
      <c r="A995" s="19" t="n"/>
      <c r="B995" s="19" t="n"/>
    </row>
    <row r="996" ht="15.75" customHeight="1" s="545">
      <c r="A996" s="19" t="n"/>
      <c r="B996" s="19" t="n"/>
    </row>
    <row r="997" ht="15.75" customHeight="1" s="545">
      <c r="A997" s="19" t="n"/>
      <c r="B997" s="19" t="n"/>
    </row>
    <row r="998" ht="15.75" customHeight="1" s="545">
      <c r="A998" s="19" t="n"/>
      <c r="B998" s="19" t="n"/>
    </row>
    <row r="999" ht="15.75" customHeight="1" s="545">
      <c r="A999" s="19" t="n"/>
      <c r="B999" s="19" t="n"/>
    </row>
    <row r="1000" ht="15.75" customHeight="1" s="545">
      <c r="A1000" s="19" t="n"/>
      <c r="B1000" s="19" t="n"/>
    </row>
  </sheetData>
  <mergeCells count="13">
    <mergeCell ref="A4:B4"/>
    <mergeCell ref="A30:B30"/>
    <mergeCell ref="A16:B16"/>
    <mergeCell ref="A38:B38"/>
    <mergeCell ref="A29:B29"/>
    <mergeCell ref="A24:B24"/>
    <mergeCell ref="A25:B25"/>
    <mergeCell ref="A40:B41"/>
    <mergeCell ref="A5:B5"/>
    <mergeCell ref="A42:B42"/>
    <mergeCell ref="A1:B1"/>
    <mergeCell ref="A17:B17"/>
    <mergeCell ref="A39:B39"/>
  </mergeCells>
  <printOptions horizontalCentered="1" verticalCentered="1"/>
  <pageMargins left="0.25" right="0.25" top="0.75" bottom="0.75" header="0" footer="0"/>
  <pageSetup orientation="portrait" paperSize="9"/>
</worksheet>
</file>

<file path=xl/worksheets/sheet2.xml><?xml version="1.0" encoding="utf-8"?>
<worksheet xmlns="http://schemas.openxmlformats.org/spreadsheetml/2006/main">
  <sheetPr>
    <tabColor rgb="FFD4B948"/>
    <outlinePr summaryBelow="1" summaryRight="1"/>
    <pageSetUpPr fitToPage="1"/>
  </sheetPr>
  <dimension ref="A1:Z1000"/>
  <sheetViews>
    <sheetView showGridLines="0" workbookViewId="0">
      <selection activeCell="A1" sqref="A1"/>
    </sheetView>
  </sheetViews>
  <sheetFormatPr baseColWidth="10" defaultColWidth="14.4609375" defaultRowHeight="15" customHeight="1"/>
  <cols>
    <col width="3.4609375" customWidth="1" style="545" min="1" max="1"/>
    <col width="32.15234375" customWidth="1" style="545" min="2" max="2"/>
    <col width="8.69140625" customWidth="1" style="545" min="3" max="3"/>
    <col width="10.3046875" customWidth="1" style="545" min="4" max="4"/>
    <col width="11.15234375" customWidth="1" style="545" min="5" max="5"/>
    <col width="11.84375" customWidth="1" style="545" min="6" max="6"/>
    <col width="3.4609375" customWidth="1" style="545" min="7" max="7"/>
    <col width="43.15234375" customWidth="1" style="545" min="8" max="8"/>
    <col width="13.84375" customWidth="1" style="545" min="9" max="9"/>
    <col width="7.15234375" customWidth="1" style="545" min="10" max="10"/>
    <col width="7.53515625" customWidth="1" style="545" min="11" max="11"/>
    <col width="3.4609375" customWidth="1" style="545" min="12" max="12"/>
    <col width="8.84375" customWidth="1" style="545" min="13" max="13"/>
    <col width="19.15234375" customWidth="1" style="545" min="14" max="14"/>
    <col width="14.53515625" customWidth="1" style="545" min="15" max="15"/>
    <col width="16" customWidth="1" style="545" min="16" max="16"/>
    <col width="3.4609375" customWidth="1" style="545" min="17" max="17"/>
  </cols>
  <sheetData>
    <row r="1" ht="18" customHeight="1" s="545">
      <c r="A1" s="20" t="n"/>
      <c r="B1" s="20" t="n"/>
      <c r="C1" s="20" t="n"/>
      <c r="D1" s="20" t="n"/>
      <c r="E1" s="20" t="n"/>
      <c r="F1" s="20" t="n"/>
      <c r="G1" s="20" t="n"/>
      <c r="H1" s="20" t="n"/>
      <c r="I1" s="20" t="n"/>
      <c r="J1" s="20" t="n"/>
      <c r="K1" s="20" t="n"/>
      <c r="L1" s="20" t="n"/>
      <c r="M1" s="20" t="n"/>
      <c r="N1" s="20" t="n"/>
      <c r="O1" s="20" t="n"/>
      <c r="P1" s="20" t="n"/>
      <c r="Q1" s="20" t="n"/>
      <c r="R1" s="21" t="n"/>
      <c r="S1" s="21" t="n"/>
      <c r="T1" s="21" t="n"/>
      <c r="U1" s="21" t="n"/>
      <c r="V1" s="21" t="n"/>
      <c r="W1" s="21" t="n"/>
      <c r="X1" s="21" t="n"/>
      <c r="Y1" s="21" t="n"/>
      <c r="Z1" s="21" t="n"/>
    </row>
    <row r="2" ht="18" customHeight="1" s="545">
      <c r="A2" s="20" t="n"/>
      <c r="B2" s="573" t="n"/>
      <c r="C2" s="574" t="n"/>
      <c r="D2" s="574" t="n"/>
      <c r="E2" s="574" t="n"/>
      <c r="F2" s="562" t="n"/>
      <c r="G2" s="20" t="n"/>
      <c r="H2" s="576" t="inlineStr">
        <is>
          <t>HINWEISE ZUR KALKULATION / NOTIZEN</t>
        </is>
      </c>
      <c r="I2" s="689" t="n"/>
      <c r="J2" s="20" t="n"/>
      <c r="K2" s="20" t="n"/>
      <c r="L2" s="20" t="n"/>
      <c r="M2" s="20" t="n"/>
      <c r="N2" s="20" t="n"/>
      <c r="O2" s="20" t="n"/>
      <c r="P2" s="20" t="n"/>
      <c r="Q2" s="20" t="n"/>
      <c r="R2" s="21" t="n"/>
      <c r="S2" s="21" t="n"/>
      <c r="T2" s="21" t="n"/>
      <c r="U2" s="21" t="n"/>
      <c r="V2" s="21" t="n"/>
      <c r="W2" s="21" t="n"/>
      <c r="X2" s="21" t="n"/>
      <c r="Y2" s="21" t="n"/>
      <c r="Z2" s="21" t="n"/>
    </row>
    <row r="3" ht="18" customHeight="1" s="545">
      <c r="A3" s="20" t="n"/>
      <c r="B3" s="22" t="n"/>
      <c r="C3" s="610" t="n"/>
      <c r="D3" s="610" t="n"/>
      <c r="E3" s="610" t="n"/>
      <c r="F3" s="24" t="n"/>
      <c r="G3" s="25" t="n"/>
      <c r="H3" s="600">
        <f>IF(AND(C13&lt;250)," Wir empfehlen keine MFHs unter 250m²","")</f>
        <v/>
      </c>
      <c r="I3" s="689" t="n"/>
      <c r="J3" s="20" t="n"/>
      <c r="K3" s="20" t="n"/>
      <c r="L3" s="20" t="n"/>
      <c r="M3" s="20" t="n"/>
      <c r="N3" s="20" t="n"/>
      <c r="O3" s="20" t="n"/>
      <c r="P3" s="20" t="n"/>
      <c r="Q3" s="20" t="n"/>
      <c r="R3" s="21" t="n"/>
      <c r="S3" s="21" t="n"/>
      <c r="T3" s="21" t="n"/>
      <c r="U3" s="21" t="n"/>
      <c r="V3" s="21" t="n"/>
      <c r="W3" s="21" t="n"/>
      <c r="X3" s="21" t="n"/>
      <c r="Y3" s="21" t="n"/>
      <c r="Z3" s="21" t="n"/>
    </row>
    <row r="4" ht="18" customHeight="1" s="545">
      <c r="A4" s="20" t="n"/>
      <c r="B4" s="22" t="n"/>
      <c r="C4" s="610" t="n"/>
      <c r="D4" s="610" t="n"/>
      <c r="E4" s="610" t="n"/>
      <c r="F4" s="24" t="n"/>
      <c r="G4" s="20" t="n"/>
      <c r="H4" s="600">
        <f>IF(C14&lt;1950," Achtung, Hinweis zum Baujahr!","")</f>
        <v/>
      </c>
      <c r="I4" s="689" t="n"/>
      <c r="J4" s="20" t="n"/>
      <c r="K4" s="20" t="n"/>
      <c r="L4" s="20" t="n"/>
      <c r="M4" s="20" t="n"/>
      <c r="N4" s="20" t="n"/>
      <c r="O4" s="20" t="n"/>
      <c r="P4" s="20" t="n"/>
      <c r="Q4" s="20" t="n"/>
      <c r="R4" s="21" t="n"/>
      <c r="S4" s="21" t="n"/>
      <c r="T4" s="21" t="n"/>
      <c r="U4" s="21" t="n"/>
      <c r="V4" s="21" t="n"/>
      <c r="W4" s="21" t="n"/>
      <c r="X4" s="21" t="n"/>
      <c r="Y4" s="21" t="n"/>
      <c r="Z4" s="21" t="n"/>
    </row>
    <row r="5" ht="18" customHeight="1" s="545">
      <c r="A5" s="20" t="n"/>
      <c r="B5" s="26" t="inlineStr">
        <is>
          <t>DATEN EINGABE →</t>
        </is>
      </c>
      <c r="C5" s="621" t="inlineStr">
        <is>
          <t>Wert eingeben</t>
        </is>
      </c>
      <c r="F5" s="27" t="n"/>
      <c r="G5" s="20" t="n"/>
      <c r="H5" s="600">
        <f>IF(AND(C15&gt;1,C15&lt;6)," Wir empfehlen Mehrfamilienhäuser ab 6 Einheiten","")</f>
        <v/>
      </c>
      <c r="I5" s="689" t="n"/>
      <c r="J5" s="20" t="n"/>
      <c r="K5" s="20" t="n"/>
      <c r="L5" s="20" t="n"/>
      <c r="M5" s="20" t="n"/>
      <c r="N5" s="20" t="n"/>
      <c r="O5" s="20" t="n"/>
      <c r="P5" s="20" t="n"/>
      <c r="Q5" s="20" t="n"/>
      <c r="R5" s="21" t="n"/>
      <c r="S5" s="21" t="n"/>
      <c r="T5" s="21" t="n"/>
      <c r="U5" s="21" t="n"/>
      <c r="V5" s="21" t="n"/>
      <c r="W5" s="21" t="n"/>
      <c r="X5" s="21" t="n"/>
      <c r="Y5" s="21" t="n"/>
      <c r="Z5" s="21" t="n"/>
    </row>
    <row r="6" ht="18" customHeight="1" s="545">
      <c r="A6" s="20" t="n"/>
      <c r="B6" s="26" t="n"/>
      <c r="C6" s="610" t="n"/>
      <c r="F6" s="27" t="n"/>
      <c r="G6" s="28" t="n"/>
      <c r="H6" s="600">
        <f>IF(((MIETER!L28/MIETER!M6)&lt;0.6)," Achtung, Sehr geringe Miete!","")</f>
        <v/>
      </c>
      <c r="I6" s="689" t="n"/>
      <c r="J6" s="20" t="n"/>
      <c r="K6" s="20" t="n"/>
      <c r="L6" s="20" t="n"/>
      <c r="M6" s="20" t="n"/>
      <c r="N6" s="20" t="n"/>
      <c r="O6" s="20" t="n"/>
      <c r="P6" s="20" t="n"/>
      <c r="Q6" s="20" t="n"/>
      <c r="R6" s="21" t="n"/>
      <c r="S6" s="21" t="n"/>
      <c r="T6" s="21" t="n"/>
      <c r="U6" s="21" t="n"/>
      <c r="V6" s="21" t="n"/>
      <c r="W6" s="21" t="n"/>
      <c r="X6" s="21" t="n"/>
      <c r="Y6" s="21" t="n"/>
      <c r="Z6" s="21" t="n"/>
    </row>
    <row r="7" ht="18" customHeight="1" s="545">
      <c r="A7" s="20" t="n"/>
      <c r="B7" s="26" t="inlineStr">
        <is>
          <t>WERT WIRD BERECHNET →</t>
        </is>
      </c>
      <c r="C7" s="580" t="inlineStr">
        <is>
          <t>Wert wird berechnet</t>
        </is>
      </c>
      <c r="F7" s="27" t="n"/>
      <c r="G7" s="20" t="n"/>
      <c r="H7" s="600">
        <f>IF(J29&gt;(600*C13)," Achtung, erhöhter Renovierungsaufwand!","")</f>
        <v/>
      </c>
      <c r="I7" s="689" t="n"/>
      <c r="J7" s="20" t="n"/>
      <c r="K7" s="20" t="n"/>
      <c r="L7" s="20" t="n"/>
      <c r="M7" s="20" t="n"/>
      <c r="N7" s="20" t="n"/>
      <c r="O7" s="20" t="n"/>
      <c r="P7" s="20" t="n"/>
      <c r="Q7" s="20" t="n"/>
      <c r="R7" s="21" t="n"/>
      <c r="S7" s="21" t="n"/>
      <c r="T7" s="21" t="n"/>
      <c r="U7" s="21" t="n"/>
      <c r="V7" s="21" t="n"/>
      <c r="W7" s="21" t="n"/>
      <c r="X7" s="21" t="n"/>
      <c r="Y7" s="21" t="n"/>
      <c r="Z7" s="21" t="n"/>
    </row>
    <row r="8" ht="18" customHeight="1" s="545">
      <c r="A8" s="20" t="n"/>
      <c r="B8" s="29" t="n"/>
      <c r="C8" s="30" t="n"/>
      <c r="D8" s="30" t="n"/>
      <c r="E8" s="30" t="n"/>
      <c r="F8" s="31" t="n"/>
      <c r="G8" s="20" t="n"/>
      <c r="H8" s="32" t="n"/>
      <c r="I8" s="33" t="n"/>
      <c r="J8" s="20" t="n"/>
      <c r="K8" s="20" t="n"/>
      <c r="L8" s="20" t="n"/>
      <c r="M8" s="20" t="n"/>
      <c r="N8" s="20" t="n"/>
      <c r="O8" s="20" t="n"/>
      <c r="P8" s="20" t="n"/>
      <c r="Q8" s="20" t="n"/>
      <c r="R8" s="21" t="n"/>
      <c r="S8" s="21" t="n"/>
      <c r="T8" s="21" t="n"/>
      <c r="U8" s="21" t="n"/>
      <c r="V8" s="21" t="n"/>
      <c r="W8" s="21" t="n"/>
      <c r="X8" s="21" t="n"/>
      <c r="Y8" s="21" t="n"/>
      <c r="Z8" s="21" t="n"/>
    </row>
    <row r="9" ht="18" customHeight="1" s="545">
      <c r="A9" s="34" t="n"/>
      <c r="B9" s="34" t="n"/>
      <c r="C9" s="34" t="n"/>
      <c r="D9" s="34" t="n"/>
      <c r="E9" s="34" t="n"/>
      <c r="F9" s="34" t="n"/>
      <c r="G9" s="34" t="n"/>
      <c r="H9" s="565" t="n"/>
      <c r="J9" s="34" t="n"/>
      <c r="K9" s="34" t="n"/>
      <c r="L9" s="34" t="n"/>
      <c r="M9" s="34" t="n"/>
      <c r="N9" s="34" t="n"/>
      <c r="O9" s="34" t="n"/>
      <c r="P9" s="34" t="n"/>
      <c r="Q9" s="34" t="n"/>
      <c r="R9" s="21" t="n"/>
      <c r="S9" s="21" t="n"/>
      <c r="T9" s="21" t="n"/>
      <c r="U9" s="21" t="n"/>
      <c r="V9" s="21" t="n"/>
      <c r="W9" s="21" t="n"/>
      <c r="X9" s="21" t="n"/>
      <c r="Y9" s="21" t="n"/>
      <c r="Z9" s="21" t="n"/>
    </row>
    <row r="10" ht="18" customHeight="1" s="545">
      <c r="A10" s="20" t="n"/>
      <c r="B10" s="576" t="inlineStr">
        <is>
          <t>1. EINKAUF</t>
        </is>
      </c>
      <c r="C10" s="690" t="n"/>
      <c r="D10" s="690" t="n"/>
      <c r="E10" s="690" t="n"/>
      <c r="F10" s="689" t="n"/>
      <c r="G10" s="20" t="n"/>
      <c r="H10" s="576" t="inlineStr">
        <is>
          <t>4. VORKALKULATION DER IMMOBILIE</t>
        </is>
      </c>
      <c r="I10" s="690" t="n"/>
      <c r="J10" s="690" t="n"/>
      <c r="K10" s="690" t="n"/>
      <c r="L10" s="690" t="n"/>
      <c r="M10" s="690" t="n"/>
      <c r="N10" s="690" t="n"/>
      <c r="O10" s="690" t="n"/>
      <c r="P10" s="689" t="n"/>
      <c r="Q10" s="20" t="n"/>
      <c r="R10" s="21" t="n"/>
      <c r="S10" s="21" t="n"/>
      <c r="T10" s="21" t="n"/>
      <c r="U10" s="21" t="n"/>
      <c r="V10" s="21" t="n"/>
      <c r="W10" s="21" t="n"/>
      <c r="X10" s="21" t="n"/>
      <c r="Y10" s="21" t="n"/>
      <c r="Z10" s="21" t="n"/>
    </row>
    <row r="11" ht="18" customHeight="1" s="545">
      <c r="A11" s="20" t="n"/>
      <c r="B11" s="581" t="inlineStr">
        <is>
          <t xml:space="preserve"> LINK ZU OBJEKTORDNER</t>
        </is>
      </c>
      <c r="C11" s="623" t="inlineStr">
        <is>
          <t>Drive Ordner</t>
        </is>
      </c>
      <c r="D11" s="690" t="n"/>
      <c r="E11" s="690" t="n"/>
      <c r="F11" s="689" t="n"/>
      <c r="G11" s="20" t="n"/>
      <c r="H11" s="564" t="inlineStr">
        <is>
          <t>PORTAL</t>
        </is>
      </c>
      <c r="I11" s="584">
        <f>" PORTALSPREIS (für ⌀"&amp;TEXT(C13/C15,"#,##")&amp;"m² Wohnfläche)"</f>
        <v/>
      </c>
      <c r="J11" s="562" t="n"/>
      <c r="K11" s="564" t="inlineStr">
        <is>
          <t>AUF- / ABSCHLÄGE</t>
        </is>
      </c>
      <c r="L11" s="690" t="n"/>
      <c r="M11" s="690" t="n"/>
      <c r="N11" s="689" t="n"/>
      <c r="O11" s="564" t="inlineStr">
        <is>
          <t xml:space="preserve"> VERKAUFSPREIS</t>
        </is>
      </c>
      <c r="P11" s="562" t="n"/>
      <c r="Q11" s="20" t="n"/>
      <c r="R11" s="21" t="n"/>
      <c r="S11" s="21" t="n"/>
      <c r="T11" s="21" t="n"/>
      <c r="U11" s="21" t="n"/>
      <c r="V11" s="21" t="n"/>
      <c r="W11" s="21" t="n"/>
      <c r="X11" s="21" t="n"/>
      <c r="Y11" s="21" t="n"/>
      <c r="Z11" s="21" t="n"/>
    </row>
    <row r="12" ht="18" customHeight="1" s="545">
      <c r="A12" s="36" t="n"/>
      <c r="B12" s="581" t="inlineStr">
        <is>
          <t xml:space="preserve"> ANSCHRIFT</t>
        </is>
      </c>
      <c r="C12" s="577">
        <f>BESICHTIGUNG!B6</f>
        <v/>
      </c>
      <c r="D12" s="690" t="n"/>
      <c r="E12" s="690" t="n"/>
      <c r="F12" s="689" t="n"/>
      <c r="G12" s="36" t="n"/>
      <c r="H12" s="691" t="n"/>
      <c r="I12" s="688" t="n"/>
      <c r="J12" s="563" t="n"/>
      <c r="K12" s="692" t="n">
        <v>-0.05</v>
      </c>
      <c r="L12" s="574" t="n"/>
      <c r="M12" s="562" t="n"/>
      <c r="N12" s="693">
        <f>F41</f>
        <v/>
      </c>
      <c r="O12" s="688" t="n"/>
      <c r="P12" s="563" t="n"/>
      <c r="Q12" s="36" t="n"/>
      <c r="R12" s="21" t="n"/>
      <c r="S12" s="21" t="n"/>
      <c r="T12" s="21" t="n"/>
      <c r="U12" s="21" t="n"/>
      <c r="V12" s="21" t="n"/>
      <c r="W12" s="21" t="n"/>
      <c r="X12" s="21" t="n"/>
      <c r="Y12" s="21" t="n"/>
      <c r="Z12" s="21" t="n"/>
    </row>
    <row r="13" ht="18" customHeight="1" s="545">
      <c r="A13" s="20" t="n"/>
      <c r="B13" s="581" t="inlineStr">
        <is>
          <t xml:space="preserve"> WOHNFLAECHE</t>
        </is>
      </c>
      <c r="C13" s="570">
        <f>BESICHTIGUNG!B7</f>
        <v/>
      </c>
      <c r="D13" s="690" t="n"/>
      <c r="E13" s="690" t="n"/>
      <c r="F13" s="689" t="n"/>
      <c r="G13" s="20" t="n"/>
      <c r="H13" s="38" t="inlineStr">
        <is>
          <t>Homeday Atlas</t>
        </is>
      </c>
      <c r="I13" s="694" t="n">
        <v>2800</v>
      </c>
      <c r="J13" s="689" t="n"/>
      <c r="K13" s="695">
        <f>I13*(1+$K$12)</f>
        <v/>
      </c>
      <c r="L13" s="690" t="n"/>
      <c r="M13" s="689" t="n"/>
      <c r="N13" s="696">
        <f>K13*(1+$F$41)</f>
        <v/>
      </c>
      <c r="O13" s="697">
        <f>N13*$C$13</f>
        <v/>
      </c>
      <c r="P13" s="689" t="n"/>
      <c r="Q13" s="20" t="n"/>
      <c r="R13" s="21" t="n"/>
      <c r="S13" s="21" t="n"/>
      <c r="T13" s="21" t="n"/>
      <c r="U13" s="21" t="n"/>
      <c r="V13" s="21" t="n"/>
      <c r="W13" s="21" t="n"/>
      <c r="X13" s="21" t="n"/>
      <c r="Y13" s="21" t="n"/>
      <c r="Z13" s="21" t="n"/>
    </row>
    <row r="14" ht="18" customHeight="1" s="545">
      <c r="A14" s="40" t="n"/>
      <c r="B14" s="581" t="inlineStr">
        <is>
          <t xml:space="preserve"> BAUJAHR</t>
        </is>
      </c>
      <c r="C14" s="577">
        <f>BESICHTIGUNG!B8</f>
        <v/>
      </c>
      <c r="D14" s="690" t="n"/>
      <c r="E14" s="690" t="n"/>
      <c r="F14" s="689" t="n"/>
      <c r="G14" s="40" t="n"/>
      <c r="H14" s="38" t="inlineStr">
        <is>
          <t xml:space="preserve"> IS24 Preisatlas</t>
        </is>
      </c>
      <c r="I14" s="694" t="n">
        <v>2900</v>
      </c>
      <c r="J14" s="689" t="n"/>
      <c r="K14" s="695">
        <f>I14*(1+$K$12)</f>
        <v/>
      </c>
      <c r="L14" s="690" t="n"/>
      <c r="M14" s="689" t="n"/>
      <c r="N14" s="696">
        <f>K14*(1+$F$41)</f>
        <v/>
      </c>
      <c r="O14" s="697">
        <f>N14*$C$13</f>
        <v/>
      </c>
      <c r="P14" s="689" t="n"/>
      <c r="Q14" s="40" t="n"/>
      <c r="R14" s="21" t="n"/>
      <c r="S14" s="21" t="n"/>
      <c r="T14" s="21" t="n"/>
      <c r="U14" s="21" t="n"/>
      <c r="V14" s="21" t="n"/>
      <c r="W14" s="21" t="n"/>
      <c r="X14" s="21" t="n"/>
      <c r="Y14" s="21" t="n"/>
      <c r="Z14" s="21" t="n"/>
    </row>
    <row r="15" ht="18" customHeight="1" s="545">
      <c r="A15" s="20" t="n"/>
      <c r="B15" s="581" t="inlineStr">
        <is>
          <t xml:space="preserve"> WOHNEINHEITEN IM HAUS</t>
        </is>
      </c>
      <c r="C15" s="577">
        <f>BESICHTIGUNG!B9</f>
        <v/>
      </c>
      <c r="D15" s="690" t="n"/>
      <c r="E15" s="690" t="n"/>
      <c r="F15" s="689" t="n"/>
      <c r="G15" s="20" t="n"/>
      <c r="H15" s="38" t="inlineStr">
        <is>
          <t xml:space="preserve"> Pricehubble / Check24</t>
        </is>
      </c>
      <c r="I15" s="694" t="n">
        <v>2900</v>
      </c>
      <c r="J15" s="689" t="n"/>
      <c r="K15" s="695">
        <f>I15*(1+$K$12)</f>
        <v/>
      </c>
      <c r="L15" s="690" t="n"/>
      <c r="M15" s="689" t="n"/>
      <c r="N15" s="696">
        <f>K15*(1+$F$41)</f>
        <v/>
      </c>
      <c r="O15" s="697">
        <f>N15*$C$13</f>
        <v/>
      </c>
      <c r="P15" s="689" t="n"/>
      <c r="Q15" s="20" t="n"/>
      <c r="R15" s="21" t="n"/>
      <c r="S15" s="21" t="n"/>
      <c r="T15" s="21" t="n"/>
      <c r="U15" s="21" t="n"/>
      <c r="V15" s="21" t="n"/>
      <c r="W15" s="21" t="n"/>
      <c r="X15" s="21" t="n"/>
      <c r="Y15" s="21" t="n"/>
      <c r="Z15" s="21" t="n"/>
    </row>
    <row r="16" ht="18" customHeight="1" s="545">
      <c r="A16" s="20" t="n"/>
      <c r="B16" s="572" t="inlineStr">
        <is>
          <t xml:space="preserve"> HAUSGELD PRO MONAT</t>
        </is>
      </c>
      <c r="C16" s="620">
        <f>1.5*C13</f>
        <v/>
      </c>
      <c r="D16" s="690" t="n"/>
      <c r="E16" s="690" t="n"/>
      <c r="F16" s="689" t="n"/>
      <c r="G16" s="20" t="n"/>
      <c r="H16" s="38" t="inlineStr">
        <is>
          <t>InterHyp</t>
        </is>
      </c>
      <c r="I16" s="694" t="n">
        <v>2700</v>
      </c>
      <c r="J16" s="689" t="n"/>
      <c r="K16" s="695">
        <f>I16*(1+$K$12)</f>
        <v/>
      </c>
      <c r="L16" s="690" t="n"/>
      <c r="M16" s="689" t="n"/>
      <c r="N16" s="695">
        <f>K16*(1+$F$41)</f>
        <v/>
      </c>
      <c r="O16" s="698">
        <f>N16*$C$13</f>
        <v/>
      </c>
      <c r="P16" s="689" t="n"/>
      <c r="Q16" s="20" t="n"/>
      <c r="R16" s="21" t="n"/>
      <c r="S16" s="21" t="n"/>
      <c r="T16" s="21" t="n"/>
      <c r="U16" s="21" t="n"/>
      <c r="V16" s="21" t="n"/>
      <c r="W16" s="21" t="n"/>
      <c r="X16" s="21" t="n"/>
      <c r="Y16" s="21" t="n"/>
      <c r="Z16" s="21" t="n"/>
    </row>
    <row r="17" ht="18" customHeight="1" s="545">
      <c r="A17" s="20" t="n"/>
      <c r="B17" s="572" t="inlineStr">
        <is>
          <t xml:space="preserve"> RÜCKLAGEN DES HAUSES</t>
        </is>
      </c>
      <c r="C17" s="589" t="n">
        <v>0</v>
      </c>
      <c r="D17" s="690" t="n"/>
      <c r="E17" s="690" t="n"/>
      <c r="F17" s="689" t="n"/>
      <c r="G17" s="20" t="n"/>
      <c r="H17" s="43" t="inlineStr">
        <is>
          <t>Wohnungmarktbericht</t>
        </is>
      </c>
      <c r="I17" s="694" t="n">
        <v>2000</v>
      </c>
      <c r="J17" s="689" t="n"/>
      <c r="K17" s="695">
        <f>IF(I17&gt;0,I17*(1+$K$12),"")</f>
        <v/>
      </c>
      <c r="L17" s="690" t="n"/>
      <c r="M17" s="689" t="n"/>
      <c r="N17" s="696">
        <f>IF(K17&lt;&gt;"",K17*(1+$F$41),"")</f>
        <v/>
      </c>
      <c r="O17" s="698">
        <f>IF(N17&lt;&gt;"",N17*$C$13,"")</f>
        <v/>
      </c>
      <c r="P17" s="689" t="n"/>
      <c r="Q17" s="20" t="n"/>
      <c r="R17" s="21" t="n"/>
      <c r="S17" s="21" t="n"/>
      <c r="T17" s="21" t="n"/>
      <c r="U17" s="21" t="n"/>
      <c r="V17" s="21" t="n"/>
      <c r="W17" s="21" t="n"/>
      <c r="X17" s="21" t="n"/>
      <c r="Y17" s="21" t="n"/>
      <c r="Z17" s="21" t="n"/>
    </row>
    <row r="18" ht="18" customHeight="1" s="545">
      <c r="A18" s="20" t="n"/>
      <c r="B18" s="581" t="inlineStr">
        <is>
          <t xml:space="preserve"> GEWINN</t>
        </is>
      </c>
      <c r="C18" s="606" t="n">
        <v>0.35</v>
      </c>
      <c r="D18" s="690" t="n"/>
      <c r="E18" s="690" t="n"/>
      <c r="F18" s="689" t="n"/>
      <c r="G18" s="20" t="n"/>
      <c r="H18" s="44" t="inlineStr">
        <is>
          <t xml:space="preserve"> ⌀ PORTALE</t>
        </is>
      </c>
      <c r="I18" s="699">
        <f>AVERAGE(I13:I17)</f>
        <v/>
      </c>
      <c r="J18" s="689" t="n"/>
      <c r="K18" s="700">
        <f>AVERAGE(K13:K17)</f>
        <v/>
      </c>
      <c r="L18" s="599" t="n"/>
      <c r="M18" s="563" t="n"/>
      <c r="N18" s="699">
        <f>AVERAGE(N13:N17)</f>
        <v/>
      </c>
      <c r="O18" s="701">
        <f>AVERAGE(O13:O17)</f>
        <v/>
      </c>
      <c r="P18" s="689" t="n"/>
      <c r="Q18" s="20" t="n"/>
      <c r="R18" s="21" t="n"/>
      <c r="S18" s="21" t="n"/>
      <c r="T18" s="21" t="n"/>
      <c r="U18" s="21" t="n"/>
      <c r="V18" s="21" t="n"/>
      <c r="W18" s="21" t="n"/>
      <c r="X18" s="21" t="n"/>
      <c r="Y18" s="21" t="n"/>
      <c r="Z18" s="21" t="n"/>
    </row>
    <row r="19" ht="18" customHeight="1" s="545">
      <c r="A19" s="20" t="n"/>
      <c r="B19" s="602" t="inlineStr">
        <is>
          <t xml:space="preserve"> SCHMERZGRENZE</t>
        </is>
      </c>
      <c r="C19" s="589">
        <f>BESICHTIGUNG!B28</f>
        <v/>
      </c>
      <c r="D19" s="690" t="n"/>
      <c r="E19" s="690" t="n"/>
      <c r="F19" s="689" t="n"/>
      <c r="G19" s="20" t="n"/>
      <c r="H19" s="19" t="n"/>
      <c r="I19" s="19" t="n"/>
      <c r="J19" s="19" t="n"/>
      <c r="K19" s="19" t="n"/>
      <c r="L19" s="19" t="n"/>
      <c r="M19" s="19" t="n"/>
      <c r="N19" s="19" t="n"/>
      <c r="O19" s="19" t="n"/>
      <c r="P19" s="19" t="n"/>
      <c r="Q19" s="20" t="n"/>
      <c r="R19" s="21" t="n"/>
      <c r="S19" s="21" t="n"/>
      <c r="T19" s="21" t="n"/>
      <c r="U19" s="21" t="n"/>
      <c r="V19" s="21" t="n"/>
      <c r="W19" s="21" t="n"/>
      <c r="X19" s="21" t="n"/>
      <c r="Y19" s="21" t="n"/>
      <c r="Z19" s="21" t="n"/>
    </row>
    <row r="20" ht="18" customHeight="1" s="545">
      <c r="A20" s="20" t="n"/>
      <c r="B20" s="602" t="inlineStr">
        <is>
          <t xml:space="preserve"> PREIS PRO m²</t>
        </is>
      </c>
      <c r="C20" s="608">
        <f>IFERROR(C19/C13,"")</f>
        <v/>
      </c>
      <c r="D20" s="690" t="n"/>
      <c r="E20" s="690" t="n"/>
      <c r="F20" s="689" t="n"/>
      <c r="G20" s="20" t="n"/>
      <c r="H20" s="576" t="inlineStr">
        <is>
          <t>5. BETEILIGUNG INVESTOR / DEALTRADER</t>
        </is>
      </c>
      <c r="I20" s="690" t="n"/>
      <c r="J20" s="690" t="n"/>
      <c r="K20" s="689" t="n"/>
      <c r="L20" s="19" t="n"/>
      <c r="M20" s="576" t="inlineStr">
        <is>
          <t>9. FINANZIERUNG</t>
        </is>
      </c>
      <c r="N20" s="690" t="n"/>
      <c r="O20" s="690" t="n"/>
      <c r="P20" s="689" t="n"/>
      <c r="Q20" s="20" t="n"/>
      <c r="R20" s="21" t="n"/>
      <c r="S20" s="21" t="n"/>
      <c r="T20" s="21" t="n"/>
      <c r="U20" s="21" t="n"/>
      <c r="V20" s="21" t="n"/>
      <c r="W20" s="21" t="n"/>
      <c r="X20" s="21" t="n"/>
      <c r="Y20" s="21" t="n"/>
      <c r="Z20" s="21" t="n"/>
    </row>
    <row r="21" ht="18" customHeight="1" s="545">
      <c r="A21" s="20" t="n"/>
      <c r="B21" s="47" t="inlineStr">
        <is>
          <t xml:space="preserve"> ZINSEN (variabel)</t>
        </is>
      </c>
      <c r="C21" s="48" t="n">
        <v>0.06</v>
      </c>
      <c r="D21" s="602" t="inlineStr">
        <is>
          <t xml:space="preserve"> ZINSBINDUNG</t>
        </is>
      </c>
      <c r="E21" s="689" t="n"/>
      <c r="F21" s="577" t="n">
        <v>12</v>
      </c>
      <c r="G21" s="20" t="n"/>
      <c r="H21" s="50" t="inlineStr">
        <is>
          <t xml:space="preserve"> GEWINNBETEILIGUNG DEALTRADER (%)</t>
        </is>
      </c>
      <c r="I21" s="51" t="n">
        <v>0</v>
      </c>
      <c r="J21" s="587">
        <f>I21*J40</f>
        <v/>
      </c>
      <c r="K21" s="689" t="n"/>
      <c r="L21" s="19" t="n"/>
      <c r="M21" s="568" t="inlineStr">
        <is>
          <t>GIK</t>
        </is>
      </c>
      <c r="N21" s="690" t="n"/>
      <c r="O21" s="689" t="n"/>
      <c r="P21" s="702">
        <f>J39</f>
        <v/>
      </c>
      <c r="Q21" s="20" t="n"/>
      <c r="R21" s="21" t="n"/>
      <c r="S21" s="21" t="n"/>
      <c r="T21" s="21" t="n"/>
      <c r="U21" s="21" t="n"/>
      <c r="V21" s="21" t="n"/>
      <c r="W21" s="21" t="n"/>
      <c r="X21" s="21" t="n"/>
      <c r="Y21" s="21" t="n"/>
      <c r="Z21" s="21" t="n"/>
    </row>
    <row r="22" ht="18" customHeight="1" s="545">
      <c r="A22" s="20" t="n"/>
      <c r="B22" s="53" t="inlineStr">
        <is>
          <t xml:space="preserve"> EINMALKOSTEN FINANZIERUNG</t>
        </is>
      </c>
      <c r="C22" s="606" t="n">
        <v>0</v>
      </c>
      <c r="D22" s="611">
        <f>P24*C22</f>
        <v/>
      </c>
      <c r="E22" s="690" t="n"/>
      <c r="F22" s="689" t="n"/>
      <c r="G22" s="20" t="n"/>
      <c r="H22" s="50" t="inlineStr">
        <is>
          <t xml:space="preserve"> GEWINNBETEILIGUNG INVESTOR (%)</t>
        </is>
      </c>
      <c r="I22" s="51" t="n">
        <v>0</v>
      </c>
      <c r="J22" s="587">
        <f>I22*J40</f>
        <v/>
      </c>
      <c r="K22" s="689" t="n"/>
      <c r="L22" s="20" t="n"/>
      <c r="M22" s="50" t="inlineStr">
        <is>
          <t xml:space="preserve"> - EK</t>
        </is>
      </c>
      <c r="N22" s="55" t="n"/>
      <c r="O22" s="56" t="n"/>
      <c r="P22" s="57" t="n">
        <v>0</v>
      </c>
      <c r="Q22" s="20" t="n"/>
      <c r="R22" s="21" t="n"/>
      <c r="S22" s="21" t="n"/>
      <c r="T22" s="21" t="n"/>
      <c r="U22" s="21" t="n"/>
      <c r="V22" s="21" t="n"/>
      <c r="W22" s="21" t="n"/>
      <c r="X22" s="21" t="n"/>
      <c r="Y22" s="21" t="n"/>
      <c r="Z22" s="21" t="n"/>
    </row>
    <row r="23" ht="18" customHeight="1" s="545">
      <c r="A23" s="20" t="n"/>
      <c r="B23" s="47" t="inlineStr">
        <is>
          <t xml:space="preserve"> ZINS (B&amp;H)</t>
        </is>
      </c>
      <c r="C23" s="58" t="n">
        <v>0.04</v>
      </c>
      <c r="D23" s="59" t="n"/>
      <c r="E23" s="59" t="n"/>
      <c r="F23" s="60" t="n"/>
      <c r="G23" s="20" t="n"/>
      <c r="H23" s="50" t="inlineStr">
        <is>
          <t xml:space="preserve"> SONSTIGE BETEILIGUNG</t>
        </is>
      </c>
      <c r="I23" s="51" t="n">
        <v>0</v>
      </c>
      <c r="J23" s="587" t="n">
        <v>0</v>
      </c>
      <c r="K23" s="689" t="n"/>
      <c r="L23" s="20" t="n"/>
      <c r="M23" s="50" t="inlineStr">
        <is>
          <t xml:space="preserve"> - Darlehen Investor</t>
        </is>
      </c>
      <c r="N23" s="55" t="n"/>
      <c r="O23" s="606" t="n">
        <v>0</v>
      </c>
      <c r="P23" s="57" t="n">
        <v>0</v>
      </c>
      <c r="Q23" s="20" t="n"/>
      <c r="R23" s="61" t="n"/>
      <c r="S23" s="21" t="n"/>
      <c r="T23" s="21" t="n"/>
      <c r="U23" s="21" t="n"/>
      <c r="V23" s="21" t="n"/>
      <c r="W23" s="21" t="n"/>
      <c r="X23" s="21" t="n"/>
      <c r="Y23" s="21" t="n"/>
      <c r="Z23" s="21" t="n"/>
    </row>
    <row r="24" ht="18" customHeight="1" s="545">
      <c r="A24" s="20" t="n"/>
      <c r="B24" s="62" t="inlineStr">
        <is>
          <t xml:space="preserve"> TILGUNG (B&amp;H)</t>
        </is>
      </c>
      <c r="C24" s="58" t="n">
        <v>0.02</v>
      </c>
      <c r="D24" s="59" t="n"/>
      <c r="E24" s="59" t="n"/>
      <c r="F24" s="60" t="n"/>
      <c r="G24" s="20" t="n"/>
      <c r="H24" s="581" t="inlineStr">
        <is>
          <t xml:space="preserve"> = RESTGEWINN HÄNDLER</t>
        </is>
      </c>
      <c r="I24" s="703">
        <f>J40-J21-J22</f>
        <v/>
      </c>
      <c r="J24" s="690" t="n"/>
      <c r="K24" s="689" t="n"/>
      <c r="L24" s="20" t="n"/>
      <c r="M24" s="581" t="inlineStr">
        <is>
          <t xml:space="preserve"> = Darlehen Bank</t>
        </is>
      </c>
      <c r="N24" s="690" t="n"/>
      <c r="O24" s="689" t="n"/>
      <c r="P24" s="704">
        <f>P21-P22-P23</f>
        <v/>
      </c>
      <c r="Q24" s="20" t="n"/>
      <c r="R24" s="61" t="n"/>
      <c r="S24" s="21" t="n"/>
      <c r="T24" s="21" t="n"/>
      <c r="U24" s="21" t="n"/>
      <c r="V24" s="21" t="n"/>
      <c r="W24" s="21" t="n"/>
      <c r="X24" s="21" t="n"/>
      <c r="Y24" s="21" t="n"/>
      <c r="Z24" s="21" t="n"/>
    </row>
    <row r="25" ht="18" customHeight="1" s="545">
      <c r="A25" s="20" t="n"/>
      <c r="B25" s="19" t="n"/>
      <c r="C25" s="19" t="n"/>
      <c r="D25" s="19" t="n"/>
      <c r="E25" s="19" t="n"/>
      <c r="F25" s="19" t="n"/>
      <c r="G25" s="20" t="n"/>
      <c r="H25" s="19" t="n"/>
      <c r="I25" s="19" t="n"/>
      <c r="J25" s="705" t="n"/>
      <c r="L25" s="20" t="n"/>
      <c r="M25" s="19" t="n"/>
      <c r="N25" s="19" t="n"/>
      <c r="O25" s="19" t="n"/>
      <c r="P25" s="19" t="n"/>
      <c r="Q25" s="20" t="n"/>
      <c r="R25" s="65" t="n"/>
      <c r="S25" s="21" t="n"/>
      <c r="T25" s="21" t="n"/>
      <c r="U25" s="21" t="n"/>
      <c r="V25" s="21" t="n"/>
      <c r="W25" s="21" t="n"/>
      <c r="X25" s="21" t="n"/>
      <c r="Y25" s="21" t="n"/>
      <c r="Z25" s="21" t="n"/>
    </row>
    <row r="26" ht="18" customHeight="1" s="545">
      <c r="A26" s="20" t="n"/>
      <c r="B26" s="576" t="inlineStr">
        <is>
          <t>2. NEBENKOSTENRECHNER</t>
        </is>
      </c>
      <c r="C26" s="690" t="n"/>
      <c r="D26" s="690" t="n"/>
      <c r="E26" s="690" t="n"/>
      <c r="F26" s="689" t="n"/>
      <c r="G26" s="20" t="n"/>
      <c r="H26" s="576" t="inlineStr">
        <is>
          <t>6. KOSTEN</t>
        </is>
      </c>
      <c r="I26" s="690" t="n"/>
      <c r="J26" s="690" t="n"/>
      <c r="K26" s="689" t="n"/>
      <c r="L26" s="20" t="n"/>
      <c r="M26" s="615" t="inlineStr">
        <is>
          <t>10. WORST-CASE RECHNER (B&amp;H)</t>
        </is>
      </c>
      <c r="N26" s="690" t="n"/>
      <c r="O26" s="690" t="n"/>
      <c r="P26" s="689" t="n"/>
      <c r="Q26" s="20" t="n"/>
      <c r="R26" s="21" t="n"/>
      <c r="S26" s="21" t="n"/>
      <c r="T26" s="21" t="n"/>
      <c r="U26" s="21" t="n"/>
      <c r="V26" s="21" t="n"/>
      <c r="W26" s="21" t="n"/>
      <c r="X26" s="21" t="n"/>
      <c r="Y26" s="21" t="n"/>
      <c r="Z26" s="21" t="n"/>
    </row>
    <row r="27" ht="18" customHeight="1" s="545">
      <c r="A27" s="20" t="n"/>
      <c r="B27" s="572" t="inlineStr">
        <is>
          <t xml:space="preserve"> BUNDESLAND</t>
        </is>
      </c>
      <c r="C27" s="689" t="n"/>
      <c r="D27" s="706" t="inlineStr">
        <is>
          <t>Nordrhein-Westfalen</t>
        </is>
      </c>
      <c r="E27" s="690" t="n"/>
      <c r="F27" s="689" t="n"/>
      <c r="G27" s="20" t="n"/>
      <c r="H27" s="66" t="inlineStr">
        <is>
          <t xml:space="preserve"> - FINANZIERUNGSKOSTEN</t>
        </is>
      </c>
      <c r="I27" s="707">
        <f>J27/C13</f>
        <v/>
      </c>
      <c r="J27" s="594">
        <f>(P23*(O23*(F21/12)))+(P24*(C21*(F21/12)))+D22</f>
        <v/>
      </c>
      <c r="K27" s="689" t="n"/>
      <c r="L27" s="20" t="n"/>
      <c r="M27" s="591" t="inlineStr">
        <is>
          <t xml:space="preserve"> ZINSKOSTEN (pro Jahr B&amp;H)</t>
        </is>
      </c>
      <c r="N27" s="690" t="n"/>
      <c r="O27" s="689" t="n"/>
      <c r="P27" s="68">
        <f>P24*(C23+C24)</f>
        <v/>
      </c>
      <c r="Q27" s="69" t="n"/>
      <c r="R27" s="21" t="n"/>
      <c r="S27" s="21" t="n"/>
      <c r="T27" s="21" t="n"/>
      <c r="U27" s="21" t="n"/>
      <c r="V27" s="21" t="n"/>
      <c r="W27" s="21" t="n"/>
      <c r="X27" s="21" t="n"/>
      <c r="Y27" s="21" t="n"/>
      <c r="Z27" s="21" t="n"/>
    </row>
    <row r="28" ht="18" customHeight="1" s="545">
      <c r="A28" s="20" t="n"/>
      <c r="B28" s="53" t="inlineStr">
        <is>
          <t xml:space="preserve"> NOTAR- UND GRUNDBUCHKOSTEN</t>
        </is>
      </c>
      <c r="C28" s="70" t="n"/>
      <c r="D28" s="572" t="n"/>
      <c r="E28" s="71">
        <f>VLOOKUP(D27,NK!A2:C17,2,FALSE())</f>
        <v/>
      </c>
      <c r="F28" s="72">
        <f>E28*P37</f>
        <v/>
      </c>
      <c r="G28" s="20" t="n"/>
      <c r="H28" s="73">
        <f>" - HAUSGELD ("&amp;F21&amp;" MONATE)"</f>
        <v/>
      </c>
      <c r="I28" s="708">
        <f>J28/C13</f>
        <v/>
      </c>
      <c r="J28" s="560">
        <f>(C16*F21)</f>
        <v/>
      </c>
      <c r="K28" s="689" t="n"/>
      <c r="L28" s="20" t="n"/>
      <c r="M28" s="591" t="inlineStr">
        <is>
          <t xml:space="preserve"> HAUSGELD (pro Jahr B&amp;H)</t>
        </is>
      </c>
      <c r="N28" s="690" t="n"/>
      <c r="O28" s="689" t="n"/>
      <c r="P28" s="68">
        <f>C16*12</f>
        <v/>
      </c>
      <c r="Q28" s="20" t="n"/>
      <c r="R28" s="21" t="n"/>
      <c r="S28" s="21" t="n"/>
      <c r="T28" s="21" t="n"/>
      <c r="U28" s="21" t="n"/>
      <c r="V28" s="21" t="n"/>
      <c r="W28" s="21" t="n"/>
      <c r="X28" s="21" t="n"/>
      <c r="Y28" s="21" t="n"/>
      <c r="Z28" s="21" t="n"/>
    </row>
    <row r="29" ht="18" customHeight="1" s="545">
      <c r="A29" s="20" t="n"/>
      <c r="B29" s="53" t="inlineStr">
        <is>
          <t xml:space="preserve"> GRUNDERWERBSTEUER</t>
        </is>
      </c>
      <c r="C29" s="70" t="n"/>
      <c r="D29" s="572" t="n"/>
      <c r="E29" s="71">
        <f>VLOOKUP(D27,NK!A2:C17,3,FALSE())</f>
        <v/>
      </c>
      <c r="F29" s="72">
        <f>E29*P37</f>
        <v/>
      </c>
      <c r="G29" s="20" t="n"/>
      <c r="H29" s="75" t="inlineStr">
        <is>
          <t xml:space="preserve"> - AUFWERTUNGSKOSTEN (RENO BLATT)</t>
        </is>
      </c>
      <c r="I29" s="708">
        <f>J29/C13</f>
        <v/>
      </c>
      <c r="J29" s="560">
        <f>RENO!O8</f>
        <v/>
      </c>
      <c r="K29" s="689" t="n"/>
      <c r="L29" s="20" t="n"/>
      <c r="M29" s="591" t="inlineStr">
        <is>
          <t xml:space="preserve"> JAHRESNETTOKALTMIETE SOLL</t>
        </is>
      </c>
      <c r="N29" s="690" t="n"/>
      <c r="O29" s="689" t="n"/>
      <c r="P29" s="76">
        <f>MIETER!N31</f>
        <v/>
      </c>
      <c r="Q29" s="20" t="n"/>
      <c r="R29" s="21" t="n"/>
      <c r="S29" s="21" t="n"/>
      <c r="T29" s="21" t="n"/>
      <c r="U29" s="21" t="n"/>
      <c r="V29" s="21" t="n"/>
      <c r="W29" s="21" t="n"/>
      <c r="X29" s="21" t="n"/>
      <c r="Y29" s="21" t="n"/>
      <c r="Z29" s="21" t="n"/>
    </row>
    <row r="30" ht="18" customHeight="1" s="545">
      <c r="A30" s="20" t="n"/>
      <c r="B30" s="53" t="inlineStr">
        <is>
          <t xml:space="preserve"> MAKLERPROVISION</t>
        </is>
      </c>
      <c r="C30" s="70" t="n"/>
      <c r="D30" s="48" t="n">
        <v>0.03</v>
      </c>
      <c r="E30" s="71">
        <f>D30*1.19</f>
        <v/>
      </c>
      <c r="F30" s="72">
        <f>E30*P37</f>
        <v/>
      </c>
      <c r="G30" s="20" t="n"/>
      <c r="H30" s="77" t="inlineStr">
        <is>
          <t xml:space="preserve"> - KAUFNEBENKOSTEN</t>
        </is>
      </c>
      <c r="I30" s="709">
        <f>J30/C13</f>
        <v/>
      </c>
      <c r="J30" s="618">
        <f>(J39-J27-J28-J29-J31)*(E31/(1+E31))</f>
        <v/>
      </c>
      <c r="K30" s="689" t="n"/>
      <c r="L30" s="20" t="n"/>
      <c r="M30" s="605" t="inlineStr">
        <is>
          <t xml:space="preserve"> = CASHFLOW PRO JAHR</t>
        </is>
      </c>
      <c r="N30" s="690" t="n"/>
      <c r="O30" s="689" t="n"/>
      <c r="P30" s="710">
        <f>P29-P27-P28</f>
        <v/>
      </c>
      <c r="Q30" s="20" t="n"/>
      <c r="R30" s="21" t="n"/>
      <c r="S30" s="21" t="n"/>
      <c r="T30" s="21" t="n"/>
      <c r="U30" s="21" t="n"/>
      <c r="V30" s="21" t="n"/>
      <c r="W30" s="21" t="n"/>
      <c r="X30" s="21" t="n"/>
      <c r="Y30" s="21" t="n"/>
      <c r="Z30" s="21" t="n"/>
    </row>
    <row r="31" ht="18" customHeight="1" s="545">
      <c r="A31" s="20" t="n"/>
      <c r="B31" s="601" t="inlineStr">
        <is>
          <t>KAUFNEBENKOSTEN =</t>
        </is>
      </c>
      <c r="C31" s="690" t="n"/>
      <c r="D31" s="690" t="n"/>
      <c r="E31" s="80">
        <f>SUM(E28:E30)</f>
        <v/>
      </c>
      <c r="F31" s="81">
        <f>SUM(F28:F30)</f>
        <v/>
      </c>
      <c r="G31" s="20" t="n"/>
      <c r="H31" s="604">
        <f>" - MIETEINNAHMEN IST ("&amp;F21&amp;" MONATE)"</f>
        <v/>
      </c>
      <c r="I31" s="689" t="n"/>
      <c r="J31" s="585">
        <f>(MIETER!J31*-1)*(F21/12)</f>
        <v/>
      </c>
      <c r="K31" s="689" t="n"/>
      <c r="L31" s="20" t="n"/>
      <c r="M31" s="591" t="inlineStr">
        <is>
          <t xml:space="preserve"> =&gt; RENDITE (JNKM zu KP+NK) Mietspiegel</t>
        </is>
      </c>
      <c r="N31" s="690" t="n"/>
      <c r="O31" s="689" t="n"/>
      <c r="P31" s="82">
        <f>P29/(P37+J30)</f>
        <v/>
      </c>
      <c r="Q31" s="20" t="n"/>
      <c r="R31" s="21" t="n"/>
      <c r="S31" s="83" t="n"/>
      <c r="T31" s="21" t="n"/>
      <c r="U31" s="21" t="n"/>
      <c r="V31" s="21" t="n"/>
      <c r="W31" s="21" t="n"/>
      <c r="X31" s="21" t="n"/>
      <c r="Y31" s="21" t="n"/>
      <c r="Z31" s="21" t="n"/>
    </row>
    <row r="32" ht="18" customHeight="1" s="545">
      <c r="A32" s="20" t="n"/>
      <c r="B32" s="19" t="n"/>
      <c r="C32" s="19" t="n"/>
      <c r="D32" s="19" t="n"/>
      <c r="E32" s="19" t="n"/>
      <c r="F32" s="19" t="n"/>
      <c r="G32" s="20" t="n"/>
      <c r="H32" s="581" t="inlineStr">
        <is>
          <t xml:space="preserve"> = GESAMTKOSTEN</t>
        </is>
      </c>
      <c r="I32" s="711">
        <f>SUM(I27:I30)</f>
        <v/>
      </c>
      <c r="J32" s="704">
        <f>SUM(J27:J31)</f>
        <v/>
      </c>
      <c r="K32" s="689" t="n"/>
      <c r="L32" s="20" t="n"/>
      <c r="M32" s="591" t="inlineStr">
        <is>
          <t xml:space="preserve"> =&gt; RENDITE (JNKM zu GIK) Modernisierung</t>
        </is>
      </c>
      <c r="N32" s="690" t="n"/>
      <c r="O32" s="689" t="n"/>
      <c r="P32" s="85">
        <f>MIETER!R31/J39</f>
        <v/>
      </c>
      <c r="Q32" s="20" t="n"/>
      <c r="R32" s="21" t="n"/>
      <c r="S32" s="21" t="n"/>
      <c r="T32" s="21" t="n"/>
      <c r="U32" s="21" t="n"/>
      <c r="V32" s="21" t="n"/>
      <c r="W32" s="21" t="n"/>
      <c r="X32" s="21" t="n"/>
      <c r="Y32" s="21" t="n"/>
      <c r="Z32" s="21" t="n"/>
    </row>
    <row r="33" ht="18" customHeight="1" s="545">
      <c r="A33" s="20" t="n"/>
      <c r="B33" s="19" t="n"/>
      <c r="C33" s="19" t="n"/>
      <c r="D33" s="19" t="n"/>
      <c r="E33" s="19" t="n"/>
      <c r="F33" s="19" t="n"/>
      <c r="G33" s="20" t="n"/>
      <c r="H33" s="19" t="n"/>
      <c r="I33" s="19" t="n"/>
      <c r="J33" s="19" t="n"/>
      <c r="K33" s="19" t="n"/>
      <c r="L33" s="20" t="n"/>
      <c r="M33" s="19" t="n"/>
      <c r="N33" s="19" t="n"/>
      <c r="O33" s="19" t="n"/>
      <c r="P33" s="19" t="n"/>
      <c r="Q33" s="20" t="n"/>
      <c r="R33" s="21" t="n"/>
      <c r="S33" s="21" t="n"/>
      <c r="T33" s="21" t="n"/>
      <c r="U33" s="21" t="n"/>
      <c r="V33" s="21" t="n"/>
      <c r="W33" s="21" t="n"/>
      <c r="X33" s="21" t="n"/>
      <c r="Y33" s="21" t="n"/>
      <c r="Z33" s="21" t="n"/>
    </row>
    <row r="34" ht="18" customHeight="1" s="545">
      <c r="A34" s="20" t="n"/>
      <c r="B34" s="612" t="inlineStr">
        <is>
          <t>3. AUF-/ABSCHLAG</t>
        </is>
      </c>
      <c r="C34" s="690" t="n"/>
      <c r="D34" s="690" t="n"/>
      <c r="E34" s="690" t="n"/>
      <c r="F34" s="86">
        <f>YEAR(TODAY())</f>
        <v/>
      </c>
      <c r="G34" s="20" t="n"/>
      <c r="H34" s="576" t="inlineStr">
        <is>
          <t>7. GEWINN &amp; GIK</t>
        </is>
      </c>
      <c r="I34" s="690" t="n"/>
      <c r="J34" s="690" t="n"/>
      <c r="K34" s="689" t="n"/>
      <c r="L34" s="20" t="n"/>
      <c r="M34" s="576" t="inlineStr">
        <is>
          <t>8. ANGEBOT</t>
        </is>
      </c>
      <c r="N34" s="690" t="n"/>
      <c r="O34" s="690" t="n"/>
      <c r="P34" s="689" t="n"/>
      <c r="Q34" s="20" t="n"/>
      <c r="R34" s="21" t="n"/>
      <c r="S34" s="21" t="n"/>
      <c r="T34" s="21" t="n"/>
      <c r="U34" s="21" t="n"/>
      <c r="V34" s="21" t="n"/>
      <c r="W34" s="21" t="n"/>
      <c r="X34" s="21" t="n"/>
      <c r="Y34" s="21" t="n"/>
      <c r="Z34" s="21" t="n"/>
    </row>
    <row r="35" ht="18" customHeight="1" s="545">
      <c r="A35" s="20" t="n"/>
      <c r="B35" s="53" t="inlineStr">
        <is>
          <t xml:space="preserve"> ART DER HEIZUNG</t>
        </is>
      </c>
      <c r="C35" s="617" t="inlineStr">
        <is>
          <t>Zentral</t>
        </is>
      </c>
      <c r="D35" s="689" t="n"/>
      <c r="E35" s="617" t="inlineStr">
        <is>
          <t>Elektro</t>
        </is>
      </c>
      <c r="F35" s="712">
        <f>IF(OR(E35="Öl", E35="Elektro"), -0.05, IF(E35="Gas", 0, IF(OR(E35="Pellet", E35="Wärmepumpe"), 0.05, "")))</f>
        <v/>
      </c>
      <c r="G35" s="713">
        <f>F34-E36</f>
        <v/>
      </c>
      <c r="H35" s="613">
        <f>" VERKAUFSPREIS aus VORKALKULATION 
  (inkl. "&amp;TEXT(C17-(20*C13),"#,##0 €")&amp;" Rücklagen)"</f>
        <v/>
      </c>
      <c r="I35" s="695">
        <f>J35/C13</f>
        <v/>
      </c>
      <c r="J35" s="561">
        <f>O18+C17-(50*C13)</f>
        <v/>
      </c>
      <c r="K35" s="562" t="n"/>
      <c r="L35" s="20" t="n"/>
      <c r="M35" s="602" t="inlineStr">
        <is>
          <t xml:space="preserve"> SCHMERZGRENZE</t>
        </is>
      </c>
      <c r="N35" s="562" t="n"/>
      <c r="O35" s="695">
        <f>P35/C13</f>
        <v/>
      </c>
      <c r="P35" s="556">
        <f>C19</f>
        <v/>
      </c>
      <c r="Q35" s="20" t="n"/>
      <c r="R35" s="21" t="n"/>
      <c r="S35" s="21" t="n"/>
      <c r="T35" s="21" t="n"/>
      <c r="U35" s="21" t="n"/>
      <c r="V35" s="21" t="n"/>
      <c r="W35" s="21" t="n"/>
      <c r="X35" s="21" t="n"/>
      <c r="Y35" s="21" t="n"/>
      <c r="Z35" s="21" t="n"/>
    </row>
    <row r="36" ht="18" customHeight="1" s="545">
      <c r="A36" s="20" t="n"/>
      <c r="B36" s="572" t="inlineStr">
        <is>
          <t xml:space="preserve"> BAUJAHR HEIZUNG</t>
        </is>
      </c>
      <c r="C36" s="690" t="n"/>
      <c r="D36" s="689" t="n"/>
      <c r="E36" s="714" t="n">
        <v>2024</v>
      </c>
      <c r="F36" s="712">
        <f>IF(ISBLANK(E36), 0, MAX(MIN(0.03 - 0.003 * (F34 - E36), 0.03), -0.09))</f>
        <v/>
      </c>
      <c r="G36" s="20" t="n"/>
      <c r="H36" s="691" t="n"/>
      <c r="I36" s="691" t="n"/>
      <c r="J36" s="688" t="n"/>
      <c r="K36" s="563" t="n"/>
      <c r="L36" s="20" t="n"/>
      <c r="M36" s="688" t="n"/>
      <c r="N36" s="563" t="n"/>
      <c r="O36" s="691" t="n"/>
      <c r="P36" s="691" t="n"/>
      <c r="Q36" s="20" t="n"/>
      <c r="R36" s="21" t="n"/>
      <c r="S36" s="21" t="n"/>
      <c r="T36" s="21" t="n"/>
      <c r="U36" s="21" t="n"/>
      <c r="V36" s="21" t="n"/>
      <c r="W36" s="21" t="n"/>
      <c r="X36" s="21" t="n"/>
      <c r="Y36" s="21" t="n"/>
      <c r="Z36" s="21" t="n"/>
    </row>
    <row r="37" ht="18" customHeight="1" s="545">
      <c r="A37" s="20" t="n"/>
      <c r="B37" s="572" t="inlineStr">
        <is>
          <t xml:space="preserve"> FASSADE WIRD / IST GEDÄMMT?</t>
        </is>
      </c>
      <c r="C37" s="690" t="n"/>
      <c r="D37" s="689" t="n"/>
      <c r="E37" s="617" t="inlineStr">
        <is>
          <t>Ja</t>
        </is>
      </c>
      <c r="F37" s="712">
        <f>IF(E37="Nein",-0.04,0.04)</f>
        <v/>
      </c>
      <c r="G37" s="20" t="n"/>
      <c r="H37" s="586" t="inlineStr">
        <is>
          <t xml:space="preserve"> VERKAUFSPREIS aus VERKAUFSMATRIX
 (Detailbetrachtung aller Wohnungen)</t>
        </is>
      </c>
      <c r="I37" s="695">
        <f>J37/C13</f>
        <v/>
      </c>
      <c r="J37" s="588">
        <f>VERKAUFSMATRIX!Y28</f>
        <v/>
      </c>
      <c r="K37" s="562" t="n"/>
      <c r="L37" s="20" t="n"/>
      <c r="M37" s="715" t="inlineStr">
        <is>
          <t xml:space="preserve"> DEIN ANGEBOTSPREIS</t>
        </is>
      </c>
      <c r="N37" s="562" t="n"/>
      <c r="O37" s="716">
        <f>P37/C13</f>
        <v/>
      </c>
      <c r="P37" s="717">
        <f>J39-J32</f>
        <v/>
      </c>
      <c r="Q37" s="21" t="n"/>
      <c r="R37" s="21" t="n"/>
      <c r="S37" s="21" t="n"/>
      <c r="T37" s="21" t="n"/>
      <c r="U37" s="21" t="n"/>
      <c r="V37" s="21" t="n"/>
      <c r="W37" s="21" t="n"/>
      <c r="X37" s="21" t="n"/>
      <c r="Y37" s="21" t="n"/>
      <c r="Z37" s="21" t="n"/>
    </row>
    <row r="38" ht="18" customHeight="1" s="545">
      <c r="A38" s="20" t="n"/>
      <c r="B38" s="572" t="inlineStr">
        <is>
          <t xml:space="preserve"> ZÄHLERSCHRANK WIRD / WURDE ERNEUERT?</t>
        </is>
      </c>
      <c r="C38" s="690" t="n"/>
      <c r="D38" s="689" t="n"/>
      <c r="E38" s="617" t="n">
        <v>2024</v>
      </c>
      <c r="F38" s="712">
        <f>IF(ISBLANK(E38), 0, MAX(MIN(0.01 - 0.001 * (F34 - E38), 0.01), -0.02))</f>
        <v/>
      </c>
      <c r="G38" s="20" t="n"/>
      <c r="H38" s="691" t="n"/>
      <c r="I38" s="691" t="n"/>
      <c r="J38" s="688" t="n"/>
      <c r="K38" s="563" t="n"/>
      <c r="L38" s="20" t="n"/>
      <c r="M38" s="596" t="n"/>
      <c r="N38" s="597" t="n"/>
      <c r="O38" s="718" t="n"/>
      <c r="P38" s="718" t="n"/>
      <c r="Q38" s="21" t="n"/>
      <c r="R38" s="21" t="n"/>
      <c r="S38" s="21" t="n"/>
      <c r="T38" s="21" t="n"/>
      <c r="U38" s="21" t="n"/>
      <c r="V38" s="21" t="n"/>
      <c r="W38" s="21" t="n"/>
      <c r="X38" s="21" t="n"/>
      <c r="Y38" s="21" t="n"/>
      <c r="Z38" s="21" t="n"/>
    </row>
    <row r="39" ht="18" customHeight="1" s="545">
      <c r="A39" s="20" t="n"/>
      <c r="B39" s="603" t="inlineStr">
        <is>
          <t xml:space="preserve"> TREPPENHAUS WIRD / WURDE RENOVIERT?</t>
        </is>
      </c>
      <c r="C39" s="690" t="n"/>
      <c r="D39" s="689" t="n"/>
      <c r="E39" s="91" t="inlineStr">
        <is>
          <t>Ja</t>
        </is>
      </c>
      <c r="F39" s="719">
        <f>IF(E39="Nein",-0.02,0.02)</f>
        <v/>
      </c>
      <c r="G39" s="20" t="n"/>
      <c r="H39" s="93" t="inlineStr">
        <is>
          <t xml:space="preserve"> - GESAMTINVESTITIONSKOSTEN</t>
        </is>
      </c>
      <c r="I39" s="720">
        <f>J39/C13</f>
        <v/>
      </c>
      <c r="J39" s="721">
        <f>J37/(1+C18)</f>
        <v/>
      </c>
      <c r="K39" s="562" t="n"/>
      <c r="L39" s="20" t="n"/>
      <c r="M39" s="688" t="n"/>
      <c r="N39" s="563" t="n"/>
      <c r="O39" s="691" t="n"/>
      <c r="P39" s="691" t="n"/>
      <c r="Q39" s="21" t="n"/>
      <c r="R39" s="21" t="n"/>
      <c r="S39" s="21" t="n"/>
      <c r="T39" s="21" t="n"/>
      <c r="U39" s="21" t="n"/>
      <c r="V39" s="21" t="n"/>
      <c r="W39" s="21" t="n"/>
      <c r="X39" s="21" t="n"/>
      <c r="Y39" s="21" t="n"/>
      <c r="Z39" s="21" t="n"/>
    </row>
    <row r="40" ht="18" customHeight="1" s="545">
      <c r="A40" s="20" t="n"/>
      <c r="B40" s="572" t="inlineStr">
        <is>
          <t xml:space="preserve"> INDIVIDUELLER AUF-/ABSCHLAG</t>
        </is>
      </c>
      <c r="C40" s="690" t="n"/>
      <c r="D40" s="690" t="n"/>
      <c r="E40" s="689" t="n"/>
      <c r="F40" s="722" t="n">
        <v>0</v>
      </c>
      <c r="G40" s="20" t="n"/>
      <c r="H40" s="586">
        <f>" = GEWINN "&amp;TEXT(C18,"0%")</f>
        <v/>
      </c>
      <c r="I40" s="695">
        <f>J40/C13</f>
        <v/>
      </c>
      <c r="J40" s="723">
        <f>J39*C18</f>
        <v/>
      </c>
      <c r="K40" s="562" t="n"/>
      <c r="L40" s="20" t="n"/>
      <c r="M40" s="581" t="inlineStr">
        <is>
          <t xml:space="preserve"> DIFFERENZ (€)</t>
        </is>
      </c>
      <c r="N40" s="689" t="n"/>
      <c r="O40" s="695">
        <f>P40/C13</f>
        <v/>
      </c>
      <c r="P40" s="96">
        <f>P37-P35</f>
        <v/>
      </c>
      <c r="Q40" s="21" t="n"/>
      <c r="R40" s="21" t="n"/>
      <c r="S40" s="21" t="n"/>
      <c r="T40" s="21" t="n"/>
      <c r="U40" s="21" t="n"/>
      <c r="V40" s="21" t="n"/>
      <c r="W40" s="21" t="n"/>
      <c r="X40" s="21" t="n"/>
      <c r="Y40" s="21" t="n"/>
      <c r="Z40" s="21" t="n"/>
    </row>
    <row r="41" ht="18" customHeight="1" s="545">
      <c r="A41" s="20" t="n"/>
      <c r="B41" s="593" t="inlineStr">
        <is>
          <t>AUF-/ABSCHLAG GESAMT =</t>
        </is>
      </c>
      <c r="C41" s="690" t="n"/>
      <c r="D41" s="690" t="n"/>
      <c r="E41" s="689" t="n"/>
      <c r="F41" s="724">
        <f>SUM(F35:F40)</f>
        <v/>
      </c>
      <c r="G41" s="20" t="n"/>
      <c r="H41" s="691" t="n"/>
      <c r="I41" s="691" t="n"/>
      <c r="J41" s="688" t="n"/>
      <c r="K41" s="563" t="n"/>
      <c r="L41" s="20" t="n"/>
      <c r="M41" s="581" t="inlineStr">
        <is>
          <t xml:space="preserve"> DIFFERENZ (%)</t>
        </is>
      </c>
      <c r="N41" s="689" t="n"/>
      <c r="O41" s="578">
        <f>IFERROR(1-(P37/P35),"")</f>
        <v/>
      </c>
      <c r="P41" s="689" t="n"/>
      <c r="Q41" s="21" t="n"/>
      <c r="R41" s="21" t="n"/>
      <c r="S41" s="21" t="n"/>
      <c r="T41" s="21" t="n"/>
      <c r="U41" s="21" t="n"/>
      <c r="V41" s="21" t="n"/>
      <c r="W41" s="21" t="n"/>
      <c r="X41" s="21" t="n"/>
      <c r="Y41" s="21" t="n"/>
      <c r="Z41" s="21" t="n"/>
    </row>
    <row r="42" ht="15.75" customHeight="1" s="545">
      <c r="A42" s="21" t="n"/>
      <c r="B42" s="21" t="n"/>
      <c r="C42" s="21" t="n"/>
      <c r="D42" s="21" t="n"/>
      <c r="E42" s="21" t="n"/>
      <c r="F42" s="21" t="n"/>
      <c r="G42" s="21" t="n"/>
      <c r="H42" s="21" t="n"/>
      <c r="I42" s="21" t="n"/>
      <c r="J42" s="21" t="n"/>
      <c r="K42" s="21" t="n"/>
      <c r="L42" s="21" t="n"/>
      <c r="M42" s="21" t="n"/>
      <c r="N42" s="21" t="n"/>
      <c r="O42" s="21" t="n"/>
      <c r="P42" s="21" t="n"/>
      <c r="Q42" s="21" t="n"/>
      <c r="R42" s="21" t="n"/>
      <c r="S42" s="21" t="n"/>
      <c r="T42" s="21" t="n"/>
      <c r="U42" s="21" t="n"/>
      <c r="V42" s="21" t="n"/>
      <c r="W42" s="21" t="n"/>
      <c r="X42" s="21" t="n"/>
      <c r="Y42" s="21" t="n"/>
      <c r="Z42" s="21" t="n"/>
    </row>
    <row r="43" ht="15.75" customHeight="1" s="545">
      <c r="A43" s="21" t="n"/>
      <c r="B43" s="21" t="n"/>
      <c r="C43" s="98" t="n"/>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row>
    <row r="44" ht="15.75" customHeight="1" s="545">
      <c r="A44" s="21" t="n"/>
      <c r="B44" s="99" t="n"/>
      <c r="C44" s="21" t="n"/>
      <c r="D44" s="21" t="n"/>
      <c r="E44" s="21" t="n"/>
      <c r="F44" s="21" t="n"/>
      <c r="G44" s="21" t="n"/>
      <c r="H44" s="99" t="n"/>
      <c r="I44" s="21" t="n"/>
      <c r="J44" s="21" t="n"/>
      <c r="K44" s="21" t="n"/>
      <c r="L44" s="21" t="n"/>
      <c r="M44" s="21" t="n"/>
      <c r="N44" s="21" t="n"/>
      <c r="O44" s="21" t="n"/>
      <c r="P44" s="21" t="n"/>
      <c r="Q44" s="21" t="n"/>
      <c r="R44" s="21" t="n"/>
      <c r="S44" s="21" t="n"/>
      <c r="T44" s="21" t="n"/>
      <c r="U44" s="21" t="n"/>
      <c r="V44" s="21" t="n"/>
      <c r="W44" s="21" t="n"/>
      <c r="X44" s="21" t="n"/>
      <c r="Y44" s="21" t="n"/>
      <c r="Z44" s="21" t="n"/>
    </row>
    <row r="45" ht="15.75" customHeight="1" s="545">
      <c r="A45" s="21" t="n"/>
      <c r="B45" s="21" t="n"/>
      <c r="C45" s="21" t="n"/>
      <c r="D45" s="100" t="n"/>
      <c r="E45" s="21" t="n"/>
      <c r="F45" s="609" t="n"/>
      <c r="G45" s="21" t="n"/>
      <c r="H45" s="21" t="n"/>
      <c r="I45" s="21" t="n"/>
      <c r="J45" s="21" t="n"/>
      <c r="K45" s="21" t="n"/>
      <c r="L45" s="21" t="n"/>
      <c r="M45" s="21" t="n"/>
      <c r="N45" s="21" t="n"/>
      <c r="O45" s="21" t="n"/>
      <c r="P45" s="21" t="n"/>
      <c r="Q45" s="21" t="n"/>
      <c r="R45" s="21" t="n"/>
      <c r="S45" s="21" t="n"/>
      <c r="T45" s="21" t="n"/>
      <c r="U45" s="21" t="n"/>
      <c r="V45" s="21" t="n"/>
      <c r="W45" s="21" t="n"/>
      <c r="X45" s="21" t="n"/>
      <c r="Y45" s="21" t="n"/>
      <c r="Z45" s="21" t="n"/>
    </row>
    <row r="46" ht="15.75" customHeight="1" s="545">
      <c r="A46" s="21" t="n"/>
      <c r="B46" s="101" t="n"/>
      <c r="C46" s="21" t="n"/>
      <c r="D46" s="21" t="n"/>
      <c r="E46" s="21" t="n"/>
      <c r="F46" s="21" t="n"/>
      <c r="G46" s="21" t="n"/>
      <c r="H46" s="21" t="n"/>
      <c r="I46" s="21" t="n"/>
      <c r="J46" s="21" t="n"/>
      <c r="K46" s="21" t="n"/>
      <c r="L46" s="21" t="n"/>
      <c r="M46" s="21" t="n"/>
      <c r="N46" s="21" t="n"/>
      <c r="O46" s="21" t="n"/>
      <c r="P46" s="21" t="n"/>
      <c r="Q46" s="21" t="n"/>
      <c r="R46" s="21" t="n"/>
      <c r="S46" s="21" t="n"/>
      <c r="T46" s="21" t="n"/>
      <c r="U46" s="21" t="n"/>
      <c r="V46" s="21" t="n"/>
      <c r="W46" s="21" t="n"/>
      <c r="X46" s="21" t="n"/>
      <c r="Y46" s="21" t="n"/>
      <c r="Z46" s="21" t="n"/>
    </row>
    <row r="47" ht="15.75" customHeight="1" s="545">
      <c r="A47" s="21" t="n"/>
      <c r="B47" s="102" t="n"/>
      <c r="C47" s="100" t="n"/>
      <c r="D47" s="103" t="n"/>
      <c r="E47" s="21" t="n"/>
      <c r="F47" s="19" t="n"/>
      <c r="G47" s="21" t="n"/>
      <c r="H47" s="21" t="n"/>
      <c r="I47" s="21" t="n"/>
      <c r="J47" s="21" t="n"/>
      <c r="K47" s="21" t="n"/>
      <c r="L47" s="21" t="n"/>
      <c r="M47" s="21" t="n"/>
      <c r="N47" s="21" t="n"/>
      <c r="O47" s="21" t="n"/>
      <c r="P47" s="21" t="n"/>
      <c r="Q47" s="21" t="n"/>
      <c r="R47" s="21" t="n"/>
      <c r="S47" s="21" t="n"/>
      <c r="T47" s="21" t="n"/>
      <c r="U47" s="21" t="n"/>
      <c r="V47" s="21" t="n"/>
      <c r="W47" s="21" t="n"/>
      <c r="X47" s="21" t="n"/>
      <c r="Y47" s="21" t="n"/>
      <c r="Z47" s="21" t="n"/>
    </row>
    <row r="48" ht="15.75" customHeight="1" s="545">
      <c r="A48" s="21" t="n"/>
      <c r="B48" s="104" t="n"/>
      <c r="C48" s="100" t="n"/>
      <c r="D48" s="100"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row>
    <row r="49" ht="15.75" customHeight="1" s="545">
      <c r="A49" s="21" t="n"/>
      <c r="B49" s="105" t="n"/>
      <c r="C49" s="106" t="n"/>
      <c r="D49" s="99" t="n"/>
      <c r="E49" s="21" t="n"/>
      <c r="F49" s="21" t="n"/>
      <c r="G49" s="21" t="n"/>
      <c r="H49" s="21" t="n"/>
      <c r="I49" s="21" t="n"/>
      <c r="J49" s="21" t="n"/>
      <c r="K49" s="21" t="n"/>
      <c r="L49" s="21" t="n"/>
      <c r="M49" s="21" t="n"/>
      <c r="N49" s="21" t="n"/>
      <c r="O49" s="21" t="n"/>
      <c r="P49" s="21" t="n"/>
      <c r="Q49" s="21" t="n"/>
      <c r="R49" s="21" t="n"/>
      <c r="S49" s="21" t="n"/>
      <c r="T49" s="21" t="n"/>
      <c r="U49" s="21" t="n"/>
      <c r="V49" s="21" t="n"/>
      <c r="W49" s="21" t="n"/>
      <c r="X49" s="21" t="n"/>
      <c r="Y49" s="21" t="n"/>
      <c r="Z49" s="21" t="n"/>
    </row>
    <row r="50" ht="15.75" customHeight="1" s="545">
      <c r="A50" s="21" t="n"/>
      <c r="B50" s="21" t="n"/>
      <c r="C50" s="107"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row>
    <row r="51" ht="15.75" customHeight="1" s="545">
      <c r="A51" s="21" t="n"/>
      <c r="B51" s="21" t="n"/>
      <c r="C51" s="21" t="n"/>
      <c r="D51" s="21" t="n"/>
      <c r="E51" s="21" t="n"/>
      <c r="F51" s="21" t="n"/>
      <c r="G51" s="21" t="n"/>
      <c r="H51" s="21" t="n"/>
      <c r="I51" s="21" t="n"/>
      <c r="J51" s="21" t="n"/>
      <c r="K51" s="21" t="n"/>
      <c r="L51" s="21" t="n"/>
      <c r="M51" s="21" t="n"/>
      <c r="N51" s="21" t="n"/>
      <c r="O51" s="21" t="n"/>
      <c r="P51" s="21" t="n"/>
      <c r="Q51" s="21" t="n"/>
      <c r="R51" s="21" t="n"/>
      <c r="S51" s="21" t="n"/>
      <c r="T51" s="21" t="n"/>
      <c r="U51" s="21" t="n"/>
      <c r="V51" s="21" t="n"/>
      <c r="W51" s="21" t="n"/>
      <c r="X51" s="21" t="n"/>
      <c r="Y51" s="21" t="n"/>
      <c r="Z51" s="21" t="n"/>
    </row>
    <row r="52" ht="15.75" customHeight="1" s="545">
      <c r="A52" s="21" t="n"/>
      <c r="B52" s="21" t="n"/>
      <c r="C52" s="19" t="n"/>
      <c r="D52" s="19" t="n"/>
      <c r="E52" s="21" t="n"/>
      <c r="F52" s="21" t="n"/>
      <c r="G52" s="21" t="n"/>
      <c r="H52" s="21" t="n"/>
      <c r="I52" s="21" t="n"/>
      <c r="J52" s="21" t="n"/>
      <c r="K52" s="21" t="n"/>
      <c r="L52" s="21" t="n"/>
      <c r="M52" s="21" t="n"/>
      <c r="N52" s="21" t="n"/>
      <c r="O52" s="21" t="n"/>
      <c r="P52" s="21" t="n"/>
      <c r="Q52" s="21" t="n"/>
      <c r="R52" s="21" t="n"/>
      <c r="S52" s="21" t="n"/>
      <c r="T52" s="21" t="n"/>
      <c r="U52" s="21" t="n"/>
      <c r="V52" s="21" t="n"/>
      <c r="W52" s="21" t="n"/>
      <c r="X52" s="21" t="n"/>
      <c r="Y52" s="21" t="n"/>
      <c r="Z52" s="21" t="n"/>
    </row>
    <row r="53" ht="15.75" customHeight="1" s="545">
      <c r="A53" s="21" t="n"/>
      <c r="B53" s="21" t="n"/>
      <c r="C53" s="19" t="n"/>
      <c r="D53" s="19" t="n"/>
      <c r="E53" s="21" t="n"/>
      <c r="F53" s="21" t="n"/>
      <c r="G53" s="21" t="n"/>
      <c r="H53" s="21" t="n"/>
      <c r="I53" s="21" t="n"/>
      <c r="J53" s="21" t="n"/>
      <c r="K53" s="21" t="n"/>
      <c r="L53" s="21" t="n"/>
      <c r="M53" s="21" t="n"/>
      <c r="N53" s="21" t="n"/>
      <c r="O53" s="21" t="n"/>
      <c r="P53" s="21" t="n"/>
      <c r="Q53" s="21" t="n"/>
      <c r="R53" s="21" t="n"/>
      <c r="S53" s="21" t="n"/>
      <c r="T53" s="21" t="n"/>
      <c r="U53" s="21" t="n"/>
      <c r="V53" s="21" t="n"/>
      <c r="W53" s="21" t="n"/>
      <c r="X53" s="21" t="n"/>
      <c r="Y53" s="21" t="n"/>
      <c r="Z53" s="21" t="n"/>
    </row>
    <row r="54" ht="15.75" customHeight="1" s="545">
      <c r="A54" s="21" t="n"/>
      <c r="B54" s="21" t="n"/>
      <c r="C54" s="21" t="n"/>
      <c r="D54" s="21" t="n"/>
      <c r="E54" s="21" t="n"/>
      <c r="F54" s="21" t="n"/>
      <c r="G54" s="21" t="n"/>
      <c r="H54" s="21" t="n"/>
      <c r="I54" s="21" t="n"/>
      <c r="J54" s="21" t="n"/>
      <c r="K54" s="21" t="n"/>
      <c r="L54" s="21" t="n"/>
      <c r="M54" s="21" t="n"/>
      <c r="N54" s="21" t="n"/>
      <c r="O54" s="21" t="n"/>
      <c r="P54" s="21" t="n"/>
      <c r="Q54" s="21" t="n"/>
      <c r="R54" s="21" t="n"/>
      <c r="S54" s="21" t="n"/>
      <c r="T54" s="21" t="n"/>
      <c r="U54" s="21" t="n"/>
      <c r="V54" s="21" t="n"/>
      <c r="W54" s="21" t="n"/>
      <c r="X54" s="21" t="n"/>
      <c r="Y54" s="21" t="n"/>
      <c r="Z54" s="21" t="n"/>
    </row>
    <row r="55" ht="15.75" customHeight="1" s="545">
      <c r="A55" s="21" t="n"/>
      <c r="B55" s="105" t="n"/>
      <c r="C55" s="21" t="n"/>
      <c r="D55" s="21" t="n"/>
      <c r="E55" s="21" t="n"/>
      <c r="F55" s="21" t="n"/>
      <c r="G55" s="21" t="n"/>
      <c r="H55" s="21" t="n"/>
      <c r="I55" s="21" t="n"/>
      <c r="J55" s="21" t="n"/>
      <c r="K55" s="21" t="n"/>
      <c r="L55" s="21" t="n"/>
      <c r="M55" s="21" t="n"/>
      <c r="N55" s="21" t="n"/>
      <c r="O55" s="21" t="n"/>
      <c r="P55" s="21" t="n"/>
      <c r="Q55" s="21" t="n"/>
      <c r="R55" s="21" t="n"/>
      <c r="S55" s="21" t="n"/>
      <c r="T55" s="21" t="n"/>
      <c r="U55" s="21" t="n"/>
      <c r="V55" s="21" t="n"/>
      <c r="W55" s="21" t="n"/>
      <c r="X55" s="21" t="n"/>
      <c r="Y55" s="21" t="n"/>
      <c r="Z55" s="21" t="n"/>
    </row>
    <row r="56" ht="15.75" customHeight="1" s="545">
      <c r="A56" s="21" t="n"/>
      <c r="B56" s="105" t="n"/>
      <c r="C56" s="21" t="n"/>
      <c r="D56" s="21" t="n"/>
      <c r="E56" s="21" t="n"/>
      <c r="F56" s="21" t="n"/>
      <c r="G56" s="21" t="n"/>
      <c r="H56" s="21" t="n"/>
      <c r="I56" s="21" t="n"/>
      <c r="J56" s="21" t="n"/>
      <c r="K56" s="21" t="n"/>
      <c r="L56" s="21" t="n"/>
      <c r="M56" s="21" t="n"/>
      <c r="N56" s="21" t="n"/>
      <c r="O56" s="21" t="n"/>
      <c r="P56" s="21" t="n"/>
      <c r="Q56" s="21" t="n"/>
      <c r="R56" s="21" t="n"/>
      <c r="S56" s="21" t="n"/>
      <c r="T56" s="21" t="n"/>
      <c r="U56" s="21" t="n"/>
      <c r="V56" s="21" t="n"/>
      <c r="W56" s="21" t="n"/>
      <c r="X56" s="21" t="n"/>
      <c r="Y56" s="21" t="n"/>
      <c r="Z56" s="21" t="n"/>
    </row>
    <row r="57" ht="15.75" customHeight="1" s="545">
      <c r="A57" s="21" t="n"/>
      <c r="B57" s="21" t="n"/>
      <c r="C57" s="21" t="n"/>
      <c r="D57" s="21" t="n"/>
      <c r="E57" s="21" t="n"/>
      <c r="F57" s="21" t="n"/>
      <c r="G57" s="21" t="n"/>
      <c r="H57" s="21" t="n"/>
      <c r="I57" s="21" t="n"/>
      <c r="J57" s="21" t="n"/>
      <c r="K57" s="21" t="n"/>
      <c r="L57" s="21" t="n"/>
      <c r="M57" s="21" t="n"/>
      <c r="N57" s="21" t="n"/>
      <c r="O57" s="21" t="n"/>
      <c r="P57" s="21" t="n"/>
      <c r="Q57" s="21" t="n"/>
      <c r="R57" s="21" t="n"/>
      <c r="S57" s="21" t="n"/>
      <c r="T57" s="21" t="n"/>
      <c r="U57" s="21" t="n"/>
      <c r="V57" s="21" t="n"/>
      <c r="W57" s="21" t="n"/>
      <c r="X57" s="21" t="n"/>
      <c r="Y57" s="21" t="n"/>
      <c r="Z57" s="21" t="n"/>
    </row>
    <row r="58" ht="15.75" customHeight="1" s="545">
      <c r="A58" s="21" t="n"/>
      <c r="B58" s="21" t="n"/>
      <c r="C58" s="105" t="n"/>
      <c r="D58" s="21" t="n"/>
      <c r="E58" s="21" t="n"/>
      <c r="F58" s="21" t="n"/>
      <c r="G58" s="21" t="n"/>
      <c r="H58" s="21" t="n"/>
      <c r="I58" s="21" t="n"/>
      <c r="J58" s="21" t="n"/>
      <c r="K58" s="21" t="n"/>
      <c r="L58" s="21" t="n"/>
      <c r="M58" s="21" t="n"/>
      <c r="N58" s="21" t="n"/>
      <c r="O58" s="21" t="n"/>
      <c r="P58" s="21" t="n"/>
      <c r="Q58" s="21" t="n"/>
      <c r="R58" s="21" t="n"/>
      <c r="S58" s="21" t="n"/>
      <c r="T58" s="21" t="n"/>
      <c r="U58" s="21" t="n"/>
      <c r="V58" s="21" t="n"/>
      <c r="W58" s="21" t="n"/>
      <c r="X58" s="21" t="n"/>
      <c r="Y58" s="21" t="n"/>
      <c r="Z58" s="21" t="n"/>
    </row>
    <row r="59" ht="15.75" customHeight="1" s="545">
      <c r="A59" s="21" t="n"/>
      <c r="B59" s="21" t="n"/>
      <c r="C59" s="105" t="n"/>
      <c r="D59" s="21" t="n"/>
      <c r="E59" s="21" t="n"/>
      <c r="F59" s="21" t="n"/>
      <c r="G59" s="21" t="n"/>
      <c r="H59" s="21" t="n"/>
      <c r="I59" s="21" t="n"/>
      <c r="J59" s="21" t="n"/>
      <c r="K59" s="21" t="n"/>
      <c r="L59" s="21" t="n"/>
      <c r="M59" s="21" t="n"/>
      <c r="N59" s="21" t="n"/>
      <c r="O59" s="21" t="n"/>
      <c r="P59" s="21" t="n"/>
      <c r="Q59" s="21" t="n"/>
      <c r="R59" s="21" t="n"/>
      <c r="S59" s="21" t="n"/>
      <c r="T59" s="21" t="n"/>
      <c r="U59" s="21" t="n"/>
      <c r="V59" s="21" t="n"/>
      <c r="W59" s="21" t="n"/>
      <c r="X59" s="21" t="n"/>
      <c r="Y59" s="21" t="n"/>
      <c r="Z59" s="21" t="n"/>
    </row>
    <row r="60" ht="15.75" customHeight="1" s="545">
      <c r="A60" s="21" t="n"/>
      <c r="B60" s="21" t="n"/>
      <c r="C60" s="105" t="n"/>
      <c r="D60" s="21" t="n"/>
      <c r="E60" s="21" t="n"/>
      <c r="F60" s="21" t="n"/>
      <c r="G60" s="21" t="n"/>
      <c r="H60" s="21" t="n"/>
      <c r="I60" s="21" t="n"/>
      <c r="J60" s="21" t="n"/>
      <c r="K60" s="21" t="n"/>
      <c r="L60" s="21" t="n"/>
      <c r="M60" s="21" t="n"/>
      <c r="N60" s="21" t="n"/>
      <c r="O60" s="21" t="n"/>
      <c r="P60" s="21" t="n"/>
      <c r="Q60" s="21" t="n"/>
      <c r="R60" s="21" t="n"/>
      <c r="S60" s="21" t="n"/>
      <c r="T60" s="21" t="n"/>
      <c r="U60" s="21" t="n"/>
      <c r="V60" s="21" t="n"/>
      <c r="W60" s="21" t="n"/>
      <c r="X60" s="21" t="n"/>
      <c r="Y60" s="21" t="n"/>
      <c r="Z60" s="21" t="n"/>
    </row>
    <row r="61" ht="15.75" customHeight="1" s="545">
      <c r="A61" s="21" t="n"/>
      <c r="B61" s="21" t="n"/>
      <c r="C61" s="105"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row>
    <row r="62" ht="15.75" customHeight="1" s="545">
      <c r="A62" s="21" t="n"/>
      <c r="B62" s="21" t="n"/>
      <c r="C62" s="105" t="n"/>
      <c r="D62" s="21" t="n"/>
      <c r="E62" s="21" t="n"/>
      <c r="F62" s="21" t="n"/>
      <c r="G62" s="21" t="n"/>
      <c r="H62" s="21" t="n"/>
      <c r="I62" s="21" t="n"/>
      <c r="J62" s="21" t="n"/>
      <c r="K62" s="21" t="n"/>
      <c r="L62" s="21" t="n"/>
      <c r="M62" s="21" t="n"/>
      <c r="N62" s="21" t="n"/>
      <c r="O62" s="21" t="n"/>
      <c r="P62" s="21" t="n"/>
      <c r="Q62" s="21" t="n"/>
      <c r="R62" s="21" t="n"/>
      <c r="S62" s="21" t="n"/>
      <c r="T62" s="21" t="n"/>
      <c r="U62" s="21" t="n"/>
      <c r="V62" s="21" t="n"/>
      <c r="W62" s="21" t="n"/>
      <c r="X62" s="21" t="n"/>
      <c r="Y62" s="21" t="n"/>
      <c r="Z62" s="21" t="n"/>
    </row>
    <row r="63" ht="15.75" customHeight="1" s="545">
      <c r="A63" s="21" t="n"/>
      <c r="B63" s="21" t="n"/>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row>
    <row r="64" ht="15.75" customHeight="1" s="545">
      <c r="A64" s="21" t="n"/>
      <c r="B64" s="21" t="n"/>
      <c r="C64" s="21" t="n"/>
      <c r="D64" s="21" t="n"/>
      <c r="E64" s="21" t="n"/>
      <c r="F64" s="21" t="n"/>
      <c r="G64" s="21" t="n"/>
      <c r="H64" s="21" t="n"/>
      <c r="I64" s="21" t="n"/>
      <c r="J64" s="21" t="n"/>
      <c r="K64" s="21" t="n"/>
      <c r="L64" s="21" t="n"/>
      <c r="M64" s="21" t="n"/>
      <c r="N64" s="21" t="n"/>
      <c r="O64" s="21" t="n"/>
      <c r="P64" s="21" t="n"/>
      <c r="Q64" s="21" t="n"/>
      <c r="R64" s="21" t="n"/>
      <c r="S64" s="21" t="n"/>
      <c r="T64" s="21" t="n"/>
      <c r="U64" s="21" t="n"/>
      <c r="V64" s="21" t="n"/>
      <c r="W64" s="21" t="n"/>
      <c r="X64" s="21" t="n"/>
      <c r="Y64" s="21" t="n"/>
      <c r="Z64" s="21" t="n"/>
    </row>
    <row r="65" ht="15.75" customHeight="1" s="545">
      <c r="A65" s="21" t="n"/>
      <c r="B65" s="21" t="n"/>
      <c r="C65" s="21" t="n"/>
      <c r="D65" s="21" t="n"/>
      <c r="E65" s="21" t="n"/>
      <c r="F65" s="21" t="n"/>
      <c r="G65" s="21" t="n"/>
      <c r="H65" s="21" t="n"/>
      <c r="I65" s="21" t="n"/>
      <c r="J65" s="21" t="n"/>
      <c r="K65" s="21" t="n"/>
      <c r="L65" s="21" t="n"/>
      <c r="M65" s="21" t="n"/>
      <c r="N65" s="21" t="n"/>
      <c r="O65" s="21" t="n"/>
      <c r="P65" s="21" t="n"/>
      <c r="Q65" s="21" t="n"/>
      <c r="R65" s="21" t="n"/>
      <c r="S65" s="21" t="n"/>
      <c r="T65" s="21" t="n"/>
      <c r="U65" s="21" t="n"/>
      <c r="V65" s="21" t="n"/>
      <c r="W65" s="21" t="n"/>
      <c r="X65" s="21" t="n"/>
      <c r="Y65" s="21" t="n"/>
      <c r="Z65" s="21" t="n"/>
    </row>
    <row r="66" ht="15.75" customHeight="1" s="545">
      <c r="A66" s="21" t="n"/>
      <c r="B66" s="21" t="n"/>
      <c r="C66" s="21" t="n"/>
      <c r="D66" s="21" t="n"/>
      <c r="E66" s="21" t="n"/>
      <c r="F66" s="21" t="n"/>
      <c r="G66" s="21" t="n"/>
      <c r="H66" s="21" t="n"/>
      <c r="I66" s="21" t="n"/>
      <c r="J66" s="21" t="n"/>
      <c r="K66" s="21" t="n"/>
      <c r="L66" s="21" t="n"/>
      <c r="M66" s="21" t="n"/>
      <c r="N66" s="21" t="n"/>
      <c r="O66" s="21" t="n"/>
      <c r="P66" s="21" t="n"/>
      <c r="Q66" s="21" t="n"/>
      <c r="R66" s="21" t="n"/>
      <c r="S66" s="21" t="n"/>
      <c r="T66" s="21" t="n"/>
      <c r="U66" s="21" t="n"/>
      <c r="V66" s="21" t="n"/>
      <c r="W66" s="21" t="n"/>
      <c r="X66" s="21" t="n"/>
      <c r="Y66" s="21" t="n"/>
      <c r="Z66" s="21" t="n"/>
    </row>
    <row r="67" ht="15.75" customHeight="1" s="545">
      <c r="A67" s="21" t="n"/>
      <c r="B67" s="21" t="n"/>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row>
    <row r="68" ht="15.75" customHeight="1" s="545">
      <c r="A68" s="21" t="n"/>
      <c r="B68" s="21" t="n"/>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row>
    <row r="69" ht="15.75" customHeight="1" s="545">
      <c r="A69" s="21" t="n"/>
      <c r="B69" s="21" t="n"/>
      <c r="C69" s="21" t="n"/>
      <c r="D69" s="21" t="n"/>
      <c r="E69" s="21" t="n"/>
      <c r="F69" s="21" t="n"/>
      <c r="G69" s="21" t="n"/>
      <c r="H69" s="21" t="n"/>
      <c r="I69" s="21" t="n"/>
      <c r="J69" s="21" t="n"/>
      <c r="K69" s="21" t="n"/>
      <c r="L69" s="21" t="n"/>
      <c r="M69" s="21" t="n"/>
      <c r="N69" s="21" t="n"/>
      <c r="O69" s="21" t="n"/>
      <c r="P69" s="21" t="n"/>
      <c r="Q69" s="21" t="n"/>
      <c r="R69" s="21" t="n"/>
      <c r="S69" s="21" t="n"/>
      <c r="T69" s="21" t="n"/>
      <c r="U69" s="21" t="n"/>
      <c r="V69" s="21" t="n"/>
      <c r="W69" s="21" t="n"/>
      <c r="X69" s="21" t="n"/>
      <c r="Y69" s="21" t="n"/>
      <c r="Z69" s="21" t="n"/>
    </row>
    <row r="70" ht="15.75" customHeight="1" s="545">
      <c r="A70" s="21" t="n"/>
      <c r="B70" s="21" t="n"/>
      <c r="C70" s="21" t="n"/>
      <c r="D70" s="21" t="n"/>
      <c r="E70" s="21" t="n"/>
      <c r="F70" s="21" t="n"/>
      <c r="G70" s="21" t="n"/>
      <c r="H70" s="21" t="n"/>
      <c r="I70" s="21" t="n"/>
      <c r="J70" s="21" t="n"/>
      <c r="K70" s="21" t="n"/>
      <c r="L70" s="21" t="n"/>
      <c r="M70" s="21" t="n"/>
      <c r="N70" s="21" t="n"/>
      <c r="O70" s="21" t="n"/>
      <c r="P70" s="21" t="n"/>
      <c r="Q70" s="21" t="n"/>
      <c r="R70" s="21" t="n"/>
      <c r="S70" s="21" t="n"/>
      <c r="T70" s="21" t="n"/>
      <c r="U70" s="21" t="n"/>
      <c r="V70" s="21" t="n"/>
      <c r="W70" s="21" t="n"/>
      <c r="X70" s="21" t="n"/>
      <c r="Y70" s="21" t="n"/>
      <c r="Z70" s="21" t="n"/>
    </row>
    <row r="71" ht="15.75" customHeight="1" s="545">
      <c r="A71" s="21" t="n"/>
      <c r="B71" s="21" t="n"/>
      <c r="C71" s="21" t="n"/>
      <c r="D71" s="21" t="n"/>
      <c r="E71" s="21" t="n"/>
      <c r="F71" s="21" t="n"/>
      <c r="G71" s="21" t="n"/>
      <c r="H71" s="21" t="n"/>
      <c r="I71" s="21" t="n"/>
      <c r="J71" s="21" t="n"/>
      <c r="K71" s="21" t="n"/>
      <c r="L71" s="21" t="n"/>
      <c r="M71" s="21" t="n"/>
      <c r="N71" s="21" t="n"/>
      <c r="O71" s="21" t="n"/>
      <c r="P71" s="21" t="n"/>
      <c r="Q71" s="21" t="n"/>
      <c r="R71" s="21" t="n"/>
      <c r="S71" s="21" t="n"/>
      <c r="T71" s="21" t="n"/>
      <c r="U71" s="21" t="n"/>
      <c r="V71" s="21" t="n"/>
      <c r="W71" s="21" t="n"/>
      <c r="X71" s="21" t="n"/>
      <c r="Y71" s="21" t="n"/>
      <c r="Z71" s="21" t="n"/>
    </row>
    <row r="72" ht="15.75" customHeight="1" s="545">
      <c r="A72" s="21" t="n"/>
      <c r="B72" s="21" t="n"/>
      <c r="C72" s="21" t="n"/>
      <c r="D72" s="21" t="n"/>
      <c r="E72" s="21" t="n"/>
      <c r="F72" s="21" t="n"/>
      <c r="G72" s="21" t="n"/>
      <c r="H72" s="21" t="n"/>
      <c r="I72" s="21" t="n"/>
      <c r="J72" s="21" t="n"/>
      <c r="K72" s="21" t="n"/>
      <c r="L72" s="21" t="n"/>
      <c r="M72" s="21" t="n"/>
      <c r="N72" s="21" t="n"/>
      <c r="O72" s="21" t="n"/>
      <c r="P72" s="21" t="n"/>
      <c r="Q72" s="21" t="n"/>
      <c r="R72" s="21" t="n"/>
      <c r="S72" s="21" t="n"/>
      <c r="T72" s="21" t="n"/>
      <c r="U72" s="21" t="n"/>
      <c r="V72" s="21" t="n"/>
      <c r="W72" s="21" t="n"/>
      <c r="X72" s="21" t="n"/>
      <c r="Y72" s="21" t="n"/>
      <c r="Z72" s="21" t="n"/>
    </row>
    <row r="73" ht="15.75" customHeight="1" s="545">
      <c r="A73" s="21" t="n"/>
      <c r="B73" s="21" t="n"/>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row>
    <row r="74" ht="15.75" customHeight="1" s="545">
      <c r="A74" s="21" t="n"/>
      <c r="B74" s="21" t="n"/>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row>
    <row r="75" ht="15.75" customHeight="1" s="545">
      <c r="A75" s="21" t="n"/>
      <c r="B75" s="21" t="n"/>
      <c r="C75" s="21" t="n"/>
      <c r="D75" s="21" t="n"/>
      <c r="E75" s="21" t="n"/>
      <c r="F75" s="21" t="n"/>
      <c r="G75" s="21" t="n"/>
      <c r="H75" s="21" t="n"/>
      <c r="I75" s="21" t="n"/>
      <c r="J75" s="21" t="n"/>
      <c r="K75" s="21" t="n"/>
      <c r="L75" s="21" t="n"/>
      <c r="M75" s="21" t="n"/>
      <c r="N75" s="21" t="n"/>
      <c r="O75" s="21" t="n"/>
      <c r="P75" s="21" t="n"/>
      <c r="Q75" s="21" t="n"/>
      <c r="R75" s="21" t="n"/>
      <c r="S75" s="21" t="n"/>
      <c r="T75" s="21" t="n"/>
      <c r="U75" s="21" t="n"/>
      <c r="V75" s="21" t="n"/>
      <c r="W75" s="21" t="n"/>
      <c r="X75" s="21" t="n"/>
      <c r="Y75" s="21" t="n"/>
      <c r="Z75" s="21" t="n"/>
    </row>
    <row r="76" ht="15.75" customHeight="1" s="545">
      <c r="A76" s="21" t="n"/>
      <c r="B76" s="21" t="n"/>
      <c r="C76" s="21" t="n"/>
      <c r="D76" s="21" t="n"/>
      <c r="E76" s="21" t="n"/>
      <c r="F76" s="21" t="n"/>
      <c r="G76" s="21" t="n"/>
      <c r="H76" s="21" t="n"/>
      <c r="I76" s="21" t="n"/>
      <c r="J76" s="21" t="n"/>
      <c r="K76" s="21" t="n"/>
      <c r="L76" s="21" t="n"/>
      <c r="M76" s="21" t="n"/>
      <c r="N76" s="21" t="n"/>
      <c r="O76" s="21" t="n"/>
      <c r="P76" s="21" t="n"/>
      <c r="Q76" s="21" t="n"/>
      <c r="R76" s="21" t="n"/>
      <c r="S76" s="21" t="n"/>
      <c r="T76" s="21" t="n"/>
      <c r="U76" s="21" t="n"/>
      <c r="V76" s="21" t="n"/>
      <c r="W76" s="21" t="n"/>
      <c r="X76" s="21" t="n"/>
      <c r="Y76" s="21" t="n"/>
      <c r="Z76" s="21" t="n"/>
    </row>
    <row r="77" ht="15.75" customHeight="1" s="545">
      <c r="A77" s="21" t="n"/>
      <c r="B77" s="21" t="n"/>
      <c r="C77" s="21" t="n"/>
      <c r="D77" s="21" t="n"/>
      <c r="E77" s="21" t="n"/>
      <c r="F77" s="21" t="n"/>
      <c r="G77" s="21" t="n"/>
      <c r="H77" s="21" t="n"/>
      <c r="I77" s="21" t="n"/>
      <c r="J77" s="21" t="n"/>
      <c r="K77" s="21" t="n"/>
      <c r="L77" s="21" t="n"/>
      <c r="M77" s="21" t="n"/>
      <c r="N77" s="21" t="n"/>
      <c r="O77" s="21" t="n"/>
      <c r="P77" s="21" t="n"/>
      <c r="Q77" s="21" t="n"/>
      <c r="R77" s="21" t="n"/>
      <c r="S77" s="21" t="n"/>
      <c r="T77" s="21" t="n"/>
      <c r="U77" s="21" t="n"/>
      <c r="V77" s="21" t="n"/>
      <c r="W77" s="21" t="n"/>
      <c r="X77" s="21" t="n"/>
      <c r="Y77" s="21" t="n"/>
      <c r="Z77" s="21" t="n"/>
    </row>
    <row r="78" ht="15.75" customHeight="1" s="545">
      <c r="A78" s="21" t="n"/>
      <c r="B78" s="21" t="n"/>
      <c r="C78" s="21" t="n"/>
      <c r="D78" s="21" t="n"/>
      <c r="E78" s="21" t="n"/>
      <c r="F78" s="21" t="n"/>
      <c r="G78" s="21" t="n"/>
      <c r="H78" s="21" t="n"/>
      <c r="I78" s="21" t="n"/>
      <c r="J78" s="21" t="n"/>
      <c r="K78" s="21" t="n"/>
      <c r="L78" s="21" t="n"/>
      <c r="M78" s="21" t="n"/>
      <c r="N78" s="21" t="n"/>
      <c r="O78" s="21" t="n"/>
      <c r="P78" s="21" t="n"/>
      <c r="Q78" s="21" t="n"/>
      <c r="R78" s="21" t="n"/>
      <c r="S78" s="21" t="n"/>
      <c r="T78" s="21" t="n"/>
      <c r="U78" s="21" t="n"/>
      <c r="V78" s="21" t="n"/>
      <c r="W78" s="21" t="n"/>
      <c r="X78" s="21" t="n"/>
      <c r="Y78" s="21" t="n"/>
      <c r="Z78" s="21" t="n"/>
    </row>
    <row r="79" ht="15.75" customHeight="1" s="545">
      <c r="A79" s="21" t="n"/>
      <c r="B79" s="21" t="n"/>
      <c r="C79" s="21" t="n"/>
      <c r="D79" s="21" t="n"/>
      <c r="E79" s="21" t="n"/>
      <c r="F79" s="21" t="n"/>
      <c r="G79" s="21" t="n"/>
      <c r="H79" s="21" t="n"/>
      <c r="I79" s="21" t="n"/>
      <c r="J79" s="21" t="n"/>
      <c r="K79" s="21" t="n"/>
      <c r="L79" s="21" t="n"/>
      <c r="M79" s="21" t="n"/>
      <c r="N79" s="21" t="n"/>
      <c r="O79" s="21" t="n"/>
      <c r="P79" s="21" t="n"/>
      <c r="Q79" s="21" t="n"/>
      <c r="R79" s="21" t="n"/>
      <c r="S79" s="21" t="n"/>
      <c r="T79" s="21" t="n"/>
      <c r="U79" s="21" t="n"/>
      <c r="V79" s="21" t="n"/>
      <c r="W79" s="21" t="n"/>
      <c r="X79" s="21" t="n"/>
      <c r="Y79" s="21" t="n"/>
      <c r="Z79" s="21" t="n"/>
    </row>
    <row r="80" ht="15.75" customHeight="1" s="545">
      <c r="A80" s="21" t="n"/>
      <c r="B80" s="21" t="n"/>
      <c r="C80" s="21" t="n"/>
      <c r="D80" s="21" t="n"/>
      <c r="E80" s="21" t="n"/>
      <c r="F80" s="21" t="n"/>
      <c r="G80" s="21" t="n"/>
      <c r="H80" s="21" t="n"/>
      <c r="I80" s="21" t="n"/>
      <c r="J80" s="21" t="n"/>
      <c r="K80" s="21" t="n"/>
      <c r="L80" s="21" t="n"/>
      <c r="M80" s="21" t="n"/>
      <c r="N80" s="21" t="n"/>
      <c r="O80" s="21" t="n"/>
      <c r="P80" s="21" t="n"/>
      <c r="Q80" s="21" t="n"/>
      <c r="R80" s="21" t="n"/>
      <c r="S80" s="21" t="n"/>
      <c r="T80" s="21" t="n"/>
      <c r="U80" s="21" t="n"/>
      <c r="V80" s="21" t="n"/>
      <c r="W80" s="21" t="n"/>
      <c r="X80" s="21" t="n"/>
      <c r="Y80" s="21" t="n"/>
      <c r="Z80" s="21" t="n"/>
    </row>
    <row r="81" ht="15.75" customHeight="1" s="545">
      <c r="A81" s="21" t="n"/>
      <c r="B81" s="21" t="n"/>
      <c r="C81" s="21" t="n"/>
      <c r="D81" s="21" t="n"/>
      <c r="E81" s="21" t="n"/>
      <c r="F81" s="21" t="n"/>
      <c r="G81" s="21" t="n"/>
      <c r="H81" s="21" t="n"/>
      <c r="I81" s="21" t="n"/>
      <c r="J81" s="21" t="n"/>
      <c r="K81" s="21" t="n"/>
      <c r="L81" s="21" t="n"/>
      <c r="M81" s="21" t="n"/>
      <c r="N81" s="21" t="n"/>
      <c r="O81" s="21" t="n"/>
      <c r="P81" s="21" t="n"/>
      <c r="Q81" s="21" t="n"/>
      <c r="R81" s="21" t="n"/>
      <c r="S81" s="21" t="n"/>
      <c r="T81" s="21" t="n"/>
      <c r="U81" s="21" t="n"/>
      <c r="V81" s="21" t="n"/>
      <c r="W81" s="21" t="n"/>
      <c r="X81" s="21" t="n"/>
      <c r="Y81" s="21" t="n"/>
      <c r="Z81" s="21" t="n"/>
    </row>
    <row r="82" ht="15.75" customHeight="1" s="545">
      <c r="A82" s="21" t="n"/>
      <c r="B82" s="21" t="n"/>
      <c r="C82" s="21" t="n"/>
      <c r="D82" s="21" t="n"/>
      <c r="E82" s="21" t="n"/>
      <c r="F82" s="21" t="n"/>
      <c r="G82" s="21" t="n"/>
      <c r="H82" s="21" t="n"/>
      <c r="I82" s="21" t="n"/>
      <c r="J82" s="21" t="n"/>
      <c r="K82" s="21" t="n"/>
      <c r="L82" s="21" t="n"/>
      <c r="M82" s="21" t="n"/>
      <c r="N82" s="21" t="n"/>
      <c r="O82" s="21" t="n"/>
      <c r="P82" s="21" t="n"/>
      <c r="Q82" s="21" t="n"/>
      <c r="R82" s="21" t="n"/>
      <c r="S82" s="21" t="n"/>
      <c r="T82" s="21" t="n"/>
      <c r="U82" s="21" t="n"/>
      <c r="V82" s="21" t="n"/>
      <c r="W82" s="21" t="n"/>
      <c r="X82" s="21" t="n"/>
      <c r="Y82" s="21" t="n"/>
      <c r="Z82" s="21" t="n"/>
    </row>
    <row r="83" ht="15.75" customHeight="1" s="545">
      <c r="A83" s="21" t="n"/>
      <c r="B83" s="21" t="n"/>
      <c r="C83" s="21" t="n"/>
      <c r="D83" s="21" t="n"/>
      <c r="E83" s="21" t="n"/>
      <c r="F83" s="21" t="n"/>
      <c r="G83" s="21" t="n"/>
      <c r="H83" s="21" t="n"/>
      <c r="I83" s="21" t="n"/>
      <c r="J83" s="21" t="n"/>
      <c r="K83" s="21" t="n"/>
      <c r="L83" s="21" t="n"/>
      <c r="M83" s="21" t="n"/>
      <c r="N83" s="21" t="n"/>
      <c r="O83" s="21" t="n"/>
      <c r="P83" s="21" t="n"/>
      <c r="Q83" s="21" t="n"/>
      <c r="R83" s="21" t="n"/>
      <c r="S83" s="21" t="n"/>
      <c r="T83" s="21" t="n"/>
      <c r="U83" s="21" t="n"/>
      <c r="V83" s="21" t="n"/>
      <c r="W83" s="21" t="n"/>
      <c r="X83" s="21" t="n"/>
      <c r="Y83" s="21" t="n"/>
      <c r="Z83" s="21" t="n"/>
    </row>
    <row r="84" ht="15.75" customHeight="1" s="545">
      <c r="A84" s="21" t="n"/>
      <c r="B84" s="21" t="n"/>
      <c r="C84" s="21" t="n"/>
      <c r="D84" s="21" t="n"/>
      <c r="E84" s="21" t="n"/>
      <c r="F84" s="21" t="n"/>
      <c r="G84" s="21" t="n"/>
      <c r="H84" s="21" t="n"/>
      <c r="I84" s="21" t="n"/>
      <c r="J84" s="21" t="n"/>
      <c r="K84" s="21" t="n"/>
      <c r="L84" s="21" t="n"/>
      <c r="M84" s="21" t="n"/>
      <c r="N84" s="21" t="n"/>
      <c r="O84" s="21" t="n"/>
      <c r="P84" s="21" t="n"/>
      <c r="Q84" s="21" t="n"/>
      <c r="R84" s="21" t="n"/>
      <c r="S84" s="21" t="n"/>
      <c r="T84" s="21" t="n"/>
      <c r="U84" s="21" t="n"/>
      <c r="V84" s="21" t="n"/>
      <c r="W84" s="21" t="n"/>
      <c r="X84" s="21" t="n"/>
      <c r="Y84" s="21" t="n"/>
      <c r="Z84" s="21" t="n"/>
    </row>
    <row r="85" ht="15.75" customHeight="1" s="545">
      <c r="A85" s="21" t="n"/>
      <c r="B85" s="21" t="n"/>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row>
    <row r="86" ht="15.75" customHeight="1" s="545">
      <c r="A86" s="21" t="n"/>
      <c r="B86" s="21" t="n"/>
      <c r="C86" s="21" t="n"/>
      <c r="D86" s="21" t="n"/>
      <c r="E86" s="21" t="n"/>
      <c r="F86" s="21" t="n"/>
      <c r="G86" s="21" t="n"/>
      <c r="H86" s="21" t="n"/>
      <c r="I86" s="21" t="n"/>
      <c r="J86" s="21" t="n"/>
      <c r="K86" s="21" t="n"/>
      <c r="L86" s="21" t="n"/>
      <c r="M86" s="21" t="n"/>
      <c r="N86" s="21" t="n"/>
      <c r="O86" s="21" t="n"/>
      <c r="P86" s="21" t="n"/>
      <c r="Q86" s="21" t="n"/>
      <c r="R86" s="21" t="n"/>
      <c r="S86" s="21" t="n"/>
      <c r="T86" s="21" t="n"/>
      <c r="U86" s="21" t="n"/>
      <c r="V86" s="21" t="n"/>
      <c r="W86" s="21" t="n"/>
      <c r="X86" s="21" t="n"/>
      <c r="Y86" s="21" t="n"/>
      <c r="Z86" s="21" t="n"/>
    </row>
    <row r="87" ht="15.75" customHeight="1" s="545">
      <c r="A87" s="21" t="n"/>
      <c r="B87" s="21" t="n"/>
      <c r="C87" s="21" t="n"/>
      <c r="D87" s="21" t="n"/>
      <c r="E87" s="21" t="n"/>
      <c r="F87" s="21" t="n"/>
      <c r="G87" s="21" t="n"/>
      <c r="H87" s="21" t="n"/>
      <c r="I87" s="21" t="n"/>
      <c r="J87" s="21" t="n"/>
      <c r="K87" s="21" t="n"/>
      <c r="L87" s="21" t="n"/>
      <c r="M87" s="21" t="n"/>
      <c r="N87" s="21" t="n"/>
      <c r="O87" s="21" t="n"/>
      <c r="P87" s="21" t="n"/>
      <c r="Q87" s="21" t="n"/>
      <c r="R87" s="21" t="n"/>
      <c r="S87" s="21" t="n"/>
      <c r="T87" s="21" t="n"/>
      <c r="U87" s="21" t="n"/>
      <c r="V87" s="21" t="n"/>
      <c r="W87" s="21" t="n"/>
      <c r="X87" s="21" t="n"/>
      <c r="Y87" s="21" t="n"/>
      <c r="Z87" s="21" t="n"/>
    </row>
    <row r="88" ht="15.75" customHeight="1" s="545">
      <c r="A88" s="21" t="n"/>
      <c r="B88" s="21" t="n"/>
      <c r="C88" s="21" t="n"/>
      <c r="D88" s="21" t="n"/>
      <c r="E88" s="21" t="n"/>
      <c r="F88" s="21" t="n"/>
      <c r="G88" s="21" t="n"/>
      <c r="H88" s="21" t="n"/>
      <c r="I88" s="21" t="n"/>
      <c r="J88" s="21" t="n"/>
      <c r="K88" s="21" t="n"/>
      <c r="L88" s="21" t="n"/>
      <c r="M88" s="21" t="n"/>
      <c r="N88" s="21" t="n"/>
      <c r="O88" s="21" t="n"/>
      <c r="P88" s="21" t="n"/>
      <c r="Q88" s="21" t="n"/>
      <c r="R88" s="21" t="n"/>
      <c r="S88" s="21" t="n"/>
      <c r="T88" s="21" t="n"/>
      <c r="U88" s="21" t="n"/>
      <c r="V88" s="21" t="n"/>
      <c r="W88" s="21" t="n"/>
      <c r="X88" s="21" t="n"/>
      <c r="Y88" s="21" t="n"/>
      <c r="Z88" s="21" t="n"/>
    </row>
    <row r="89" ht="15.75" customHeight="1" s="545">
      <c r="A89" s="21" t="n"/>
      <c r="B89" s="21" t="n"/>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row>
    <row r="90" ht="15.75" customHeight="1" s="545">
      <c r="A90" s="21" t="n"/>
      <c r="B90" s="21" t="n"/>
      <c r="C90" s="21" t="n"/>
      <c r="D90" s="21" t="n"/>
      <c r="E90" s="21" t="n"/>
      <c r="F90" s="21" t="n"/>
      <c r="G90" s="21" t="n"/>
      <c r="H90" s="21" t="n"/>
      <c r="I90" s="21" t="n"/>
      <c r="J90" s="21" t="n"/>
      <c r="K90" s="21" t="n"/>
      <c r="L90" s="21" t="n"/>
      <c r="M90" s="21" t="n"/>
      <c r="N90" s="21" t="n"/>
      <c r="O90" s="21" t="n"/>
      <c r="P90" s="21" t="n"/>
      <c r="Q90" s="21" t="n"/>
      <c r="R90" s="21" t="n"/>
      <c r="S90" s="21" t="n"/>
      <c r="T90" s="21" t="n"/>
      <c r="U90" s="21" t="n"/>
      <c r="V90" s="21" t="n"/>
      <c r="W90" s="21" t="n"/>
      <c r="X90" s="21" t="n"/>
      <c r="Y90" s="21" t="n"/>
      <c r="Z90" s="21" t="n"/>
    </row>
    <row r="91" ht="15.75" customHeight="1" s="545">
      <c r="A91" s="21" t="n"/>
      <c r="B91" s="21" t="n"/>
      <c r="C91" s="21" t="n"/>
      <c r="D91" s="21" t="n"/>
      <c r="E91" s="21" t="n"/>
      <c r="F91" s="21" t="n"/>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row>
    <row r="92" ht="15.75" customHeight="1" s="545">
      <c r="A92" s="21" t="n"/>
      <c r="B92" s="21" t="n"/>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row>
    <row r="93" ht="15.75" customHeight="1" s="545">
      <c r="A93" s="21" t="n"/>
      <c r="B93" s="21" t="n"/>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row>
    <row r="94" ht="15.75" customHeight="1" s="545">
      <c r="A94" s="21" t="n"/>
      <c r="B94" s="21" t="n"/>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row>
    <row r="95" ht="15.75" customHeight="1" s="545">
      <c r="A95" s="21" t="n"/>
      <c r="B95" s="21" t="n"/>
      <c r="C95" s="21" t="n"/>
      <c r="D95" s="21" t="n"/>
      <c r="E95" s="21" t="n"/>
      <c r="F95" s="21" t="n"/>
      <c r="G95" s="21" t="n"/>
      <c r="H95" s="21" t="n"/>
      <c r="I95" s="21" t="n"/>
      <c r="J95" s="21" t="n"/>
      <c r="K95" s="21" t="n"/>
      <c r="L95" s="21" t="n"/>
      <c r="M95" s="21" t="n"/>
      <c r="N95" s="21" t="n"/>
      <c r="O95" s="21" t="n"/>
      <c r="P95" s="21" t="n"/>
      <c r="Q95" s="21" t="n"/>
      <c r="R95" s="21" t="n"/>
      <c r="S95" s="21" t="n"/>
      <c r="T95" s="21" t="n"/>
      <c r="U95" s="21" t="n"/>
      <c r="V95" s="21" t="n"/>
      <c r="W95" s="21" t="n"/>
      <c r="X95" s="21" t="n"/>
      <c r="Y95" s="21" t="n"/>
      <c r="Z95" s="21" t="n"/>
    </row>
    <row r="96" ht="15.75" customHeight="1" s="545">
      <c r="A96" s="21" t="n"/>
      <c r="B96" s="21" t="n"/>
      <c r="C96" s="21" t="n"/>
      <c r="D96" s="21" t="n"/>
      <c r="E96" s="21" t="n"/>
      <c r="F96" s="21" t="n"/>
      <c r="G96" s="21" t="n"/>
      <c r="H96" s="21" t="n"/>
      <c r="I96" s="21" t="n"/>
      <c r="J96" s="21" t="n"/>
      <c r="K96" s="21" t="n"/>
      <c r="L96" s="21" t="n"/>
      <c r="M96" s="21" t="n"/>
      <c r="N96" s="21" t="n"/>
      <c r="O96" s="21" t="n"/>
      <c r="P96" s="21" t="n"/>
      <c r="Q96" s="21" t="n"/>
      <c r="R96" s="21" t="n"/>
      <c r="S96" s="21" t="n"/>
      <c r="T96" s="21" t="n"/>
      <c r="U96" s="21" t="n"/>
      <c r="V96" s="21" t="n"/>
      <c r="W96" s="21" t="n"/>
      <c r="X96" s="21" t="n"/>
      <c r="Y96" s="21" t="n"/>
      <c r="Z96" s="21" t="n"/>
    </row>
    <row r="97" ht="15.75" customHeight="1" s="545">
      <c r="A97" s="21" t="n"/>
      <c r="B97" s="21" t="n"/>
      <c r="C97" s="21" t="n"/>
      <c r="D97" s="21" t="n"/>
      <c r="E97" s="21" t="n"/>
      <c r="F97" s="21" t="n"/>
      <c r="G97" s="21" t="n"/>
      <c r="H97" s="21" t="n"/>
      <c r="I97" s="21" t="n"/>
      <c r="J97" s="21" t="n"/>
      <c r="K97" s="21" t="n"/>
      <c r="L97" s="21" t="n"/>
      <c r="M97" s="21" t="n"/>
      <c r="N97" s="21" t="n"/>
      <c r="O97" s="21" t="n"/>
      <c r="P97" s="21" t="n"/>
      <c r="Q97" s="21" t="n"/>
      <c r="R97" s="21" t="n"/>
      <c r="S97" s="21" t="n"/>
      <c r="T97" s="21" t="n"/>
      <c r="U97" s="21" t="n"/>
      <c r="V97" s="21" t="n"/>
      <c r="W97" s="21" t="n"/>
      <c r="X97" s="21" t="n"/>
      <c r="Y97" s="21" t="n"/>
      <c r="Z97" s="21" t="n"/>
    </row>
    <row r="98" ht="15.75" customHeight="1" s="545">
      <c r="A98" s="21" t="n"/>
      <c r="B98" s="21" t="n"/>
      <c r="C98" s="21" t="n"/>
      <c r="D98" s="21" t="n"/>
      <c r="E98" s="21" t="n"/>
      <c r="F98" s="21" t="n"/>
      <c r="G98" s="21" t="n"/>
      <c r="H98" s="21" t="n"/>
      <c r="I98" s="21" t="n"/>
      <c r="J98" s="21" t="n"/>
      <c r="K98" s="21" t="n"/>
      <c r="L98" s="21" t="n"/>
      <c r="M98" s="21" t="n"/>
      <c r="N98" s="21" t="n"/>
      <c r="O98" s="21" t="n"/>
      <c r="P98" s="21" t="n"/>
      <c r="Q98" s="21" t="n"/>
      <c r="R98" s="21" t="n"/>
      <c r="S98" s="21" t="n"/>
      <c r="T98" s="21" t="n"/>
      <c r="U98" s="21" t="n"/>
      <c r="V98" s="21" t="n"/>
      <c r="W98" s="21" t="n"/>
      <c r="X98" s="21" t="n"/>
      <c r="Y98" s="21" t="n"/>
      <c r="Z98" s="21" t="n"/>
    </row>
    <row r="99" ht="15.75" customHeight="1" s="545">
      <c r="A99" s="21" t="n"/>
      <c r="B99" s="21" t="n"/>
      <c r="C99" s="21" t="n"/>
      <c r="D99" s="21" t="n"/>
      <c r="E99" s="21" t="n"/>
      <c r="F99" s="21" t="n"/>
      <c r="G99" s="21" t="n"/>
      <c r="H99" s="21" t="n"/>
      <c r="I99" s="21" t="n"/>
      <c r="J99" s="21" t="n"/>
      <c r="K99" s="21" t="n"/>
      <c r="L99" s="21" t="n"/>
      <c r="M99" s="21" t="n"/>
      <c r="N99" s="21" t="n"/>
      <c r="O99" s="21" t="n"/>
      <c r="P99" s="21" t="n"/>
      <c r="Q99" s="21" t="n"/>
      <c r="R99" s="21" t="n"/>
      <c r="S99" s="21" t="n"/>
      <c r="T99" s="21" t="n"/>
      <c r="U99" s="21" t="n"/>
      <c r="V99" s="21" t="n"/>
      <c r="W99" s="21" t="n"/>
      <c r="X99" s="21" t="n"/>
      <c r="Y99" s="21" t="n"/>
      <c r="Z99" s="21" t="n"/>
    </row>
    <row r="100" ht="15.75" customHeight="1" s="545">
      <c r="A100" s="21" t="n"/>
      <c r="B100" s="21" t="n"/>
      <c r="C100" s="21" t="n"/>
      <c r="D100" s="21" t="n"/>
      <c r="E100" s="21" t="n"/>
      <c r="F100" s="21" t="n"/>
      <c r="G100" s="21" t="n"/>
      <c r="H100" s="21" t="n"/>
      <c r="I100" s="21" t="n"/>
      <c r="J100" s="21" t="n"/>
      <c r="K100" s="21" t="n"/>
      <c r="L100" s="21" t="n"/>
      <c r="M100" s="21" t="n"/>
      <c r="N100" s="21" t="n"/>
      <c r="O100" s="21" t="n"/>
      <c r="P100" s="21" t="n"/>
      <c r="Q100" s="21" t="n"/>
      <c r="R100" s="21" t="n"/>
      <c r="S100" s="21" t="n"/>
      <c r="T100" s="21" t="n"/>
      <c r="U100" s="21" t="n"/>
      <c r="V100" s="21" t="n"/>
      <c r="W100" s="21" t="n"/>
      <c r="X100" s="21" t="n"/>
      <c r="Y100" s="21" t="n"/>
      <c r="Z100" s="21" t="n"/>
    </row>
    <row r="101" ht="15.75" customHeight="1" s="545">
      <c r="A101" s="21" t="n"/>
      <c r="B101" s="21" t="n"/>
      <c r="C101" s="21" t="n"/>
      <c r="D101" s="21" t="n"/>
      <c r="E101" s="21" t="n"/>
      <c r="F101" s="21" t="n"/>
      <c r="G101" s="21" t="n"/>
      <c r="H101" s="21" t="n"/>
      <c r="I101" s="21" t="n"/>
      <c r="J101" s="21" t="n"/>
      <c r="K101" s="21" t="n"/>
      <c r="L101" s="21" t="n"/>
      <c r="M101" s="21" t="n"/>
      <c r="N101" s="21" t="n"/>
      <c r="O101" s="21" t="n"/>
      <c r="P101" s="21" t="n"/>
      <c r="Q101" s="21" t="n"/>
      <c r="R101" s="21" t="n"/>
      <c r="S101" s="21" t="n"/>
      <c r="T101" s="21" t="n"/>
      <c r="U101" s="21" t="n"/>
      <c r="V101" s="21" t="n"/>
      <c r="W101" s="21" t="n"/>
      <c r="X101" s="21" t="n"/>
      <c r="Y101" s="21" t="n"/>
      <c r="Z101" s="21" t="n"/>
    </row>
    <row r="102" ht="15.75" customHeight="1" s="545">
      <c r="A102" s="21" t="n"/>
      <c r="B102" s="21" t="n"/>
      <c r="C102" s="21" t="n"/>
      <c r="D102" s="21" t="n"/>
      <c r="E102" s="21" t="n"/>
      <c r="F102" s="21" t="n"/>
      <c r="G102" s="21" t="n"/>
      <c r="H102" s="21" t="n"/>
      <c r="I102" s="21" t="n"/>
      <c r="J102" s="21" t="n"/>
      <c r="K102" s="21" t="n"/>
      <c r="L102" s="21" t="n"/>
      <c r="M102" s="21" t="n"/>
      <c r="N102" s="21" t="n"/>
      <c r="O102" s="21" t="n"/>
      <c r="P102" s="21" t="n"/>
      <c r="Q102" s="21" t="n"/>
      <c r="R102" s="21" t="n"/>
      <c r="S102" s="21" t="n"/>
      <c r="T102" s="21" t="n"/>
      <c r="U102" s="21" t="n"/>
      <c r="V102" s="21" t="n"/>
      <c r="W102" s="21" t="n"/>
      <c r="X102" s="21" t="n"/>
      <c r="Y102" s="21" t="n"/>
      <c r="Z102" s="21" t="n"/>
    </row>
    <row r="103" ht="15.75" customHeight="1" s="545">
      <c r="A103" s="21" t="n"/>
      <c r="B103" s="21" t="n"/>
      <c r="C103" s="21" t="n"/>
      <c r="D103" s="21" t="n"/>
      <c r="E103" s="21" t="n"/>
      <c r="F103" s="21" t="n"/>
      <c r="G103" s="21" t="n"/>
      <c r="H103" s="21" t="n"/>
      <c r="I103" s="21" t="n"/>
      <c r="J103" s="21" t="n"/>
      <c r="K103" s="21" t="n"/>
      <c r="L103" s="21" t="n"/>
      <c r="M103" s="21" t="n"/>
      <c r="N103" s="21" t="n"/>
      <c r="O103" s="21" t="n"/>
      <c r="P103" s="21" t="n"/>
      <c r="Q103" s="21" t="n"/>
      <c r="R103" s="21" t="n"/>
      <c r="S103" s="21" t="n"/>
      <c r="T103" s="21" t="n"/>
      <c r="U103" s="21" t="n"/>
      <c r="V103" s="21" t="n"/>
      <c r="W103" s="21" t="n"/>
      <c r="X103" s="21" t="n"/>
      <c r="Y103" s="21" t="n"/>
      <c r="Z103" s="21" t="n"/>
    </row>
    <row r="104" ht="15.75" customHeight="1" s="545">
      <c r="A104" s="21" t="n"/>
      <c r="B104" s="21" t="n"/>
      <c r="C104" s="21" t="n"/>
      <c r="D104" s="21" t="n"/>
      <c r="E104" s="21" t="n"/>
      <c r="F104" s="21" t="n"/>
      <c r="G104" s="21" t="n"/>
      <c r="H104" s="21" t="n"/>
      <c r="I104" s="21" t="n"/>
      <c r="J104" s="21" t="n"/>
      <c r="K104" s="21" t="n"/>
      <c r="L104" s="21" t="n"/>
      <c r="M104" s="21" t="n"/>
      <c r="N104" s="21" t="n"/>
      <c r="O104" s="21" t="n"/>
      <c r="P104" s="21" t="n"/>
      <c r="Q104" s="21" t="n"/>
      <c r="R104" s="21" t="n"/>
      <c r="S104" s="21" t="n"/>
      <c r="T104" s="21" t="n"/>
      <c r="U104" s="21" t="n"/>
      <c r="V104" s="21" t="n"/>
      <c r="W104" s="21" t="n"/>
      <c r="X104" s="21" t="n"/>
      <c r="Y104" s="21" t="n"/>
      <c r="Z104" s="21" t="n"/>
    </row>
    <row r="105" ht="15.75" customHeight="1" s="545">
      <c r="A105" s="21" t="n"/>
      <c r="B105" s="21" t="n"/>
      <c r="C105" s="21" t="n"/>
      <c r="D105" s="21" t="n"/>
      <c r="E105" s="21" t="n"/>
      <c r="F105" s="21" t="n"/>
      <c r="G105" s="21" t="n"/>
      <c r="H105" s="21" t="n"/>
      <c r="I105" s="21" t="n"/>
      <c r="J105" s="21" t="n"/>
      <c r="K105" s="21" t="n"/>
      <c r="L105" s="21" t="n"/>
      <c r="M105" s="21" t="n"/>
      <c r="N105" s="21" t="n"/>
      <c r="O105" s="21" t="n"/>
      <c r="P105" s="21" t="n"/>
      <c r="Q105" s="21" t="n"/>
      <c r="R105" s="21" t="n"/>
      <c r="S105" s="21" t="n"/>
      <c r="T105" s="21" t="n"/>
      <c r="U105" s="21" t="n"/>
      <c r="V105" s="21" t="n"/>
      <c r="W105" s="21" t="n"/>
      <c r="X105" s="21" t="n"/>
      <c r="Y105" s="21" t="n"/>
      <c r="Z105" s="21" t="n"/>
    </row>
    <row r="106" ht="15.75" customHeight="1" s="545">
      <c r="A106" s="21" t="n"/>
      <c r="B106" s="21" t="n"/>
      <c r="C106" s="21" t="n"/>
      <c r="D106" s="21" t="n"/>
      <c r="E106" s="21" t="n"/>
      <c r="F106" s="21" t="n"/>
      <c r="G106" s="21" t="n"/>
      <c r="H106" s="21" t="n"/>
      <c r="I106" s="21" t="n"/>
      <c r="J106" s="21" t="n"/>
      <c r="K106" s="21" t="n"/>
      <c r="L106" s="21" t="n"/>
      <c r="M106" s="21" t="n"/>
      <c r="N106" s="21" t="n"/>
      <c r="O106" s="21" t="n"/>
      <c r="P106" s="21" t="n"/>
      <c r="Q106" s="21" t="n"/>
      <c r="R106" s="21" t="n"/>
      <c r="S106" s="21" t="n"/>
      <c r="T106" s="21" t="n"/>
      <c r="U106" s="21" t="n"/>
      <c r="V106" s="21" t="n"/>
      <c r="W106" s="21" t="n"/>
      <c r="X106" s="21" t="n"/>
      <c r="Y106" s="21" t="n"/>
      <c r="Z106" s="21" t="n"/>
    </row>
    <row r="107" ht="15.75" customHeight="1" s="545">
      <c r="A107" s="21" t="n"/>
      <c r="B107" s="21" t="n"/>
      <c r="C107" s="21" t="n"/>
      <c r="D107" s="21" t="n"/>
      <c r="E107" s="21" t="n"/>
      <c r="F107" s="21" t="n"/>
      <c r="G107" s="21" t="n"/>
      <c r="H107" s="21" t="n"/>
      <c r="I107" s="21" t="n"/>
      <c r="J107" s="21" t="n"/>
      <c r="K107" s="21" t="n"/>
      <c r="L107" s="21" t="n"/>
      <c r="M107" s="21" t="n"/>
      <c r="N107" s="21" t="n"/>
      <c r="O107" s="21" t="n"/>
      <c r="P107" s="21" t="n"/>
      <c r="Q107" s="21" t="n"/>
      <c r="R107" s="21" t="n"/>
      <c r="S107" s="21" t="n"/>
      <c r="T107" s="21" t="n"/>
      <c r="U107" s="21" t="n"/>
      <c r="V107" s="21" t="n"/>
      <c r="W107" s="21" t="n"/>
      <c r="X107" s="21" t="n"/>
      <c r="Y107" s="21" t="n"/>
      <c r="Z107" s="21" t="n"/>
    </row>
    <row r="108" ht="15.75" customHeight="1" s="545">
      <c r="A108" s="21" t="n"/>
      <c r="B108" s="21" t="n"/>
      <c r="C108" s="21" t="n"/>
      <c r="D108" s="21" t="n"/>
      <c r="E108" s="21" t="n"/>
      <c r="F108" s="21" t="n"/>
      <c r="G108" s="21" t="n"/>
      <c r="H108" s="21" t="n"/>
      <c r="I108" s="21" t="n"/>
      <c r="J108" s="21" t="n"/>
      <c r="K108" s="21" t="n"/>
      <c r="L108" s="21" t="n"/>
      <c r="M108" s="21" t="n"/>
      <c r="N108" s="21" t="n"/>
      <c r="O108" s="21" t="n"/>
      <c r="P108" s="21" t="n"/>
      <c r="Q108" s="21" t="n"/>
      <c r="R108" s="21" t="n"/>
      <c r="S108" s="21" t="n"/>
      <c r="T108" s="21" t="n"/>
      <c r="U108" s="21" t="n"/>
      <c r="V108" s="21" t="n"/>
      <c r="W108" s="21" t="n"/>
      <c r="X108" s="21" t="n"/>
      <c r="Y108" s="21" t="n"/>
      <c r="Z108" s="21" t="n"/>
    </row>
    <row r="109" ht="15.75" customHeight="1" s="545">
      <c r="A109" s="21" t="n"/>
      <c r="B109" s="21" t="n"/>
      <c r="C109" s="21" t="n"/>
      <c r="D109" s="21" t="n"/>
      <c r="E109" s="21" t="n"/>
      <c r="F109" s="21" t="n"/>
      <c r="G109" s="21" t="n"/>
      <c r="H109" s="21" t="n"/>
      <c r="I109" s="21" t="n"/>
      <c r="J109" s="21" t="n"/>
      <c r="K109" s="21" t="n"/>
      <c r="L109" s="21" t="n"/>
      <c r="M109" s="21" t="n"/>
      <c r="N109" s="21" t="n"/>
      <c r="O109" s="21" t="n"/>
      <c r="P109" s="21" t="n"/>
      <c r="Q109" s="21" t="n"/>
      <c r="R109" s="21" t="n"/>
      <c r="S109" s="21" t="n"/>
      <c r="T109" s="21" t="n"/>
      <c r="U109" s="21" t="n"/>
      <c r="V109" s="21" t="n"/>
      <c r="W109" s="21" t="n"/>
      <c r="X109" s="21" t="n"/>
      <c r="Y109" s="21" t="n"/>
      <c r="Z109" s="21" t="n"/>
    </row>
    <row r="110" ht="15.75" customHeight="1" s="545">
      <c r="A110" s="21" t="n"/>
      <c r="B110" s="21" t="n"/>
      <c r="C110" s="21" t="n"/>
      <c r="D110" s="21" t="n"/>
      <c r="E110" s="21" t="n"/>
      <c r="F110" s="21" t="n"/>
      <c r="G110" s="21" t="n"/>
      <c r="H110" s="21" t="n"/>
      <c r="I110" s="21" t="n"/>
      <c r="J110" s="21" t="n"/>
      <c r="K110" s="21" t="n"/>
      <c r="L110" s="21" t="n"/>
      <c r="M110" s="21" t="n"/>
      <c r="N110" s="21" t="n"/>
      <c r="O110" s="21" t="n"/>
      <c r="P110" s="21" t="n"/>
      <c r="Q110" s="21" t="n"/>
      <c r="R110" s="21" t="n"/>
      <c r="S110" s="21" t="n"/>
      <c r="T110" s="21" t="n"/>
      <c r="U110" s="21" t="n"/>
      <c r="V110" s="21" t="n"/>
      <c r="W110" s="21" t="n"/>
      <c r="X110" s="21" t="n"/>
      <c r="Y110" s="21" t="n"/>
      <c r="Z110" s="21" t="n"/>
    </row>
    <row r="111" ht="15.75" customHeight="1" s="545">
      <c r="A111" s="21" t="n"/>
      <c r="B111" s="21" t="n"/>
      <c r="C111" s="21" t="n"/>
      <c r="D111" s="21" t="n"/>
      <c r="E111" s="21" t="n"/>
      <c r="F111" s="21" t="n"/>
      <c r="G111" s="21" t="n"/>
      <c r="H111" s="21" t="n"/>
      <c r="I111" s="21" t="n"/>
      <c r="J111" s="21" t="n"/>
      <c r="K111" s="21" t="n"/>
      <c r="L111" s="21" t="n"/>
      <c r="M111" s="21" t="n"/>
      <c r="N111" s="21" t="n"/>
      <c r="O111" s="21" t="n"/>
      <c r="P111" s="21" t="n"/>
      <c r="Q111" s="21" t="n"/>
      <c r="R111" s="21" t="n"/>
      <c r="S111" s="21" t="n"/>
      <c r="T111" s="21" t="n"/>
      <c r="U111" s="21" t="n"/>
      <c r="V111" s="21" t="n"/>
      <c r="W111" s="21" t="n"/>
      <c r="X111" s="21" t="n"/>
      <c r="Y111" s="21" t="n"/>
      <c r="Z111" s="21" t="n"/>
    </row>
    <row r="112" ht="15.75" customHeight="1" s="545">
      <c r="A112" s="21" t="n"/>
      <c r="B112" s="21" t="n"/>
      <c r="C112" s="21" t="n"/>
      <c r="D112" s="21" t="n"/>
      <c r="E112" s="21" t="n"/>
      <c r="F112" s="21" t="n"/>
      <c r="G112" s="21" t="n"/>
      <c r="H112" s="21" t="n"/>
      <c r="I112" s="21" t="n"/>
      <c r="J112" s="21" t="n"/>
      <c r="K112" s="21" t="n"/>
      <c r="L112" s="21" t="n"/>
      <c r="M112" s="21" t="n"/>
      <c r="N112" s="21" t="n"/>
      <c r="O112" s="21" t="n"/>
      <c r="P112" s="21" t="n"/>
      <c r="Q112" s="21" t="n"/>
      <c r="R112" s="21" t="n"/>
      <c r="S112" s="21" t="n"/>
      <c r="T112" s="21" t="n"/>
      <c r="U112" s="21" t="n"/>
      <c r="V112" s="21" t="n"/>
      <c r="W112" s="21" t="n"/>
      <c r="X112" s="21" t="n"/>
      <c r="Y112" s="21" t="n"/>
      <c r="Z112" s="21" t="n"/>
    </row>
    <row r="113" ht="15.75" customHeight="1" s="545">
      <c r="A113" s="21" t="n"/>
      <c r="B113" s="21" t="n"/>
      <c r="C113" s="21" t="n"/>
      <c r="D113" s="21" t="n"/>
      <c r="E113" s="21" t="n"/>
      <c r="F113" s="21" t="n"/>
      <c r="G113" s="21" t="n"/>
      <c r="H113" s="21" t="n"/>
      <c r="I113" s="21" t="n"/>
      <c r="J113" s="21" t="n"/>
      <c r="K113" s="21" t="n"/>
      <c r="L113" s="21" t="n"/>
      <c r="M113" s="21" t="n"/>
      <c r="N113" s="21" t="n"/>
      <c r="O113" s="21" t="n"/>
      <c r="P113" s="21" t="n"/>
      <c r="Q113" s="21" t="n"/>
      <c r="R113" s="21" t="n"/>
      <c r="S113" s="21" t="n"/>
      <c r="T113" s="21" t="n"/>
      <c r="U113" s="21" t="n"/>
      <c r="V113" s="21" t="n"/>
      <c r="W113" s="21" t="n"/>
      <c r="X113" s="21" t="n"/>
      <c r="Y113" s="21" t="n"/>
      <c r="Z113" s="21" t="n"/>
    </row>
    <row r="114" ht="15.75" customHeight="1" s="545">
      <c r="A114" s="21" t="n"/>
      <c r="B114" s="21" t="n"/>
      <c r="C114" s="21" t="n"/>
      <c r="D114" s="21" t="n"/>
      <c r="E114" s="21" t="n"/>
      <c r="F114" s="21" t="n"/>
      <c r="G114" s="21" t="n"/>
      <c r="H114" s="21" t="n"/>
      <c r="I114" s="21" t="n"/>
      <c r="J114" s="21" t="n"/>
      <c r="K114" s="21" t="n"/>
      <c r="L114" s="21" t="n"/>
      <c r="M114" s="21" t="n"/>
      <c r="N114" s="21" t="n"/>
      <c r="O114" s="21" t="n"/>
      <c r="P114" s="21" t="n"/>
      <c r="Q114" s="21" t="n"/>
      <c r="R114" s="21" t="n"/>
      <c r="S114" s="21" t="n"/>
      <c r="T114" s="21" t="n"/>
      <c r="U114" s="21" t="n"/>
      <c r="V114" s="21" t="n"/>
      <c r="W114" s="21" t="n"/>
      <c r="X114" s="21" t="n"/>
      <c r="Y114" s="21" t="n"/>
      <c r="Z114" s="21" t="n"/>
    </row>
    <row r="115" ht="15.75" customHeight="1" s="545">
      <c r="A115" s="21" t="n"/>
      <c r="B115" s="21" t="n"/>
      <c r="C115" s="21" t="n"/>
      <c r="D115" s="21" t="n"/>
      <c r="E115" s="21" t="n"/>
      <c r="F115" s="21" t="n"/>
      <c r="G115" s="21" t="n"/>
      <c r="H115" s="21" t="n"/>
      <c r="I115" s="21" t="n"/>
      <c r="J115" s="21" t="n"/>
      <c r="K115" s="21" t="n"/>
      <c r="L115" s="21" t="n"/>
      <c r="M115" s="21" t="n"/>
      <c r="N115" s="21" t="n"/>
      <c r="O115" s="21" t="n"/>
      <c r="P115" s="21" t="n"/>
      <c r="Q115" s="21" t="n"/>
      <c r="R115" s="21" t="n"/>
      <c r="S115" s="21" t="n"/>
      <c r="T115" s="21" t="n"/>
      <c r="U115" s="21" t="n"/>
      <c r="V115" s="21" t="n"/>
      <c r="W115" s="21" t="n"/>
      <c r="X115" s="21" t="n"/>
      <c r="Y115" s="21" t="n"/>
      <c r="Z115" s="21" t="n"/>
    </row>
    <row r="116" ht="15.75" customHeight="1" s="545">
      <c r="A116" s="21" t="n"/>
      <c r="B116" s="21" t="n"/>
      <c r="C116" s="21" t="n"/>
      <c r="D116" s="21" t="n"/>
      <c r="E116" s="21" t="n"/>
      <c r="F116" s="21" t="n"/>
      <c r="G116" s="21" t="n"/>
      <c r="H116" s="21" t="n"/>
      <c r="I116" s="21" t="n"/>
      <c r="J116" s="21" t="n"/>
      <c r="K116" s="21" t="n"/>
      <c r="L116" s="21" t="n"/>
      <c r="M116" s="21" t="n"/>
      <c r="N116" s="21" t="n"/>
      <c r="O116" s="21" t="n"/>
      <c r="P116" s="21" t="n"/>
      <c r="Q116" s="21" t="n"/>
      <c r="R116" s="21" t="n"/>
      <c r="S116" s="21" t="n"/>
      <c r="T116" s="21" t="n"/>
      <c r="U116" s="21" t="n"/>
      <c r="V116" s="21" t="n"/>
      <c r="W116" s="21" t="n"/>
      <c r="X116" s="21" t="n"/>
      <c r="Y116" s="21" t="n"/>
      <c r="Z116" s="21" t="n"/>
    </row>
    <row r="117" ht="15.75" customHeight="1" s="545">
      <c r="A117" s="21" t="n"/>
      <c r="B117" s="21" t="n"/>
      <c r="C117" s="21" t="n"/>
      <c r="D117" s="21" t="n"/>
      <c r="E117" s="21" t="n"/>
      <c r="F117" s="21" t="n"/>
      <c r="G117" s="21" t="n"/>
      <c r="H117" s="21" t="n"/>
      <c r="I117" s="21" t="n"/>
      <c r="J117" s="21" t="n"/>
      <c r="K117" s="21" t="n"/>
      <c r="L117" s="21" t="n"/>
      <c r="M117" s="21" t="n"/>
      <c r="N117" s="21" t="n"/>
      <c r="O117" s="21" t="n"/>
      <c r="P117" s="21" t="n"/>
      <c r="Q117" s="21" t="n"/>
      <c r="R117" s="21" t="n"/>
      <c r="S117" s="21" t="n"/>
      <c r="T117" s="21" t="n"/>
      <c r="U117" s="21" t="n"/>
      <c r="V117" s="21" t="n"/>
      <c r="W117" s="21" t="n"/>
      <c r="X117" s="21" t="n"/>
      <c r="Y117" s="21" t="n"/>
      <c r="Z117" s="21" t="n"/>
    </row>
    <row r="118" ht="15.75" customHeight="1" s="545">
      <c r="A118" s="21" t="n"/>
      <c r="B118" s="21" t="n"/>
      <c r="C118" s="21" t="n"/>
      <c r="D118" s="21" t="n"/>
      <c r="E118" s="21" t="n"/>
      <c r="F118" s="21" t="n"/>
      <c r="G118" s="21" t="n"/>
      <c r="H118" s="21" t="n"/>
      <c r="I118" s="21" t="n"/>
      <c r="J118" s="21" t="n"/>
      <c r="K118" s="21" t="n"/>
      <c r="L118" s="21" t="n"/>
      <c r="M118" s="21" t="n"/>
      <c r="N118" s="21" t="n"/>
      <c r="O118" s="21" t="n"/>
      <c r="P118" s="21" t="n"/>
      <c r="Q118" s="21" t="n"/>
      <c r="R118" s="21" t="n"/>
      <c r="S118" s="21" t="n"/>
      <c r="T118" s="21" t="n"/>
      <c r="U118" s="21" t="n"/>
      <c r="V118" s="21" t="n"/>
      <c r="W118" s="21" t="n"/>
      <c r="X118" s="21" t="n"/>
      <c r="Y118" s="21" t="n"/>
      <c r="Z118" s="21" t="n"/>
    </row>
    <row r="119" ht="15.75" customHeight="1" s="545">
      <c r="A119" s="21" t="n"/>
      <c r="B119" s="21" t="n"/>
      <c r="C119" s="21" t="n"/>
      <c r="D119" s="21" t="n"/>
      <c r="E119" s="21" t="n"/>
      <c r="F119" s="21" t="n"/>
      <c r="G119" s="21" t="n"/>
      <c r="H119" s="21" t="n"/>
      <c r="I119" s="21" t="n"/>
      <c r="J119" s="21" t="n"/>
      <c r="K119" s="21" t="n"/>
      <c r="L119" s="21" t="n"/>
      <c r="M119" s="21" t="n"/>
      <c r="N119" s="21" t="n"/>
      <c r="O119" s="21" t="n"/>
      <c r="P119" s="21" t="n"/>
      <c r="Q119" s="21" t="n"/>
      <c r="R119" s="21" t="n"/>
      <c r="S119" s="21" t="n"/>
      <c r="T119" s="21" t="n"/>
      <c r="U119" s="21" t="n"/>
      <c r="V119" s="21" t="n"/>
      <c r="W119" s="21" t="n"/>
      <c r="X119" s="21" t="n"/>
      <c r="Y119" s="21" t="n"/>
      <c r="Z119" s="21" t="n"/>
    </row>
    <row r="120" ht="15.75" customHeight="1" s="545">
      <c r="A120" s="21" t="n"/>
      <c r="B120" s="21" t="n"/>
      <c r="C120" s="21" t="n"/>
      <c r="D120" s="21" t="n"/>
      <c r="E120" s="21" t="n"/>
      <c r="F120" s="21" t="n"/>
      <c r="G120" s="21" t="n"/>
      <c r="H120" s="21" t="n"/>
      <c r="I120" s="21" t="n"/>
      <c r="J120" s="21" t="n"/>
      <c r="K120" s="21" t="n"/>
      <c r="L120" s="21" t="n"/>
      <c r="M120" s="21" t="n"/>
      <c r="N120" s="21" t="n"/>
      <c r="O120" s="21" t="n"/>
      <c r="P120" s="21" t="n"/>
      <c r="Q120" s="21" t="n"/>
      <c r="R120" s="21" t="n"/>
      <c r="S120" s="21" t="n"/>
      <c r="T120" s="21" t="n"/>
      <c r="U120" s="21" t="n"/>
      <c r="V120" s="21" t="n"/>
      <c r="W120" s="21" t="n"/>
      <c r="X120" s="21" t="n"/>
      <c r="Y120" s="21" t="n"/>
      <c r="Z120" s="21" t="n"/>
    </row>
    <row r="121" ht="15.75" customHeight="1" s="545">
      <c r="A121" s="21" t="n"/>
      <c r="B121" s="21" t="n"/>
      <c r="C121" s="21" t="n"/>
      <c r="D121" s="21" t="n"/>
      <c r="E121" s="21" t="n"/>
      <c r="F121" s="21" t="n"/>
      <c r="G121" s="21" t="n"/>
      <c r="H121" s="21" t="n"/>
      <c r="I121" s="21" t="n"/>
      <c r="J121" s="21" t="n"/>
      <c r="K121" s="21" t="n"/>
      <c r="L121" s="21" t="n"/>
      <c r="M121" s="21" t="n"/>
      <c r="N121" s="21" t="n"/>
      <c r="O121" s="21" t="n"/>
      <c r="P121" s="21" t="n"/>
      <c r="Q121" s="21" t="n"/>
      <c r="R121" s="21" t="n"/>
      <c r="S121" s="21" t="n"/>
      <c r="T121" s="21" t="n"/>
      <c r="U121" s="21" t="n"/>
      <c r="V121" s="21" t="n"/>
      <c r="W121" s="21" t="n"/>
      <c r="X121" s="21" t="n"/>
      <c r="Y121" s="21" t="n"/>
      <c r="Z121" s="21" t="n"/>
    </row>
    <row r="122" ht="15.75" customHeight="1" s="545">
      <c r="A122" s="21" t="n"/>
      <c r="B122" s="21" t="n"/>
      <c r="C122" s="21" t="n"/>
      <c r="D122" s="21" t="n"/>
      <c r="E122" s="21" t="n"/>
      <c r="F122" s="21" t="n"/>
      <c r="G122" s="21" t="n"/>
      <c r="H122" s="21" t="n"/>
      <c r="I122" s="21" t="n"/>
      <c r="J122" s="21" t="n"/>
      <c r="K122" s="21" t="n"/>
      <c r="L122" s="21" t="n"/>
      <c r="M122" s="21" t="n"/>
      <c r="N122" s="21" t="n"/>
      <c r="O122" s="21" t="n"/>
      <c r="P122" s="21" t="n"/>
      <c r="Q122" s="21" t="n"/>
      <c r="R122" s="21" t="n"/>
      <c r="S122" s="21" t="n"/>
      <c r="T122" s="21" t="n"/>
      <c r="U122" s="21" t="n"/>
      <c r="V122" s="21" t="n"/>
      <c r="W122" s="21" t="n"/>
      <c r="X122" s="21" t="n"/>
      <c r="Y122" s="21" t="n"/>
      <c r="Z122" s="21" t="n"/>
    </row>
    <row r="123" ht="15.75" customHeight="1" s="545">
      <c r="A123" s="21" t="n"/>
      <c r="B123" s="21" t="n"/>
      <c r="C123" s="21" t="n"/>
      <c r="D123" s="21" t="n"/>
      <c r="E123" s="21" t="n"/>
      <c r="F123" s="21" t="n"/>
      <c r="G123" s="21" t="n"/>
      <c r="H123" s="21" t="n"/>
      <c r="I123" s="21" t="n"/>
      <c r="J123" s="21" t="n"/>
      <c r="K123" s="21" t="n"/>
      <c r="L123" s="21" t="n"/>
      <c r="M123" s="21" t="n"/>
      <c r="N123" s="21" t="n"/>
      <c r="O123" s="21" t="n"/>
      <c r="P123" s="21" t="n"/>
      <c r="Q123" s="21" t="n"/>
      <c r="R123" s="21" t="n"/>
      <c r="S123" s="21" t="n"/>
      <c r="T123" s="21" t="n"/>
      <c r="U123" s="21" t="n"/>
      <c r="V123" s="21" t="n"/>
      <c r="W123" s="21" t="n"/>
      <c r="X123" s="21" t="n"/>
      <c r="Y123" s="21" t="n"/>
      <c r="Z123" s="21" t="n"/>
    </row>
    <row r="124" ht="15.75" customHeight="1" s="545">
      <c r="A124" s="21" t="n"/>
      <c r="B124" s="21" t="n"/>
      <c r="C124" s="21" t="n"/>
      <c r="D124" s="21" t="n"/>
      <c r="E124" s="21" t="n"/>
      <c r="F124" s="21" t="n"/>
      <c r="G124" s="21" t="n"/>
      <c r="H124" s="21" t="n"/>
      <c r="I124" s="21" t="n"/>
      <c r="J124" s="21" t="n"/>
      <c r="K124" s="21" t="n"/>
      <c r="L124" s="21" t="n"/>
      <c r="M124" s="21" t="n"/>
      <c r="N124" s="21" t="n"/>
      <c r="O124" s="21" t="n"/>
      <c r="P124" s="21" t="n"/>
      <c r="Q124" s="21" t="n"/>
      <c r="R124" s="21" t="n"/>
      <c r="S124" s="21" t="n"/>
      <c r="T124" s="21" t="n"/>
      <c r="U124" s="21" t="n"/>
      <c r="V124" s="21" t="n"/>
      <c r="W124" s="21" t="n"/>
      <c r="X124" s="21" t="n"/>
      <c r="Y124" s="21" t="n"/>
      <c r="Z124" s="21" t="n"/>
    </row>
    <row r="125" ht="15.75" customHeight="1" s="545">
      <c r="A125" s="21" t="n"/>
      <c r="B125" s="21" t="n"/>
      <c r="C125" s="21" t="n"/>
      <c r="D125" s="21" t="n"/>
      <c r="E125" s="21" t="n"/>
      <c r="F125" s="21" t="n"/>
      <c r="G125" s="21" t="n"/>
      <c r="H125" s="21" t="n"/>
      <c r="I125" s="21" t="n"/>
      <c r="J125" s="21" t="n"/>
      <c r="K125" s="21" t="n"/>
      <c r="L125" s="21" t="n"/>
      <c r="M125" s="21" t="n"/>
      <c r="N125" s="21" t="n"/>
      <c r="O125" s="21" t="n"/>
      <c r="P125" s="21" t="n"/>
      <c r="Q125" s="21" t="n"/>
      <c r="R125" s="21" t="n"/>
      <c r="S125" s="21" t="n"/>
      <c r="T125" s="21" t="n"/>
      <c r="U125" s="21" t="n"/>
      <c r="V125" s="21" t="n"/>
      <c r="W125" s="21" t="n"/>
      <c r="X125" s="21" t="n"/>
      <c r="Y125" s="21" t="n"/>
      <c r="Z125" s="21" t="n"/>
    </row>
    <row r="126" ht="15.75" customHeight="1" s="545">
      <c r="A126" s="21" t="n"/>
      <c r="B126" s="21" t="n"/>
      <c r="C126" s="21" t="n"/>
      <c r="D126" s="21" t="n"/>
      <c r="E126" s="21" t="n"/>
      <c r="F126" s="21" t="n"/>
      <c r="G126" s="21" t="n"/>
      <c r="H126" s="21" t="n"/>
      <c r="I126" s="21" t="n"/>
      <c r="J126" s="21" t="n"/>
      <c r="K126" s="21" t="n"/>
      <c r="L126" s="21" t="n"/>
      <c r="M126" s="21" t="n"/>
      <c r="N126" s="21" t="n"/>
      <c r="O126" s="21" t="n"/>
      <c r="P126" s="21" t="n"/>
      <c r="Q126" s="21" t="n"/>
      <c r="R126" s="21" t="n"/>
      <c r="S126" s="21" t="n"/>
      <c r="T126" s="21" t="n"/>
      <c r="U126" s="21" t="n"/>
      <c r="V126" s="21" t="n"/>
      <c r="W126" s="21" t="n"/>
      <c r="X126" s="21" t="n"/>
      <c r="Y126" s="21" t="n"/>
      <c r="Z126" s="21" t="n"/>
    </row>
    <row r="127" ht="15.75" customHeight="1" s="545">
      <c r="A127" s="21" t="n"/>
      <c r="B127" s="21" t="n"/>
      <c r="C127" s="21" t="n"/>
      <c r="D127" s="21" t="n"/>
      <c r="E127" s="21" t="n"/>
      <c r="F127" s="21" t="n"/>
      <c r="G127" s="21" t="n"/>
      <c r="H127" s="21" t="n"/>
      <c r="I127" s="21" t="n"/>
      <c r="J127" s="21" t="n"/>
      <c r="K127" s="21" t="n"/>
      <c r="L127" s="21" t="n"/>
      <c r="M127" s="21" t="n"/>
      <c r="N127" s="21" t="n"/>
      <c r="O127" s="21" t="n"/>
      <c r="P127" s="21" t="n"/>
      <c r="Q127" s="21" t="n"/>
      <c r="R127" s="21" t="n"/>
      <c r="S127" s="21" t="n"/>
      <c r="T127" s="21" t="n"/>
      <c r="U127" s="21" t="n"/>
      <c r="V127" s="21" t="n"/>
      <c r="W127" s="21" t="n"/>
      <c r="X127" s="21" t="n"/>
      <c r="Y127" s="21" t="n"/>
      <c r="Z127" s="21" t="n"/>
    </row>
    <row r="128" ht="15.75" customHeight="1" s="545">
      <c r="A128" s="21" t="n"/>
      <c r="B128" s="21" t="n"/>
      <c r="C128" s="21" t="n"/>
      <c r="D128" s="21" t="n"/>
      <c r="E128" s="21" t="n"/>
      <c r="F128" s="21" t="n"/>
      <c r="G128" s="21" t="n"/>
      <c r="H128" s="21" t="n"/>
      <c r="I128" s="21" t="n"/>
      <c r="J128" s="21" t="n"/>
      <c r="K128" s="21" t="n"/>
      <c r="L128" s="21" t="n"/>
      <c r="M128" s="21" t="n"/>
      <c r="N128" s="21" t="n"/>
      <c r="O128" s="21" t="n"/>
      <c r="P128" s="21" t="n"/>
      <c r="Q128" s="21" t="n"/>
      <c r="R128" s="21" t="n"/>
      <c r="S128" s="21" t="n"/>
      <c r="T128" s="21" t="n"/>
      <c r="U128" s="21" t="n"/>
      <c r="V128" s="21" t="n"/>
      <c r="W128" s="21" t="n"/>
      <c r="X128" s="21" t="n"/>
      <c r="Y128" s="21" t="n"/>
      <c r="Z128" s="21" t="n"/>
    </row>
    <row r="129" ht="15.75" customHeight="1" s="545">
      <c r="A129" s="21" t="n"/>
      <c r="B129" s="21" t="n"/>
      <c r="C129" s="21" t="n"/>
      <c r="D129" s="21" t="n"/>
      <c r="E129" s="21" t="n"/>
      <c r="F129" s="21" t="n"/>
      <c r="G129" s="21" t="n"/>
      <c r="H129" s="21" t="n"/>
      <c r="I129" s="21" t="n"/>
      <c r="J129" s="21" t="n"/>
      <c r="K129" s="21" t="n"/>
      <c r="L129" s="21" t="n"/>
      <c r="M129" s="21" t="n"/>
      <c r="N129" s="21" t="n"/>
      <c r="O129" s="21" t="n"/>
      <c r="P129" s="21" t="n"/>
      <c r="Q129" s="21" t="n"/>
      <c r="R129" s="21" t="n"/>
      <c r="S129" s="21" t="n"/>
      <c r="T129" s="21" t="n"/>
      <c r="U129" s="21" t="n"/>
      <c r="V129" s="21" t="n"/>
      <c r="W129" s="21" t="n"/>
      <c r="X129" s="21" t="n"/>
      <c r="Y129" s="21" t="n"/>
      <c r="Z129" s="21" t="n"/>
    </row>
    <row r="130" ht="15.75" customHeight="1" s="545">
      <c r="A130" s="21" t="n"/>
      <c r="B130" s="21" t="n"/>
      <c r="C130" s="21" t="n"/>
      <c r="D130" s="21" t="n"/>
      <c r="E130" s="21" t="n"/>
      <c r="F130" s="21" t="n"/>
      <c r="G130" s="21" t="n"/>
      <c r="H130" s="21" t="n"/>
      <c r="I130" s="21" t="n"/>
      <c r="J130" s="21" t="n"/>
      <c r="K130" s="21" t="n"/>
      <c r="L130" s="21" t="n"/>
      <c r="M130" s="21" t="n"/>
      <c r="N130" s="21" t="n"/>
      <c r="O130" s="21" t="n"/>
      <c r="P130" s="21" t="n"/>
      <c r="Q130" s="21" t="n"/>
      <c r="R130" s="21" t="n"/>
      <c r="S130" s="21" t="n"/>
      <c r="T130" s="21" t="n"/>
      <c r="U130" s="21" t="n"/>
      <c r="V130" s="21" t="n"/>
      <c r="W130" s="21" t="n"/>
      <c r="X130" s="21" t="n"/>
      <c r="Y130" s="21" t="n"/>
      <c r="Z130" s="21" t="n"/>
    </row>
    <row r="131" ht="15.75" customHeight="1" s="545">
      <c r="A131" s="21" t="n"/>
      <c r="B131" s="21" t="n"/>
      <c r="C131" s="21" t="n"/>
      <c r="D131" s="21" t="n"/>
      <c r="E131" s="21" t="n"/>
      <c r="F131" s="21" t="n"/>
      <c r="G131" s="21" t="n"/>
      <c r="H131" s="21" t="n"/>
      <c r="I131" s="21" t="n"/>
      <c r="J131" s="21" t="n"/>
      <c r="K131" s="21" t="n"/>
      <c r="L131" s="21" t="n"/>
      <c r="M131" s="21" t="n"/>
      <c r="N131" s="21" t="n"/>
      <c r="O131" s="21" t="n"/>
      <c r="P131" s="21" t="n"/>
      <c r="Q131" s="21" t="n"/>
      <c r="R131" s="21" t="n"/>
      <c r="S131" s="21" t="n"/>
      <c r="T131" s="21" t="n"/>
      <c r="U131" s="21" t="n"/>
      <c r="V131" s="21" t="n"/>
      <c r="W131" s="21" t="n"/>
      <c r="X131" s="21" t="n"/>
      <c r="Y131" s="21" t="n"/>
      <c r="Z131" s="21" t="n"/>
    </row>
    <row r="132" ht="15.75" customHeight="1" s="545">
      <c r="A132" s="21" t="n"/>
      <c r="B132" s="21" t="n"/>
      <c r="C132" s="21" t="n"/>
      <c r="D132" s="21" t="n"/>
      <c r="E132" s="21" t="n"/>
      <c r="F132" s="21" t="n"/>
      <c r="G132" s="21" t="n"/>
      <c r="H132" s="21" t="n"/>
      <c r="I132" s="21" t="n"/>
      <c r="J132" s="21" t="n"/>
      <c r="K132" s="21" t="n"/>
      <c r="L132" s="21" t="n"/>
      <c r="M132" s="21" t="n"/>
      <c r="N132" s="21" t="n"/>
      <c r="O132" s="21" t="n"/>
      <c r="P132" s="21" t="n"/>
      <c r="Q132" s="21" t="n"/>
      <c r="R132" s="21" t="n"/>
      <c r="S132" s="21" t="n"/>
      <c r="T132" s="21" t="n"/>
      <c r="U132" s="21" t="n"/>
      <c r="V132" s="21" t="n"/>
      <c r="W132" s="21" t="n"/>
      <c r="X132" s="21" t="n"/>
      <c r="Y132" s="21" t="n"/>
      <c r="Z132" s="21" t="n"/>
    </row>
    <row r="133" ht="15.75" customHeight="1" s="545">
      <c r="A133" s="21" t="n"/>
      <c r="B133" s="21" t="n"/>
      <c r="C133" s="21" t="n"/>
      <c r="D133" s="21" t="n"/>
      <c r="E133" s="21" t="n"/>
      <c r="F133" s="21" t="n"/>
      <c r="G133" s="21" t="n"/>
      <c r="H133" s="21" t="n"/>
      <c r="I133" s="21" t="n"/>
      <c r="J133" s="21" t="n"/>
      <c r="K133" s="21" t="n"/>
      <c r="L133" s="21" t="n"/>
      <c r="M133" s="21" t="n"/>
      <c r="N133" s="21" t="n"/>
      <c r="O133" s="21" t="n"/>
      <c r="P133" s="21" t="n"/>
      <c r="Q133" s="21" t="n"/>
      <c r="R133" s="21" t="n"/>
      <c r="S133" s="21" t="n"/>
      <c r="T133" s="21" t="n"/>
      <c r="U133" s="21" t="n"/>
      <c r="V133" s="21" t="n"/>
      <c r="W133" s="21" t="n"/>
      <c r="X133" s="21" t="n"/>
      <c r="Y133" s="21" t="n"/>
      <c r="Z133" s="21" t="n"/>
    </row>
    <row r="134" ht="15.75" customHeight="1" s="545">
      <c r="A134" s="21" t="n"/>
      <c r="B134" s="21" t="n"/>
      <c r="C134" s="21" t="n"/>
      <c r="D134" s="21" t="n"/>
      <c r="E134" s="21" t="n"/>
      <c r="F134" s="21" t="n"/>
      <c r="G134" s="21" t="n"/>
      <c r="H134" s="21" t="n"/>
      <c r="I134" s="21" t="n"/>
      <c r="J134" s="21" t="n"/>
      <c r="K134" s="21" t="n"/>
      <c r="L134" s="21" t="n"/>
      <c r="M134" s="21" t="n"/>
      <c r="N134" s="21" t="n"/>
      <c r="O134" s="21" t="n"/>
      <c r="P134" s="21" t="n"/>
      <c r="Q134" s="21" t="n"/>
      <c r="R134" s="21" t="n"/>
      <c r="S134" s="21" t="n"/>
      <c r="T134" s="21" t="n"/>
      <c r="U134" s="21" t="n"/>
      <c r="V134" s="21" t="n"/>
      <c r="W134" s="21" t="n"/>
      <c r="X134" s="21" t="n"/>
      <c r="Y134" s="21" t="n"/>
      <c r="Z134" s="21" t="n"/>
    </row>
    <row r="135" ht="15.75" customHeight="1" s="545">
      <c r="A135" s="21" t="n"/>
      <c r="B135" s="21" t="n"/>
      <c r="C135" s="21" t="n"/>
      <c r="D135" s="21" t="n"/>
      <c r="E135" s="21" t="n"/>
      <c r="F135" s="21" t="n"/>
      <c r="G135" s="21" t="n"/>
      <c r="H135" s="21" t="n"/>
      <c r="I135" s="21" t="n"/>
      <c r="J135" s="21" t="n"/>
      <c r="K135" s="21" t="n"/>
      <c r="L135" s="21" t="n"/>
      <c r="M135" s="21" t="n"/>
      <c r="N135" s="21" t="n"/>
      <c r="O135" s="21" t="n"/>
      <c r="P135" s="21" t="n"/>
      <c r="Q135" s="21" t="n"/>
      <c r="R135" s="21" t="n"/>
      <c r="S135" s="21" t="n"/>
      <c r="T135" s="21" t="n"/>
      <c r="U135" s="21" t="n"/>
      <c r="V135" s="21" t="n"/>
      <c r="W135" s="21" t="n"/>
      <c r="X135" s="21" t="n"/>
      <c r="Y135" s="21" t="n"/>
      <c r="Z135" s="21" t="n"/>
    </row>
    <row r="136" ht="15.75" customHeight="1" s="545">
      <c r="A136" s="21" t="n"/>
      <c r="B136" s="21" t="n"/>
      <c r="C136" s="21" t="n"/>
      <c r="D136" s="21" t="n"/>
      <c r="E136" s="21" t="n"/>
      <c r="F136" s="21" t="n"/>
      <c r="G136" s="21" t="n"/>
      <c r="H136" s="21" t="n"/>
      <c r="I136" s="21" t="n"/>
      <c r="J136" s="21" t="n"/>
      <c r="K136" s="21" t="n"/>
      <c r="L136" s="21" t="n"/>
      <c r="M136" s="21" t="n"/>
      <c r="N136" s="21" t="n"/>
      <c r="O136" s="21" t="n"/>
      <c r="P136" s="21" t="n"/>
      <c r="Q136" s="21" t="n"/>
      <c r="R136" s="21" t="n"/>
      <c r="S136" s="21" t="n"/>
      <c r="T136" s="21" t="n"/>
      <c r="U136" s="21" t="n"/>
      <c r="V136" s="21" t="n"/>
      <c r="W136" s="21" t="n"/>
      <c r="X136" s="21" t="n"/>
      <c r="Y136" s="21" t="n"/>
      <c r="Z136" s="21" t="n"/>
    </row>
    <row r="137" ht="15.75" customHeight="1" s="545">
      <c r="A137" s="21" t="n"/>
      <c r="B137" s="21" t="n"/>
      <c r="C137" s="21" t="n"/>
      <c r="D137" s="21" t="n"/>
      <c r="E137" s="21" t="n"/>
      <c r="F137" s="21" t="n"/>
      <c r="G137" s="21" t="n"/>
      <c r="H137" s="21" t="n"/>
      <c r="I137" s="21" t="n"/>
      <c r="J137" s="21" t="n"/>
      <c r="K137" s="21" t="n"/>
      <c r="L137" s="21" t="n"/>
      <c r="M137" s="21" t="n"/>
      <c r="N137" s="21" t="n"/>
      <c r="O137" s="21" t="n"/>
      <c r="P137" s="21" t="n"/>
      <c r="Q137" s="21" t="n"/>
      <c r="R137" s="21" t="n"/>
      <c r="S137" s="21" t="n"/>
      <c r="T137" s="21" t="n"/>
      <c r="U137" s="21" t="n"/>
      <c r="V137" s="21" t="n"/>
      <c r="W137" s="21" t="n"/>
      <c r="X137" s="21" t="n"/>
      <c r="Y137" s="21" t="n"/>
      <c r="Z137" s="21" t="n"/>
    </row>
    <row r="138" ht="15.75" customHeight="1" s="545">
      <c r="A138" s="21" t="n"/>
      <c r="B138" s="21" t="n"/>
      <c r="C138" s="21" t="n"/>
      <c r="D138" s="21" t="n"/>
      <c r="E138" s="21" t="n"/>
      <c r="F138" s="21" t="n"/>
      <c r="G138" s="21" t="n"/>
      <c r="H138" s="21" t="n"/>
      <c r="I138" s="21" t="n"/>
      <c r="J138" s="21" t="n"/>
      <c r="K138" s="21" t="n"/>
      <c r="L138" s="21" t="n"/>
      <c r="M138" s="21" t="n"/>
      <c r="N138" s="21" t="n"/>
      <c r="O138" s="21" t="n"/>
      <c r="P138" s="21" t="n"/>
      <c r="Q138" s="21" t="n"/>
      <c r="R138" s="21" t="n"/>
      <c r="S138" s="21" t="n"/>
      <c r="T138" s="21" t="n"/>
      <c r="U138" s="21" t="n"/>
      <c r="V138" s="21" t="n"/>
      <c r="W138" s="21" t="n"/>
      <c r="X138" s="21" t="n"/>
      <c r="Y138" s="21" t="n"/>
      <c r="Z138" s="21" t="n"/>
    </row>
    <row r="139" ht="15.75" customHeight="1" s="545">
      <c r="A139" s="21" t="n"/>
      <c r="B139" s="21" t="n"/>
      <c r="C139" s="21" t="n"/>
      <c r="D139" s="21" t="n"/>
      <c r="E139" s="21" t="n"/>
      <c r="F139" s="21" t="n"/>
      <c r="G139" s="21" t="n"/>
      <c r="H139" s="21" t="n"/>
      <c r="I139" s="21" t="n"/>
      <c r="J139" s="21" t="n"/>
      <c r="K139" s="21" t="n"/>
      <c r="L139" s="21" t="n"/>
      <c r="M139" s="21" t="n"/>
      <c r="N139" s="21" t="n"/>
      <c r="O139" s="21" t="n"/>
      <c r="P139" s="21" t="n"/>
      <c r="Q139" s="21" t="n"/>
      <c r="R139" s="21" t="n"/>
      <c r="S139" s="21" t="n"/>
      <c r="T139" s="21" t="n"/>
      <c r="U139" s="21" t="n"/>
      <c r="V139" s="21" t="n"/>
      <c r="W139" s="21" t="n"/>
      <c r="X139" s="21" t="n"/>
      <c r="Y139" s="21" t="n"/>
      <c r="Z139" s="21" t="n"/>
    </row>
    <row r="140" ht="15.75" customHeight="1" s="545">
      <c r="A140" s="21" t="n"/>
      <c r="B140" s="21" t="n"/>
      <c r="C140" s="21" t="n"/>
      <c r="D140" s="21" t="n"/>
      <c r="E140" s="21" t="n"/>
      <c r="F140" s="21" t="n"/>
      <c r="G140" s="21" t="n"/>
      <c r="H140" s="21" t="n"/>
      <c r="I140" s="21" t="n"/>
      <c r="J140" s="21" t="n"/>
      <c r="K140" s="21" t="n"/>
      <c r="L140" s="21" t="n"/>
      <c r="M140" s="21" t="n"/>
      <c r="N140" s="21" t="n"/>
      <c r="O140" s="21" t="n"/>
      <c r="P140" s="21" t="n"/>
      <c r="Q140" s="21" t="n"/>
      <c r="R140" s="21" t="n"/>
      <c r="S140" s="21" t="n"/>
      <c r="T140" s="21" t="n"/>
      <c r="U140" s="21" t="n"/>
      <c r="V140" s="21" t="n"/>
      <c r="W140" s="21" t="n"/>
      <c r="X140" s="21" t="n"/>
      <c r="Y140" s="21" t="n"/>
      <c r="Z140" s="21" t="n"/>
    </row>
    <row r="141" ht="15.75" customHeight="1" s="545">
      <c r="A141" s="21" t="n"/>
      <c r="B141" s="21" t="n"/>
      <c r="C141" s="21" t="n"/>
      <c r="D141" s="21" t="n"/>
      <c r="E141" s="21" t="n"/>
      <c r="F141" s="21" t="n"/>
      <c r="G141" s="21" t="n"/>
      <c r="H141" s="21" t="n"/>
      <c r="I141" s="21" t="n"/>
      <c r="J141" s="21" t="n"/>
      <c r="K141" s="21" t="n"/>
      <c r="L141" s="21" t="n"/>
      <c r="M141" s="21" t="n"/>
      <c r="N141" s="21" t="n"/>
      <c r="O141" s="21" t="n"/>
      <c r="P141" s="21" t="n"/>
      <c r="Q141" s="21" t="n"/>
      <c r="R141" s="21" t="n"/>
      <c r="S141" s="21" t="n"/>
      <c r="T141" s="21" t="n"/>
      <c r="U141" s="21" t="n"/>
      <c r="V141" s="21" t="n"/>
      <c r="W141" s="21" t="n"/>
      <c r="X141" s="21" t="n"/>
      <c r="Y141" s="21" t="n"/>
      <c r="Z141" s="21" t="n"/>
    </row>
    <row r="142" ht="15.75" customHeight="1" s="545">
      <c r="A142" s="21" t="n"/>
      <c r="B142" s="21" t="n"/>
      <c r="C142" s="21" t="n"/>
      <c r="D142" s="21" t="n"/>
      <c r="E142" s="21" t="n"/>
      <c r="F142" s="21" t="n"/>
      <c r="G142" s="21" t="n"/>
      <c r="H142" s="21" t="n"/>
      <c r="I142" s="21" t="n"/>
      <c r="J142" s="21" t="n"/>
      <c r="K142" s="21" t="n"/>
      <c r="L142" s="21" t="n"/>
      <c r="M142" s="21" t="n"/>
      <c r="N142" s="21" t="n"/>
      <c r="O142" s="21" t="n"/>
      <c r="P142" s="21" t="n"/>
      <c r="Q142" s="21" t="n"/>
      <c r="R142" s="21" t="n"/>
      <c r="S142" s="21" t="n"/>
      <c r="T142" s="21" t="n"/>
      <c r="U142" s="21" t="n"/>
      <c r="V142" s="21" t="n"/>
      <c r="W142" s="21" t="n"/>
      <c r="X142" s="21" t="n"/>
      <c r="Y142" s="21" t="n"/>
      <c r="Z142" s="21" t="n"/>
    </row>
    <row r="143" ht="15.75" customHeight="1" s="545">
      <c r="A143" s="21" t="n"/>
      <c r="B143" s="21" t="n"/>
      <c r="C143" s="21" t="n"/>
      <c r="D143" s="21" t="n"/>
      <c r="E143" s="21" t="n"/>
      <c r="F143" s="21" t="n"/>
      <c r="G143" s="21" t="n"/>
      <c r="H143" s="21" t="n"/>
      <c r="I143" s="21" t="n"/>
      <c r="J143" s="21" t="n"/>
      <c r="K143" s="21" t="n"/>
      <c r="L143" s="21" t="n"/>
      <c r="M143" s="21" t="n"/>
      <c r="N143" s="21" t="n"/>
      <c r="O143" s="21" t="n"/>
      <c r="P143" s="21" t="n"/>
      <c r="Q143" s="21" t="n"/>
      <c r="R143" s="21" t="n"/>
      <c r="S143" s="21" t="n"/>
      <c r="T143" s="21" t="n"/>
      <c r="U143" s="21" t="n"/>
      <c r="V143" s="21" t="n"/>
      <c r="W143" s="21" t="n"/>
      <c r="X143" s="21" t="n"/>
      <c r="Y143" s="21" t="n"/>
      <c r="Z143" s="21" t="n"/>
    </row>
    <row r="144" ht="15.75" customHeight="1" s="545">
      <c r="A144" s="21" t="n"/>
      <c r="B144" s="21" t="n"/>
      <c r="C144" s="21" t="n"/>
      <c r="D144" s="21" t="n"/>
      <c r="E144" s="21" t="n"/>
      <c r="F144" s="21" t="n"/>
      <c r="G144" s="21" t="n"/>
      <c r="H144" s="21" t="n"/>
      <c r="I144" s="21" t="n"/>
      <c r="J144" s="21" t="n"/>
      <c r="K144" s="21" t="n"/>
      <c r="L144" s="21" t="n"/>
      <c r="M144" s="21" t="n"/>
      <c r="N144" s="21" t="n"/>
      <c r="O144" s="21" t="n"/>
      <c r="P144" s="21" t="n"/>
      <c r="Q144" s="21" t="n"/>
      <c r="R144" s="21" t="n"/>
      <c r="S144" s="21" t="n"/>
      <c r="T144" s="21" t="n"/>
      <c r="U144" s="21" t="n"/>
      <c r="V144" s="21" t="n"/>
      <c r="W144" s="21" t="n"/>
      <c r="X144" s="21" t="n"/>
      <c r="Y144" s="21" t="n"/>
      <c r="Z144" s="21" t="n"/>
    </row>
    <row r="145" ht="15.75" customHeight="1" s="545">
      <c r="A145" s="21" t="n"/>
      <c r="B145" s="21" t="n"/>
      <c r="C145" s="21" t="n"/>
      <c r="D145" s="21" t="n"/>
      <c r="E145" s="21" t="n"/>
      <c r="F145" s="21" t="n"/>
      <c r="G145" s="21" t="n"/>
      <c r="H145" s="21" t="n"/>
      <c r="I145" s="21" t="n"/>
      <c r="J145" s="21" t="n"/>
      <c r="K145" s="21" t="n"/>
      <c r="L145" s="21" t="n"/>
      <c r="M145" s="21" t="n"/>
      <c r="N145" s="21" t="n"/>
      <c r="O145" s="21" t="n"/>
      <c r="P145" s="21" t="n"/>
      <c r="Q145" s="21" t="n"/>
      <c r="R145" s="21" t="n"/>
      <c r="S145" s="21" t="n"/>
      <c r="T145" s="21" t="n"/>
      <c r="U145" s="21" t="n"/>
      <c r="V145" s="21" t="n"/>
      <c r="W145" s="21" t="n"/>
      <c r="X145" s="21" t="n"/>
      <c r="Y145" s="21" t="n"/>
      <c r="Z145" s="21" t="n"/>
    </row>
    <row r="146" ht="15.75" customHeight="1" s="545">
      <c r="A146" s="21" t="n"/>
      <c r="B146" s="21" t="n"/>
      <c r="C146" s="21" t="n"/>
      <c r="D146" s="21" t="n"/>
      <c r="E146" s="21" t="n"/>
      <c r="F146" s="21" t="n"/>
      <c r="G146" s="21" t="n"/>
      <c r="H146" s="21" t="n"/>
      <c r="I146" s="21" t="n"/>
      <c r="J146" s="21" t="n"/>
      <c r="K146" s="21" t="n"/>
      <c r="L146" s="21" t="n"/>
      <c r="M146" s="21" t="n"/>
      <c r="N146" s="21" t="n"/>
      <c r="O146" s="21" t="n"/>
      <c r="P146" s="21" t="n"/>
      <c r="Q146" s="21" t="n"/>
      <c r="R146" s="21" t="n"/>
      <c r="S146" s="21" t="n"/>
      <c r="T146" s="21" t="n"/>
      <c r="U146" s="21" t="n"/>
      <c r="V146" s="21" t="n"/>
      <c r="W146" s="21" t="n"/>
      <c r="X146" s="21" t="n"/>
      <c r="Y146" s="21" t="n"/>
      <c r="Z146" s="21" t="n"/>
    </row>
    <row r="147" ht="15.75" customHeight="1" s="545">
      <c r="A147" s="21" t="n"/>
      <c r="B147" s="21" t="n"/>
      <c r="C147" s="21" t="n"/>
      <c r="D147" s="21" t="n"/>
      <c r="E147" s="21" t="n"/>
      <c r="F147" s="21" t="n"/>
      <c r="G147" s="21" t="n"/>
      <c r="H147" s="21" t="n"/>
      <c r="I147" s="21" t="n"/>
      <c r="J147" s="21" t="n"/>
      <c r="K147" s="21" t="n"/>
      <c r="L147" s="21" t="n"/>
      <c r="M147" s="21" t="n"/>
      <c r="N147" s="21" t="n"/>
      <c r="O147" s="21" t="n"/>
      <c r="P147" s="21" t="n"/>
      <c r="Q147" s="21" t="n"/>
      <c r="R147" s="21" t="n"/>
      <c r="S147" s="21" t="n"/>
      <c r="T147" s="21" t="n"/>
      <c r="U147" s="21" t="n"/>
      <c r="V147" s="21" t="n"/>
      <c r="W147" s="21" t="n"/>
      <c r="X147" s="21" t="n"/>
      <c r="Y147" s="21" t="n"/>
      <c r="Z147" s="21" t="n"/>
    </row>
    <row r="148" ht="15.75" customHeight="1" s="545">
      <c r="A148" s="21" t="n"/>
      <c r="B148" s="21" t="n"/>
      <c r="C148" s="21" t="n"/>
      <c r="D148" s="21" t="n"/>
      <c r="E148" s="21" t="n"/>
      <c r="F148" s="21" t="n"/>
      <c r="G148" s="21" t="n"/>
      <c r="H148" s="21" t="n"/>
      <c r="I148" s="21" t="n"/>
      <c r="J148" s="21" t="n"/>
      <c r="K148" s="21" t="n"/>
      <c r="L148" s="21" t="n"/>
      <c r="M148" s="21" t="n"/>
      <c r="N148" s="21" t="n"/>
      <c r="O148" s="21" t="n"/>
      <c r="P148" s="21" t="n"/>
      <c r="Q148" s="21" t="n"/>
      <c r="R148" s="21" t="n"/>
      <c r="S148" s="21" t="n"/>
      <c r="T148" s="21" t="n"/>
      <c r="U148" s="21" t="n"/>
      <c r="V148" s="21" t="n"/>
      <c r="W148" s="21" t="n"/>
      <c r="X148" s="21" t="n"/>
      <c r="Y148" s="21" t="n"/>
      <c r="Z148" s="21" t="n"/>
    </row>
    <row r="149" ht="15.75" customHeight="1" s="545">
      <c r="A149" s="21" t="n"/>
      <c r="B149" s="21" t="n"/>
      <c r="C149" s="21" t="n"/>
      <c r="D149" s="21" t="n"/>
      <c r="E149" s="21" t="n"/>
      <c r="F149" s="21" t="n"/>
      <c r="G149" s="21" t="n"/>
      <c r="H149" s="21" t="n"/>
      <c r="I149" s="21" t="n"/>
      <c r="J149" s="21" t="n"/>
      <c r="K149" s="21" t="n"/>
      <c r="L149" s="21" t="n"/>
      <c r="M149" s="21" t="n"/>
      <c r="N149" s="21" t="n"/>
      <c r="O149" s="21" t="n"/>
      <c r="P149" s="21" t="n"/>
      <c r="Q149" s="21" t="n"/>
      <c r="R149" s="21" t="n"/>
      <c r="S149" s="21" t="n"/>
      <c r="T149" s="21" t="n"/>
      <c r="U149" s="21" t="n"/>
      <c r="V149" s="21" t="n"/>
      <c r="W149" s="21" t="n"/>
      <c r="X149" s="21" t="n"/>
      <c r="Y149" s="21" t="n"/>
      <c r="Z149" s="21" t="n"/>
    </row>
    <row r="150" ht="15.75" customHeight="1" s="545">
      <c r="A150" s="21" t="n"/>
      <c r="B150" s="21" t="n"/>
      <c r="C150" s="21" t="n"/>
      <c r="D150" s="21" t="n"/>
      <c r="E150" s="21" t="n"/>
      <c r="F150" s="21" t="n"/>
      <c r="G150" s="21" t="n"/>
      <c r="H150" s="21" t="n"/>
      <c r="I150" s="21" t="n"/>
      <c r="J150" s="21" t="n"/>
      <c r="K150" s="21" t="n"/>
      <c r="L150" s="21" t="n"/>
      <c r="M150" s="21" t="n"/>
      <c r="N150" s="21" t="n"/>
      <c r="O150" s="21" t="n"/>
      <c r="P150" s="21" t="n"/>
      <c r="Q150" s="21" t="n"/>
      <c r="R150" s="21" t="n"/>
      <c r="S150" s="21" t="n"/>
      <c r="T150" s="21" t="n"/>
      <c r="U150" s="21" t="n"/>
      <c r="V150" s="21" t="n"/>
      <c r="W150" s="21" t="n"/>
      <c r="X150" s="21" t="n"/>
      <c r="Y150" s="21" t="n"/>
      <c r="Z150" s="21" t="n"/>
    </row>
    <row r="151" ht="15.75" customHeight="1" s="545">
      <c r="A151" s="21" t="n"/>
      <c r="B151" s="21" t="n"/>
      <c r="C151" s="21" t="n"/>
      <c r="D151" s="21" t="n"/>
      <c r="E151" s="21" t="n"/>
      <c r="F151" s="21" t="n"/>
      <c r="G151" s="21" t="n"/>
      <c r="H151" s="21" t="n"/>
      <c r="I151" s="21" t="n"/>
      <c r="J151" s="21" t="n"/>
      <c r="K151" s="21" t="n"/>
      <c r="L151" s="21" t="n"/>
      <c r="M151" s="21" t="n"/>
      <c r="N151" s="21" t="n"/>
      <c r="O151" s="21" t="n"/>
      <c r="P151" s="21" t="n"/>
      <c r="Q151" s="21" t="n"/>
      <c r="R151" s="21" t="n"/>
      <c r="S151" s="21" t="n"/>
      <c r="T151" s="21" t="n"/>
      <c r="U151" s="21" t="n"/>
      <c r="V151" s="21" t="n"/>
      <c r="W151" s="21" t="n"/>
      <c r="X151" s="21" t="n"/>
      <c r="Y151" s="21" t="n"/>
      <c r="Z151" s="21" t="n"/>
    </row>
    <row r="152" ht="15.75" customHeight="1" s="545">
      <c r="A152" s="21" t="n"/>
      <c r="B152" s="21" t="n"/>
      <c r="C152" s="21" t="n"/>
      <c r="D152" s="21" t="n"/>
      <c r="E152" s="21" t="n"/>
      <c r="F152" s="21" t="n"/>
      <c r="G152" s="21" t="n"/>
      <c r="H152" s="21" t="n"/>
      <c r="I152" s="21" t="n"/>
      <c r="J152" s="21" t="n"/>
      <c r="K152" s="21" t="n"/>
      <c r="L152" s="21" t="n"/>
      <c r="M152" s="21" t="n"/>
      <c r="N152" s="21" t="n"/>
      <c r="O152" s="21" t="n"/>
      <c r="P152" s="21" t="n"/>
      <c r="Q152" s="21" t="n"/>
      <c r="R152" s="21" t="n"/>
      <c r="S152" s="21" t="n"/>
      <c r="T152" s="21" t="n"/>
      <c r="U152" s="21" t="n"/>
      <c r="V152" s="21" t="n"/>
      <c r="W152" s="21" t="n"/>
      <c r="X152" s="21" t="n"/>
      <c r="Y152" s="21" t="n"/>
      <c r="Z152" s="21" t="n"/>
    </row>
    <row r="153" ht="15.75" customHeight="1" s="545">
      <c r="A153" s="21" t="n"/>
      <c r="B153" s="21" t="n"/>
      <c r="C153" s="21" t="n"/>
      <c r="D153" s="21" t="n"/>
      <c r="E153" s="21" t="n"/>
      <c r="F153" s="21" t="n"/>
      <c r="G153" s="21" t="n"/>
      <c r="H153" s="21" t="n"/>
      <c r="I153" s="21" t="n"/>
      <c r="J153" s="21" t="n"/>
      <c r="K153" s="21" t="n"/>
      <c r="L153" s="21" t="n"/>
      <c r="M153" s="21" t="n"/>
      <c r="N153" s="21" t="n"/>
      <c r="O153" s="21" t="n"/>
      <c r="P153" s="21" t="n"/>
      <c r="Q153" s="21" t="n"/>
      <c r="R153" s="21" t="n"/>
      <c r="S153" s="21" t="n"/>
      <c r="T153" s="21" t="n"/>
      <c r="U153" s="21" t="n"/>
      <c r="V153" s="21" t="n"/>
      <c r="W153" s="21" t="n"/>
      <c r="X153" s="21" t="n"/>
      <c r="Y153" s="21" t="n"/>
      <c r="Z153" s="21" t="n"/>
    </row>
    <row r="154" ht="15.75" customHeight="1" s="545">
      <c r="A154" s="21" t="n"/>
      <c r="B154" s="21" t="n"/>
      <c r="C154" s="21" t="n"/>
      <c r="D154" s="21" t="n"/>
      <c r="E154" s="21" t="n"/>
      <c r="F154" s="21" t="n"/>
      <c r="G154" s="21" t="n"/>
      <c r="H154" s="21" t="n"/>
      <c r="I154" s="21" t="n"/>
      <c r="J154" s="21" t="n"/>
      <c r="K154" s="21" t="n"/>
      <c r="L154" s="21" t="n"/>
      <c r="M154" s="21" t="n"/>
      <c r="N154" s="21" t="n"/>
      <c r="O154" s="21" t="n"/>
      <c r="P154" s="21" t="n"/>
      <c r="Q154" s="21" t="n"/>
      <c r="R154" s="21" t="n"/>
      <c r="S154" s="21" t="n"/>
      <c r="T154" s="21" t="n"/>
      <c r="U154" s="21" t="n"/>
      <c r="V154" s="21" t="n"/>
      <c r="W154" s="21" t="n"/>
      <c r="X154" s="21" t="n"/>
      <c r="Y154" s="21" t="n"/>
      <c r="Z154" s="21" t="n"/>
    </row>
    <row r="155" ht="15.75" customHeight="1" s="545">
      <c r="A155" s="21" t="n"/>
      <c r="B155" s="21" t="n"/>
      <c r="C155" s="21" t="n"/>
      <c r="D155" s="21" t="n"/>
      <c r="E155" s="21" t="n"/>
      <c r="F155" s="21" t="n"/>
      <c r="G155" s="21" t="n"/>
      <c r="H155" s="21" t="n"/>
      <c r="I155" s="21" t="n"/>
      <c r="J155" s="21" t="n"/>
      <c r="K155" s="21" t="n"/>
      <c r="L155" s="21" t="n"/>
      <c r="M155" s="21" t="n"/>
      <c r="N155" s="21" t="n"/>
      <c r="O155" s="21" t="n"/>
      <c r="P155" s="21" t="n"/>
      <c r="Q155" s="21" t="n"/>
      <c r="R155" s="21" t="n"/>
      <c r="S155" s="21" t="n"/>
      <c r="T155" s="21" t="n"/>
      <c r="U155" s="21" t="n"/>
      <c r="V155" s="21" t="n"/>
      <c r="W155" s="21" t="n"/>
      <c r="X155" s="21" t="n"/>
      <c r="Y155" s="21" t="n"/>
      <c r="Z155" s="21" t="n"/>
    </row>
    <row r="156" ht="15.75" customHeight="1" s="545">
      <c r="A156" s="21" t="n"/>
      <c r="B156" s="21" t="n"/>
      <c r="C156" s="21" t="n"/>
      <c r="D156" s="21" t="n"/>
      <c r="E156" s="21" t="n"/>
      <c r="F156" s="21" t="n"/>
      <c r="G156" s="21" t="n"/>
      <c r="H156" s="21" t="n"/>
      <c r="I156" s="21" t="n"/>
      <c r="J156" s="21" t="n"/>
      <c r="K156" s="21" t="n"/>
      <c r="L156" s="21" t="n"/>
      <c r="M156" s="21" t="n"/>
      <c r="N156" s="21" t="n"/>
      <c r="O156" s="21" t="n"/>
      <c r="P156" s="21" t="n"/>
      <c r="Q156" s="21" t="n"/>
      <c r="R156" s="21" t="n"/>
      <c r="S156" s="21" t="n"/>
      <c r="T156" s="21" t="n"/>
      <c r="U156" s="21" t="n"/>
      <c r="V156" s="21" t="n"/>
      <c r="W156" s="21" t="n"/>
      <c r="X156" s="21" t="n"/>
      <c r="Y156" s="21" t="n"/>
      <c r="Z156" s="21" t="n"/>
    </row>
    <row r="157" ht="15.75" customHeight="1" s="545">
      <c r="A157" s="21" t="n"/>
      <c r="B157" s="21" t="n"/>
      <c r="C157" s="21" t="n"/>
      <c r="D157" s="21" t="n"/>
      <c r="E157" s="21" t="n"/>
      <c r="F157" s="21" t="n"/>
      <c r="G157" s="21" t="n"/>
      <c r="H157" s="21" t="n"/>
      <c r="I157" s="21" t="n"/>
      <c r="J157" s="21" t="n"/>
      <c r="K157" s="21" t="n"/>
      <c r="L157" s="21" t="n"/>
      <c r="M157" s="21" t="n"/>
      <c r="N157" s="21" t="n"/>
      <c r="O157" s="21" t="n"/>
      <c r="P157" s="21" t="n"/>
      <c r="Q157" s="21" t="n"/>
      <c r="R157" s="21" t="n"/>
      <c r="S157" s="21" t="n"/>
      <c r="T157" s="21" t="n"/>
      <c r="U157" s="21" t="n"/>
      <c r="V157" s="21" t="n"/>
      <c r="W157" s="21" t="n"/>
      <c r="X157" s="21" t="n"/>
      <c r="Y157" s="21" t="n"/>
      <c r="Z157" s="21" t="n"/>
    </row>
    <row r="158" ht="15.75" customHeight="1" s="545">
      <c r="A158" s="21" t="n"/>
      <c r="B158" s="21" t="n"/>
      <c r="C158" s="21" t="n"/>
      <c r="D158" s="21" t="n"/>
      <c r="E158" s="21" t="n"/>
      <c r="F158" s="21" t="n"/>
      <c r="G158" s="21" t="n"/>
      <c r="H158" s="21" t="n"/>
      <c r="I158" s="21" t="n"/>
      <c r="J158" s="21" t="n"/>
      <c r="K158" s="21" t="n"/>
      <c r="L158" s="21" t="n"/>
      <c r="M158" s="21" t="n"/>
      <c r="N158" s="21" t="n"/>
      <c r="O158" s="21" t="n"/>
      <c r="P158" s="21" t="n"/>
      <c r="Q158" s="21" t="n"/>
      <c r="R158" s="21" t="n"/>
      <c r="S158" s="21" t="n"/>
      <c r="T158" s="21" t="n"/>
      <c r="U158" s="21" t="n"/>
      <c r="V158" s="21" t="n"/>
      <c r="W158" s="21" t="n"/>
      <c r="X158" s="21" t="n"/>
      <c r="Y158" s="21" t="n"/>
      <c r="Z158" s="21" t="n"/>
    </row>
    <row r="159" ht="15.75" customHeight="1" s="545">
      <c r="A159" s="21" t="n"/>
      <c r="B159" s="21" t="n"/>
      <c r="C159" s="21" t="n"/>
      <c r="D159" s="21" t="n"/>
      <c r="E159" s="21" t="n"/>
      <c r="F159" s="21" t="n"/>
      <c r="G159" s="21" t="n"/>
      <c r="H159" s="21" t="n"/>
      <c r="I159" s="21" t="n"/>
      <c r="J159" s="21" t="n"/>
      <c r="K159" s="21" t="n"/>
      <c r="L159" s="21" t="n"/>
      <c r="M159" s="21" t="n"/>
      <c r="N159" s="21" t="n"/>
      <c r="O159" s="21" t="n"/>
      <c r="P159" s="21" t="n"/>
      <c r="Q159" s="21" t="n"/>
      <c r="R159" s="21" t="n"/>
      <c r="S159" s="21" t="n"/>
      <c r="T159" s="21" t="n"/>
      <c r="U159" s="21" t="n"/>
      <c r="V159" s="21" t="n"/>
      <c r="W159" s="21" t="n"/>
      <c r="X159" s="21" t="n"/>
      <c r="Y159" s="21" t="n"/>
      <c r="Z159" s="21" t="n"/>
    </row>
    <row r="160" ht="15.75" customHeight="1" s="545">
      <c r="A160" s="21" t="n"/>
      <c r="B160" s="21" t="n"/>
      <c r="C160" s="21" t="n"/>
      <c r="D160" s="21" t="n"/>
      <c r="E160" s="21" t="n"/>
      <c r="F160" s="21" t="n"/>
      <c r="G160" s="21" t="n"/>
      <c r="H160" s="21" t="n"/>
      <c r="I160" s="21" t="n"/>
      <c r="J160" s="21" t="n"/>
      <c r="K160" s="21" t="n"/>
      <c r="L160" s="21" t="n"/>
      <c r="M160" s="21" t="n"/>
      <c r="N160" s="21" t="n"/>
      <c r="O160" s="21" t="n"/>
      <c r="P160" s="21" t="n"/>
      <c r="Q160" s="21" t="n"/>
      <c r="R160" s="21" t="n"/>
      <c r="S160" s="21" t="n"/>
      <c r="T160" s="21" t="n"/>
      <c r="U160" s="21" t="n"/>
      <c r="V160" s="21" t="n"/>
      <c r="W160" s="21" t="n"/>
      <c r="X160" s="21" t="n"/>
      <c r="Y160" s="21" t="n"/>
      <c r="Z160" s="21" t="n"/>
    </row>
    <row r="161" ht="15.75" customHeight="1" s="545">
      <c r="A161" s="21" t="n"/>
      <c r="B161" s="21" t="n"/>
      <c r="C161" s="21" t="n"/>
      <c r="D161" s="21" t="n"/>
      <c r="E161" s="21" t="n"/>
      <c r="F161" s="21" t="n"/>
      <c r="G161" s="21" t="n"/>
      <c r="H161" s="21" t="n"/>
      <c r="I161" s="21" t="n"/>
      <c r="J161" s="21" t="n"/>
      <c r="K161" s="21" t="n"/>
      <c r="L161" s="21" t="n"/>
      <c r="M161" s="21" t="n"/>
      <c r="N161" s="21" t="n"/>
      <c r="O161" s="21" t="n"/>
      <c r="P161" s="21" t="n"/>
      <c r="Q161" s="21" t="n"/>
      <c r="R161" s="21" t="n"/>
      <c r="S161" s="21" t="n"/>
      <c r="T161" s="21" t="n"/>
      <c r="U161" s="21" t="n"/>
      <c r="V161" s="21" t="n"/>
      <c r="W161" s="21" t="n"/>
      <c r="X161" s="21" t="n"/>
      <c r="Y161" s="21" t="n"/>
      <c r="Z161" s="21" t="n"/>
    </row>
    <row r="162" ht="15.75" customHeight="1" s="545">
      <c r="A162" s="21" t="n"/>
      <c r="B162" s="21" t="n"/>
      <c r="C162" s="21" t="n"/>
      <c r="D162" s="21" t="n"/>
      <c r="E162" s="21" t="n"/>
      <c r="F162" s="21" t="n"/>
      <c r="G162" s="21" t="n"/>
      <c r="H162" s="21" t="n"/>
      <c r="I162" s="21" t="n"/>
      <c r="J162" s="21" t="n"/>
      <c r="K162" s="21" t="n"/>
      <c r="L162" s="21" t="n"/>
      <c r="M162" s="21" t="n"/>
      <c r="N162" s="21" t="n"/>
      <c r="O162" s="21" t="n"/>
      <c r="P162" s="21" t="n"/>
      <c r="Q162" s="21" t="n"/>
      <c r="R162" s="21" t="n"/>
      <c r="S162" s="21" t="n"/>
      <c r="T162" s="21" t="n"/>
      <c r="U162" s="21" t="n"/>
      <c r="V162" s="21" t="n"/>
      <c r="W162" s="21" t="n"/>
      <c r="X162" s="21" t="n"/>
      <c r="Y162" s="21" t="n"/>
      <c r="Z162" s="21" t="n"/>
    </row>
    <row r="163" ht="15.75" customHeight="1" s="545">
      <c r="A163" s="21" t="n"/>
      <c r="B163" s="21" t="n"/>
      <c r="C163" s="21" t="n"/>
      <c r="D163" s="21" t="n"/>
      <c r="E163" s="21" t="n"/>
      <c r="F163" s="21" t="n"/>
      <c r="G163" s="21" t="n"/>
      <c r="H163" s="21" t="n"/>
      <c r="I163" s="21" t="n"/>
      <c r="J163" s="21" t="n"/>
      <c r="K163" s="21" t="n"/>
      <c r="L163" s="21" t="n"/>
      <c r="M163" s="21" t="n"/>
      <c r="N163" s="21" t="n"/>
      <c r="O163" s="21" t="n"/>
      <c r="P163" s="21" t="n"/>
      <c r="Q163" s="21" t="n"/>
      <c r="R163" s="21" t="n"/>
      <c r="S163" s="21" t="n"/>
      <c r="T163" s="21" t="n"/>
      <c r="U163" s="21" t="n"/>
      <c r="V163" s="21" t="n"/>
      <c r="W163" s="21" t="n"/>
      <c r="X163" s="21" t="n"/>
      <c r="Y163" s="21" t="n"/>
      <c r="Z163" s="21" t="n"/>
    </row>
    <row r="164" ht="15.75" customHeight="1" s="545">
      <c r="A164" s="21" t="n"/>
      <c r="B164" s="21" t="n"/>
      <c r="C164" s="21" t="n"/>
      <c r="D164" s="21" t="n"/>
      <c r="E164" s="21" t="n"/>
      <c r="F164" s="21" t="n"/>
      <c r="G164" s="21" t="n"/>
      <c r="H164" s="21" t="n"/>
      <c r="I164" s="21" t="n"/>
      <c r="J164" s="21" t="n"/>
      <c r="K164" s="21" t="n"/>
      <c r="L164" s="21" t="n"/>
      <c r="M164" s="21" t="n"/>
      <c r="N164" s="21" t="n"/>
      <c r="O164" s="21" t="n"/>
      <c r="P164" s="21" t="n"/>
      <c r="Q164" s="21" t="n"/>
      <c r="R164" s="21" t="n"/>
      <c r="S164" s="21" t="n"/>
      <c r="T164" s="21" t="n"/>
      <c r="U164" s="21" t="n"/>
      <c r="V164" s="21" t="n"/>
      <c r="W164" s="21" t="n"/>
      <c r="X164" s="21" t="n"/>
      <c r="Y164" s="21" t="n"/>
      <c r="Z164" s="21" t="n"/>
    </row>
    <row r="165" ht="15.75" customHeight="1" s="545">
      <c r="A165" s="21" t="n"/>
      <c r="B165" s="21" t="n"/>
      <c r="C165" s="21" t="n"/>
      <c r="D165" s="21" t="n"/>
      <c r="E165" s="21" t="n"/>
      <c r="F165" s="21" t="n"/>
      <c r="G165" s="21" t="n"/>
      <c r="H165" s="21" t="n"/>
      <c r="I165" s="21" t="n"/>
      <c r="J165" s="21" t="n"/>
      <c r="K165" s="21" t="n"/>
      <c r="L165" s="21" t="n"/>
      <c r="M165" s="21" t="n"/>
      <c r="N165" s="21" t="n"/>
      <c r="O165" s="21" t="n"/>
      <c r="P165" s="21" t="n"/>
      <c r="Q165" s="21" t="n"/>
      <c r="R165" s="21" t="n"/>
      <c r="S165" s="21" t="n"/>
      <c r="T165" s="21" t="n"/>
      <c r="U165" s="21" t="n"/>
      <c r="V165" s="21" t="n"/>
      <c r="W165" s="21" t="n"/>
      <c r="X165" s="21" t="n"/>
      <c r="Y165" s="21" t="n"/>
      <c r="Z165" s="21" t="n"/>
    </row>
    <row r="166" ht="15.75" customHeight="1" s="545">
      <c r="A166" s="21" t="n"/>
      <c r="B166" s="21" t="n"/>
      <c r="C166" s="21" t="n"/>
      <c r="D166" s="21" t="n"/>
      <c r="E166" s="21" t="n"/>
      <c r="F166" s="21" t="n"/>
      <c r="G166" s="21" t="n"/>
      <c r="H166" s="21" t="n"/>
      <c r="I166" s="21" t="n"/>
      <c r="J166" s="21" t="n"/>
      <c r="K166" s="21" t="n"/>
      <c r="L166" s="21" t="n"/>
      <c r="M166" s="21" t="n"/>
      <c r="N166" s="21" t="n"/>
      <c r="O166" s="21" t="n"/>
      <c r="P166" s="21" t="n"/>
      <c r="Q166" s="21" t="n"/>
      <c r="R166" s="21" t="n"/>
      <c r="S166" s="21" t="n"/>
      <c r="T166" s="21" t="n"/>
      <c r="U166" s="21" t="n"/>
      <c r="V166" s="21" t="n"/>
      <c r="W166" s="21" t="n"/>
      <c r="X166" s="21" t="n"/>
      <c r="Y166" s="21" t="n"/>
      <c r="Z166" s="21" t="n"/>
    </row>
    <row r="167" ht="15.75" customHeight="1" s="545">
      <c r="A167" s="21" t="n"/>
      <c r="B167" s="21" t="n"/>
      <c r="C167" s="21" t="n"/>
      <c r="D167" s="21" t="n"/>
      <c r="E167" s="21" t="n"/>
      <c r="F167" s="21" t="n"/>
      <c r="G167" s="21" t="n"/>
      <c r="H167" s="21" t="n"/>
      <c r="I167" s="21" t="n"/>
      <c r="J167" s="21" t="n"/>
      <c r="K167" s="21" t="n"/>
      <c r="L167" s="21" t="n"/>
      <c r="M167" s="21" t="n"/>
      <c r="N167" s="21" t="n"/>
      <c r="O167" s="21" t="n"/>
      <c r="P167" s="21" t="n"/>
      <c r="Q167" s="21" t="n"/>
      <c r="R167" s="21" t="n"/>
      <c r="S167" s="21" t="n"/>
      <c r="T167" s="21" t="n"/>
      <c r="U167" s="21" t="n"/>
      <c r="V167" s="21" t="n"/>
      <c r="W167" s="21" t="n"/>
      <c r="X167" s="21" t="n"/>
      <c r="Y167" s="21" t="n"/>
      <c r="Z167" s="21" t="n"/>
    </row>
    <row r="168" ht="15.75" customHeight="1" s="545">
      <c r="A168" s="21" t="n"/>
      <c r="B168" s="21" t="n"/>
      <c r="C168" s="21" t="n"/>
      <c r="D168" s="21" t="n"/>
      <c r="E168" s="21" t="n"/>
      <c r="F168" s="21" t="n"/>
      <c r="G168" s="21" t="n"/>
      <c r="H168" s="21" t="n"/>
      <c r="I168" s="21" t="n"/>
      <c r="J168" s="21" t="n"/>
      <c r="K168" s="21" t="n"/>
      <c r="L168" s="21" t="n"/>
      <c r="M168" s="21" t="n"/>
      <c r="N168" s="21" t="n"/>
      <c r="O168" s="21" t="n"/>
      <c r="P168" s="21" t="n"/>
      <c r="Q168" s="21" t="n"/>
      <c r="R168" s="21" t="n"/>
      <c r="S168" s="21" t="n"/>
      <c r="T168" s="21" t="n"/>
      <c r="U168" s="21" t="n"/>
      <c r="V168" s="21" t="n"/>
      <c r="W168" s="21" t="n"/>
      <c r="X168" s="21" t="n"/>
      <c r="Y168" s="21" t="n"/>
      <c r="Z168" s="21" t="n"/>
    </row>
    <row r="169" ht="15.75" customHeight="1" s="545">
      <c r="A169" s="21" t="n"/>
      <c r="B169" s="21" t="n"/>
      <c r="C169" s="21" t="n"/>
      <c r="D169" s="21" t="n"/>
      <c r="E169" s="21" t="n"/>
      <c r="F169" s="21" t="n"/>
      <c r="G169" s="21" t="n"/>
      <c r="H169" s="21" t="n"/>
      <c r="I169" s="21" t="n"/>
      <c r="J169" s="21" t="n"/>
      <c r="K169" s="21" t="n"/>
      <c r="L169" s="21" t="n"/>
      <c r="M169" s="21" t="n"/>
      <c r="N169" s="21" t="n"/>
      <c r="O169" s="21" t="n"/>
      <c r="P169" s="21" t="n"/>
      <c r="Q169" s="21" t="n"/>
      <c r="R169" s="21" t="n"/>
      <c r="S169" s="21" t="n"/>
      <c r="T169" s="21" t="n"/>
      <c r="U169" s="21" t="n"/>
      <c r="V169" s="21" t="n"/>
      <c r="W169" s="21" t="n"/>
      <c r="X169" s="21" t="n"/>
      <c r="Y169" s="21" t="n"/>
      <c r="Z169" s="21" t="n"/>
    </row>
    <row r="170" ht="15.75" customHeight="1" s="545">
      <c r="A170" s="21" t="n"/>
      <c r="B170" s="21" t="n"/>
      <c r="C170" s="21" t="n"/>
      <c r="D170" s="21" t="n"/>
      <c r="E170" s="21" t="n"/>
      <c r="F170" s="21" t="n"/>
      <c r="G170" s="21" t="n"/>
      <c r="H170" s="21" t="n"/>
      <c r="I170" s="21" t="n"/>
      <c r="J170" s="21" t="n"/>
      <c r="K170" s="21" t="n"/>
      <c r="L170" s="21" t="n"/>
      <c r="M170" s="21" t="n"/>
      <c r="N170" s="21" t="n"/>
      <c r="O170" s="21" t="n"/>
      <c r="P170" s="21" t="n"/>
      <c r="Q170" s="21" t="n"/>
      <c r="R170" s="21" t="n"/>
      <c r="S170" s="21" t="n"/>
      <c r="T170" s="21" t="n"/>
      <c r="U170" s="21" t="n"/>
      <c r="V170" s="21" t="n"/>
      <c r="W170" s="21" t="n"/>
      <c r="X170" s="21" t="n"/>
      <c r="Y170" s="21" t="n"/>
      <c r="Z170" s="21" t="n"/>
    </row>
    <row r="171" ht="15.75" customHeight="1" s="545">
      <c r="A171" s="21" t="n"/>
      <c r="B171" s="21" t="n"/>
      <c r="C171" s="21" t="n"/>
      <c r="D171" s="21" t="n"/>
      <c r="E171" s="21" t="n"/>
      <c r="F171" s="21" t="n"/>
      <c r="G171" s="21" t="n"/>
      <c r="H171" s="21" t="n"/>
      <c r="I171" s="21" t="n"/>
      <c r="J171" s="21" t="n"/>
      <c r="K171" s="21" t="n"/>
      <c r="L171" s="21" t="n"/>
      <c r="M171" s="21" t="n"/>
      <c r="N171" s="21" t="n"/>
      <c r="O171" s="21" t="n"/>
      <c r="P171" s="21" t="n"/>
      <c r="Q171" s="21" t="n"/>
      <c r="R171" s="21" t="n"/>
      <c r="S171" s="21" t="n"/>
      <c r="T171" s="21" t="n"/>
      <c r="U171" s="21" t="n"/>
      <c r="V171" s="21" t="n"/>
      <c r="W171" s="21" t="n"/>
      <c r="X171" s="21" t="n"/>
      <c r="Y171" s="21" t="n"/>
      <c r="Z171" s="21" t="n"/>
    </row>
    <row r="172" ht="15.75" customHeight="1" s="545">
      <c r="A172" s="21" t="n"/>
      <c r="B172" s="21" t="n"/>
      <c r="C172" s="21" t="n"/>
      <c r="D172" s="21" t="n"/>
      <c r="E172" s="21" t="n"/>
      <c r="F172" s="21" t="n"/>
      <c r="G172" s="21" t="n"/>
      <c r="H172" s="21" t="n"/>
      <c r="I172" s="21" t="n"/>
      <c r="J172" s="21" t="n"/>
      <c r="K172" s="21" t="n"/>
      <c r="L172" s="21" t="n"/>
      <c r="M172" s="21" t="n"/>
      <c r="N172" s="21" t="n"/>
      <c r="O172" s="21" t="n"/>
      <c r="P172" s="21" t="n"/>
      <c r="Q172" s="21" t="n"/>
      <c r="R172" s="21" t="n"/>
      <c r="S172" s="21" t="n"/>
      <c r="T172" s="21" t="n"/>
      <c r="U172" s="21" t="n"/>
      <c r="V172" s="21" t="n"/>
      <c r="W172" s="21" t="n"/>
      <c r="X172" s="21" t="n"/>
      <c r="Y172" s="21" t="n"/>
      <c r="Z172" s="21" t="n"/>
    </row>
    <row r="173" ht="15.75" customHeight="1" s="545">
      <c r="A173" s="21" t="n"/>
      <c r="B173" s="21" t="n"/>
      <c r="C173" s="21" t="n"/>
      <c r="D173" s="21" t="n"/>
      <c r="E173" s="21" t="n"/>
      <c r="F173" s="21" t="n"/>
      <c r="G173" s="21" t="n"/>
      <c r="H173" s="21" t="n"/>
      <c r="I173" s="21" t="n"/>
      <c r="J173" s="21" t="n"/>
      <c r="K173" s="21" t="n"/>
      <c r="L173" s="21" t="n"/>
      <c r="M173" s="21" t="n"/>
      <c r="N173" s="21" t="n"/>
      <c r="O173" s="21" t="n"/>
      <c r="P173" s="21" t="n"/>
      <c r="Q173" s="21" t="n"/>
      <c r="R173" s="21" t="n"/>
      <c r="S173" s="21" t="n"/>
      <c r="T173" s="21" t="n"/>
      <c r="U173" s="21" t="n"/>
      <c r="V173" s="21" t="n"/>
      <c r="W173" s="21" t="n"/>
      <c r="X173" s="21" t="n"/>
      <c r="Y173" s="21" t="n"/>
      <c r="Z173" s="21" t="n"/>
    </row>
    <row r="174" ht="15.75" customHeight="1" s="545">
      <c r="A174" s="21" t="n"/>
      <c r="B174" s="21" t="n"/>
      <c r="C174" s="21" t="n"/>
      <c r="D174" s="21" t="n"/>
      <c r="E174" s="21" t="n"/>
      <c r="F174" s="21" t="n"/>
      <c r="G174" s="21" t="n"/>
      <c r="H174" s="21" t="n"/>
      <c r="I174" s="21" t="n"/>
      <c r="J174" s="21" t="n"/>
      <c r="K174" s="21" t="n"/>
      <c r="L174" s="21" t="n"/>
      <c r="M174" s="21" t="n"/>
      <c r="N174" s="21" t="n"/>
      <c r="O174" s="21" t="n"/>
      <c r="P174" s="21" t="n"/>
      <c r="Q174" s="21" t="n"/>
      <c r="R174" s="21" t="n"/>
      <c r="S174" s="21" t="n"/>
      <c r="T174" s="21" t="n"/>
      <c r="U174" s="21" t="n"/>
      <c r="V174" s="21" t="n"/>
      <c r="W174" s="21" t="n"/>
      <c r="X174" s="21" t="n"/>
      <c r="Y174" s="21" t="n"/>
      <c r="Z174" s="21" t="n"/>
    </row>
    <row r="175" ht="15.75" customHeight="1" s="545">
      <c r="A175" s="21" t="n"/>
      <c r="B175" s="21" t="n"/>
      <c r="C175" s="21" t="n"/>
      <c r="D175" s="21" t="n"/>
      <c r="E175" s="21" t="n"/>
      <c r="F175" s="21" t="n"/>
      <c r="G175" s="21" t="n"/>
      <c r="H175" s="21" t="n"/>
      <c r="I175" s="21" t="n"/>
      <c r="J175" s="21" t="n"/>
      <c r="K175" s="21" t="n"/>
      <c r="L175" s="21" t="n"/>
      <c r="M175" s="21" t="n"/>
      <c r="N175" s="21" t="n"/>
      <c r="O175" s="21" t="n"/>
      <c r="P175" s="21" t="n"/>
      <c r="Q175" s="21" t="n"/>
      <c r="R175" s="21" t="n"/>
      <c r="S175" s="21" t="n"/>
      <c r="T175" s="21" t="n"/>
      <c r="U175" s="21" t="n"/>
      <c r="V175" s="21" t="n"/>
      <c r="W175" s="21" t="n"/>
      <c r="X175" s="21" t="n"/>
      <c r="Y175" s="21" t="n"/>
      <c r="Z175" s="21" t="n"/>
    </row>
    <row r="176" ht="15.75" customHeight="1" s="545">
      <c r="A176" s="21" t="n"/>
      <c r="B176" s="21" t="n"/>
      <c r="C176" s="21" t="n"/>
      <c r="D176" s="21" t="n"/>
      <c r="E176" s="21" t="n"/>
      <c r="F176" s="21" t="n"/>
      <c r="G176" s="21" t="n"/>
      <c r="H176" s="21" t="n"/>
      <c r="I176" s="21" t="n"/>
      <c r="J176" s="21" t="n"/>
      <c r="K176" s="21" t="n"/>
      <c r="L176" s="21" t="n"/>
      <c r="M176" s="21" t="n"/>
      <c r="N176" s="21" t="n"/>
      <c r="O176" s="21" t="n"/>
      <c r="P176" s="21" t="n"/>
      <c r="Q176" s="21" t="n"/>
      <c r="R176" s="21" t="n"/>
      <c r="S176" s="21" t="n"/>
      <c r="T176" s="21" t="n"/>
      <c r="U176" s="21" t="n"/>
      <c r="V176" s="21" t="n"/>
      <c r="W176" s="21" t="n"/>
      <c r="X176" s="21" t="n"/>
      <c r="Y176" s="21" t="n"/>
      <c r="Z176" s="21" t="n"/>
    </row>
    <row r="177" ht="15.75" customHeight="1" s="545">
      <c r="A177" s="21" t="n"/>
      <c r="B177" s="21" t="n"/>
      <c r="C177" s="21" t="n"/>
      <c r="D177" s="21" t="n"/>
      <c r="E177" s="21" t="n"/>
      <c r="F177" s="21" t="n"/>
      <c r="G177" s="21" t="n"/>
      <c r="H177" s="21" t="n"/>
      <c r="I177" s="21" t="n"/>
      <c r="J177" s="21" t="n"/>
      <c r="K177" s="21" t="n"/>
      <c r="L177" s="21" t="n"/>
      <c r="M177" s="21" t="n"/>
      <c r="N177" s="21" t="n"/>
      <c r="O177" s="21" t="n"/>
      <c r="P177" s="21" t="n"/>
      <c r="Q177" s="21" t="n"/>
      <c r="R177" s="21" t="n"/>
      <c r="S177" s="21" t="n"/>
      <c r="T177" s="21" t="n"/>
      <c r="U177" s="21" t="n"/>
      <c r="V177" s="21" t="n"/>
      <c r="W177" s="21" t="n"/>
      <c r="X177" s="21" t="n"/>
      <c r="Y177" s="21" t="n"/>
      <c r="Z177" s="21" t="n"/>
    </row>
    <row r="178" ht="15.75" customHeight="1" s="545">
      <c r="A178" s="21" t="n"/>
      <c r="B178" s="21" t="n"/>
      <c r="C178" s="21" t="n"/>
      <c r="D178" s="21" t="n"/>
      <c r="E178" s="21" t="n"/>
      <c r="F178" s="21" t="n"/>
      <c r="G178" s="21" t="n"/>
      <c r="H178" s="21" t="n"/>
      <c r="I178" s="21" t="n"/>
      <c r="J178" s="21" t="n"/>
      <c r="K178" s="21" t="n"/>
      <c r="L178" s="21" t="n"/>
      <c r="M178" s="21" t="n"/>
      <c r="N178" s="21" t="n"/>
      <c r="O178" s="21" t="n"/>
      <c r="P178" s="21" t="n"/>
      <c r="Q178" s="21" t="n"/>
      <c r="R178" s="21" t="n"/>
      <c r="S178" s="21" t="n"/>
      <c r="T178" s="21" t="n"/>
      <c r="U178" s="21" t="n"/>
      <c r="V178" s="21" t="n"/>
      <c r="W178" s="21" t="n"/>
      <c r="X178" s="21" t="n"/>
      <c r="Y178" s="21" t="n"/>
      <c r="Z178" s="21" t="n"/>
    </row>
    <row r="179" ht="15.75" customHeight="1" s="545">
      <c r="A179" s="21" t="n"/>
      <c r="B179" s="21" t="n"/>
      <c r="C179" s="21" t="n"/>
      <c r="D179" s="21" t="n"/>
      <c r="E179" s="21" t="n"/>
      <c r="F179" s="21" t="n"/>
      <c r="G179" s="21" t="n"/>
      <c r="H179" s="21" t="n"/>
      <c r="I179" s="21" t="n"/>
      <c r="J179" s="21" t="n"/>
      <c r="K179" s="21" t="n"/>
      <c r="L179" s="21" t="n"/>
      <c r="M179" s="21" t="n"/>
      <c r="N179" s="21" t="n"/>
      <c r="O179" s="21" t="n"/>
      <c r="P179" s="21" t="n"/>
      <c r="Q179" s="21" t="n"/>
      <c r="R179" s="21" t="n"/>
      <c r="S179" s="21" t="n"/>
      <c r="T179" s="21" t="n"/>
      <c r="U179" s="21" t="n"/>
      <c r="V179" s="21" t="n"/>
      <c r="W179" s="21" t="n"/>
      <c r="X179" s="21" t="n"/>
      <c r="Y179" s="21" t="n"/>
      <c r="Z179" s="21" t="n"/>
    </row>
    <row r="180" ht="15.75" customHeight="1" s="545">
      <c r="A180" s="21" t="n"/>
      <c r="B180" s="21" t="n"/>
      <c r="C180" s="21" t="n"/>
      <c r="D180" s="21" t="n"/>
      <c r="E180" s="21" t="n"/>
      <c r="F180" s="21" t="n"/>
      <c r="G180" s="21" t="n"/>
      <c r="H180" s="21" t="n"/>
      <c r="I180" s="21" t="n"/>
      <c r="J180" s="21" t="n"/>
      <c r="K180" s="21" t="n"/>
      <c r="L180" s="21" t="n"/>
      <c r="M180" s="21" t="n"/>
      <c r="N180" s="21" t="n"/>
      <c r="O180" s="21" t="n"/>
      <c r="P180" s="21" t="n"/>
      <c r="Q180" s="21" t="n"/>
      <c r="R180" s="21" t="n"/>
      <c r="S180" s="21" t="n"/>
      <c r="T180" s="21" t="n"/>
      <c r="U180" s="21" t="n"/>
      <c r="V180" s="21" t="n"/>
      <c r="W180" s="21" t="n"/>
      <c r="X180" s="21" t="n"/>
      <c r="Y180" s="21" t="n"/>
      <c r="Z180" s="21" t="n"/>
    </row>
    <row r="181" ht="15.75" customHeight="1" s="545">
      <c r="A181" s="21" t="n"/>
      <c r="B181" s="21" t="n"/>
      <c r="C181" s="21" t="n"/>
      <c r="D181" s="21" t="n"/>
      <c r="E181" s="21" t="n"/>
      <c r="F181" s="21" t="n"/>
      <c r="G181" s="21" t="n"/>
      <c r="H181" s="21" t="n"/>
      <c r="I181" s="21" t="n"/>
      <c r="J181" s="21" t="n"/>
      <c r="K181" s="21" t="n"/>
      <c r="L181" s="21" t="n"/>
      <c r="M181" s="21" t="n"/>
      <c r="N181" s="21" t="n"/>
      <c r="O181" s="21" t="n"/>
      <c r="P181" s="21" t="n"/>
      <c r="Q181" s="21" t="n"/>
      <c r="R181" s="21" t="n"/>
      <c r="S181" s="21" t="n"/>
      <c r="T181" s="21" t="n"/>
      <c r="U181" s="21" t="n"/>
      <c r="V181" s="21" t="n"/>
      <c r="W181" s="21" t="n"/>
      <c r="X181" s="21" t="n"/>
      <c r="Y181" s="21" t="n"/>
      <c r="Z181" s="21" t="n"/>
    </row>
    <row r="182" ht="15.75" customHeight="1" s="545">
      <c r="A182" s="21" t="n"/>
      <c r="B182" s="21" t="n"/>
      <c r="C182" s="21" t="n"/>
      <c r="D182" s="21" t="n"/>
      <c r="E182" s="21" t="n"/>
      <c r="F182" s="21" t="n"/>
      <c r="G182" s="21" t="n"/>
      <c r="H182" s="21" t="n"/>
      <c r="I182" s="21" t="n"/>
      <c r="J182" s="21" t="n"/>
      <c r="K182" s="21" t="n"/>
      <c r="L182" s="21" t="n"/>
      <c r="M182" s="21" t="n"/>
      <c r="N182" s="21" t="n"/>
      <c r="O182" s="21" t="n"/>
      <c r="P182" s="21" t="n"/>
      <c r="Q182" s="21" t="n"/>
      <c r="R182" s="21" t="n"/>
      <c r="S182" s="21" t="n"/>
      <c r="T182" s="21" t="n"/>
      <c r="U182" s="21" t="n"/>
      <c r="V182" s="21" t="n"/>
      <c r="W182" s="21" t="n"/>
      <c r="X182" s="21" t="n"/>
      <c r="Y182" s="21" t="n"/>
      <c r="Z182" s="21" t="n"/>
    </row>
    <row r="183" ht="15.75" customHeight="1" s="545">
      <c r="A183" s="21" t="n"/>
      <c r="B183" s="21" t="n"/>
      <c r="C183" s="21" t="n"/>
      <c r="D183" s="21" t="n"/>
      <c r="E183" s="21" t="n"/>
      <c r="F183" s="21" t="n"/>
      <c r="G183" s="21" t="n"/>
      <c r="H183" s="21" t="n"/>
      <c r="I183" s="21" t="n"/>
      <c r="J183" s="21" t="n"/>
      <c r="K183" s="21" t="n"/>
      <c r="L183" s="21" t="n"/>
      <c r="M183" s="21" t="n"/>
      <c r="N183" s="21" t="n"/>
      <c r="O183" s="21" t="n"/>
      <c r="P183" s="21" t="n"/>
      <c r="Q183" s="21" t="n"/>
      <c r="R183" s="21" t="n"/>
      <c r="S183" s="21" t="n"/>
      <c r="T183" s="21" t="n"/>
      <c r="U183" s="21" t="n"/>
      <c r="V183" s="21" t="n"/>
      <c r="W183" s="21" t="n"/>
      <c r="X183" s="21" t="n"/>
      <c r="Y183" s="21" t="n"/>
      <c r="Z183" s="21" t="n"/>
    </row>
    <row r="184" ht="15.75" customHeight="1" s="545">
      <c r="A184" s="21" t="n"/>
      <c r="B184" s="21" t="n"/>
      <c r="C184" s="21" t="n"/>
      <c r="D184" s="21" t="n"/>
      <c r="E184" s="21" t="n"/>
      <c r="F184" s="21" t="n"/>
      <c r="G184" s="21" t="n"/>
      <c r="H184" s="21" t="n"/>
      <c r="I184" s="21" t="n"/>
      <c r="J184" s="21" t="n"/>
      <c r="K184" s="21" t="n"/>
      <c r="L184" s="21" t="n"/>
      <c r="M184" s="21" t="n"/>
      <c r="N184" s="21" t="n"/>
      <c r="O184" s="21" t="n"/>
      <c r="P184" s="21" t="n"/>
      <c r="Q184" s="21" t="n"/>
      <c r="R184" s="21" t="n"/>
      <c r="S184" s="21" t="n"/>
      <c r="T184" s="21" t="n"/>
      <c r="U184" s="21" t="n"/>
      <c r="V184" s="21" t="n"/>
      <c r="W184" s="21" t="n"/>
      <c r="X184" s="21" t="n"/>
      <c r="Y184" s="21" t="n"/>
      <c r="Z184" s="21" t="n"/>
    </row>
    <row r="185" ht="15.75" customHeight="1" s="545">
      <c r="A185" s="21" t="n"/>
      <c r="B185" s="21" t="n"/>
      <c r="C185" s="21" t="n"/>
      <c r="D185" s="21" t="n"/>
      <c r="E185" s="21" t="n"/>
      <c r="F185" s="21" t="n"/>
      <c r="G185" s="21" t="n"/>
      <c r="H185" s="21" t="n"/>
      <c r="I185" s="21" t="n"/>
      <c r="J185" s="21" t="n"/>
      <c r="K185" s="21" t="n"/>
      <c r="L185" s="21" t="n"/>
      <c r="M185" s="21" t="n"/>
      <c r="N185" s="21" t="n"/>
      <c r="O185" s="21" t="n"/>
      <c r="P185" s="21" t="n"/>
      <c r="Q185" s="21" t="n"/>
      <c r="R185" s="21" t="n"/>
      <c r="S185" s="21" t="n"/>
      <c r="T185" s="21" t="n"/>
      <c r="U185" s="21" t="n"/>
      <c r="V185" s="21" t="n"/>
      <c r="W185" s="21" t="n"/>
      <c r="X185" s="21" t="n"/>
      <c r="Y185" s="21" t="n"/>
      <c r="Z185" s="21" t="n"/>
    </row>
    <row r="186" ht="15.75" customHeight="1" s="545">
      <c r="A186" s="21" t="n"/>
      <c r="B186" s="21" t="n"/>
      <c r="C186" s="21" t="n"/>
      <c r="D186" s="21" t="n"/>
      <c r="E186" s="21" t="n"/>
      <c r="F186" s="21" t="n"/>
      <c r="G186" s="21" t="n"/>
      <c r="H186" s="21" t="n"/>
      <c r="I186" s="21" t="n"/>
      <c r="J186" s="21" t="n"/>
      <c r="K186" s="21" t="n"/>
      <c r="L186" s="21" t="n"/>
      <c r="M186" s="21" t="n"/>
      <c r="N186" s="21" t="n"/>
      <c r="O186" s="21" t="n"/>
      <c r="P186" s="21" t="n"/>
      <c r="Q186" s="21" t="n"/>
      <c r="R186" s="21" t="n"/>
      <c r="S186" s="21" t="n"/>
      <c r="T186" s="21" t="n"/>
      <c r="U186" s="21" t="n"/>
      <c r="V186" s="21" t="n"/>
      <c r="W186" s="21" t="n"/>
      <c r="X186" s="21" t="n"/>
      <c r="Y186" s="21" t="n"/>
      <c r="Z186" s="21" t="n"/>
    </row>
    <row r="187" ht="15.75" customHeight="1" s="545">
      <c r="A187" s="21" t="n"/>
      <c r="B187" s="21" t="n"/>
      <c r="C187" s="21" t="n"/>
      <c r="D187" s="21" t="n"/>
      <c r="E187" s="21" t="n"/>
      <c r="F187" s="21" t="n"/>
      <c r="G187" s="21" t="n"/>
      <c r="H187" s="21" t="n"/>
      <c r="I187" s="21" t="n"/>
      <c r="J187" s="21" t="n"/>
      <c r="K187" s="21" t="n"/>
      <c r="L187" s="21" t="n"/>
      <c r="M187" s="21" t="n"/>
      <c r="N187" s="21" t="n"/>
      <c r="O187" s="21" t="n"/>
      <c r="P187" s="21" t="n"/>
      <c r="Q187" s="21" t="n"/>
      <c r="R187" s="21" t="n"/>
      <c r="S187" s="21" t="n"/>
      <c r="T187" s="21" t="n"/>
      <c r="U187" s="21" t="n"/>
      <c r="V187" s="21" t="n"/>
      <c r="W187" s="21" t="n"/>
      <c r="X187" s="21" t="n"/>
      <c r="Y187" s="21" t="n"/>
      <c r="Z187" s="21" t="n"/>
    </row>
    <row r="188" ht="15.75" customHeight="1" s="545">
      <c r="A188" s="21" t="n"/>
      <c r="B188" s="21" t="n"/>
      <c r="C188" s="21" t="n"/>
      <c r="D188" s="21" t="n"/>
      <c r="E188" s="21" t="n"/>
      <c r="F188" s="21" t="n"/>
      <c r="G188" s="21" t="n"/>
      <c r="H188" s="21" t="n"/>
      <c r="I188" s="21" t="n"/>
      <c r="J188" s="21" t="n"/>
      <c r="K188" s="21" t="n"/>
      <c r="L188" s="21" t="n"/>
      <c r="M188" s="21" t="n"/>
      <c r="N188" s="21" t="n"/>
      <c r="O188" s="21" t="n"/>
      <c r="P188" s="21" t="n"/>
      <c r="Q188" s="21" t="n"/>
      <c r="R188" s="21" t="n"/>
      <c r="S188" s="21" t="n"/>
      <c r="T188" s="21" t="n"/>
      <c r="U188" s="21" t="n"/>
      <c r="V188" s="21" t="n"/>
      <c r="W188" s="21" t="n"/>
      <c r="X188" s="21" t="n"/>
      <c r="Y188" s="21" t="n"/>
      <c r="Z188" s="21" t="n"/>
    </row>
    <row r="189" ht="15.75" customHeight="1" s="545">
      <c r="A189" s="21" t="n"/>
      <c r="B189" s="21" t="n"/>
      <c r="C189" s="21" t="n"/>
      <c r="D189" s="21" t="n"/>
      <c r="E189" s="21" t="n"/>
      <c r="F189" s="21" t="n"/>
      <c r="G189" s="21" t="n"/>
      <c r="H189" s="21" t="n"/>
      <c r="I189" s="21" t="n"/>
      <c r="J189" s="21" t="n"/>
      <c r="K189" s="21" t="n"/>
      <c r="L189" s="21" t="n"/>
      <c r="M189" s="21" t="n"/>
      <c r="N189" s="21" t="n"/>
      <c r="O189" s="21" t="n"/>
      <c r="P189" s="21" t="n"/>
      <c r="Q189" s="21" t="n"/>
      <c r="R189" s="21" t="n"/>
      <c r="S189" s="21" t="n"/>
      <c r="T189" s="21" t="n"/>
      <c r="U189" s="21" t="n"/>
      <c r="V189" s="21" t="n"/>
      <c r="W189" s="21" t="n"/>
      <c r="X189" s="21" t="n"/>
      <c r="Y189" s="21" t="n"/>
      <c r="Z189" s="21" t="n"/>
    </row>
    <row r="190" ht="15.75" customHeight="1" s="545">
      <c r="A190" s="21" t="n"/>
      <c r="B190" s="21" t="n"/>
      <c r="C190" s="21" t="n"/>
      <c r="D190" s="21" t="n"/>
      <c r="E190" s="21" t="n"/>
      <c r="F190" s="21" t="n"/>
      <c r="G190" s="21" t="n"/>
      <c r="H190" s="21" t="n"/>
      <c r="I190" s="21" t="n"/>
      <c r="J190" s="21" t="n"/>
      <c r="K190" s="21" t="n"/>
      <c r="L190" s="21" t="n"/>
      <c r="M190" s="21" t="n"/>
      <c r="N190" s="21" t="n"/>
      <c r="O190" s="21" t="n"/>
      <c r="P190" s="21" t="n"/>
      <c r="Q190" s="21" t="n"/>
      <c r="R190" s="21" t="n"/>
      <c r="S190" s="21" t="n"/>
      <c r="T190" s="21" t="n"/>
      <c r="U190" s="21" t="n"/>
      <c r="V190" s="21" t="n"/>
      <c r="W190" s="21" t="n"/>
      <c r="X190" s="21" t="n"/>
      <c r="Y190" s="21" t="n"/>
      <c r="Z190" s="21" t="n"/>
    </row>
    <row r="191" ht="15.75" customHeight="1" s="545">
      <c r="A191" s="21" t="n"/>
      <c r="B191" s="21" t="n"/>
      <c r="C191" s="21" t="n"/>
      <c r="D191" s="21" t="n"/>
      <c r="E191" s="21" t="n"/>
      <c r="F191" s="21" t="n"/>
      <c r="G191" s="21" t="n"/>
      <c r="H191" s="21" t="n"/>
      <c r="I191" s="21" t="n"/>
      <c r="J191" s="21" t="n"/>
      <c r="K191" s="21" t="n"/>
      <c r="L191" s="21" t="n"/>
      <c r="M191" s="21" t="n"/>
      <c r="N191" s="21" t="n"/>
      <c r="O191" s="21" t="n"/>
      <c r="P191" s="21" t="n"/>
      <c r="Q191" s="21" t="n"/>
      <c r="R191" s="21" t="n"/>
      <c r="S191" s="21" t="n"/>
      <c r="T191" s="21" t="n"/>
      <c r="U191" s="21" t="n"/>
      <c r="V191" s="21" t="n"/>
      <c r="W191" s="21" t="n"/>
      <c r="X191" s="21" t="n"/>
      <c r="Y191" s="21" t="n"/>
      <c r="Z191" s="21" t="n"/>
    </row>
    <row r="192" ht="15.75" customHeight="1" s="545">
      <c r="A192" s="21" t="n"/>
      <c r="B192" s="21" t="n"/>
      <c r="C192" s="21" t="n"/>
      <c r="D192" s="21" t="n"/>
      <c r="E192" s="21" t="n"/>
      <c r="F192" s="21" t="n"/>
      <c r="G192" s="21" t="n"/>
      <c r="H192" s="21" t="n"/>
      <c r="I192" s="21" t="n"/>
      <c r="J192" s="21" t="n"/>
      <c r="K192" s="21" t="n"/>
      <c r="L192" s="21" t="n"/>
      <c r="M192" s="21" t="n"/>
      <c r="N192" s="21" t="n"/>
      <c r="O192" s="21" t="n"/>
      <c r="P192" s="21" t="n"/>
      <c r="Q192" s="21" t="n"/>
      <c r="R192" s="21" t="n"/>
      <c r="S192" s="21" t="n"/>
      <c r="T192" s="21" t="n"/>
      <c r="U192" s="21" t="n"/>
      <c r="V192" s="21" t="n"/>
      <c r="W192" s="21" t="n"/>
      <c r="X192" s="21" t="n"/>
      <c r="Y192" s="21" t="n"/>
      <c r="Z192" s="21" t="n"/>
    </row>
    <row r="193" ht="15.75" customHeight="1" s="545">
      <c r="A193" s="21" t="n"/>
      <c r="B193" s="21" t="n"/>
      <c r="C193" s="21" t="n"/>
      <c r="D193" s="21" t="n"/>
      <c r="E193" s="21" t="n"/>
      <c r="F193" s="21" t="n"/>
      <c r="G193" s="21" t="n"/>
      <c r="H193" s="21" t="n"/>
      <c r="I193" s="21" t="n"/>
      <c r="J193" s="21" t="n"/>
      <c r="K193" s="21" t="n"/>
      <c r="L193" s="21" t="n"/>
      <c r="M193" s="21" t="n"/>
      <c r="N193" s="21" t="n"/>
      <c r="O193" s="21" t="n"/>
      <c r="P193" s="21" t="n"/>
      <c r="Q193" s="21" t="n"/>
      <c r="R193" s="21" t="n"/>
      <c r="S193" s="21" t="n"/>
      <c r="T193" s="21" t="n"/>
      <c r="U193" s="21" t="n"/>
      <c r="V193" s="21" t="n"/>
      <c r="W193" s="21" t="n"/>
      <c r="X193" s="21" t="n"/>
      <c r="Y193" s="21" t="n"/>
      <c r="Z193" s="21" t="n"/>
    </row>
    <row r="194" ht="15.75" customHeight="1" s="545">
      <c r="A194" s="21" t="n"/>
      <c r="B194" s="21" t="n"/>
      <c r="C194" s="21" t="n"/>
      <c r="D194" s="21" t="n"/>
      <c r="E194" s="21" t="n"/>
      <c r="F194" s="21" t="n"/>
      <c r="G194" s="21" t="n"/>
      <c r="H194" s="21" t="n"/>
      <c r="I194" s="21" t="n"/>
      <c r="J194" s="21" t="n"/>
      <c r="K194" s="21" t="n"/>
      <c r="L194" s="21" t="n"/>
      <c r="M194" s="21" t="n"/>
      <c r="N194" s="21" t="n"/>
      <c r="O194" s="21" t="n"/>
      <c r="P194" s="21" t="n"/>
      <c r="Q194" s="21" t="n"/>
      <c r="R194" s="21" t="n"/>
      <c r="S194" s="21" t="n"/>
      <c r="T194" s="21" t="n"/>
      <c r="U194" s="21" t="n"/>
      <c r="V194" s="21" t="n"/>
      <c r="W194" s="21" t="n"/>
      <c r="X194" s="21" t="n"/>
      <c r="Y194" s="21" t="n"/>
      <c r="Z194" s="21" t="n"/>
    </row>
    <row r="195" ht="15.75" customHeight="1" s="545">
      <c r="A195" s="21" t="n"/>
      <c r="B195" s="21" t="n"/>
      <c r="C195" s="21" t="n"/>
      <c r="D195" s="21" t="n"/>
      <c r="E195" s="21" t="n"/>
      <c r="F195" s="21" t="n"/>
      <c r="G195" s="21" t="n"/>
      <c r="H195" s="21" t="n"/>
      <c r="I195" s="21" t="n"/>
      <c r="J195" s="21" t="n"/>
      <c r="K195" s="21" t="n"/>
      <c r="L195" s="21" t="n"/>
      <c r="M195" s="21" t="n"/>
      <c r="N195" s="21" t="n"/>
      <c r="O195" s="21" t="n"/>
      <c r="P195" s="21" t="n"/>
      <c r="Q195" s="21" t="n"/>
      <c r="R195" s="21" t="n"/>
      <c r="S195" s="21" t="n"/>
      <c r="T195" s="21" t="n"/>
      <c r="U195" s="21" t="n"/>
      <c r="V195" s="21" t="n"/>
      <c r="W195" s="21" t="n"/>
      <c r="X195" s="21" t="n"/>
      <c r="Y195" s="21" t="n"/>
      <c r="Z195" s="21" t="n"/>
    </row>
    <row r="196" ht="15.75" customHeight="1" s="545">
      <c r="A196" s="21" t="n"/>
      <c r="B196" s="21" t="n"/>
      <c r="C196" s="21" t="n"/>
      <c r="D196" s="21" t="n"/>
      <c r="E196" s="21" t="n"/>
      <c r="F196" s="21" t="n"/>
      <c r="G196" s="21" t="n"/>
      <c r="H196" s="21" t="n"/>
      <c r="I196" s="21" t="n"/>
      <c r="J196" s="21" t="n"/>
      <c r="K196" s="21" t="n"/>
      <c r="L196" s="21" t="n"/>
      <c r="M196" s="21" t="n"/>
      <c r="N196" s="21" t="n"/>
      <c r="O196" s="21" t="n"/>
      <c r="P196" s="21" t="n"/>
      <c r="Q196" s="21" t="n"/>
      <c r="R196" s="21" t="n"/>
      <c r="S196" s="21" t="n"/>
      <c r="T196" s="21" t="n"/>
      <c r="U196" s="21" t="n"/>
      <c r="V196" s="21" t="n"/>
      <c r="W196" s="21" t="n"/>
      <c r="X196" s="21" t="n"/>
      <c r="Y196" s="21" t="n"/>
      <c r="Z196" s="21" t="n"/>
    </row>
    <row r="197" ht="15.75" customHeight="1" s="545">
      <c r="A197" s="21" t="n"/>
      <c r="B197" s="21" t="n"/>
      <c r="C197" s="21" t="n"/>
      <c r="D197" s="21" t="n"/>
      <c r="E197" s="21" t="n"/>
      <c r="F197" s="21" t="n"/>
      <c r="G197" s="21" t="n"/>
      <c r="H197" s="21" t="n"/>
      <c r="I197" s="21" t="n"/>
      <c r="J197" s="21" t="n"/>
      <c r="K197" s="21" t="n"/>
      <c r="L197" s="21" t="n"/>
      <c r="M197" s="21" t="n"/>
      <c r="N197" s="21" t="n"/>
      <c r="O197" s="21" t="n"/>
      <c r="P197" s="21" t="n"/>
      <c r="Q197" s="21" t="n"/>
      <c r="R197" s="21" t="n"/>
      <c r="S197" s="21" t="n"/>
      <c r="T197" s="21" t="n"/>
      <c r="U197" s="21" t="n"/>
      <c r="V197" s="21" t="n"/>
      <c r="W197" s="21" t="n"/>
      <c r="X197" s="21" t="n"/>
      <c r="Y197" s="21" t="n"/>
      <c r="Z197" s="21" t="n"/>
    </row>
    <row r="198" ht="15.75" customHeight="1" s="545">
      <c r="A198" s="21" t="n"/>
      <c r="B198" s="21" t="n"/>
      <c r="C198" s="21" t="n"/>
      <c r="D198" s="21" t="n"/>
      <c r="E198" s="21" t="n"/>
      <c r="F198" s="21" t="n"/>
      <c r="G198" s="21" t="n"/>
      <c r="H198" s="21" t="n"/>
      <c r="I198" s="21" t="n"/>
      <c r="J198" s="21" t="n"/>
      <c r="K198" s="21" t="n"/>
      <c r="L198" s="21" t="n"/>
      <c r="M198" s="21" t="n"/>
      <c r="N198" s="21" t="n"/>
      <c r="O198" s="21" t="n"/>
      <c r="P198" s="21" t="n"/>
      <c r="Q198" s="21" t="n"/>
      <c r="R198" s="21" t="n"/>
      <c r="S198" s="21" t="n"/>
      <c r="T198" s="21" t="n"/>
      <c r="U198" s="21" t="n"/>
      <c r="V198" s="21" t="n"/>
      <c r="W198" s="21" t="n"/>
      <c r="X198" s="21" t="n"/>
      <c r="Y198" s="21" t="n"/>
      <c r="Z198" s="21" t="n"/>
    </row>
    <row r="199" ht="15.75" customHeight="1" s="545">
      <c r="A199" s="21" t="n"/>
      <c r="B199" s="21" t="n"/>
      <c r="C199" s="21" t="n"/>
      <c r="D199" s="21" t="n"/>
      <c r="E199" s="21" t="n"/>
      <c r="F199" s="21" t="n"/>
      <c r="G199" s="21" t="n"/>
      <c r="H199" s="21" t="n"/>
      <c r="I199" s="21" t="n"/>
      <c r="J199" s="21" t="n"/>
      <c r="K199" s="21" t="n"/>
      <c r="L199" s="21" t="n"/>
      <c r="M199" s="21" t="n"/>
      <c r="N199" s="21" t="n"/>
      <c r="O199" s="21" t="n"/>
      <c r="P199" s="21" t="n"/>
      <c r="Q199" s="21" t="n"/>
      <c r="R199" s="21" t="n"/>
      <c r="S199" s="21" t="n"/>
      <c r="T199" s="21" t="n"/>
      <c r="U199" s="21" t="n"/>
      <c r="V199" s="21" t="n"/>
      <c r="W199" s="21" t="n"/>
      <c r="X199" s="21" t="n"/>
      <c r="Y199" s="21" t="n"/>
      <c r="Z199" s="21" t="n"/>
    </row>
    <row r="200" ht="15.75" customHeight="1" s="545">
      <c r="A200" s="21" t="n"/>
      <c r="B200" s="21" t="n"/>
      <c r="C200" s="21" t="n"/>
      <c r="D200" s="21" t="n"/>
      <c r="E200" s="21" t="n"/>
      <c r="F200" s="21" t="n"/>
      <c r="G200" s="21" t="n"/>
      <c r="H200" s="21" t="n"/>
      <c r="I200" s="21" t="n"/>
      <c r="J200" s="21" t="n"/>
      <c r="K200" s="21" t="n"/>
      <c r="L200" s="21" t="n"/>
      <c r="M200" s="21" t="n"/>
      <c r="N200" s="21" t="n"/>
      <c r="O200" s="21" t="n"/>
      <c r="P200" s="21" t="n"/>
      <c r="Q200" s="21" t="n"/>
      <c r="R200" s="21" t="n"/>
      <c r="S200" s="21" t="n"/>
      <c r="T200" s="21" t="n"/>
      <c r="U200" s="21" t="n"/>
      <c r="V200" s="21" t="n"/>
      <c r="W200" s="21" t="n"/>
      <c r="X200" s="21" t="n"/>
      <c r="Y200" s="21" t="n"/>
      <c r="Z200" s="21" t="n"/>
    </row>
    <row r="201" ht="15.75" customHeight="1" s="545">
      <c r="A201" s="21" t="n"/>
      <c r="B201" s="21" t="n"/>
      <c r="C201" s="21" t="n"/>
      <c r="D201" s="21" t="n"/>
      <c r="E201" s="21" t="n"/>
      <c r="F201" s="21" t="n"/>
      <c r="G201" s="21" t="n"/>
      <c r="H201" s="21" t="n"/>
      <c r="I201" s="21" t="n"/>
      <c r="J201" s="21" t="n"/>
      <c r="K201" s="21" t="n"/>
      <c r="L201" s="21" t="n"/>
      <c r="M201" s="21" t="n"/>
      <c r="N201" s="21" t="n"/>
      <c r="O201" s="21" t="n"/>
      <c r="P201" s="21" t="n"/>
      <c r="Q201" s="21" t="n"/>
      <c r="R201" s="21" t="n"/>
      <c r="S201" s="21" t="n"/>
      <c r="T201" s="21" t="n"/>
      <c r="U201" s="21" t="n"/>
      <c r="V201" s="21" t="n"/>
      <c r="W201" s="21" t="n"/>
      <c r="X201" s="21" t="n"/>
      <c r="Y201" s="21" t="n"/>
      <c r="Z201" s="21" t="n"/>
    </row>
    <row r="202" ht="15.75" customHeight="1" s="545">
      <c r="A202" s="21" t="n"/>
      <c r="B202" s="21" t="n"/>
      <c r="C202" s="21" t="n"/>
      <c r="D202" s="21" t="n"/>
      <c r="E202" s="21" t="n"/>
      <c r="F202" s="21" t="n"/>
      <c r="G202" s="21" t="n"/>
      <c r="H202" s="21" t="n"/>
      <c r="I202" s="21" t="n"/>
      <c r="J202" s="21" t="n"/>
      <c r="K202" s="21" t="n"/>
      <c r="L202" s="21" t="n"/>
      <c r="M202" s="21" t="n"/>
      <c r="N202" s="21" t="n"/>
      <c r="O202" s="21" t="n"/>
      <c r="P202" s="21" t="n"/>
      <c r="Q202" s="21" t="n"/>
      <c r="R202" s="21" t="n"/>
      <c r="S202" s="21" t="n"/>
      <c r="T202" s="21" t="n"/>
      <c r="U202" s="21" t="n"/>
      <c r="V202" s="21" t="n"/>
      <c r="W202" s="21" t="n"/>
      <c r="X202" s="21" t="n"/>
      <c r="Y202" s="21" t="n"/>
      <c r="Z202" s="21" t="n"/>
    </row>
    <row r="203" ht="15.75" customHeight="1" s="545">
      <c r="A203" s="21" t="n"/>
      <c r="B203" s="21" t="n"/>
      <c r="C203" s="21" t="n"/>
      <c r="D203" s="21" t="n"/>
      <c r="E203" s="21" t="n"/>
      <c r="F203" s="21" t="n"/>
      <c r="G203" s="21" t="n"/>
      <c r="H203" s="21" t="n"/>
      <c r="I203" s="21" t="n"/>
      <c r="J203" s="21" t="n"/>
      <c r="K203" s="21" t="n"/>
      <c r="L203" s="21" t="n"/>
      <c r="M203" s="21" t="n"/>
      <c r="N203" s="21" t="n"/>
      <c r="O203" s="21" t="n"/>
      <c r="P203" s="21" t="n"/>
      <c r="Q203" s="21" t="n"/>
      <c r="R203" s="21" t="n"/>
      <c r="S203" s="21" t="n"/>
      <c r="T203" s="21" t="n"/>
      <c r="U203" s="21" t="n"/>
      <c r="V203" s="21" t="n"/>
      <c r="W203" s="21" t="n"/>
      <c r="X203" s="21" t="n"/>
      <c r="Y203" s="21" t="n"/>
      <c r="Z203" s="21" t="n"/>
    </row>
    <row r="204" ht="15.75" customHeight="1" s="545">
      <c r="A204" s="21" t="n"/>
      <c r="B204" s="21" t="n"/>
      <c r="C204" s="21" t="n"/>
      <c r="D204" s="21" t="n"/>
      <c r="E204" s="21" t="n"/>
      <c r="F204" s="21" t="n"/>
      <c r="G204" s="21" t="n"/>
      <c r="H204" s="21" t="n"/>
      <c r="I204" s="21" t="n"/>
      <c r="J204" s="21" t="n"/>
      <c r="K204" s="21" t="n"/>
      <c r="L204" s="21" t="n"/>
      <c r="M204" s="21" t="n"/>
      <c r="N204" s="21" t="n"/>
      <c r="O204" s="21" t="n"/>
      <c r="P204" s="21" t="n"/>
      <c r="Q204" s="21" t="n"/>
      <c r="R204" s="21" t="n"/>
      <c r="S204" s="21" t="n"/>
      <c r="T204" s="21" t="n"/>
      <c r="U204" s="21" t="n"/>
      <c r="V204" s="21" t="n"/>
      <c r="W204" s="21" t="n"/>
      <c r="X204" s="21" t="n"/>
      <c r="Y204" s="21" t="n"/>
      <c r="Z204" s="21" t="n"/>
    </row>
    <row r="205" ht="15.75" customHeight="1" s="545">
      <c r="A205" s="21" t="n"/>
      <c r="B205" s="21" t="n"/>
      <c r="C205" s="21" t="n"/>
      <c r="D205" s="21" t="n"/>
      <c r="E205" s="21" t="n"/>
      <c r="F205" s="21" t="n"/>
      <c r="G205" s="21" t="n"/>
      <c r="H205" s="21" t="n"/>
      <c r="I205" s="21" t="n"/>
      <c r="J205" s="21" t="n"/>
      <c r="K205" s="21" t="n"/>
      <c r="L205" s="21" t="n"/>
      <c r="M205" s="21" t="n"/>
      <c r="N205" s="21" t="n"/>
      <c r="O205" s="21" t="n"/>
      <c r="P205" s="21" t="n"/>
      <c r="Q205" s="21" t="n"/>
      <c r="R205" s="21" t="n"/>
      <c r="S205" s="21" t="n"/>
      <c r="T205" s="21" t="n"/>
      <c r="U205" s="21" t="n"/>
      <c r="V205" s="21" t="n"/>
      <c r="W205" s="21" t="n"/>
      <c r="X205" s="21" t="n"/>
      <c r="Y205" s="21" t="n"/>
      <c r="Z205" s="21" t="n"/>
    </row>
    <row r="206" ht="15.75" customHeight="1" s="545">
      <c r="A206" s="21" t="n"/>
      <c r="B206" s="21" t="n"/>
      <c r="C206" s="21" t="n"/>
      <c r="D206" s="21" t="n"/>
      <c r="E206" s="21" t="n"/>
      <c r="F206" s="21" t="n"/>
      <c r="G206" s="21" t="n"/>
      <c r="H206" s="21" t="n"/>
      <c r="I206" s="21" t="n"/>
      <c r="J206" s="21" t="n"/>
      <c r="K206" s="21" t="n"/>
      <c r="L206" s="21" t="n"/>
      <c r="M206" s="21" t="n"/>
      <c r="N206" s="21" t="n"/>
      <c r="O206" s="21" t="n"/>
      <c r="P206" s="21" t="n"/>
      <c r="Q206" s="21" t="n"/>
      <c r="R206" s="21" t="n"/>
      <c r="S206" s="21" t="n"/>
      <c r="T206" s="21" t="n"/>
      <c r="U206" s="21" t="n"/>
      <c r="V206" s="21" t="n"/>
      <c r="W206" s="21" t="n"/>
      <c r="X206" s="21" t="n"/>
      <c r="Y206" s="21" t="n"/>
      <c r="Z206" s="21" t="n"/>
    </row>
    <row r="207" ht="15.75" customHeight="1" s="545">
      <c r="A207" s="21" t="n"/>
      <c r="B207" s="21" t="n"/>
      <c r="C207" s="21" t="n"/>
      <c r="D207" s="21" t="n"/>
      <c r="E207" s="21" t="n"/>
      <c r="F207" s="21" t="n"/>
      <c r="G207" s="21" t="n"/>
      <c r="H207" s="21" t="n"/>
      <c r="I207" s="21" t="n"/>
      <c r="J207" s="21" t="n"/>
      <c r="K207" s="21" t="n"/>
      <c r="L207" s="21" t="n"/>
      <c r="M207" s="21" t="n"/>
      <c r="N207" s="21" t="n"/>
      <c r="O207" s="21" t="n"/>
      <c r="P207" s="21" t="n"/>
      <c r="Q207" s="21" t="n"/>
      <c r="R207" s="21" t="n"/>
      <c r="S207" s="21" t="n"/>
      <c r="T207" s="21" t="n"/>
      <c r="U207" s="21" t="n"/>
      <c r="V207" s="21" t="n"/>
      <c r="W207" s="21" t="n"/>
      <c r="X207" s="21" t="n"/>
      <c r="Y207" s="21" t="n"/>
      <c r="Z207" s="21" t="n"/>
    </row>
    <row r="208" ht="15.75" customHeight="1" s="545">
      <c r="A208" s="21" t="n"/>
      <c r="B208" s="21" t="n"/>
      <c r="C208" s="21" t="n"/>
      <c r="D208" s="21" t="n"/>
      <c r="E208" s="21" t="n"/>
      <c r="F208" s="21" t="n"/>
      <c r="G208" s="21" t="n"/>
      <c r="H208" s="21" t="n"/>
      <c r="I208" s="21" t="n"/>
      <c r="J208" s="21" t="n"/>
      <c r="K208" s="21" t="n"/>
      <c r="L208" s="21" t="n"/>
      <c r="M208" s="21" t="n"/>
      <c r="N208" s="21" t="n"/>
      <c r="O208" s="21" t="n"/>
      <c r="P208" s="21" t="n"/>
      <c r="Q208" s="21" t="n"/>
      <c r="R208" s="21" t="n"/>
      <c r="S208" s="21" t="n"/>
      <c r="T208" s="21" t="n"/>
      <c r="U208" s="21" t="n"/>
      <c r="V208" s="21" t="n"/>
      <c r="W208" s="21" t="n"/>
      <c r="X208" s="21" t="n"/>
      <c r="Y208" s="21" t="n"/>
      <c r="Z208" s="21" t="n"/>
    </row>
    <row r="209" ht="15.75" customHeight="1" s="545">
      <c r="A209" s="21" t="n"/>
      <c r="B209" s="21" t="n"/>
      <c r="C209" s="21" t="n"/>
      <c r="D209" s="21" t="n"/>
      <c r="E209" s="21" t="n"/>
      <c r="F209" s="21" t="n"/>
      <c r="G209" s="21" t="n"/>
      <c r="H209" s="21" t="n"/>
      <c r="I209" s="21" t="n"/>
      <c r="J209" s="21" t="n"/>
      <c r="K209" s="21" t="n"/>
      <c r="L209" s="21" t="n"/>
      <c r="M209" s="21" t="n"/>
      <c r="N209" s="21" t="n"/>
      <c r="O209" s="21" t="n"/>
      <c r="P209" s="21" t="n"/>
      <c r="Q209" s="21" t="n"/>
      <c r="R209" s="21" t="n"/>
      <c r="S209" s="21" t="n"/>
      <c r="T209" s="21" t="n"/>
      <c r="U209" s="21" t="n"/>
      <c r="V209" s="21" t="n"/>
      <c r="W209" s="21" t="n"/>
      <c r="X209" s="21" t="n"/>
      <c r="Y209" s="21" t="n"/>
      <c r="Z209" s="21" t="n"/>
    </row>
    <row r="210" ht="15.75" customHeight="1" s="545">
      <c r="A210" s="21" t="n"/>
      <c r="B210" s="21" t="n"/>
      <c r="C210" s="21" t="n"/>
      <c r="D210" s="21" t="n"/>
      <c r="E210" s="21" t="n"/>
      <c r="F210" s="21" t="n"/>
      <c r="G210" s="21" t="n"/>
      <c r="H210" s="21" t="n"/>
      <c r="I210" s="21" t="n"/>
      <c r="J210" s="21" t="n"/>
      <c r="K210" s="21" t="n"/>
      <c r="L210" s="21" t="n"/>
      <c r="M210" s="21" t="n"/>
      <c r="N210" s="21" t="n"/>
      <c r="O210" s="21" t="n"/>
      <c r="P210" s="21" t="n"/>
      <c r="Q210" s="21" t="n"/>
      <c r="R210" s="21" t="n"/>
      <c r="S210" s="21" t="n"/>
      <c r="T210" s="21" t="n"/>
      <c r="U210" s="21" t="n"/>
      <c r="V210" s="21" t="n"/>
      <c r="W210" s="21" t="n"/>
      <c r="X210" s="21" t="n"/>
      <c r="Y210" s="21" t="n"/>
      <c r="Z210" s="21" t="n"/>
    </row>
    <row r="211" ht="15.75" customHeight="1" s="545">
      <c r="A211" s="21" t="n"/>
      <c r="B211" s="21" t="n"/>
      <c r="C211" s="21" t="n"/>
      <c r="D211" s="21" t="n"/>
      <c r="E211" s="21" t="n"/>
      <c r="F211" s="21" t="n"/>
      <c r="G211" s="21" t="n"/>
      <c r="H211" s="21" t="n"/>
      <c r="I211" s="21" t="n"/>
      <c r="J211" s="21" t="n"/>
      <c r="K211" s="21" t="n"/>
      <c r="L211" s="21" t="n"/>
      <c r="M211" s="21" t="n"/>
      <c r="N211" s="21" t="n"/>
      <c r="O211" s="21" t="n"/>
      <c r="P211" s="21" t="n"/>
      <c r="Q211" s="21" t="n"/>
      <c r="R211" s="21" t="n"/>
      <c r="S211" s="21" t="n"/>
      <c r="T211" s="21" t="n"/>
      <c r="U211" s="21" t="n"/>
      <c r="V211" s="21" t="n"/>
      <c r="W211" s="21" t="n"/>
      <c r="X211" s="21" t="n"/>
      <c r="Y211" s="21" t="n"/>
      <c r="Z211" s="21" t="n"/>
    </row>
    <row r="212" ht="15.75" customHeight="1" s="545">
      <c r="A212" s="21" t="n"/>
      <c r="B212" s="21" t="n"/>
      <c r="C212" s="21" t="n"/>
      <c r="D212" s="21" t="n"/>
      <c r="E212" s="21" t="n"/>
      <c r="F212" s="21" t="n"/>
      <c r="G212" s="21" t="n"/>
      <c r="H212" s="21" t="n"/>
      <c r="I212" s="21" t="n"/>
      <c r="J212" s="21" t="n"/>
      <c r="K212" s="21" t="n"/>
      <c r="L212" s="21" t="n"/>
      <c r="M212" s="21" t="n"/>
      <c r="N212" s="21" t="n"/>
      <c r="O212" s="21" t="n"/>
      <c r="P212" s="21" t="n"/>
      <c r="Q212" s="21" t="n"/>
      <c r="R212" s="21" t="n"/>
      <c r="S212" s="21" t="n"/>
      <c r="T212" s="21" t="n"/>
      <c r="U212" s="21" t="n"/>
      <c r="V212" s="21" t="n"/>
      <c r="W212" s="21" t="n"/>
      <c r="X212" s="21" t="n"/>
      <c r="Y212" s="21" t="n"/>
      <c r="Z212" s="21" t="n"/>
    </row>
    <row r="213" ht="15.75" customHeight="1" s="545">
      <c r="A213" s="21" t="n"/>
      <c r="B213" s="21" t="n"/>
      <c r="C213" s="21" t="n"/>
      <c r="D213" s="21" t="n"/>
      <c r="E213" s="21" t="n"/>
      <c r="F213" s="21" t="n"/>
      <c r="G213" s="21" t="n"/>
      <c r="H213" s="21" t="n"/>
      <c r="I213" s="21" t="n"/>
      <c r="J213" s="21" t="n"/>
      <c r="K213" s="21" t="n"/>
      <c r="L213" s="21" t="n"/>
      <c r="M213" s="21" t="n"/>
      <c r="N213" s="21" t="n"/>
      <c r="O213" s="21" t="n"/>
      <c r="P213" s="21" t="n"/>
      <c r="Q213" s="21" t="n"/>
      <c r="R213" s="21" t="n"/>
      <c r="S213" s="21" t="n"/>
      <c r="T213" s="21" t="n"/>
      <c r="U213" s="21" t="n"/>
      <c r="V213" s="21" t="n"/>
      <c r="W213" s="21" t="n"/>
      <c r="X213" s="21" t="n"/>
      <c r="Y213" s="21" t="n"/>
      <c r="Z213" s="21" t="n"/>
    </row>
    <row r="214" ht="15.75" customHeight="1" s="545">
      <c r="A214" s="21" t="n"/>
      <c r="B214" s="21" t="n"/>
      <c r="C214" s="21" t="n"/>
      <c r="D214" s="21" t="n"/>
      <c r="E214" s="21" t="n"/>
      <c r="F214" s="21" t="n"/>
      <c r="G214" s="21" t="n"/>
      <c r="H214" s="21" t="n"/>
      <c r="I214" s="21" t="n"/>
      <c r="J214" s="21" t="n"/>
      <c r="K214" s="21" t="n"/>
      <c r="L214" s="21" t="n"/>
      <c r="M214" s="21" t="n"/>
      <c r="N214" s="21" t="n"/>
      <c r="O214" s="21" t="n"/>
      <c r="P214" s="21" t="n"/>
      <c r="Q214" s="21" t="n"/>
      <c r="R214" s="21" t="n"/>
      <c r="S214" s="21" t="n"/>
      <c r="T214" s="21" t="n"/>
      <c r="U214" s="21" t="n"/>
      <c r="V214" s="21" t="n"/>
      <c r="W214" s="21" t="n"/>
      <c r="X214" s="21" t="n"/>
      <c r="Y214" s="21" t="n"/>
      <c r="Z214" s="21" t="n"/>
    </row>
    <row r="215" ht="15.75" customHeight="1" s="545">
      <c r="A215" s="21" t="n"/>
      <c r="B215" s="21" t="n"/>
      <c r="C215" s="21" t="n"/>
      <c r="D215" s="21" t="n"/>
      <c r="E215" s="21" t="n"/>
      <c r="F215" s="21" t="n"/>
      <c r="G215" s="21" t="n"/>
      <c r="H215" s="21" t="n"/>
      <c r="I215" s="21" t="n"/>
      <c r="J215" s="21" t="n"/>
      <c r="K215" s="21" t="n"/>
      <c r="L215" s="21" t="n"/>
      <c r="M215" s="21" t="n"/>
      <c r="N215" s="21" t="n"/>
      <c r="O215" s="21" t="n"/>
      <c r="P215" s="21" t="n"/>
      <c r="Q215" s="21" t="n"/>
      <c r="R215" s="21" t="n"/>
      <c r="S215" s="21" t="n"/>
      <c r="T215" s="21" t="n"/>
      <c r="U215" s="21" t="n"/>
      <c r="V215" s="21" t="n"/>
      <c r="W215" s="21" t="n"/>
      <c r="X215" s="21" t="n"/>
      <c r="Y215" s="21" t="n"/>
      <c r="Z215" s="21" t="n"/>
    </row>
    <row r="216" ht="15.75" customHeight="1" s="545">
      <c r="A216" s="21" t="n"/>
      <c r="B216" s="21" t="n"/>
      <c r="C216" s="21" t="n"/>
      <c r="D216" s="21" t="n"/>
      <c r="E216" s="21" t="n"/>
      <c r="F216" s="21" t="n"/>
      <c r="G216" s="21" t="n"/>
      <c r="H216" s="21" t="n"/>
      <c r="I216" s="21" t="n"/>
      <c r="J216" s="21" t="n"/>
      <c r="K216" s="21" t="n"/>
      <c r="L216" s="21" t="n"/>
      <c r="M216" s="21" t="n"/>
      <c r="N216" s="21" t="n"/>
      <c r="O216" s="21" t="n"/>
      <c r="P216" s="21" t="n"/>
      <c r="Q216" s="21" t="n"/>
      <c r="R216" s="21" t="n"/>
      <c r="S216" s="21" t="n"/>
      <c r="T216" s="21" t="n"/>
      <c r="U216" s="21" t="n"/>
      <c r="V216" s="21" t="n"/>
      <c r="W216" s="21" t="n"/>
      <c r="X216" s="21" t="n"/>
      <c r="Y216" s="21" t="n"/>
      <c r="Z216" s="21" t="n"/>
    </row>
    <row r="217" ht="15.75" customHeight="1" s="545">
      <c r="A217" s="21" t="n"/>
      <c r="B217" s="21" t="n"/>
      <c r="C217" s="21" t="n"/>
      <c r="D217" s="21" t="n"/>
      <c r="E217" s="21" t="n"/>
      <c r="F217" s="21" t="n"/>
      <c r="G217" s="21" t="n"/>
      <c r="H217" s="21" t="n"/>
      <c r="I217" s="21" t="n"/>
      <c r="J217" s="21" t="n"/>
      <c r="K217" s="21" t="n"/>
      <c r="L217" s="21" t="n"/>
      <c r="M217" s="21" t="n"/>
      <c r="N217" s="21" t="n"/>
      <c r="O217" s="21" t="n"/>
      <c r="P217" s="21" t="n"/>
      <c r="Q217" s="21" t="n"/>
      <c r="R217" s="21" t="n"/>
      <c r="S217" s="21" t="n"/>
      <c r="T217" s="21" t="n"/>
      <c r="U217" s="21" t="n"/>
      <c r="V217" s="21" t="n"/>
      <c r="W217" s="21" t="n"/>
      <c r="X217" s="21" t="n"/>
      <c r="Y217" s="21" t="n"/>
      <c r="Z217" s="21" t="n"/>
    </row>
    <row r="218" ht="15.75" customHeight="1" s="545">
      <c r="A218" s="21" t="n"/>
      <c r="B218" s="21" t="n"/>
      <c r="C218" s="21" t="n"/>
      <c r="D218" s="21" t="n"/>
      <c r="E218" s="21" t="n"/>
      <c r="F218" s="21" t="n"/>
      <c r="G218" s="21" t="n"/>
      <c r="H218" s="21" t="n"/>
      <c r="I218" s="21" t="n"/>
      <c r="J218" s="21" t="n"/>
      <c r="K218" s="21" t="n"/>
      <c r="L218" s="21" t="n"/>
      <c r="M218" s="21" t="n"/>
      <c r="N218" s="21" t="n"/>
      <c r="O218" s="21" t="n"/>
      <c r="P218" s="21" t="n"/>
      <c r="Q218" s="21" t="n"/>
      <c r="R218" s="21" t="n"/>
      <c r="S218" s="21" t="n"/>
      <c r="T218" s="21" t="n"/>
      <c r="U218" s="21" t="n"/>
      <c r="V218" s="21" t="n"/>
      <c r="W218" s="21" t="n"/>
      <c r="X218" s="21" t="n"/>
      <c r="Y218" s="21" t="n"/>
      <c r="Z218" s="21" t="n"/>
    </row>
    <row r="219" ht="15.75" customHeight="1" s="545">
      <c r="A219" s="21" t="n"/>
      <c r="B219" s="21" t="n"/>
      <c r="C219" s="21" t="n"/>
      <c r="D219" s="21" t="n"/>
      <c r="E219" s="21" t="n"/>
      <c r="F219" s="21" t="n"/>
      <c r="G219" s="21" t="n"/>
      <c r="H219" s="21" t="n"/>
      <c r="I219" s="21" t="n"/>
      <c r="J219" s="21" t="n"/>
      <c r="K219" s="21" t="n"/>
      <c r="L219" s="21" t="n"/>
      <c r="M219" s="21" t="n"/>
      <c r="N219" s="21" t="n"/>
      <c r="O219" s="21" t="n"/>
      <c r="P219" s="21" t="n"/>
      <c r="Q219" s="21" t="n"/>
      <c r="R219" s="21" t="n"/>
      <c r="S219" s="21" t="n"/>
      <c r="T219" s="21" t="n"/>
      <c r="U219" s="21" t="n"/>
      <c r="V219" s="21" t="n"/>
      <c r="W219" s="21" t="n"/>
      <c r="X219" s="21" t="n"/>
      <c r="Y219" s="21" t="n"/>
      <c r="Z219" s="21" t="n"/>
    </row>
    <row r="220" ht="15.75" customHeight="1" s="545">
      <c r="A220" s="21" t="n"/>
      <c r="B220" s="21" t="n"/>
      <c r="C220" s="21" t="n"/>
      <c r="D220" s="21" t="n"/>
      <c r="E220" s="21" t="n"/>
      <c r="F220" s="21" t="n"/>
      <c r="G220" s="21" t="n"/>
      <c r="H220" s="21" t="n"/>
      <c r="I220" s="21" t="n"/>
      <c r="J220" s="21" t="n"/>
      <c r="K220" s="21" t="n"/>
      <c r="L220" s="21" t="n"/>
      <c r="M220" s="21" t="n"/>
      <c r="N220" s="21" t="n"/>
      <c r="O220" s="21" t="n"/>
      <c r="P220" s="21" t="n"/>
      <c r="Q220" s="21" t="n"/>
      <c r="R220" s="21" t="n"/>
      <c r="S220" s="21" t="n"/>
      <c r="T220" s="21" t="n"/>
      <c r="U220" s="21" t="n"/>
      <c r="V220" s="21" t="n"/>
      <c r="W220" s="21" t="n"/>
      <c r="X220" s="21" t="n"/>
      <c r="Y220" s="21" t="n"/>
      <c r="Z220" s="21" t="n"/>
    </row>
    <row r="221" ht="15.75" customHeight="1" s="545">
      <c r="A221" s="21" t="n"/>
      <c r="B221" s="21" t="n"/>
      <c r="C221" s="21" t="n"/>
      <c r="D221" s="21" t="n"/>
      <c r="E221" s="21" t="n"/>
      <c r="F221" s="21" t="n"/>
      <c r="G221" s="21" t="n"/>
      <c r="H221" s="21" t="n"/>
      <c r="I221" s="21" t="n"/>
      <c r="J221" s="21" t="n"/>
      <c r="K221" s="21" t="n"/>
      <c r="L221" s="21" t="n"/>
      <c r="M221" s="21" t="n"/>
      <c r="N221" s="21" t="n"/>
      <c r="O221" s="21" t="n"/>
      <c r="P221" s="21" t="n"/>
      <c r="Q221" s="21" t="n"/>
      <c r="R221" s="21" t="n"/>
      <c r="S221" s="21" t="n"/>
      <c r="T221" s="21" t="n"/>
      <c r="U221" s="21" t="n"/>
      <c r="V221" s="21" t="n"/>
      <c r="W221" s="21" t="n"/>
      <c r="X221" s="21" t="n"/>
      <c r="Y221" s="21" t="n"/>
      <c r="Z221" s="21" t="n"/>
    </row>
    <row r="222" ht="15.75" customHeight="1" s="545">
      <c r="A222" s="21" t="n"/>
      <c r="B222" s="21" t="n"/>
      <c r="C222" s="21" t="n"/>
      <c r="D222" s="21" t="n"/>
      <c r="E222" s="21" t="n"/>
      <c r="F222" s="21" t="n"/>
      <c r="G222" s="21" t="n"/>
      <c r="H222" s="21" t="n"/>
      <c r="I222" s="21" t="n"/>
      <c r="J222" s="21" t="n"/>
      <c r="K222" s="21" t="n"/>
      <c r="L222" s="21" t="n"/>
      <c r="M222" s="21" t="n"/>
      <c r="N222" s="21" t="n"/>
      <c r="O222" s="21" t="n"/>
      <c r="P222" s="21" t="n"/>
      <c r="Q222" s="21" t="n"/>
      <c r="R222" s="21" t="n"/>
      <c r="S222" s="21" t="n"/>
      <c r="T222" s="21" t="n"/>
      <c r="U222" s="21" t="n"/>
      <c r="V222" s="21" t="n"/>
      <c r="W222" s="21" t="n"/>
      <c r="X222" s="21" t="n"/>
      <c r="Y222" s="21" t="n"/>
      <c r="Z222" s="21" t="n"/>
    </row>
    <row r="223" ht="15.75" customHeight="1" s="545">
      <c r="A223" s="21" t="n"/>
      <c r="B223" s="21" t="n"/>
      <c r="C223" s="21" t="n"/>
      <c r="D223" s="21" t="n"/>
      <c r="E223" s="21" t="n"/>
      <c r="F223" s="21" t="n"/>
      <c r="G223" s="21" t="n"/>
      <c r="H223" s="21" t="n"/>
      <c r="I223" s="21" t="n"/>
      <c r="J223" s="21" t="n"/>
      <c r="K223" s="21" t="n"/>
      <c r="L223" s="21" t="n"/>
      <c r="M223" s="21" t="n"/>
      <c r="N223" s="21" t="n"/>
      <c r="O223" s="21" t="n"/>
      <c r="P223" s="21" t="n"/>
      <c r="Q223" s="21" t="n"/>
      <c r="R223" s="21" t="n"/>
      <c r="S223" s="21" t="n"/>
      <c r="T223" s="21" t="n"/>
      <c r="U223" s="21" t="n"/>
      <c r="V223" s="21" t="n"/>
      <c r="W223" s="21" t="n"/>
      <c r="X223" s="21" t="n"/>
      <c r="Y223" s="21" t="n"/>
      <c r="Z223" s="21" t="n"/>
    </row>
    <row r="224" ht="15.75" customHeight="1" s="545">
      <c r="A224" s="21" t="n"/>
      <c r="B224" s="21" t="n"/>
      <c r="C224" s="21" t="n"/>
      <c r="D224" s="21" t="n"/>
      <c r="E224" s="21" t="n"/>
      <c r="F224" s="21" t="n"/>
      <c r="G224" s="21" t="n"/>
      <c r="H224" s="21" t="n"/>
      <c r="I224" s="21" t="n"/>
      <c r="J224" s="21" t="n"/>
      <c r="K224" s="21" t="n"/>
      <c r="L224" s="21" t="n"/>
      <c r="M224" s="21" t="n"/>
      <c r="N224" s="21" t="n"/>
      <c r="O224" s="21" t="n"/>
      <c r="P224" s="21" t="n"/>
      <c r="Q224" s="21" t="n"/>
      <c r="R224" s="21" t="n"/>
      <c r="S224" s="21" t="n"/>
      <c r="T224" s="21" t="n"/>
      <c r="U224" s="21" t="n"/>
      <c r="V224" s="21" t="n"/>
      <c r="W224" s="21" t="n"/>
      <c r="X224" s="21" t="n"/>
      <c r="Y224" s="21" t="n"/>
      <c r="Z224" s="21" t="n"/>
    </row>
    <row r="225" ht="15.75" customHeight="1" s="545">
      <c r="A225" s="21" t="n"/>
      <c r="B225" s="21" t="n"/>
      <c r="C225" s="21" t="n"/>
      <c r="D225" s="21" t="n"/>
      <c r="E225" s="21" t="n"/>
      <c r="F225" s="21" t="n"/>
      <c r="G225" s="21" t="n"/>
      <c r="H225" s="21" t="n"/>
      <c r="I225" s="21" t="n"/>
      <c r="J225" s="21" t="n"/>
      <c r="K225" s="21" t="n"/>
      <c r="L225" s="21" t="n"/>
      <c r="M225" s="21" t="n"/>
      <c r="N225" s="21" t="n"/>
      <c r="O225" s="21" t="n"/>
      <c r="P225" s="21" t="n"/>
      <c r="Q225" s="21" t="n"/>
      <c r="R225" s="21" t="n"/>
      <c r="S225" s="21" t="n"/>
      <c r="T225" s="21" t="n"/>
      <c r="U225" s="21" t="n"/>
      <c r="V225" s="21" t="n"/>
      <c r="W225" s="21" t="n"/>
      <c r="X225" s="21" t="n"/>
      <c r="Y225" s="21" t="n"/>
      <c r="Z225" s="21" t="n"/>
    </row>
    <row r="226" ht="15.75" customHeight="1" s="545">
      <c r="A226" s="21" t="n"/>
      <c r="B226" s="21" t="n"/>
      <c r="C226" s="21" t="n"/>
      <c r="D226" s="21" t="n"/>
      <c r="E226" s="21" t="n"/>
      <c r="F226" s="21" t="n"/>
      <c r="G226" s="21" t="n"/>
      <c r="H226" s="21" t="n"/>
      <c r="I226" s="21" t="n"/>
      <c r="J226" s="21" t="n"/>
      <c r="K226" s="21" t="n"/>
      <c r="L226" s="21" t="n"/>
      <c r="M226" s="21" t="n"/>
      <c r="N226" s="21" t="n"/>
      <c r="O226" s="21" t="n"/>
      <c r="P226" s="21" t="n"/>
      <c r="Q226" s="21" t="n"/>
      <c r="R226" s="21" t="n"/>
      <c r="S226" s="21" t="n"/>
      <c r="T226" s="21" t="n"/>
      <c r="U226" s="21" t="n"/>
      <c r="V226" s="21" t="n"/>
      <c r="W226" s="21" t="n"/>
      <c r="X226" s="21" t="n"/>
      <c r="Y226" s="21" t="n"/>
      <c r="Z226" s="21" t="n"/>
    </row>
    <row r="227" ht="15.75" customHeight="1" s="545">
      <c r="A227" s="21" t="n"/>
      <c r="B227" s="21" t="n"/>
      <c r="C227" s="21" t="n"/>
      <c r="D227" s="21" t="n"/>
      <c r="E227" s="21" t="n"/>
      <c r="F227" s="21" t="n"/>
      <c r="G227" s="21" t="n"/>
      <c r="H227" s="21" t="n"/>
      <c r="I227" s="21" t="n"/>
      <c r="J227" s="21" t="n"/>
      <c r="K227" s="21" t="n"/>
      <c r="L227" s="21" t="n"/>
      <c r="M227" s="21" t="n"/>
      <c r="N227" s="21" t="n"/>
      <c r="O227" s="21" t="n"/>
      <c r="P227" s="21" t="n"/>
      <c r="Q227" s="21" t="n"/>
      <c r="R227" s="21" t="n"/>
      <c r="S227" s="21" t="n"/>
      <c r="T227" s="21" t="n"/>
      <c r="U227" s="21" t="n"/>
      <c r="V227" s="21" t="n"/>
      <c r="W227" s="21" t="n"/>
      <c r="X227" s="21" t="n"/>
      <c r="Y227" s="21" t="n"/>
      <c r="Z227" s="21" t="n"/>
    </row>
    <row r="228" ht="15.75" customHeight="1" s="545">
      <c r="A228" s="21" t="n"/>
      <c r="B228" s="21" t="n"/>
      <c r="C228" s="21" t="n"/>
      <c r="D228" s="21" t="n"/>
      <c r="E228" s="21" t="n"/>
      <c r="F228" s="21" t="n"/>
      <c r="G228" s="21" t="n"/>
      <c r="H228" s="21" t="n"/>
      <c r="I228" s="21" t="n"/>
      <c r="J228" s="21" t="n"/>
      <c r="K228" s="21" t="n"/>
      <c r="L228" s="21" t="n"/>
      <c r="M228" s="21" t="n"/>
      <c r="N228" s="21" t="n"/>
      <c r="O228" s="21" t="n"/>
      <c r="P228" s="21" t="n"/>
      <c r="Q228" s="21" t="n"/>
      <c r="R228" s="21" t="n"/>
      <c r="S228" s="21" t="n"/>
      <c r="T228" s="21" t="n"/>
      <c r="U228" s="21" t="n"/>
      <c r="V228" s="21" t="n"/>
      <c r="W228" s="21" t="n"/>
      <c r="X228" s="21" t="n"/>
      <c r="Y228" s="21" t="n"/>
      <c r="Z228" s="21" t="n"/>
    </row>
    <row r="229" ht="15.75" customHeight="1" s="545">
      <c r="A229" s="21" t="n"/>
      <c r="B229" s="21" t="n"/>
      <c r="C229" s="21" t="n"/>
      <c r="D229" s="21" t="n"/>
      <c r="E229" s="21" t="n"/>
      <c r="F229" s="21" t="n"/>
      <c r="G229" s="21" t="n"/>
      <c r="H229" s="21" t="n"/>
      <c r="I229" s="21" t="n"/>
      <c r="J229" s="21" t="n"/>
      <c r="K229" s="21" t="n"/>
      <c r="L229" s="21" t="n"/>
      <c r="M229" s="21" t="n"/>
      <c r="N229" s="21" t="n"/>
      <c r="O229" s="21" t="n"/>
      <c r="P229" s="21" t="n"/>
      <c r="Q229" s="21" t="n"/>
      <c r="R229" s="21" t="n"/>
      <c r="S229" s="21" t="n"/>
      <c r="T229" s="21" t="n"/>
      <c r="U229" s="21" t="n"/>
      <c r="V229" s="21" t="n"/>
      <c r="W229" s="21" t="n"/>
      <c r="X229" s="21" t="n"/>
      <c r="Y229" s="21" t="n"/>
      <c r="Z229" s="21" t="n"/>
    </row>
    <row r="230" ht="15.75" customHeight="1" s="545">
      <c r="A230" s="21" t="n"/>
      <c r="B230" s="21" t="n"/>
      <c r="C230" s="21" t="n"/>
      <c r="D230" s="21" t="n"/>
      <c r="E230" s="21" t="n"/>
      <c r="F230" s="21" t="n"/>
      <c r="G230" s="21" t="n"/>
      <c r="H230" s="21" t="n"/>
      <c r="I230" s="21" t="n"/>
      <c r="J230" s="21" t="n"/>
      <c r="K230" s="21" t="n"/>
      <c r="L230" s="21" t="n"/>
      <c r="M230" s="21" t="n"/>
      <c r="N230" s="21" t="n"/>
      <c r="O230" s="21" t="n"/>
      <c r="P230" s="21" t="n"/>
      <c r="Q230" s="21" t="n"/>
      <c r="R230" s="21" t="n"/>
      <c r="S230" s="21" t="n"/>
      <c r="T230" s="21" t="n"/>
      <c r="U230" s="21" t="n"/>
      <c r="V230" s="21" t="n"/>
      <c r="W230" s="21" t="n"/>
      <c r="X230" s="21" t="n"/>
      <c r="Y230" s="21" t="n"/>
      <c r="Z230" s="21" t="n"/>
    </row>
    <row r="231" ht="15.75" customHeight="1" s="545">
      <c r="A231" s="21" t="n"/>
      <c r="B231" s="21" t="n"/>
      <c r="C231" s="21" t="n"/>
      <c r="D231" s="21" t="n"/>
      <c r="E231" s="21" t="n"/>
      <c r="F231" s="21" t="n"/>
      <c r="G231" s="21" t="n"/>
      <c r="H231" s="21" t="n"/>
      <c r="I231" s="21" t="n"/>
      <c r="J231" s="21" t="n"/>
      <c r="K231" s="21" t="n"/>
      <c r="L231" s="21" t="n"/>
      <c r="M231" s="21" t="n"/>
      <c r="N231" s="21" t="n"/>
      <c r="O231" s="21" t="n"/>
      <c r="P231" s="21" t="n"/>
      <c r="Q231" s="21" t="n"/>
      <c r="R231" s="21" t="n"/>
      <c r="S231" s="21" t="n"/>
      <c r="T231" s="21" t="n"/>
      <c r="U231" s="21" t="n"/>
      <c r="V231" s="21" t="n"/>
      <c r="W231" s="21" t="n"/>
      <c r="X231" s="21" t="n"/>
      <c r="Y231" s="21" t="n"/>
      <c r="Z231" s="21" t="n"/>
    </row>
    <row r="232" ht="15.75" customHeight="1" s="545">
      <c r="A232" s="21" t="n"/>
      <c r="B232" s="21" t="n"/>
      <c r="C232" s="21" t="n"/>
      <c r="D232" s="21" t="n"/>
      <c r="E232" s="21" t="n"/>
      <c r="F232" s="21" t="n"/>
      <c r="G232" s="21" t="n"/>
      <c r="H232" s="21" t="n"/>
      <c r="I232" s="21" t="n"/>
      <c r="J232" s="21" t="n"/>
      <c r="K232" s="21" t="n"/>
      <c r="L232" s="21" t="n"/>
      <c r="M232" s="21" t="n"/>
      <c r="N232" s="21" t="n"/>
      <c r="O232" s="21" t="n"/>
      <c r="P232" s="21" t="n"/>
      <c r="Q232" s="21" t="n"/>
      <c r="R232" s="21" t="n"/>
      <c r="S232" s="21" t="n"/>
      <c r="T232" s="21" t="n"/>
      <c r="U232" s="21" t="n"/>
      <c r="V232" s="21" t="n"/>
      <c r="W232" s="21" t="n"/>
      <c r="X232" s="21" t="n"/>
      <c r="Y232" s="21" t="n"/>
      <c r="Z232" s="21" t="n"/>
    </row>
    <row r="233" ht="15.75" customHeight="1" s="545">
      <c r="A233" s="21" t="n"/>
      <c r="B233" s="21" t="n"/>
      <c r="C233" s="21" t="n"/>
      <c r="D233" s="21" t="n"/>
      <c r="E233" s="21" t="n"/>
      <c r="F233" s="21" t="n"/>
      <c r="G233" s="21" t="n"/>
      <c r="H233" s="21" t="n"/>
      <c r="I233" s="21" t="n"/>
      <c r="J233" s="21" t="n"/>
      <c r="K233" s="21" t="n"/>
      <c r="L233" s="21" t="n"/>
      <c r="M233" s="21" t="n"/>
      <c r="N233" s="21" t="n"/>
      <c r="O233" s="21" t="n"/>
      <c r="P233" s="21" t="n"/>
      <c r="Q233" s="21" t="n"/>
      <c r="R233" s="21" t="n"/>
      <c r="S233" s="21" t="n"/>
      <c r="T233" s="21" t="n"/>
      <c r="U233" s="21" t="n"/>
      <c r="V233" s="21" t="n"/>
      <c r="W233" s="21" t="n"/>
      <c r="X233" s="21" t="n"/>
      <c r="Y233" s="21" t="n"/>
      <c r="Z233" s="21" t="n"/>
    </row>
    <row r="234" ht="15.75" customHeight="1" s="545">
      <c r="A234" s="21" t="n"/>
      <c r="B234" s="21" t="n"/>
      <c r="C234" s="21" t="n"/>
      <c r="D234" s="21" t="n"/>
      <c r="E234" s="21" t="n"/>
      <c r="F234" s="21" t="n"/>
      <c r="G234" s="21" t="n"/>
      <c r="H234" s="21" t="n"/>
      <c r="I234" s="21" t="n"/>
      <c r="J234" s="21" t="n"/>
      <c r="K234" s="21" t="n"/>
      <c r="L234" s="21" t="n"/>
      <c r="M234" s="21" t="n"/>
      <c r="N234" s="21" t="n"/>
      <c r="O234" s="21" t="n"/>
      <c r="P234" s="21" t="n"/>
      <c r="Q234" s="21" t="n"/>
      <c r="R234" s="21" t="n"/>
      <c r="S234" s="21" t="n"/>
      <c r="T234" s="21" t="n"/>
      <c r="U234" s="21" t="n"/>
      <c r="V234" s="21" t="n"/>
      <c r="W234" s="21" t="n"/>
      <c r="X234" s="21" t="n"/>
      <c r="Y234" s="21" t="n"/>
      <c r="Z234" s="21" t="n"/>
    </row>
    <row r="235" ht="15.75" customHeight="1" s="545">
      <c r="A235" s="21" t="n"/>
      <c r="B235" s="21" t="n"/>
      <c r="C235" s="21" t="n"/>
      <c r="D235" s="21" t="n"/>
      <c r="E235" s="21" t="n"/>
      <c r="F235" s="21" t="n"/>
      <c r="G235" s="21" t="n"/>
      <c r="H235" s="21" t="n"/>
      <c r="I235" s="21" t="n"/>
      <c r="J235" s="21" t="n"/>
      <c r="K235" s="21" t="n"/>
      <c r="L235" s="21" t="n"/>
      <c r="M235" s="21" t="n"/>
      <c r="N235" s="21" t="n"/>
      <c r="O235" s="21" t="n"/>
      <c r="P235" s="21" t="n"/>
      <c r="Q235" s="21" t="n"/>
      <c r="R235" s="21" t="n"/>
      <c r="S235" s="21" t="n"/>
      <c r="T235" s="21" t="n"/>
      <c r="U235" s="21" t="n"/>
      <c r="V235" s="21" t="n"/>
      <c r="W235" s="21" t="n"/>
      <c r="X235" s="21" t="n"/>
      <c r="Y235" s="21" t="n"/>
      <c r="Z235" s="21" t="n"/>
    </row>
    <row r="236" ht="15.75" customHeight="1" s="545">
      <c r="A236" s="21" t="n"/>
      <c r="B236" s="21" t="n"/>
      <c r="C236" s="21" t="n"/>
      <c r="D236" s="21" t="n"/>
      <c r="E236" s="21" t="n"/>
      <c r="F236" s="21" t="n"/>
      <c r="G236" s="21" t="n"/>
      <c r="H236" s="21" t="n"/>
      <c r="I236" s="21" t="n"/>
      <c r="J236" s="21" t="n"/>
      <c r="K236" s="21" t="n"/>
      <c r="L236" s="21" t="n"/>
      <c r="M236" s="21" t="n"/>
      <c r="N236" s="21" t="n"/>
      <c r="O236" s="21" t="n"/>
      <c r="P236" s="21" t="n"/>
      <c r="Q236" s="21" t="n"/>
      <c r="R236" s="21" t="n"/>
      <c r="S236" s="21" t="n"/>
      <c r="T236" s="21" t="n"/>
      <c r="U236" s="21" t="n"/>
      <c r="V236" s="21" t="n"/>
      <c r="W236" s="21" t="n"/>
      <c r="X236" s="21" t="n"/>
      <c r="Y236" s="21" t="n"/>
      <c r="Z236" s="21" t="n"/>
    </row>
    <row r="237" ht="15.75" customHeight="1" s="545">
      <c r="A237" s="21" t="n"/>
      <c r="B237" s="21" t="n"/>
      <c r="C237" s="21" t="n"/>
      <c r="D237" s="21" t="n"/>
      <c r="E237" s="21" t="n"/>
      <c r="F237" s="21" t="n"/>
      <c r="G237" s="21" t="n"/>
      <c r="H237" s="21" t="n"/>
      <c r="I237" s="21" t="n"/>
      <c r="J237" s="21" t="n"/>
      <c r="K237" s="21" t="n"/>
      <c r="L237" s="21" t="n"/>
      <c r="M237" s="21" t="n"/>
      <c r="N237" s="21" t="n"/>
      <c r="O237" s="21" t="n"/>
      <c r="P237" s="21" t="n"/>
      <c r="Q237" s="21" t="n"/>
      <c r="R237" s="21" t="n"/>
      <c r="S237" s="21" t="n"/>
      <c r="T237" s="21" t="n"/>
      <c r="U237" s="21" t="n"/>
      <c r="V237" s="21" t="n"/>
      <c r="W237" s="21" t="n"/>
      <c r="X237" s="21" t="n"/>
      <c r="Y237" s="21" t="n"/>
      <c r="Z237" s="21" t="n"/>
    </row>
    <row r="238" ht="15.75" customHeight="1" s="545">
      <c r="A238" s="21" t="n"/>
      <c r="B238" s="21" t="n"/>
      <c r="C238" s="21" t="n"/>
      <c r="D238" s="21" t="n"/>
      <c r="E238" s="21" t="n"/>
      <c r="F238" s="21" t="n"/>
      <c r="G238" s="21" t="n"/>
      <c r="H238" s="21" t="n"/>
      <c r="I238" s="21" t="n"/>
      <c r="J238" s="21" t="n"/>
      <c r="K238" s="21" t="n"/>
      <c r="L238" s="21" t="n"/>
      <c r="M238" s="21" t="n"/>
      <c r="N238" s="21" t="n"/>
      <c r="O238" s="21" t="n"/>
      <c r="P238" s="21" t="n"/>
      <c r="Q238" s="21" t="n"/>
      <c r="R238" s="21" t="n"/>
      <c r="S238" s="21" t="n"/>
      <c r="T238" s="21" t="n"/>
      <c r="U238" s="21" t="n"/>
      <c r="V238" s="21" t="n"/>
      <c r="W238" s="21" t="n"/>
      <c r="X238" s="21" t="n"/>
      <c r="Y238" s="21" t="n"/>
      <c r="Z238" s="21" t="n"/>
    </row>
    <row r="239" ht="15.75" customHeight="1" s="545">
      <c r="A239" s="21" t="n"/>
      <c r="B239" s="21" t="n"/>
      <c r="C239" s="21" t="n"/>
      <c r="D239" s="21" t="n"/>
      <c r="E239" s="21" t="n"/>
      <c r="F239" s="21" t="n"/>
      <c r="G239" s="21" t="n"/>
      <c r="H239" s="21" t="n"/>
      <c r="I239" s="21" t="n"/>
      <c r="J239" s="21" t="n"/>
      <c r="K239" s="21" t="n"/>
      <c r="L239" s="21" t="n"/>
      <c r="M239" s="21" t="n"/>
      <c r="N239" s="21" t="n"/>
      <c r="O239" s="21" t="n"/>
      <c r="P239" s="21" t="n"/>
      <c r="Q239" s="21" t="n"/>
      <c r="R239" s="21" t="n"/>
      <c r="S239" s="21" t="n"/>
      <c r="T239" s="21" t="n"/>
      <c r="U239" s="21" t="n"/>
      <c r="V239" s="21" t="n"/>
      <c r="W239" s="21" t="n"/>
      <c r="X239" s="21" t="n"/>
      <c r="Y239" s="21" t="n"/>
      <c r="Z239" s="21" t="n"/>
    </row>
    <row r="240" ht="15.75" customHeight="1" s="545">
      <c r="A240" s="21" t="n"/>
      <c r="B240" s="21" t="n"/>
      <c r="C240" s="21" t="n"/>
      <c r="D240" s="21" t="n"/>
      <c r="E240" s="21" t="n"/>
      <c r="F240" s="21" t="n"/>
      <c r="G240" s="21" t="n"/>
      <c r="H240" s="21" t="n"/>
      <c r="I240" s="21" t="n"/>
      <c r="J240" s="21" t="n"/>
      <c r="K240" s="21" t="n"/>
      <c r="L240" s="21" t="n"/>
      <c r="M240" s="21" t="n"/>
      <c r="N240" s="21" t="n"/>
      <c r="O240" s="21" t="n"/>
      <c r="P240" s="21" t="n"/>
      <c r="Q240" s="21" t="n"/>
      <c r="R240" s="21" t="n"/>
      <c r="S240" s="21" t="n"/>
      <c r="T240" s="21" t="n"/>
      <c r="U240" s="21" t="n"/>
      <c r="V240" s="21" t="n"/>
      <c r="W240" s="21" t="n"/>
      <c r="X240" s="21" t="n"/>
      <c r="Y240" s="21" t="n"/>
      <c r="Z240" s="21" t="n"/>
    </row>
    <row r="241" ht="15.75" customHeight="1" s="545">
      <c r="A241" s="21" t="n"/>
      <c r="B241" s="21" t="n"/>
      <c r="C241" s="21" t="n"/>
      <c r="D241" s="21" t="n"/>
      <c r="E241" s="21" t="n"/>
      <c r="F241" s="21" t="n"/>
      <c r="G241" s="21" t="n"/>
      <c r="H241" s="21" t="n"/>
      <c r="I241" s="21" t="n"/>
      <c r="J241" s="21" t="n"/>
      <c r="K241" s="21" t="n"/>
      <c r="L241" s="21" t="n"/>
      <c r="M241" s="21" t="n"/>
      <c r="N241" s="21" t="n"/>
      <c r="O241" s="21" t="n"/>
      <c r="P241" s="21" t="n"/>
      <c r="Q241" s="21" t="n"/>
      <c r="R241" s="21" t="n"/>
      <c r="S241" s="21" t="n"/>
      <c r="T241" s="21" t="n"/>
      <c r="U241" s="21" t="n"/>
      <c r="V241" s="21" t="n"/>
      <c r="W241" s="21" t="n"/>
      <c r="X241" s="21" t="n"/>
      <c r="Y241" s="21" t="n"/>
      <c r="Z241" s="21" t="n"/>
    </row>
    <row r="242" ht="15.75" customHeight="1" s="545">
      <c r="A242" s="19" t="n"/>
      <c r="B242" s="19" t="n"/>
      <c r="C242" s="19" t="n"/>
      <c r="D242" s="19" t="n"/>
      <c r="E242" s="19" t="n"/>
      <c r="F242" s="19" t="n"/>
      <c r="G242" s="19" t="n"/>
      <c r="H242" s="19" t="n"/>
      <c r="I242" s="19" t="n"/>
      <c r="J242" s="19" t="n"/>
      <c r="K242" s="19" t="n"/>
      <c r="L242" s="19" t="n"/>
      <c r="M242" s="19" t="n"/>
      <c r="N242" s="19" t="n"/>
      <c r="O242" s="19" t="n"/>
      <c r="P242" s="19" t="n"/>
      <c r="Q242" s="19" t="n"/>
    </row>
    <row r="243" ht="15.75" customHeight="1" s="545">
      <c r="A243" s="19" t="n"/>
      <c r="B243" s="19" t="n"/>
      <c r="C243" s="19" t="n"/>
      <c r="D243" s="19" t="n"/>
      <c r="E243" s="19" t="n"/>
      <c r="F243" s="19" t="n"/>
      <c r="G243" s="19" t="n"/>
      <c r="H243" s="19" t="n"/>
      <c r="I243" s="19" t="n"/>
      <c r="J243" s="19" t="n"/>
      <c r="K243" s="19" t="n"/>
      <c r="L243" s="19" t="n"/>
      <c r="M243" s="19" t="n"/>
      <c r="N243" s="19" t="n"/>
      <c r="O243" s="19" t="n"/>
      <c r="P243" s="19" t="n"/>
      <c r="Q243" s="19" t="n"/>
    </row>
    <row r="244" ht="15.75" customHeight="1" s="545">
      <c r="A244" s="19" t="n"/>
      <c r="B244" s="19" t="n"/>
      <c r="C244" s="19" t="n"/>
      <c r="D244" s="19" t="n"/>
      <c r="E244" s="19" t="n"/>
      <c r="F244" s="19" t="n"/>
      <c r="G244" s="19" t="n"/>
      <c r="H244" s="19" t="n"/>
      <c r="I244" s="19" t="n"/>
      <c r="J244" s="19" t="n"/>
      <c r="K244" s="19" t="n"/>
      <c r="L244" s="19" t="n"/>
      <c r="M244" s="19" t="n"/>
      <c r="N244" s="19" t="n"/>
      <c r="O244" s="19" t="n"/>
      <c r="P244" s="19" t="n"/>
      <c r="Q244" s="19" t="n"/>
    </row>
    <row r="245" ht="15.75" customHeight="1" s="545">
      <c r="A245" s="19" t="n"/>
      <c r="B245" s="19" t="n"/>
      <c r="C245" s="19" t="n"/>
      <c r="D245" s="19" t="n"/>
      <c r="E245" s="19" t="n"/>
      <c r="F245" s="19" t="n"/>
      <c r="G245" s="19" t="n"/>
      <c r="H245" s="19" t="n"/>
      <c r="I245" s="19" t="n"/>
      <c r="J245" s="19" t="n"/>
      <c r="K245" s="19" t="n"/>
      <c r="L245" s="19" t="n"/>
      <c r="M245" s="19" t="n"/>
      <c r="N245" s="19" t="n"/>
      <c r="O245" s="19" t="n"/>
      <c r="P245" s="19" t="n"/>
      <c r="Q245" s="19" t="n"/>
    </row>
    <row r="246" ht="15.75" customHeight="1" s="545">
      <c r="A246" s="19" t="n"/>
      <c r="B246" s="19" t="n"/>
      <c r="C246" s="19" t="n"/>
      <c r="D246" s="19" t="n"/>
      <c r="E246" s="19" t="n"/>
      <c r="F246" s="19" t="n"/>
      <c r="G246" s="19" t="n"/>
      <c r="H246" s="19" t="n"/>
      <c r="I246" s="19" t="n"/>
      <c r="J246" s="19" t="n"/>
      <c r="K246" s="19" t="n"/>
      <c r="L246" s="19" t="n"/>
      <c r="M246" s="19" t="n"/>
      <c r="N246" s="19" t="n"/>
      <c r="O246" s="19" t="n"/>
      <c r="P246" s="19" t="n"/>
      <c r="Q246" s="19" t="n"/>
    </row>
    <row r="247" ht="15.75" customHeight="1" s="545">
      <c r="A247" s="19" t="n"/>
      <c r="B247" s="19" t="n"/>
      <c r="C247" s="19" t="n"/>
      <c r="D247" s="19" t="n"/>
      <c r="E247" s="19" t="n"/>
      <c r="F247" s="19" t="n"/>
      <c r="G247" s="19" t="n"/>
      <c r="H247" s="19" t="n"/>
      <c r="I247" s="19" t="n"/>
      <c r="J247" s="19" t="n"/>
      <c r="K247" s="19" t="n"/>
      <c r="L247" s="19" t="n"/>
      <c r="M247" s="19" t="n"/>
      <c r="N247" s="19" t="n"/>
      <c r="O247" s="19" t="n"/>
      <c r="P247" s="19" t="n"/>
      <c r="Q247" s="19" t="n"/>
    </row>
    <row r="248" ht="15.75" customHeight="1" s="545">
      <c r="A248" s="19" t="n"/>
      <c r="B248" s="19" t="n"/>
      <c r="C248" s="19" t="n"/>
      <c r="D248" s="19" t="n"/>
      <c r="E248" s="19" t="n"/>
      <c r="F248" s="19" t="n"/>
      <c r="G248" s="19" t="n"/>
      <c r="H248" s="19" t="n"/>
      <c r="I248" s="19" t="n"/>
      <c r="J248" s="19" t="n"/>
      <c r="K248" s="19" t="n"/>
      <c r="L248" s="19" t="n"/>
      <c r="M248" s="19" t="n"/>
      <c r="N248" s="19" t="n"/>
      <c r="O248" s="19" t="n"/>
      <c r="P248" s="19" t="n"/>
      <c r="Q248" s="19" t="n"/>
    </row>
    <row r="249" ht="15.75" customHeight="1" s="545">
      <c r="A249" s="19" t="n"/>
      <c r="B249" s="19" t="n"/>
      <c r="C249" s="19" t="n"/>
      <c r="D249" s="19" t="n"/>
      <c r="E249" s="19" t="n"/>
      <c r="F249" s="19" t="n"/>
      <c r="G249" s="19" t="n"/>
      <c r="H249" s="19" t="n"/>
      <c r="I249" s="19" t="n"/>
      <c r="J249" s="19" t="n"/>
      <c r="K249" s="19" t="n"/>
      <c r="L249" s="19" t="n"/>
      <c r="M249" s="19" t="n"/>
      <c r="N249" s="19" t="n"/>
      <c r="O249" s="19" t="n"/>
      <c r="P249" s="19" t="n"/>
      <c r="Q249" s="19" t="n"/>
    </row>
    <row r="250" ht="15.75" customHeight="1" s="545">
      <c r="A250" s="19" t="n"/>
      <c r="B250" s="19" t="n"/>
      <c r="C250" s="19" t="n"/>
      <c r="D250" s="19" t="n"/>
      <c r="E250" s="19" t="n"/>
      <c r="F250" s="19" t="n"/>
      <c r="G250" s="19" t="n"/>
      <c r="H250" s="19" t="n"/>
      <c r="I250" s="19" t="n"/>
      <c r="J250" s="19" t="n"/>
      <c r="K250" s="19" t="n"/>
      <c r="L250" s="19" t="n"/>
      <c r="M250" s="19" t="n"/>
      <c r="N250" s="19" t="n"/>
      <c r="O250" s="19" t="n"/>
      <c r="P250" s="19" t="n"/>
      <c r="Q250" s="19" t="n"/>
    </row>
    <row r="251" ht="15.75" customHeight="1" s="545">
      <c r="A251" s="19" t="n"/>
      <c r="B251" s="19" t="n"/>
      <c r="C251" s="19" t="n"/>
      <c r="D251" s="19" t="n"/>
      <c r="E251" s="19" t="n"/>
      <c r="F251" s="19" t="n"/>
      <c r="G251" s="19" t="n"/>
      <c r="H251" s="19" t="n"/>
      <c r="I251" s="19" t="n"/>
      <c r="J251" s="19" t="n"/>
      <c r="K251" s="19" t="n"/>
      <c r="L251" s="19" t="n"/>
      <c r="M251" s="19" t="n"/>
      <c r="N251" s="19" t="n"/>
      <c r="O251" s="19" t="n"/>
      <c r="P251" s="19" t="n"/>
      <c r="Q251" s="19" t="n"/>
    </row>
    <row r="252" ht="15.75" customHeight="1" s="545">
      <c r="A252" s="19" t="n"/>
      <c r="B252" s="19" t="n"/>
      <c r="C252" s="19" t="n"/>
      <c r="D252" s="19" t="n"/>
      <c r="E252" s="19" t="n"/>
      <c r="F252" s="19" t="n"/>
      <c r="G252" s="19" t="n"/>
      <c r="H252" s="19" t="n"/>
      <c r="I252" s="19" t="n"/>
      <c r="J252" s="19" t="n"/>
      <c r="K252" s="19" t="n"/>
      <c r="L252" s="19" t="n"/>
      <c r="M252" s="19" t="n"/>
      <c r="N252" s="19" t="n"/>
      <c r="O252" s="19" t="n"/>
      <c r="P252" s="19" t="n"/>
      <c r="Q252" s="19" t="n"/>
    </row>
    <row r="253" ht="15.75" customHeight="1" s="545">
      <c r="A253" s="19" t="n"/>
      <c r="B253" s="19" t="n"/>
      <c r="C253" s="19" t="n"/>
      <c r="D253" s="19" t="n"/>
      <c r="E253" s="19" t="n"/>
      <c r="F253" s="19" t="n"/>
      <c r="G253" s="19" t="n"/>
      <c r="H253" s="19" t="n"/>
      <c r="I253" s="19" t="n"/>
      <c r="J253" s="19" t="n"/>
      <c r="K253" s="19" t="n"/>
      <c r="L253" s="19" t="n"/>
      <c r="M253" s="19" t="n"/>
      <c r="N253" s="19" t="n"/>
      <c r="O253" s="19" t="n"/>
      <c r="P253" s="19" t="n"/>
      <c r="Q253" s="19" t="n"/>
    </row>
    <row r="254" ht="15.75" customHeight="1" s="545">
      <c r="A254" s="19" t="n"/>
      <c r="B254" s="19" t="n"/>
      <c r="C254" s="19" t="n"/>
      <c r="D254" s="19" t="n"/>
      <c r="E254" s="19" t="n"/>
      <c r="F254" s="19" t="n"/>
      <c r="G254" s="19" t="n"/>
      <c r="H254" s="19" t="n"/>
      <c r="I254" s="19" t="n"/>
      <c r="J254" s="19" t="n"/>
      <c r="K254" s="19" t="n"/>
      <c r="L254" s="19" t="n"/>
      <c r="M254" s="19" t="n"/>
      <c r="N254" s="19" t="n"/>
      <c r="O254" s="19" t="n"/>
      <c r="P254" s="19" t="n"/>
      <c r="Q254" s="19" t="n"/>
    </row>
    <row r="255" ht="15.75" customHeight="1" s="545">
      <c r="A255" s="19" t="n"/>
      <c r="B255" s="19" t="n"/>
      <c r="C255" s="19" t="n"/>
      <c r="D255" s="19" t="n"/>
      <c r="E255" s="19" t="n"/>
      <c r="F255" s="19" t="n"/>
      <c r="G255" s="19" t="n"/>
      <c r="H255" s="19" t="n"/>
      <c r="I255" s="19" t="n"/>
      <c r="J255" s="19" t="n"/>
      <c r="K255" s="19" t="n"/>
      <c r="L255" s="19" t="n"/>
      <c r="M255" s="19" t="n"/>
      <c r="N255" s="19" t="n"/>
      <c r="O255" s="19" t="n"/>
      <c r="P255" s="19" t="n"/>
      <c r="Q255" s="19" t="n"/>
    </row>
    <row r="256" ht="15.75" customHeight="1" s="545">
      <c r="A256" s="19" t="n"/>
      <c r="B256" s="19" t="n"/>
      <c r="C256" s="19" t="n"/>
      <c r="D256" s="19" t="n"/>
      <c r="E256" s="19" t="n"/>
      <c r="F256" s="19" t="n"/>
      <c r="G256" s="19" t="n"/>
      <c r="H256" s="19" t="n"/>
      <c r="I256" s="19" t="n"/>
      <c r="J256" s="19" t="n"/>
      <c r="K256" s="19" t="n"/>
      <c r="L256" s="19" t="n"/>
      <c r="M256" s="19" t="n"/>
      <c r="N256" s="19" t="n"/>
      <c r="O256" s="19" t="n"/>
      <c r="P256" s="19" t="n"/>
      <c r="Q256" s="19" t="n"/>
    </row>
    <row r="257" ht="15.75" customHeight="1" s="545">
      <c r="A257" s="19" t="n"/>
      <c r="B257" s="19" t="n"/>
      <c r="C257" s="19" t="n"/>
      <c r="D257" s="19" t="n"/>
      <c r="E257" s="19" t="n"/>
      <c r="F257" s="19" t="n"/>
      <c r="G257" s="19" t="n"/>
      <c r="H257" s="19" t="n"/>
      <c r="I257" s="19" t="n"/>
      <c r="J257" s="19" t="n"/>
      <c r="K257" s="19" t="n"/>
      <c r="L257" s="19" t="n"/>
      <c r="M257" s="19" t="n"/>
      <c r="N257" s="19" t="n"/>
      <c r="O257" s="19" t="n"/>
      <c r="P257" s="19" t="n"/>
      <c r="Q257" s="19" t="n"/>
    </row>
    <row r="258" ht="15.75" customHeight="1" s="545">
      <c r="A258" s="19" t="n"/>
      <c r="B258" s="19" t="n"/>
      <c r="C258" s="19" t="n"/>
      <c r="D258" s="19" t="n"/>
      <c r="E258" s="19" t="n"/>
      <c r="F258" s="19" t="n"/>
      <c r="G258" s="19" t="n"/>
      <c r="H258" s="19" t="n"/>
      <c r="I258" s="19" t="n"/>
      <c r="J258" s="19" t="n"/>
      <c r="K258" s="19" t="n"/>
      <c r="L258" s="19" t="n"/>
      <c r="M258" s="19" t="n"/>
      <c r="N258" s="19" t="n"/>
      <c r="O258" s="19" t="n"/>
      <c r="P258" s="19" t="n"/>
      <c r="Q258" s="19" t="n"/>
    </row>
    <row r="259" ht="15.75" customHeight="1" s="545">
      <c r="A259" s="19" t="n"/>
      <c r="B259" s="19" t="n"/>
      <c r="C259" s="19" t="n"/>
      <c r="D259" s="19" t="n"/>
      <c r="E259" s="19" t="n"/>
      <c r="F259" s="19" t="n"/>
      <c r="G259" s="19" t="n"/>
      <c r="H259" s="19" t="n"/>
      <c r="I259" s="19" t="n"/>
      <c r="J259" s="19" t="n"/>
      <c r="K259" s="19" t="n"/>
      <c r="L259" s="19" t="n"/>
      <c r="M259" s="19" t="n"/>
      <c r="N259" s="19" t="n"/>
      <c r="O259" s="19" t="n"/>
      <c r="P259" s="19" t="n"/>
      <c r="Q259" s="19" t="n"/>
    </row>
    <row r="260" ht="15.75" customHeight="1" s="545">
      <c r="A260" s="19" t="n"/>
      <c r="B260" s="19" t="n"/>
      <c r="C260" s="19" t="n"/>
      <c r="D260" s="19" t="n"/>
      <c r="E260" s="19" t="n"/>
      <c r="F260" s="19" t="n"/>
      <c r="G260" s="19" t="n"/>
      <c r="H260" s="19" t="n"/>
      <c r="I260" s="19" t="n"/>
      <c r="J260" s="19" t="n"/>
      <c r="K260" s="19" t="n"/>
      <c r="L260" s="19" t="n"/>
      <c r="M260" s="19" t="n"/>
      <c r="N260" s="19" t="n"/>
      <c r="O260" s="19" t="n"/>
      <c r="P260" s="19" t="n"/>
      <c r="Q260" s="19" t="n"/>
    </row>
    <row r="261" ht="15.75" customHeight="1" s="545">
      <c r="A261" s="19" t="n"/>
      <c r="B261" s="19" t="n"/>
      <c r="C261" s="19" t="n"/>
      <c r="D261" s="19" t="n"/>
      <c r="E261" s="19" t="n"/>
      <c r="F261" s="19" t="n"/>
      <c r="G261" s="19" t="n"/>
      <c r="H261" s="19" t="n"/>
      <c r="I261" s="19" t="n"/>
      <c r="J261" s="19" t="n"/>
      <c r="K261" s="19" t="n"/>
      <c r="L261" s="19" t="n"/>
      <c r="M261" s="19" t="n"/>
      <c r="N261" s="19" t="n"/>
      <c r="O261" s="19" t="n"/>
      <c r="P261" s="19" t="n"/>
      <c r="Q261" s="19" t="n"/>
    </row>
    <row r="262" ht="15.75" customHeight="1" s="545">
      <c r="A262" s="19" t="n"/>
      <c r="B262" s="19" t="n"/>
      <c r="C262" s="19" t="n"/>
      <c r="D262" s="19" t="n"/>
      <c r="E262" s="19" t="n"/>
      <c r="F262" s="19" t="n"/>
      <c r="G262" s="19" t="n"/>
      <c r="H262" s="19" t="n"/>
      <c r="I262" s="19" t="n"/>
      <c r="J262" s="19" t="n"/>
      <c r="K262" s="19" t="n"/>
      <c r="L262" s="19" t="n"/>
      <c r="M262" s="19" t="n"/>
      <c r="N262" s="19" t="n"/>
      <c r="O262" s="19" t="n"/>
      <c r="P262" s="19" t="n"/>
      <c r="Q262" s="19" t="n"/>
    </row>
    <row r="263" ht="15.75" customHeight="1" s="545">
      <c r="A263" s="19" t="n"/>
      <c r="B263" s="19" t="n"/>
      <c r="C263" s="19" t="n"/>
      <c r="D263" s="19" t="n"/>
      <c r="E263" s="19" t="n"/>
      <c r="F263" s="19" t="n"/>
      <c r="G263" s="19" t="n"/>
      <c r="H263" s="19" t="n"/>
      <c r="I263" s="19" t="n"/>
      <c r="J263" s="19" t="n"/>
      <c r="K263" s="19" t="n"/>
      <c r="L263" s="19" t="n"/>
      <c r="M263" s="19" t="n"/>
      <c r="N263" s="19" t="n"/>
      <c r="O263" s="19" t="n"/>
      <c r="P263" s="19" t="n"/>
      <c r="Q263" s="19" t="n"/>
    </row>
    <row r="264" ht="15.75" customHeight="1" s="545">
      <c r="A264" s="19" t="n"/>
      <c r="B264" s="19" t="n"/>
      <c r="C264" s="19" t="n"/>
      <c r="D264" s="19" t="n"/>
      <c r="E264" s="19" t="n"/>
      <c r="F264" s="19" t="n"/>
      <c r="G264" s="19" t="n"/>
      <c r="H264" s="19" t="n"/>
      <c r="I264" s="19" t="n"/>
      <c r="J264" s="19" t="n"/>
      <c r="K264" s="19" t="n"/>
      <c r="L264" s="19" t="n"/>
      <c r="M264" s="19" t="n"/>
      <c r="N264" s="19" t="n"/>
      <c r="O264" s="19" t="n"/>
      <c r="P264" s="19" t="n"/>
      <c r="Q264" s="19" t="n"/>
    </row>
    <row r="265" ht="15.75" customHeight="1" s="545">
      <c r="A265" s="19" t="n"/>
      <c r="B265" s="19" t="n"/>
      <c r="C265" s="19" t="n"/>
      <c r="D265" s="19" t="n"/>
      <c r="E265" s="19" t="n"/>
      <c r="F265" s="19" t="n"/>
      <c r="G265" s="19" t="n"/>
      <c r="H265" s="19" t="n"/>
      <c r="I265" s="19" t="n"/>
      <c r="J265" s="19" t="n"/>
      <c r="K265" s="19" t="n"/>
      <c r="L265" s="19" t="n"/>
      <c r="M265" s="19" t="n"/>
      <c r="N265" s="19" t="n"/>
      <c r="O265" s="19" t="n"/>
      <c r="P265" s="19" t="n"/>
      <c r="Q265" s="19" t="n"/>
    </row>
    <row r="266" ht="15.75" customHeight="1" s="545">
      <c r="A266" s="19" t="n"/>
      <c r="B266" s="19" t="n"/>
      <c r="C266" s="19" t="n"/>
      <c r="D266" s="19" t="n"/>
      <c r="E266" s="19" t="n"/>
      <c r="F266" s="19" t="n"/>
      <c r="G266" s="19" t="n"/>
      <c r="H266" s="19" t="n"/>
      <c r="I266" s="19" t="n"/>
      <c r="J266" s="19" t="n"/>
      <c r="K266" s="19" t="n"/>
      <c r="L266" s="19" t="n"/>
      <c r="M266" s="19" t="n"/>
      <c r="N266" s="19" t="n"/>
      <c r="O266" s="19" t="n"/>
      <c r="P266" s="19" t="n"/>
      <c r="Q266" s="19" t="n"/>
    </row>
    <row r="267" ht="15.75" customHeight="1" s="545">
      <c r="A267" s="19" t="n"/>
      <c r="B267" s="19" t="n"/>
      <c r="C267" s="19" t="n"/>
      <c r="D267" s="19" t="n"/>
      <c r="E267" s="19" t="n"/>
      <c r="F267" s="19" t="n"/>
      <c r="G267" s="19" t="n"/>
      <c r="H267" s="19" t="n"/>
      <c r="I267" s="19" t="n"/>
      <c r="J267" s="19" t="n"/>
      <c r="K267" s="19" t="n"/>
      <c r="L267" s="19" t="n"/>
      <c r="M267" s="19" t="n"/>
      <c r="N267" s="19" t="n"/>
      <c r="O267" s="19" t="n"/>
      <c r="P267" s="19" t="n"/>
      <c r="Q267" s="19" t="n"/>
    </row>
    <row r="268" ht="15.75" customHeight="1" s="545">
      <c r="A268" s="19" t="n"/>
      <c r="B268" s="19" t="n"/>
      <c r="C268" s="19" t="n"/>
      <c r="D268" s="19" t="n"/>
      <c r="E268" s="19" t="n"/>
      <c r="F268" s="19" t="n"/>
      <c r="G268" s="19" t="n"/>
      <c r="H268" s="19" t="n"/>
      <c r="I268" s="19" t="n"/>
      <c r="J268" s="19" t="n"/>
      <c r="K268" s="19" t="n"/>
      <c r="L268" s="19" t="n"/>
      <c r="M268" s="19" t="n"/>
      <c r="N268" s="19" t="n"/>
      <c r="O268" s="19" t="n"/>
      <c r="P268" s="19" t="n"/>
      <c r="Q268" s="19" t="n"/>
    </row>
    <row r="269" ht="15.75" customHeight="1" s="545">
      <c r="A269" s="19" t="n"/>
      <c r="B269" s="19" t="n"/>
      <c r="C269" s="19" t="n"/>
      <c r="D269" s="19" t="n"/>
      <c r="E269" s="19" t="n"/>
      <c r="F269" s="19" t="n"/>
      <c r="G269" s="19" t="n"/>
      <c r="H269" s="19" t="n"/>
      <c r="I269" s="19" t="n"/>
      <c r="J269" s="19" t="n"/>
      <c r="K269" s="19" t="n"/>
      <c r="L269" s="19" t="n"/>
      <c r="M269" s="19" t="n"/>
      <c r="N269" s="19" t="n"/>
      <c r="O269" s="19" t="n"/>
      <c r="P269" s="19" t="n"/>
      <c r="Q269" s="19" t="n"/>
    </row>
    <row r="270" ht="15.75" customHeight="1" s="545">
      <c r="A270" s="19" t="n"/>
      <c r="B270" s="19" t="n"/>
      <c r="C270" s="19" t="n"/>
      <c r="D270" s="19" t="n"/>
      <c r="E270" s="19" t="n"/>
      <c r="F270" s="19" t="n"/>
      <c r="G270" s="19" t="n"/>
      <c r="H270" s="19" t="n"/>
      <c r="I270" s="19" t="n"/>
      <c r="J270" s="19" t="n"/>
      <c r="K270" s="19" t="n"/>
      <c r="L270" s="19" t="n"/>
      <c r="M270" s="19" t="n"/>
      <c r="N270" s="19" t="n"/>
      <c r="O270" s="19" t="n"/>
      <c r="P270" s="19" t="n"/>
      <c r="Q270" s="19" t="n"/>
    </row>
    <row r="271" ht="15.75" customHeight="1" s="545">
      <c r="A271" s="19" t="n"/>
      <c r="B271" s="19" t="n"/>
      <c r="C271" s="19" t="n"/>
      <c r="D271" s="19" t="n"/>
      <c r="E271" s="19" t="n"/>
      <c r="F271" s="19" t="n"/>
      <c r="G271" s="19" t="n"/>
      <c r="H271" s="19" t="n"/>
      <c r="I271" s="19" t="n"/>
      <c r="J271" s="19" t="n"/>
      <c r="K271" s="19" t="n"/>
      <c r="L271" s="19" t="n"/>
      <c r="M271" s="19" t="n"/>
      <c r="N271" s="19" t="n"/>
      <c r="O271" s="19" t="n"/>
      <c r="P271" s="19" t="n"/>
      <c r="Q271" s="19" t="n"/>
    </row>
    <row r="272" ht="15.75" customHeight="1" s="545">
      <c r="A272" s="19" t="n"/>
      <c r="B272" s="19" t="n"/>
      <c r="C272" s="19" t="n"/>
      <c r="D272" s="19" t="n"/>
      <c r="E272" s="19" t="n"/>
      <c r="F272" s="19" t="n"/>
      <c r="G272" s="19" t="n"/>
      <c r="H272" s="19" t="n"/>
      <c r="I272" s="19" t="n"/>
      <c r="J272" s="19" t="n"/>
      <c r="K272" s="19" t="n"/>
      <c r="L272" s="19" t="n"/>
      <c r="M272" s="19" t="n"/>
      <c r="N272" s="19" t="n"/>
      <c r="O272" s="19" t="n"/>
      <c r="P272" s="19" t="n"/>
      <c r="Q272" s="19" t="n"/>
    </row>
    <row r="273" ht="15.75" customHeight="1" s="545">
      <c r="A273" s="19" t="n"/>
      <c r="B273" s="19" t="n"/>
      <c r="C273" s="19" t="n"/>
      <c r="D273" s="19" t="n"/>
      <c r="E273" s="19" t="n"/>
      <c r="F273" s="19" t="n"/>
      <c r="G273" s="19" t="n"/>
      <c r="H273" s="19" t="n"/>
      <c r="I273" s="19" t="n"/>
      <c r="J273" s="19" t="n"/>
      <c r="K273" s="19" t="n"/>
      <c r="L273" s="19" t="n"/>
      <c r="M273" s="19" t="n"/>
      <c r="N273" s="19" t="n"/>
      <c r="O273" s="19" t="n"/>
      <c r="P273" s="19" t="n"/>
      <c r="Q273" s="19" t="n"/>
    </row>
    <row r="274" ht="15.75" customHeight="1" s="545">
      <c r="A274" s="19" t="n"/>
      <c r="B274" s="19" t="n"/>
      <c r="C274" s="19" t="n"/>
      <c r="D274" s="19" t="n"/>
      <c r="E274" s="19" t="n"/>
      <c r="F274" s="19" t="n"/>
      <c r="G274" s="19" t="n"/>
      <c r="H274" s="19" t="n"/>
      <c r="I274" s="19" t="n"/>
      <c r="J274" s="19" t="n"/>
      <c r="K274" s="19" t="n"/>
      <c r="L274" s="19" t="n"/>
      <c r="M274" s="19" t="n"/>
      <c r="N274" s="19" t="n"/>
      <c r="O274" s="19" t="n"/>
      <c r="P274" s="19" t="n"/>
      <c r="Q274" s="19" t="n"/>
    </row>
    <row r="275" ht="15.75" customHeight="1" s="545">
      <c r="A275" s="19" t="n"/>
      <c r="B275" s="19" t="n"/>
      <c r="C275" s="19" t="n"/>
      <c r="D275" s="19" t="n"/>
      <c r="E275" s="19" t="n"/>
      <c r="F275" s="19" t="n"/>
      <c r="G275" s="19" t="n"/>
      <c r="H275" s="19" t="n"/>
      <c r="I275" s="19" t="n"/>
      <c r="J275" s="19" t="n"/>
      <c r="K275" s="19" t="n"/>
      <c r="L275" s="19" t="n"/>
      <c r="M275" s="19" t="n"/>
      <c r="N275" s="19" t="n"/>
      <c r="O275" s="19" t="n"/>
      <c r="P275" s="19" t="n"/>
      <c r="Q275" s="19" t="n"/>
    </row>
    <row r="276" ht="15.75" customHeight="1" s="545">
      <c r="A276" s="19" t="n"/>
      <c r="B276" s="19" t="n"/>
      <c r="C276" s="19" t="n"/>
      <c r="D276" s="19" t="n"/>
      <c r="E276" s="19" t="n"/>
      <c r="F276" s="19" t="n"/>
      <c r="G276" s="19" t="n"/>
      <c r="H276" s="19" t="n"/>
      <c r="I276" s="19" t="n"/>
      <c r="J276" s="19" t="n"/>
      <c r="K276" s="19" t="n"/>
      <c r="L276" s="19" t="n"/>
      <c r="M276" s="19" t="n"/>
      <c r="N276" s="19" t="n"/>
      <c r="O276" s="19" t="n"/>
      <c r="P276" s="19" t="n"/>
      <c r="Q276" s="19" t="n"/>
    </row>
    <row r="277" ht="15.75" customHeight="1" s="545">
      <c r="A277" s="19" t="n"/>
      <c r="B277" s="19" t="n"/>
      <c r="C277" s="19" t="n"/>
      <c r="D277" s="19" t="n"/>
      <c r="E277" s="19" t="n"/>
      <c r="F277" s="19" t="n"/>
      <c r="G277" s="19" t="n"/>
      <c r="H277" s="19" t="n"/>
      <c r="I277" s="19" t="n"/>
      <c r="J277" s="19" t="n"/>
      <c r="K277" s="19" t="n"/>
      <c r="L277" s="19" t="n"/>
      <c r="M277" s="19" t="n"/>
      <c r="N277" s="19" t="n"/>
      <c r="O277" s="19" t="n"/>
      <c r="P277" s="19" t="n"/>
      <c r="Q277" s="19" t="n"/>
    </row>
    <row r="278" ht="15.75" customHeight="1" s="545">
      <c r="A278" s="19" t="n"/>
      <c r="B278" s="19" t="n"/>
      <c r="C278" s="19" t="n"/>
      <c r="D278" s="19" t="n"/>
      <c r="E278" s="19" t="n"/>
      <c r="F278" s="19" t="n"/>
      <c r="G278" s="19" t="n"/>
      <c r="H278" s="19" t="n"/>
      <c r="I278" s="19" t="n"/>
      <c r="J278" s="19" t="n"/>
      <c r="K278" s="19" t="n"/>
      <c r="L278" s="19" t="n"/>
      <c r="M278" s="19" t="n"/>
      <c r="N278" s="19" t="n"/>
      <c r="O278" s="19" t="n"/>
      <c r="P278" s="19" t="n"/>
      <c r="Q278" s="19" t="n"/>
    </row>
    <row r="279" ht="15.75" customHeight="1" s="545">
      <c r="A279" s="19" t="n"/>
      <c r="B279" s="19" t="n"/>
      <c r="C279" s="19" t="n"/>
      <c r="D279" s="19" t="n"/>
      <c r="E279" s="19" t="n"/>
      <c r="F279" s="19" t="n"/>
      <c r="G279" s="19" t="n"/>
      <c r="H279" s="19" t="n"/>
      <c r="I279" s="19" t="n"/>
      <c r="J279" s="19" t="n"/>
      <c r="K279" s="19" t="n"/>
      <c r="L279" s="19" t="n"/>
      <c r="M279" s="19" t="n"/>
      <c r="N279" s="19" t="n"/>
      <c r="O279" s="19" t="n"/>
      <c r="P279" s="19" t="n"/>
      <c r="Q279" s="19" t="n"/>
    </row>
    <row r="280" ht="15.75" customHeight="1" s="545">
      <c r="A280" s="19" t="n"/>
      <c r="B280" s="19" t="n"/>
      <c r="C280" s="19" t="n"/>
      <c r="D280" s="19" t="n"/>
      <c r="E280" s="19" t="n"/>
      <c r="F280" s="19" t="n"/>
      <c r="G280" s="19" t="n"/>
      <c r="H280" s="19" t="n"/>
      <c r="I280" s="19" t="n"/>
      <c r="J280" s="19" t="n"/>
      <c r="K280" s="19" t="n"/>
      <c r="L280" s="19" t="n"/>
      <c r="M280" s="19" t="n"/>
      <c r="N280" s="19" t="n"/>
      <c r="O280" s="19" t="n"/>
      <c r="P280" s="19" t="n"/>
      <c r="Q280" s="19" t="n"/>
    </row>
    <row r="281" ht="15.75" customHeight="1" s="545">
      <c r="A281" s="19" t="n"/>
      <c r="B281" s="19" t="n"/>
      <c r="C281" s="19" t="n"/>
      <c r="D281" s="19" t="n"/>
      <c r="E281" s="19" t="n"/>
      <c r="F281" s="19" t="n"/>
      <c r="G281" s="19" t="n"/>
      <c r="H281" s="19" t="n"/>
      <c r="I281" s="19" t="n"/>
      <c r="J281" s="19" t="n"/>
      <c r="K281" s="19" t="n"/>
      <c r="L281" s="19" t="n"/>
      <c r="M281" s="19" t="n"/>
      <c r="N281" s="19" t="n"/>
      <c r="O281" s="19" t="n"/>
      <c r="P281" s="19" t="n"/>
      <c r="Q281" s="19" t="n"/>
    </row>
    <row r="282" ht="15.75" customHeight="1" s="545">
      <c r="A282" s="19" t="n"/>
      <c r="B282" s="19" t="n"/>
      <c r="C282" s="19" t="n"/>
      <c r="D282" s="19" t="n"/>
      <c r="E282" s="19" t="n"/>
      <c r="F282" s="19" t="n"/>
      <c r="G282" s="19" t="n"/>
      <c r="H282" s="19" t="n"/>
      <c r="I282" s="19" t="n"/>
      <c r="J282" s="19" t="n"/>
      <c r="K282" s="19" t="n"/>
      <c r="L282" s="19" t="n"/>
      <c r="M282" s="19" t="n"/>
      <c r="N282" s="19" t="n"/>
      <c r="O282" s="19" t="n"/>
      <c r="P282" s="19" t="n"/>
      <c r="Q282" s="19" t="n"/>
    </row>
    <row r="283" ht="15.75" customHeight="1" s="545">
      <c r="A283" s="19" t="n"/>
      <c r="B283" s="19" t="n"/>
      <c r="C283" s="19" t="n"/>
      <c r="D283" s="19" t="n"/>
      <c r="E283" s="19" t="n"/>
      <c r="F283" s="19" t="n"/>
      <c r="G283" s="19" t="n"/>
      <c r="H283" s="19" t="n"/>
      <c r="I283" s="19" t="n"/>
      <c r="J283" s="19" t="n"/>
      <c r="K283" s="19" t="n"/>
      <c r="L283" s="19" t="n"/>
      <c r="M283" s="19" t="n"/>
      <c r="N283" s="19" t="n"/>
      <c r="O283" s="19" t="n"/>
      <c r="P283" s="19" t="n"/>
      <c r="Q283" s="19" t="n"/>
    </row>
    <row r="284" ht="15.75" customHeight="1" s="545">
      <c r="A284" s="19" t="n"/>
      <c r="B284" s="19" t="n"/>
      <c r="C284" s="19" t="n"/>
      <c r="D284" s="19" t="n"/>
      <c r="E284" s="19" t="n"/>
      <c r="F284" s="19" t="n"/>
      <c r="G284" s="19" t="n"/>
      <c r="H284" s="19" t="n"/>
      <c r="I284" s="19" t="n"/>
      <c r="J284" s="19" t="n"/>
      <c r="K284" s="19" t="n"/>
      <c r="L284" s="19" t="n"/>
      <c r="M284" s="19" t="n"/>
      <c r="N284" s="19" t="n"/>
      <c r="O284" s="19" t="n"/>
      <c r="P284" s="19" t="n"/>
      <c r="Q284" s="19" t="n"/>
    </row>
    <row r="285" ht="15.75" customHeight="1" s="545">
      <c r="A285" s="19" t="n"/>
      <c r="B285" s="19" t="n"/>
      <c r="C285" s="19" t="n"/>
      <c r="D285" s="19" t="n"/>
      <c r="E285" s="19" t="n"/>
      <c r="F285" s="19" t="n"/>
      <c r="G285" s="19" t="n"/>
      <c r="H285" s="19" t="n"/>
      <c r="I285" s="19" t="n"/>
      <c r="J285" s="19" t="n"/>
      <c r="K285" s="19" t="n"/>
      <c r="L285" s="19" t="n"/>
      <c r="M285" s="19" t="n"/>
      <c r="N285" s="19" t="n"/>
      <c r="O285" s="19" t="n"/>
      <c r="P285" s="19" t="n"/>
      <c r="Q285" s="19" t="n"/>
    </row>
    <row r="286" ht="15.75" customHeight="1" s="545">
      <c r="A286" s="19" t="n"/>
      <c r="B286" s="19" t="n"/>
      <c r="C286" s="19" t="n"/>
      <c r="D286" s="19" t="n"/>
      <c r="E286" s="19" t="n"/>
      <c r="F286" s="19" t="n"/>
      <c r="G286" s="19" t="n"/>
      <c r="H286" s="19" t="n"/>
      <c r="I286" s="19" t="n"/>
      <c r="J286" s="19" t="n"/>
      <c r="K286" s="19" t="n"/>
      <c r="L286" s="19" t="n"/>
      <c r="M286" s="19" t="n"/>
      <c r="N286" s="19" t="n"/>
      <c r="O286" s="19" t="n"/>
      <c r="P286" s="19" t="n"/>
      <c r="Q286" s="19" t="n"/>
    </row>
    <row r="287" ht="15.75" customHeight="1" s="545">
      <c r="A287" s="19" t="n"/>
      <c r="B287" s="19" t="n"/>
      <c r="C287" s="19" t="n"/>
      <c r="D287" s="19" t="n"/>
      <c r="E287" s="19" t="n"/>
      <c r="F287" s="19" t="n"/>
      <c r="G287" s="19" t="n"/>
      <c r="H287" s="19" t="n"/>
      <c r="I287" s="19" t="n"/>
      <c r="J287" s="19" t="n"/>
      <c r="K287" s="19" t="n"/>
      <c r="L287" s="19" t="n"/>
      <c r="M287" s="19" t="n"/>
      <c r="N287" s="19" t="n"/>
      <c r="O287" s="19" t="n"/>
      <c r="P287" s="19" t="n"/>
      <c r="Q287" s="19" t="n"/>
    </row>
    <row r="288" ht="15.75" customHeight="1" s="545">
      <c r="A288" s="19" t="n"/>
      <c r="B288" s="19" t="n"/>
      <c r="C288" s="19" t="n"/>
      <c r="D288" s="19" t="n"/>
      <c r="E288" s="19" t="n"/>
      <c r="F288" s="19" t="n"/>
      <c r="G288" s="19" t="n"/>
      <c r="H288" s="19" t="n"/>
      <c r="I288" s="19" t="n"/>
      <c r="J288" s="19" t="n"/>
      <c r="K288" s="19" t="n"/>
      <c r="L288" s="19" t="n"/>
      <c r="M288" s="19" t="n"/>
      <c r="N288" s="19" t="n"/>
      <c r="O288" s="19" t="n"/>
      <c r="P288" s="19" t="n"/>
      <c r="Q288" s="19" t="n"/>
    </row>
    <row r="289" ht="15.75" customHeight="1" s="545">
      <c r="A289" s="19" t="n"/>
      <c r="B289" s="19" t="n"/>
      <c r="C289" s="19" t="n"/>
      <c r="D289" s="19" t="n"/>
      <c r="E289" s="19" t="n"/>
      <c r="F289" s="19" t="n"/>
      <c r="G289" s="19" t="n"/>
      <c r="H289" s="19" t="n"/>
      <c r="I289" s="19" t="n"/>
      <c r="J289" s="19" t="n"/>
      <c r="K289" s="19" t="n"/>
      <c r="L289" s="19" t="n"/>
      <c r="M289" s="19" t="n"/>
      <c r="N289" s="19" t="n"/>
      <c r="O289" s="19" t="n"/>
      <c r="P289" s="19" t="n"/>
      <c r="Q289" s="19" t="n"/>
    </row>
    <row r="290" ht="15.75" customHeight="1" s="545">
      <c r="A290" s="19" t="n"/>
      <c r="B290" s="19" t="n"/>
      <c r="C290" s="19" t="n"/>
      <c r="D290" s="19" t="n"/>
      <c r="E290" s="19" t="n"/>
      <c r="F290" s="19" t="n"/>
      <c r="G290" s="19" t="n"/>
      <c r="H290" s="19" t="n"/>
      <c r="I290" s="19" t="n"/>
      <c r="J290" s="19" t="n"/>
      <c r="K290" s="19" t="n"/>
      <c r="L290" s="19" t="n"/>
      <c r="M290" s="19" t="n"/>
      <c r="N290" s="19" t="n"/>
      <c r="O290" s="19" t="n"/>
      <c r="P290" s="19" t="n"/>
      <c r="Q290" s="19" t="n"/>
    </row>
    <row r="291" ht="15.75" customHeight="1" s="545">
      <c r="A291" s="19" t="n"/>
      <c r="B291" s="19" t="n"/>
      <c r="C291" s="19" t="n"/>
      <c r="D291" s="19" t="n"/>
      <c r="E291" s="19" t="n"/>
      <c r="F291" s="19" t="n"/>
      <c r="G291" s="19" t="n"/>
      <c r="H291" s="19" t="n"/>
      <c r="I291" s="19" t="n"/>
      <c r="J291" s="19" t="n"/>
      <c r="K291" s="19" t="n"/>
      <c r="L291" s="19" t="n"/>
      <c r="M291" s="19" t="n"/>
      <c r="N291" s="19" t="n"/>
      <c r="O291" s="19" t="n"/>
      <c r="P291" s="19" t="n"/>
      <c r="Q291" s="19" t="n"/>
    </row>
    <row r="292" ht="15.75" customHeight="1" s="545">
      <c r="A292" s="19" t="n"/>
      <c r="B292" s="19" t="n"/>
      <c r="C292" s="19" t="n"/>
      <c r="D292" s="19" t="n"/>
      <c r="E292" s="19" t="n"/>
      <c r="F292" s="19" t="n"/>
      <c r="G292" s="19" t="n"/>
      <c r="H292" s="19" t="n"/>
      <c r="I292" s="19" t="n"/>
      <c r="J292" s="19" t="n"/>
      <c r="K292" s="19" t="n"/>
      <c r="L292" s="19" t="n"/>
      <c r="M292" s="19" t="n"/>
      <c r="N292" s="19" t="n"/>
      <c r="O292" s="19" t="n"/>
      <c r="P292" s="19" t="n"/>
      <c r="Q292" s="19" t="n"/>
    </row>
    <row r="293" ht="15.75" customHeight="1" s="545">
      <c r="A293" s="19" t="n"/>
      <c r="B293" s="19" t="n"/>
      <c r="C293" s="19" t="n"/>
      <c r="D293" s="19" t="n"/>
      <c r="E293" s="19" t="n"/>
      <c r="F293" s="19" t="n"/>
      <c r="G293" s="19" t="n"/>
      <c r="H293" s="19" t="n"/>
      <c r="I293" s="19" t="n"/>
      <c r="J293" s="19" t="n"/>
      <c r="K293" s="19" t="n"/>
      <c r="L293" s="19" t="n"/>
      <c r="M293" s="19" t="n"/>
      <c r="N293" s="19" t="n"/>
      <c r="O293" s="19" t="n"/>
      <c r="P293" s="19" t="n"/>
      <c r="Q293" s="19" t="n"/>
    </row>
    <row r="294" ht="15.75" customHeight="1" s="545">
      <c r="A294" s="19" t="n"/>
      <c r="B294" s="19" t="n"/>
      <c r="C294" s="19" t="n"/>
      <c r="D294" s="19" t="n"/>
      <c r="E294" s="19" t="n"/>
      <c r="F294" s="19" t="n"/>
      <c r="G294" s="19" t="n"/>
      <c r="H294" s="19" t="n"/>
      <c r="I294" s="19" t="n"/>
      <c r="J294" s="19" t="n"/>
      <c r="K294" s="19" t="n"/>
      <c r="L294" s="19" t="n"/>
      <c r="M294" s="19" t="n"/>
      <c r="N294" s="19" t="n"/>
      <c r="O294" s="19" t="n"/>
      <c r="P294" s="19" t="n"/>
      <c r="Q294" s="19" t="n"/>
    </row>
    <row r="295" ht="15.75" customHeight="1" s="545">
      <c r="A295" s="19" t="n"/>
      <c r="B295" s="19" t="n"/>
      <c r="C295" s="19" t="n"/>
      <c r="D295" s="19" t="n"/>
      <c r="E295" s="19" t="n"/>
      <c r="F295" s="19" t="n"/>
      <c r="G295" s="19" t="n"/>
      <c r="H295" s="19" t="n"/>
      <c r="I295" s="19" t="n"/>
      <c r="J295" s="19" t="n"/>
      <c r="K295" s="19" t="n"/>
      <c r="L295" s="19" t="n"/>
      <c r="M295" s="19" t="n"/>
      <c r="N295" s="19" t="n"/>
      <c r="O295" s="19" t="n"/>
      <c r="P295" s="19" t="n"/>
      <c r="Q295" s="19" t="n"/>
    </row>
    <row r="296" ht="15.75" customHeight="1" s="545">
      <c r="A296" s="19" t="n"/>
      <c r="B296" s="19" t="n"/>
      <c r="C296" s="19" t="n"/>
      <c r="D296" s="19" t="n"/>
      <c r="E296" s="19" t="n"/>
      <c r="F296" s="19" t="n"/>
      <c r="G296" s="19" t="n"/>
      <c r="H296" s="19" t="n"/>
      <c r="I296" s="19" t="n"/>
      <c r="J296" s="19" t="n"/>
      <c r="K296" s="19" t="n"/>
      <c r="L296" s="19" t="n"/>
      <c r="M296" s="19" t="n"/>
      <c r="N296" s="19" t="n"/>
      <c r="O296" s="19" t="n"/>
      <c r="P296" s="19" t="n"/>
      <c r="Q296" s="19" t="n"/>
    </row>
    <row r="297" ht="15.75" customHeight="1" s="545">
      <c r="A297" s="19" t="n"/>
      <c r="B297" s="19" t="n"/>
      <c r="C297" s="19" t="n"/>
      <c r="D297" s="19" t="n"/>
      <c r="E297" s="19" t="n"/>
      <c r="F297" s="19" t="n"/>
      <c r="G297" s="19" t="n"/>
      <c r="H297" s="19" t="n"/>
      <c r="I297" s="19" t="n"/>
      <c r="J297" s="19" t="n"/>
      <c r="K297" s="19" t="n"/>
      <c r="L297" s="19" t="n"/>
      <c r="M297" s="19" t="n"/>
      <c r="N297" s="19" t="n"/>
      <c r="O297" s="19" t="n"/>
      <c r="P297" s="19" t="n"/>
      <c r="Q297" s="19" t="n"/>
    </row>
    <row r="298" ht="15.75" customHeight="1" s="545">
      <c r="A298" s="19" t="n"/>
      <c r="B298" s="19" t="n"/>
      <c r="C298" s="19" t="n"/>
      <c r="D298" s="19" t="n"/>
      <c r="E298" s="19" t="n"/>
      <c r="F298" s="19" t="n"/>
      <c r="G298" s="19" t="n"/>
      <c r="H298" s="19" t="n"/>
      <c r="I298" s="19" t="n"/>
      <c r="J298" s="19" t="n"/>
      <c r="K298" s="19" t="n"/>
      <c r="L298" s="19" t="n"/>
      <c r="M298" s="19" t="n"/>
      <c r="N298" s="19" t="n"/>
      <c r="O298" s="19" t="n"/>
      <c r="P298" s="19" t="n"/>
      <c r="Q298" s="19" t="n"/>
    </row>
    <row r="299" ht="15.75" customHeight="1" s="545">
      <c r="A299" s="19" t="n"/>
      <c r="B299" s="19" t="n"/>
      <c r="C299" s="19" t="n"/>
      <c r="D299" s="19" t="n"/>
      <c r="E299" s="19" t="n"/>
      <c r="F299" s="19" t="n"/>
      <c r="G299" s="19" t="n"/>
      <c r="H299" s="19" t="n"/>
      <c r="I299" s="19" t="n"/>
      <c r="J299" s="19" t="n"/>
      <c r="K299" s="19" t="n"/>
      <c r="L299" s="19" t="n"/>
      <c r="M299" s="19" t="n"/>
      <c r="N299" s="19" t="n"/>
      <c r="O299" s="19" t="n"/>
      <c r="P299" s="19" t="n"/>
      <c r="Q299" s="19" t="n"/>
    </row>
    <row r="300" ht="15.75" customHeight="1" s="545">
      <c r="A300" s="19" t="n"/>
      <c r="B300" s="19" t="n"/>
      <c r="C300" s="19" t="n"/>
      <c r="D300" s="19" t="n"/>
      <c r="E300" s="19" t="n"/>
      <c r="F300" s="19" t="n"/>
      <c r="G300" s="19" t="n"/>
      <c r="H300" s="19" t="n"/>
      <c r="I300" s="19" t="n"/>
      <c r="J300" s="19" t="n"/>
      <c r="K300" s="19" t="n"/>
      <c r="L300" s="19" t="n"/>
      <c r="M300" s="19" t="n"/>
      <c r="N300" s="19" t="n"/>
      <c r="O300" s="19" t="n"/>
      <c r="P300" s="19" t="n"/>
      <c r="Q300" s="19" t="n"/>
    </row>
    <row r="301" ht="15.75" customHeight="1" s="545">
      <c r="A301" s="19" t="n"/>
      <c r="B301" s="19" t="n"/>
      <c r="C301" s="19" t="n"/>
      <c r="D301" s="19" t="n"/>
      <c r="E301" s="19" t="n"/>
      <c r="F301" s="19" t="n"/>
      <c r="G301" s="19" t="n"/>
      <c r="H301" s="19" t="n"/>
      <c r="I301" s="19" t="n"/>
      <c r="J301" s="19" t="n"/>
      <c r="K301" s="19" t="n"/>
      <c r="L301" s="19" t="n"/>
      <c r="M301" s="19" t="n"/>
      <c r="N301" s="19" t="n"/>
      <c r="O301" s="19" t="n"/>
      <c r="P301" s="19" t="n"/>
      <c r="Q301" s="19" t="n"/>
    </row>
    <row r="302" ht="15.75" customHeight="1" s="545">
      <c r="A302" s="19" t="n"/>
      <c r="B302" s="19" t="n"/>
      <c r="C302" s="19" t="n"/>
      <c r="D302" s="19" t="n"/>
      <c r="E302" s="19" t="n"/>
      <c r="F302" s="19" t="n"/>
      <c r="G302" s="19" t="n"/>
      <c r="H302" s="19" t="n"/>
      <c r="I302" s="19" t="n"/>
      <c r="J302" s="19" t="n"/>
      <c r="K302" s="19" t="n"/>
      <c r="L302" s="19" t="n"/>
      <c r="M302" s="19" t="n"/>
      <c r="N302" s="19" t="n"/>
      <c r="O302" s="19" t="n"/>
      <c r="P302" s="19" t="n"/>
      <c r="Q302" s="19" t="n"/>
    </row>
    <row r="303" ht="15.75" customHeight="1" s="545">
      <c r="A303" s="19" t="n"/>
      <c r="B303" s="19" t="n"/>
      <c r="C303" s="19" t="n"/>
      <c r="D303" s="19" t="n"/>
      <c r="E303" s="19" t="n"/>
      <c r="F303" s="19" t="n"/>
      <c r="G303" s="19" t="n"/>
      <c r="H303" s="19" t="n"/>
      <c r="I303" s="19" t="n"/>
      <c r="J303" s="19" t="n"/>
      <c r="K303" s="19" t="n"/>
      <c r="L303" s="19" t="n"/>
      <c r="M303" s="19" t="n"/>
      <c r="N303" s="19" t="n"/>
      <c r="O303" s="19" t="n"/>
      <c r="P303" s="19" t="n"/>
      <c r="Q303" s="19" t="n"/>
    </row>
    <row r="304" ht="15.75" customHeight="1" s="545">
      <c r="A304" s="19" t="n"/>
      <c r="B304" s="19" t="n"/>
      <c r="C304" s="19" t="n"/>
      <c r="D304" s="19" t="n"/>
      <c r="E304" s="19" t="n"/>
      <c r="F304" s="19" t="n"/>
      <c r="G304" s="19" t="n"/>
      <c r="H304" s="19" t="n"/>
      <c r="I304" s="19" t="n"/>
      <c r="J304" s="19" t="n"/>
      <c r="K304" s="19" t="n"/>
      <c r="L304" s="19" t="n"/>
      <c r="M304" s="19" t="n"/>
      <c r="N304" s="19" t="n"/>
      <c r="O304" s="19" t="n"/>
      <c r="P304" s="19" t="n"/>
      <c r="Q304" s="19" t="n"/>
    </row>
    <row r="305" ht="15.75" customHeight="1" s="545">
      <c r="A305" s="19" t="n"/>
      <c r="B305" s="19" t="n"/>
      <c r="C305" s="19" t="n"/>
      <c r="D305" s="19" t="n"/>
      <c r="E305" s="19" t="n"/>
      <c r="F305" s="19" t="n"/>
      <c r="G305" s="19" t="n"/>
      <c r="H305" s="19" t="n"/>
      <c r="I305" s="19" t="n"/>
      <c r="J305" s="19" t="n"/>
      <c r="K305" s="19" t="n"/>
      <c r="L305" s="19" t="n"/>
      <c r="M305" s="19" t="n"/>
      <c r="N305" s="19" t="n"/>
      <c r="O305" s="19" t="n"/>
      <c r="P305" s="19" t="n"/>
      <c r="Q305" s="19" t="n"/>
    </row>
    <row r="306" ht="15.75" customHeight="1" s="545">
      <c r="A306" s="19" t="n"/>
      <c r="B306" s="19" t="n"/>
      <c r="C306" s="19" t="n"/>
      <c r="D306" s="19" t="n"/>
      <c r="E306" s="19" t="n"/>
      <c r="F306" s="19" t="n"/>
      <c r="G306" s="19" t="n"/>
      <c r="H306" s="19" t="n"/>
      <c r="I306" s="19" t="n"/>
      <c r="J306" s="19" t="n"/>
      <c r="K306" s="19" t="n"/>
      <c r="L306" s="19" t="n"/>
      <c r="M306" s="19" t="n"/>
      <c r="N306" s="19" t="n"/>
      <c r="O306" s="19" t="n"/>
      <c r="P306" s="19" t="n"/>
      <c r="Q306" s="19" t="n"/>
    </row>
    <row r="307" ht="15.75" customHeight="1" s="545">
      <c r="A307" s="19" t="n"/>
      <c r="B307" s="19" t="n"/>
      <c r="C307" s="19" t="n"/>
      <c r="D307" s="19" t="n"/>
      <c r="E307" s="19" t="n"/>
      <c r="F307" s="19" t="n"/>
      <c r="G307" s="19" t="n"/>
      <c r="H307" s="19" t="n"/>
      <c r="I307" s="19" t="n"/>
      <c r="J307" s="19" t="n"/>
      <c r="K307" s="19" t="n"/>
      <c r="L307" s="19" t="n"/>
      <c r="M307" s="19" t="n"/>
      <c r="N307" s="19" t="n"/>
      <c r="O307" s="19" t="n"/>
      <c r="P307" s="19" t="n"/>
      <c r="Q307" s="19" t="n"/>
    </row>
    <row r="308" ht="15.75" customHeight="1" s="545">
      <c r="A308" s="19" t="n"/>
      <c r="B308" s="19" t="n"/>
      <c r="C308" s="19" t="n"/>
      <c r="D308" s="19" t="n"/>
      <c r="E308" s="19" t="n"/>
      <c r="F308" s="19" t="n"/>
      <c r="G308" s="19" t="n"/>
      <c r="H308" s="19" t="n"/>
      <c r="I308" s="19" t="n"/>
      <c r="J308" s="19" t="n"/>
      <c r="K308" s="19" t="n"/>
      <c r="L308" s="19" t="n"/>
      <c r="M308" s="19" t="n"/>
      <c r="N308" s="19" t="n"/>
      <c r="O308" s="19" t="n"/>
      <c r="P308" s="19" t="n"/>
      <c r="Q308" s="19" t="n"/>
    </row>
    <row r="309" ht="15.75" customHeight="1" s="545">
      <c r="A309" s="19" t="n"/>
      <c r="B309" s="19" t="n"/>
      <c r="C309" s="19" t="n"/>
      <c r="D309" s="19" t="n"/>
      <c r="E309" s="19" t="n"/>
      <c r="F309" s="19" t="n"/>
      <c r="G309" s="19" t="n"/>
      <c r="H309" s="19" t="n"/>
      <c r="I309" s="19" t="n"/>
      <c r="J309" s="19" t="n"/>
      <c r="K309" s="19" t="n"/>
      <c r="L309" s="19" t="n"/>
      <c r="M309" s="19" t="n"/>
      <c r="N309" s="19" t="n"/>
      <c r="O309" s="19" t="n"/>
      <c r="P309" s="19" t="n"/>
      <c r="Q309" s="19" t="n"/>
    </row>
    <row r="310" ht="15.75" customHeight="1" s="545">
      <c r="A310" s="19" t="n"/>
      <c r="B310" s="19" t="n"/>
      <c r="C310" s="19" t="n"/>
      <c r="D310" s="19" t="n"/>
      <c r="E310" s="19" t="n"/>
      <c r="F310" s="19" t="n"/>
      <c r="G310" s="19" t="n"/>
      <c r="H310" s="19" t="n"/>
      <c r="I310" s="19" t="n"/>
      <c r="J310" s="19" t="n"/>
      <c r="K310" s="19" t="n"/>
      <c r="L310" s="19" t="n"/>
      <c r="M310" s="19" t="n"/>
      <c r="N310" s="19" t="n"/>
      <c r="O310" s="19" t="n"/>
      <c r="P310" s="19" t="n"/>
      <c r="Q310" s="19" t="n"/>
    </row>
    <row r="311" ht="15.75" customHeight="1" s="545">
      <c r="A311" s="19" t="n"/>
      <c r="B311" s="19" t="n"/>
      <c r="C311" s="19" t="n"/>
      <c r="D311" s="19" t="n"/>
      <c r="E311" s="19" t="n"/>
      <c r="F311" s="19" t="n"/>
      <c r="G311" s="19" t="n"/>
      <c r="H311" s="19" t="n"/>
      <c r="I311" s="19" t="n"/>
      <c r="J311" s="19" t="n"/>
      <c r="K311" s="19" t="n"/>
      <c r="L311" s="19" t="n"/>
      <c r="M311" s="19" t="n"/>
      <c r="N311" s="19" t="n"/>
      <c r="O311" s="19" t="n"/>
      <c r="P311" s="19" t="n"/>
      <c r="Q311" s="19" t="n"/>
    </row>
    <row r="312" ht="15.75" customHeight="1" s="545">
      <c r="A312" s="19" t="n"/>
      <c r="B312" s="19" t="n"/>
      <c r="C312" s="19" t="n"/>
      <c r="D312" s="19" t="n"/>
      <c r="E312" s="19" t="n"/>
      <c r="F312" s="19" t="n"/>
      <c r="G312" s="19" t="n"/>
      <c r="H312" s="19" t="n"/>
      <c r="I312" s="19" t="n"/>
      <c r="J312" s="19" t="n"/>
      <c r="K312" s="19" t="n"/>
      <c r="L312" s="19" t="n"/>
      <c r="M312" s="19" t="n"/>
      <c r="N312" s="19" t="n"/>
      <c r="O312" s="19" t="n"/>
      <c r="P312" s="19" t="n"/>
      <c r="Q312" s="19" t="n"/>
    </row>
    <row r="313" ht="15.75" customHeight="1" s="545">
      <c r="A313" s="19" t="n"/>
      <c r="B313" s="19" t="n"/>
      <c r="C313" s="19" t="n"/>
      <c r="D313" s="19" t="n"/>
      <c r="E313" s="19" t="n"/>
      <c r="F313" s="19" t="n"/>
      <c r="G313" s="19" t="n"/>
      <c r="H313" s="19" t="n"/>
      <c r="I313" s="19" t="n"/>
      <c r="J313" s="19" t="n"/>
      <c r="K313" s="19" t="n"/>
      <c r="L313" s="19" t="n"/>
      <c r="M313" s="19" t="n"/>
      <c r="N313" s="19" t="n"/>
      <c r="O313" s="19" t="n"/>
      <c r="P313" s="19" t="n"/>
      <c r="Q313" s="19" t="n"/>
    </row>
    <row r="314" ht="15.75" customHeight="1" s="545">
      <c r="A314" s="19" t="n"/>
      <c r="B314" s="19" t="n"/>
      <c r="C314" s="19" t="n"/>
      <c r="D314" s="19" t="n"/>
      <c r="E314" s="19" t="n"/>
      <c r="F314" s="19" t="n"/>
      <c r="G314" s="19" t="n"/>
      <c r="H314" s="19" t="n"/>
      <c r="I314" s="19" t="n"/>
      <c r="J314" s="19" t="n"/>
      <c r="K314" s="19" t="n"/>
      <c r="L314" s="19" t="n"/>
      <c r="M314" s="19" t="n"/>
      <c r="N314" s="19" t="n"/>
      <c r="O314" s="19" t="n"/>
      <c r="P314" s="19" t="n"/>
      <c r="Q314" s="19" t="n"/>
    </row>
    <row r="315" ht="15.75" customHeight="1" s="545">
      <c r="A315" s="19" t="n"/>
      <c r="B315" s="19" t="n"/>
      <c r="C315" s="19" t="n"/>
      <c r="D315" s="19" t="n"/>
      <c r="E315" s="19" t="n"/>
      <c r="F315" s="19" t="n"/>
      <c r="G315" s="19" t="n"/>
      <c r="H315" s="19" t="n"/>
      <c r="I315" s="19" t="n"/>
      <c r="J315" s="19" t="n"/>
      <c r="K315" s="19" t="n"/>
      <c r="L315" s="19" t="n"/>
      <c r="M315" s="19" t="n"/>
      <c r="N315" s="19" t="n"/>
      <c r="O315" s="19" t="n"/>
      <c r="P315" s="19" t="n"/>
      <c r="Q315" s="19" t="n"/>
    </row>
    <row r="316" ht="15.75" customHeight="1" s="545">
      <c r="A316" s="19" t="n"/>
      <c r="B316" s="19" t="n"/>
      <c r="C316" s="19" t="n"/>
      <c r="D316" s="19" t="n"/>
      <c r="E316" s="19" t="n"/>
      <c r="F316" s="19" t="n"/>
      <c r="G316" s="19" t="n"/>
      <c r="H316" s="19" t="n"/>
      <c r="I316" s="19" t="n"/>
      <c r="J316" s="19" t="n"/>
      <c r="K316" s="19" t="n"/>
      <c r="L316" s="19" t="n"/>
      <c r="M316" s="19" t="n"/>
      <c r="N316" s="19" t="n"/>
      <c r="O316" s="19" t="n"/>
      <c r="P316" s="19" t="n"/>
      <c r="Q316" s="19" t="n"/>
    </row>
    <row r="317" ht="15.75" customHeight="1" s="545">
      <c r="A317" s="19" t="n"/>
      <c r="B317" s="19" t="n"/>
      <c r="C317" s="19" t="n"/>
      <c r="D317" s="19" t="n"/>
      <c r="E317" s="19" t="n"/>
      <c r="F317" s="19" t="n"/>
      <c r="G317" s="19" t="n"/>
      <c r="H317" s="19" t="n"/>
      <c r="I317" s="19" t="n"/>
      <c r="J317" s="19" t="n"/>
      <c r="K317" s="19" t="n"/>
      <c r="L317" s="19" t="n"/>
      <c r="M317" s="19" t="n"/>
      <c r="N317" s="19" t="n"/>
      <c r="O317" s="19" t="n"/>
      <c r="P317" s="19" t="n"/>
      <c r="Q317" s="19" t="n"/>
    </row>
    <row r="318" ht="15.75" customHeight="1" s="545">
      <c r="A318" s="19" t="n"/>
      <c r="B318" s="19" t="n"/>
      <c r="C318" s="19" t="n"/>
      <c r="D318" s="19" t="n"/>
      <c r="E318" s="19" t="n"/>
      <c r="F318" s="19" t="n"/>
      <c r="G318" s="19" t="n"/>
      <c r="H318" s="19" t="n"/>
      <c r="I318" s="19" t="n"/>
      <c r="J318" s="19" t="n"/>
      <c r="K318" s="19" t="n"/>
      <c r="L318" s="19" t="n"/>
      <c r="M318" s="19" t="n"/>
      <c r="N318" s="19" t="n"/>
      <c r="O318" s="19" t="n"/>
      <c r="P318" s="19" t="n"/>
      <c r="Q318" s="19" t="n"/>
    </row>
    <row r="319" ht="15.75" customHeight="1" s="545">
      <c r="A319" s="19" t="n"/>
      <c r="B319" s="19" t="n"/>
      <c r="C319" s="19" t="n"/>
      <c r="D319" s="19" t="n"/>
      <c r="E319" s="19" t="n"/>
      <c r="F319" s="19" t="n"/>
      <c r="G319" s="19" t="n"/>
      <c r="H319" s="19" t="n"/>
      <c r="I319" s="19" t="n"/>
      <c r="J319" s="19" t="n"/>
      <c r="K319" s="19" t="n"/>
      <c r="L319" s="19" t="n"/>
      <c r="M319" s="19" t="n"/>
      <c r="N319" s="19" t="n"/>
      <c r="O319" s="19" t="n"/>
      <c r="P319" s="19" t="n"/>
      <c r="Q319" s="19" t="n"/>
    </row>
    <row r="320" ht="15.75" customHeight="1" s="545">
      <c r="A320" s="19" t="n"/>
      <c r="B320" s="19" t="n"/>
      <c r="C320" s="19" t="n"/>
      <c r="D320" s="19" t="n"/>
      <c r="E320" s="19" t="n"/>
      <c r="F320" s="19" t="n"/>
      <c r="G320" s="19" t="n"/>
      <c r="H320" s="19" t="n"/>
      <c r="I320" s="19" t="n"/>
      <c r="J320" s="19" t="n"/>
      <c r="K320" s="19" t="n"/>
      <c r="L320" s="19" t="n"/>
      <c r="M320" s="19" t="n"/>
      <c r="N320" s="19" t="n"/>
      <c r="O320" s="19" t="n"/>
      <c r="P320" s="19" t="n"/>
      <c r="Q320" s="19" t="n"/>
    </row>
    <row r="321" ht="15.75" customHeight="1" s="545">
      <c r="A321" s="19" t="n"/>
      <c r="B321" s="19" t="n"/>
      <c r="C321" s="19" t="n"/>
      <c r="D321" s="19" t="n"/>
      <c r="E321" s="19" t="n"/>
      <c r="F321" s="19" t="n"/>
      <c r="G321" s="19" t="n"/>
      <c r="H321" s="19" t="n"/>
      <c r="I321" s="19" t="n"/>
      <c r="J321" s="19" t="n"/>
      <c r="K321" s="19" t="n"/>
      <c r="L321" s="19" t="n"/>
      <c r="M321" s="19" t="n"/>
      <c r="N321" s="19" t="n"/>
      <c r="O321" s="19" t="n"/>
      <c r="P321" s="19" t="n"/>
      <c r="Q321" s="19" t="n"/>
    </row>
    <row r="322" ht="15.75" customHeight="1" s="545">
      <c r="A322" s="19" t="n"/>
      <c r="B322" s="19" t="n"/>
      <c r="C322" s="19" t="n"/>
      <c r="D322" s="19" t="n"/>
      <c r="E322" s="19" t="n"/>
      <c r="F322" s="19" t="n"/>
      <c r="G322" s="19" t="n"/>
      <c r="H322" s="19" t="n"/>
      <c r="I322" s="19" t="n"/>
      <c r="J322" s="19" t="n"/>
      <c r="K322" s="19" t="n"/>
      <c r="L322" s="19" t="n"/>
      <c r="M322" s="19" t="n"/>
      <c r="N322" s="19" t="n"/>
      <c r="O322" s="19" t="n"/>
      <c r="P322" s="19" t="n"/>
      <c r="Q322" s="19" t="n"/>
    </row>
    <row r="323" ht="15.75" customHeight="1" s="545">
      <c r="A323" s="19" t="n"/>
      <c r="B323" s="19" t="n"/>
      <c r="C323" s="19" t="n"/>
      <c r="D323" s="19" t="n"/>
      <c r="E323" s="19" t="n"/>
      <c r="F323" s="19" t="n"/>
      <c r="G323" s="19" t="n"/>
      <c r="H323" s="19" t="n"/>
      <c r="I323" s="19" t="n"/>
      <c r="J323" s="19" t="n"/>
      <c r="K323" s="19" t="n"/>
      <c r="L323" s="19" t="n"/>
      <c r="M323" s="19" t="n"/>
      <c r="N323" s="19" t="n"/>
      <c r="O323" s="19" t="n"/>
      <c r="P323" s="19" t="n"/>
      <c r="Q323" s="19" t="n"/>
    </row>
    <row r="324" ht="15.75" customHeight="1" s="545">
      <c r="A324" s="19" t="n"/>
      <c r="B324" s="19" t="n"/>
      <c r="C324" s="19" t="n"/>
      <c r="D324" s="19" t="n"/>
      <c r="E324" s="19" t="n"/>
      <c r="F324" s="19" t="n"/>
      <c r="G324" s="19" t="n"/>
      <c r="H324" s="19" t="n"/>
      <c r="I324" s="19" t="n"/>
      <c r="J324" s="19" t="n"/>
      <c r="K324" s="19" t="n"/>
      <c r="L324" s="19" t="n"/>
      <c r="M324" s="19" t="n"/>
      <c r="N324" s="19" t="n"/>
      <c r="O324" s="19" t="n"/>
      <c r="P324" s="19" t="n"/>
      <c r="Q324" s="19" t="n"/>
    </row>
    <row r="325" ht="15.75" customHeight="1" s="545">
      <c r="A325" s="19" t="n"/>
      <c r="B325" s="19" t="n"/>
      <c r="C325" s="19" t="n"/>
      <c r="D325" s="19" t="n"/>
      <c r="E325" s="19" t="n"/>
      <c r="F325" s="19" t="n"/>
      <c r="G325" s="19" t="n"/>
      <c r="H325" s="19" t="n"/>
      <c r="I325" s="19" t="n"/>
      <c r="J325" s="19" t="n"/>
      <c r="K325" s="19" t="n"/>
      <c r="L325" s="19" t="n"/>
      <c r="M325" s="19" t="n"/>
      <c r="N325" s="19" t="n"/>
      <c r="O325" s="19" t="n"/>
      <c r="P325" s="19" t="n"/>
      <c r="Q325" s="19" t="n"/>
    </row>
    <row r="326" ht="15.75" customHeight="1" s="545">
      <c r="A326" s="19" t="n"/>
      <c r="B326" s="19" t="n"/>
      <c r="C326" s="19" t="n"/>
      <c r="D326" s="19" t="n"/>
      <c r="E326" s="19" t="n"/>
      <c r="F326" s="19" t="n"/>
      <c r="G326" s="19" t="n"/>
      <c r="H326" s="19" t="n"/>
      <c r="I326" s="19" t="n"/>
      <c r="J326" s="19" t="n"/>
      <c r="K326" s="19" t="n"/>
      <c r="L326" s="19" t="n"/>
      <c r="M326" s="19" t="n"/>
      <c r="N326" s="19" t="n"/>
      <c r="O326" s="19" t="n"/>
      <c r="P326" s="19" t="n"/>
      <c r="Q326" s="19" t="n"/>
    </row>
    <row r="327" ht="15.75" customHeight="1" s="545">
      <c r="A327" s="19" t="n"/>
      <c r="B327" s="19" t="n"/>
      <c r="C327" s="19" t="n"/>
      <c r="D327" s="19" t="n"/>
      <c r="E327" s="19" t="n"/>
      <c r="F327" s="19" t="n"/>
      <c r="G327" s="19" t="n"/>
      <c r="H327" s="19" t="n"/>
      <c r="I327" s="19" t="n"/>
      <c r="J327" s="19" t="n"/>
      <c r="K327" s="19" t="n"/>
      <c r="L327" s="19" t="n"/>
      <c r="M327" s="19" t="n"/>
      <c r="N327" s="19" t="n"/>
      <c r="O327" s="19" t="n"/>
      <c r="P327" s="19" t="n"/>
      <c r="Q327" s="19" t="n"/>
    </row>
    <row r="328" ht="15.75" customHeight="1" s="545">
      <c r="A328" s="19" t="n"/>
      <c r="B328" s="19" t="n"/>
      <c r="C328" s="19" t="n"/>
      <c r="D328" s="19" t="n"/>
      <c r="E328" s="19" t="n"/>
      <c r="F328" s="19" t="n"/>
      <c r="G328" s="19" t="n"/>
      <c r="H328" s="19" t="n"/>
      <c r="I328" s="19" t="n"/>
      <c r="J328" s="19" t="n"/>
      <c r="K328" s="19" t="n"/>
      <c r="L328" s="19" t="n"/>
      <c r="M328" s="19" t="n"/>
      <c r="N328" s="19" t="n"/>
      <c r="O328" s="19" t="n"/>
      <c r="P328" s="19" t="n"/>
      <c r="Q328" s="19" t="n"/>
    </row>
    <row r="329" ht="15.75" customHeight="1" s="545">
      <c r="A329" s="19" t="n"/>
      <c r="B329" s="19" t="n"/>
      <c r="C329" s="19" t="n"/>
      <c r="D329" s="19" t="n"/>
      <c r="E329" s="19" t="n"/>
      <c r="F329" s="19" t="n"/>
      <c r="G329" s="19" t="n"/>
      <c r="H329" s="19" t="n"/>
      <c r="I329" s="19" t="n"/>
      <c r="J329" s="19" t="n"/>
      <c r="K329" s="19" t="n"/>
      <c r="L329" s="19" t="n"/>
      <c r="M329" s="19" t="n"/>
      <c r="N329" s="19" t="n"/>
      <c r="O329" s="19" t="n"/>
      <c r="P329" s="19" t="n"/>
      <c r="Q329" s="19" t="n"/>
    </row>
    <row r="330" ht="15.75" customHeight="1" s="545">
      <c r="A330" s="19" t="n"/>
      <c r="B330" s="19" t="n"/>
      <c r="C330" s="19" t="n"/>
      <c r="D330" s="19" t="n"/>
      <c r="E330" s="19" t="n"/>
      <c r="F330" s="19" t="n"/>
      <c r="G330" s="19" t="n"/>
      <c r="H330" s="19" t="n"/>
      <c r="I330" s="19" t="n"/>
      <c r="J330" s="19" t="n"/>
      <c r="K330" s="19" t="n"/>
      <c r="L330" s="19" t="n"/>
      <c r="M330" s="19" t="n"/>
      <c r="N330" s="19" t="n"/>
      <c r="O330" s="19" t="n"/>
      <c r="P330" s="19" t="n"/>
      <c r="Q330" s="19" t="n"/>
    </row>
    <row r="331" ht="15.75" customHeight="1" s="545">
      <c r="A331" s="19" t="n"/>
      <c r="B331" s="19" t="n"/>
      <c r="C331" s="19" t="n"/>
      <c r="D331" s="19" t="n"/>
      <c r="E331" s="19" t="n"/>
      <c r="F331" s="19" t="n"/>
      <c r="G331" s="19" t="n"/>
      <c r="H331" s="19" t="n"/>
      <c r="I331" s="19" t="n"/>
      <c r="J331" s="19" t="n"/>
      <c r="K331" s="19" t="n"/>
      <c r="L331" s="19" t="n"/>
      <c r="M331" s="19" t="n"/>
      <c r="N331" s="19" t="n"/>
      <c r="O331" s="19" t="n"/>
      <c r="P331" s="19" t="n"/>
      <c r="Q331" s="19" t="n"/>
    </row>
    <row r="332" ht="15.75" customHeight="1" s="545">
      <c r="A332" s="19" t="n"/>
      <c r="B332" s="19" t="n"/>
      <c r="C332" s="19" t="n"/>
      <c r="D332" s="19" t="n"/>
      <c r="E332" s="19" t="n"/>
      <c r="F332" s="19" t="n"/>
      <c r="G332" s="19" t="n"/>
      <c r="H332" s="19" t="n"/>
      <c r="I332" s="19" t="n"/>
      <c r="J332" s="19" t="n"/>
      <c r="K332" s="19" t="n"/>
      <c r="L332" s="19" t="n"/>
      <c r="M332" s="19" t="n"/>
      <c r="N332" s="19" t="n"/>
      <c r="O332" s="19" t="n"/>
      <c r="P332" s="19" t="n"/>
      <c r="Q332" s="19" t="n"/>
    </row>
    <row r="333" ht="15.75" customHeight="1" s="545">
      <c r="A333" s="19" t="n"/>
      <c r="B333" s="19" t="n"/>
      <c r="C333" s="19" t="n"/>
      <c r="D333" s="19" t="n"/>
      <c r="E333" s="19" t="n"/>
      <c r="F333" s="19" t="n"/>
      <c r="G333" s="19" t="n"/>
      <c r="H333" s="19" t="n"/>
      <c r="I333" s="19" t="n"/>
      <c r="J333" s="19" t="n"/>
      <c r="K333" s="19" t="n"/>
      <c r="L333" s="19" t="n"/>
      <c r="M333" s="19" t="n"/>
      <c r="N333" s="19" t="n"/>
      <c r="O333" s="19" t="n"/>
      <c r="P333" s="19" t="n"/>
      <c r="Q333" s="19" t="n"/>
    </row>
    <row r="334" ht="15.75" customHeight="1" s="545">
      <c r="A334" s="19" t="n"/>
      <c r="B334" s="19" t="n"/>
      <c r="C334" s="19" t="n"/>
      <c r="D334" s="19" t="n"/>
      <c r="E334" s="19" t="n"/>
      <c r="F334" s="19" t="n"/>
      <c r="G334" s="19" t="n"/>
      <c r="H334" s="19" t="n"/>
      <c r="I334" s="19" t="n"/>
      <c r="J334" s="19" t="n"/>
      <c r="K334" s="19" t="n"/>
      <c r="L334" s="19" t="n"/>
      <c r="M334" s="19" t="n"/>
      <c r="N334" s="19" t="n"/>
      <c r="O334" s="19" t="n"/>
      <c r="P334" s="19" t="n"/>
      <c r="Q334" s="19" t="n"/>
    </row>
    <row r="335" ht="15.75" customHeight="1" s="545">
      <c r="A335" s="19" t="n"/>
      <c r="B335" s="19" t="n"/>
      <c r="C335" s="19" t="n"/>
      <c r="D335" s="19" t="n"/>
      <c r="E335" s="19" t="n"/>
      <c r="F335" s="19" t="n"/>
      <c r="G335" s="19" t="n"/>
      <c r="H335" s="19" t="n"/>
      <c r="I335" s="19" t="n"/>
      <c r="J335" s="19" t="n"/>
      <c r="K335" s="19" t="n"/>
      <c r="L335" s="19" t="n"/>
      <c r="M335" s="19" t="n"/>
      <c r="N335" s="19" t="n"/>
      <c r="O335" s="19" t="n"/>
      <c r="P335" s="19" t="n"/>
      <c r="Q335" s="19" t="n"/>
    </row>
    <row r="336" ht="15.75" customHeight="1" s="545">
      <c r="A336" s="19" t="n"/>
      <c r="B336" s="19" t="n"/>
      <c r="C336" s="19" t="n"/>
      <c r="D336" s="19" t="n"/>
      <c r="E336" s="19" t="n"/>
      <c r="F336" s="19" t="n"/>
      <c r="G336" s="19" t="n"/>
      <c r="H336" s="19" t="n"/>
      <c r="I336" s="19" t="n"/>
      <c r="J336" s="19" t="n"/>
      <c r="K336" s="19" t="n"/>
      <c r="L336" s="19" t="n"/>
      <c r="M336" s="19" t="n"/>
      <c r="N336" s="19" t="n"/>
      <c r="O336" s="19" t="n"/>
      <c r="P336" s="19" t="n"/>
      <c r="Q336" s="19" t="n"/>
    </row>
    <row r="337" ht="15.75" customHeight="1" s="545">
      <c r="A337" s="19" t="n"/>
      <c r="B337" s="19" t="n"/>
      <c r="C337" s="19" t="n"/>
      <c r="D337" s="19" t="n"/>
      <c r="E337" s="19" t="n"/>
      <c r="F337" s="19" t="n"/>
      <c r="G337" s="19" t="n"/>
      <c r="H337" s="19" t="n"/>
      <c r="I337" s="19" t="n"/>
      <c r="J337" s="19" t="n"/>
      <c r="K337" s="19" t="n"/>
      <c r="L337" s="19" t="n"/>
      <c r="M337" s="19" t="n"/>
      <c r="N337" s="19" t="n"/>
      <c r="O337" s="19" t="n"/>
      <c r="P337" s="19" t="n"/>
      <c r="Q337" s="19" t="n"/>
    </row>
    <row r="338" ht="15.75" customHeight="1" s="545">
      <c r="A338" s="19" t="n"/>
      <c r="B338" s="19" t="n"/>
      <c r="C338" s="19" t="n"/>
      <c r="D338" s="19" t="n"/>
      <c r="E338" s="19" t="n"/>
      <c r="F338" s="19" t="n"/>
      <c r="G338" s="19" t="n"/>
      <c r="H338" s="19" t="n"/>
      <c r="I338" s="19" t="n"/>
      <c r="J338" s="19" t="n"/>
      <c r="K338" s="19" t="n"/>
      <c r="L338" s="19" t="n"/>
      <c r="M338" s="19" t="n"/>
      <c r="N338" s="19" t="n"/>
      <c r="O338" s="19" t="n"/>
      <c r="P338" s="19" t="n"/>
      <c r="Q338" s="19" t="n"/>
    </row>
    <row r="339" ht="15.75" customHeight="1" s="545">
      <c r="A339" s="19" t="n"/>
      <c r="B339" s="19" t="n"/>
      <c r="C339" s="19" t="n"/>
      <c r="D339" s="19" t="n"/>
      <c r="E339" s="19" t="n"/>
      <c r="F339" s="19" t="n"/>
      <c r="G339" s="19" t="n"/>
      <c r="H339" s="19" t="n"/>
      <c r="I339" s="19" t="n"/>
      <c r="J339" s="19" t="n"/>
      <c r="K339" s="19" t="n"/>
      <c r="L339" s="19" t="n"/>
      <c r="M339" s="19" t="n"/>
      <c r="N339" s="19" t="n"/>
      <c r="O339" s="19" t="n"/>
      <c r="P339" s="19" t="n"/>
      <c r="Q339" s="19" t="n"/>
    </row>
    <row r="340" ht="15.75" customHeight="1" s="545">
      <c r="A340" s="19" t="n"/>
      <c r="B340" s="19" t="n"/>
      <c r="C340" s="19" t="n"/>
      <c r="D340" s="19" t="n"/>
      <c r="E340" s="19" t="n"/>
      <c r="F340" s="19" t="n"/>
      <c r="G340" s="19" t="n"/>
      <c r="H340" s="19" t="n"/>
      <c r="I340" s="19" t="n"/>
      <c r="J340" s="19" t="n"/>
      <c r="K340" s="19" t="n"/>
      <c r="L340" s="19" t="n"/>
      <c r="M340" s="19" t="n"/>
      <c r="N340" s="19" t="n"/>
      <c r="O340" s="19" t="n"/>
      <c r="P340" s="19" t="n"/>
      <c r="Q340" s="19" t="n"/>
    </row>
    <row r="341" ht="15.75" customHeight="1" s="545">
      <c r="A341" s="19" t="n"/>
      <c r="B341" s="19" t="n"/>
      <c r="C341" s="19" t="n"/>
      <c r="D341" s="19" t="n"/>
      <c r="E341" s="19" t="n"/>
      <c r="F341" s="19" t="n"/>
      <c r="G341" s="19" t="n"/>
      <c r="H341" s="19" t="n"/>
      <c r="I341" s="19" t="n"/>
      <c r="J341" s="19" t="n"/>
      <c r="K341" s="19" t="n"/>
      <c r="L341" s="19" t="n"/>
      <c r="M341" s="19" t="n"/>
      <c r="N341" s="19" t="n"/>
      <c r="O341" s="19" t="n"/>
      <c r="P341" s="19" t="n"/>
      <c r="Q341" s="19" t="n"/>
    </row>
    <row r="342" ht="15.75" customHeight="1" s="545">
      <c r="A342" s="19" t="n"/>
      <c r="B342" s="19" t="n"/>
      <c r="C342" s="19" t="n"/>
      <c r="D342" s="19" t="n"/>
      <c r="E342" s="19" t="n"/>
      <c r="F342" s="19" t="n"/>
      <c r="G342" s="19" t="n"/>
      <c r="H342" s="19" t="n"/>
      <c r="I342" s="19" t="n"/>
      <c r="J342" s="19" t="n"/>
      <c r="K342" s="19" t="n"/>
      <c r="L342" s="19" t="n"/>
      <c r="M342" s="19" t="n"/>
      <c r="N342" s="19" t="n"/>
      <c r="O342" s="19" t="n"/>
      <c r="P342" s="19" t="n"/>
      <c r="Q342" s="19" t="n"/>
    </row>
    <row r="343" ht="15.75" customHeight="1" s="545">
      <c r="A343" s="19" t="n"/>
      <c r="B343" s="19" t="n"/>
      <c r="C343" s="19" t="n"/>
      <c r="D343" s="19" t="n"/>
      <c r="E343" s="19" t="n"/>
      <c r="F343" s="19" t="n"/>
      <c r="G343" s="19" t="n"/>
      <c r="H343" s="19" t="n"/>
      <c r="I343" s="19" t="n"/>
      <c r="J343" s="19" t="n"/>
      <c r="K343" s="19" t="n"/>
      <c r="L343" s="19" t="n"/>
      <c r="M343" s="19" t="n"/>
      <c r="N343" s="19" t="n"/>
      <c r="O343" s="19" t="n"/>
      <c r="P343" s="19" t="n"/>
      <c r="Q343" s="19" t="n"/>
    </row>
    <row r="344" ht="15.75" customHeight="1" s="545">
      <c r="A344" s="19" t="n"/>
      <c r="B344" s="19" t="n"/>
      <c r="C344" s="19" t="n"/>
      <c r="D344" s="19" t="n"/>
      <c r="E344" s="19" t="n"/>
      <c r="F344" s="19" t="n"/>
      <c r="G344" s="19" t="n"/>
      <c r="H344" s="19" t="n"/>
      <c r="I344" s="19" t="n"/>
      <c r="J344" s="19" t="n"/>
      <c r="K344" s="19" t="n"/>
      <c r="L344" s="19" t="n"/>
      <c r="M344" s="19" t="n"/>
      <c r="N344" s="19" t="n"/>
      <c r="O344" s="19" t="n"/>
      <c r="P344" s="19" t="n"/>
      <c r="Q344" s="19" t="n"/>
    </row>
    <row r="345" ht="15.75" customHeight="1" s="545">
      <c r="A345" s="19" t="n"/>
      <c r="B345" s="19" t="n"/>
      <c r="C345" s="19" t="n"/>
      <c r="D345" s="19" t="n"/>
      <c r="E345" s="19" t="n"/>
      <c r="F345" s="19" t="n"/>
      <c r="G345" s="19" t="n"/>
      <c r="H345" s="19" t="n"/>
      <c r="I345" s="19" t="n"/>
      <c r="J345" s="19" t="n"/>
      <c r="K345" s="19" t="n"/>
      <c r="L345" s="19" t="n"/>
      <c r="M345" s="19" t="n"/>
      <c r="N345" s="19" t="n"/>
      <c r="O345" s="19" t="n"/>
      <c r="P345" s="19" t="n"/>
      <c r="Q345" s="19" t="n"/>
    </row>
    <row r="346" ht="15.75" customHeight="1" s="545">
      <c r="A346" s="19" t="n"/>
      <c r="B346" s="19" t="n"/>
      <c r="C346" s="19" t="n"/>
      <c r="D346" s="19" t="n"/>
      <c r="E346" s="19" t="n"/>
      <c r="F346" s="19" t="n"/>
      <c r="G346" s="19" t="n"/>
      <c r="H346" s="19" t="n"/>
      <c r="I346" s="19" t="n"/>
      <c r="J346" s="19" t="n"/>
      <c r="K346" s="19" t="n"/>
      <c r="L346" s="19" t="n"/>
      <c r="M346" s="19" t="n"/>
      <c r="N346" s="19" t="n"/>
      <c r="O346" s="19" t="n"/>
      <c r="P346" s="19" t="n"/>
      <c r="Q346" s="19" t="n"/>
    </row>
    <row r="347" ht="15.75" customHeight="1" s="545">
      <c r="A347" s="19" t="n"/>
      <c r="B347" s="19" t="n"/>
      <c r="C347" s="19" t="n"/>
      <c r="D347" s="19" t="n"/>
      <c r="E347" s="19" t="n"/>
      <c r="F347" s="19" t="n"/>
      <c r="G347" s="19" t="n"/>
      <c r="H347" s="19" t="n"/>
      <c r="I347" s="19" t="n"/>
      <c r="J347" s="19" t="n"/>
      <c r="K347" s="19" t="n"/>
      <c r="L347" s="19" t="n"/>
      <c r="M347" s="19" t="n"/>
      <c r="N347" s="19" t="n"/>
      <c r="O347" s="19" t="n"/>
      <c r="P347" s="19" t="n"/>
      <c r="Q347" s="19" t="n"/>
    </row>
    <row r="348" ht="15.75" customHeight="1" s="545">
      <c r="A348" s="19" t="n"/>
      <c r="B348" s="19" t="n"/>
      <c r="C348" s="19" t="n"/>
      <c r="D348" s="19" t="n"/>
      <c r="E348" s="19" t="n"/>
      <c r="F348" s="19" t="n"/>
      <c r="G348" s="19" t="n"/>
      <c r="H348" s="19" t="n"/>
      <c r="I348" s="19" t="n"/>
      <c r="J348" s="19" t="n"/>
      <c r="K348" s="19" t="n"/>
      <c r="L348" s="19" t="n"/>
      <c r="M348" s="19" t="n"/>
      <c r="N348" s="19" t="n"/>
      <c r="O348" s="19" t="n"/>
      <c r="P348" s="19" t="n"/>
      <c r="Q348" s="19" t="n"/>
    </row>
    <row r="349" ht="15.75" customHeight="1" s="545">
      <c r="A349" s="19" t="n"/>
      <c r="B349" s="19" t="n"/>
      <c r="C349" s="19" t="n"/>
      <c r="D349" s="19" t="n"/>
      <c r="E349" s="19" t="n"/>
      <c r="F349" s="19" t="n"/>
      <c r="G349" s="19" t="n"/>
      <c r="H349" s="19" t="n"/>
      <c r="I349" s="19" t="n"/>
      <c r="J349" s="19" t="n"/>
      <c r="K349" s="19" t="n"/>
      <c r="L349" s="19" t="n"/>
      <c r="M349" s="19" t="n"/>
      <c r="N349" s="19" t="n"/>
      <c r="O349" s="19" t="n"/>
      <c r="P349" s="19" t="n"/>
      <c r="Q349" s="19" t="n"/>
    </row>
    <row r="350" ht="15.75" customHeight="1" s="545">
      <c r="A350" s="19" t="n"/>
      <c r="B350" s="19" t="n"/>
      <c r="C350" s="19" t="n"/>
      <c r="D350" s="19" t="n"/>
      <c r="E350" s="19" t="n"/>
      <c r="F350" s="19" t="n"/>
      <c r="G350" s="19" t="n"/>
      <c r="H350" s="19" t="n"/>
      <c r="I350" s="19" t="n"/>
      <c r="J350" s="19" t="n"/>
      <c r="K350" s="19" t="n"/>
      <c r="L350" s="19" t="n"/>
      <c r="M350" s="19" t="n"/>
      <c r="N350" s="19" t="n"/>
      <c r="O350" s="19" t="n"/>
      <c r="P350" s="19" t="n"/>
      <c r="Q350" s="19" t="n"/>
    </row>
    <row r="351" ht="15.75" customHeight="1" s="545">
      <c r="A351" s="19" t="n"/>
      <c r="B351" s="19" t="n"/>
      <c r="C351" s="19" t="n"/>
      <c r="D351" s="19" t="n"/>
      <c r="E351" s="19" t="n"/>
      <c r="F351" s="19" t="n"/>
      <c r="G351" s="19" t="n"/>
      <c r="H351" s="19" t="n"/>
      <c r="I351" s="19" t="n"/>
      <c r="J351" s="19" t="n"/>
      <c r="K351" s="19" t="n"/>
      <c r="L351" s="19" t="n"/>
      <c r="M351" s="19" t="n"/>
      <c r="N351" s="19" t="n"/>
      <c r="O351" s="19" t="n"/>
      <c r="P351" s="19" t="n"/>
      <c r="Q351" s="19" t="n"/>
    </row>
    <row r="352" ht="15.75" customHeight="1" s="545">
      <c r="A352" s="19" t="n"/>
      <c r="B352" s="19" t="n"/>
      <c r="C352" s="19" t="n"/>
      <c r="D352" s="19" t="n"/>
      <c r="E352" s="19" t="n"/>
      <c r="F352" s="19" t="n"/>
      <c r="G352" s="19" t="n"/>
      <c r="H352" s="19" t="n"/>
      <c r="I352" s="19" t="n"/>
      <c r="J352" s="19" t="n"/>
      <c r="K352" s="19" t="n"/>
      <c r="L352" s="19" t="n"/>
      <c r="M352" s="19" t="n"/>
      <c r="N352" s="19" t="n"/>
      <c r="O352" s="19" t="n"/>
      <c r="P352" s="19" t="n"/>
      <c r="Q352" s="19" t="n"/>
    </row>
    <row r="353" ht="15.75" customHeight="1" s="545">
      <c r="A353" s="19" t="n"/>
      <c r="B353" s="19" t="n"/>
      <c r="C353" s="19" t="n"/>
      <c r="D353" s="19" t="n"/>
      <c r="E353" s="19" t="n"/>
      <c r="F353" s="19" t="n"/>
      <c r="G353" s="19" t="n"/>
      <c r="H353" s="19" t="n"/>
      <c r="I353" s="19" t="n"/>
      <c r="J353" s="19" t="n"/>
      <c r="K353" s="19" t="n"/>
      <c r="L353" s="19" t="n"/>
      <c r="M353" s="19" t="n"/>
      <c r="N353" s="19" t="n"/>
      <c r="O353" s="19" t="n"/>
      <c r="P353" s="19" t="n"/>
      <c r="Q353" s="19" t="n"/>
    </row>
    <row r="354" ht="15.75" customHeight="1" s="545">
      <c r="A354" s="19" t="n"/>
      <c r="B354" s="19" t="n"/>
      <c r="C354" s="19" t="n"/>
      <c r="D354" s="19" t="n"/>
      <c r="E354" s="19" t="n"/>
      <c r="F354" s="19" t="n"/>
      <c r="G354" s="19" t="n"/>
      <c r="H354" s="19" t="n"/>
      <c r="I354" s="19" t="n"/>
      <c r="J354" s="19" t="n"/>
      <c r="K354" s="19" t="n"/>
      <c r="L354" s="19" t="n"/>
      <c r="M354" s="19" t="n"/>
      <c r="N354" s="19" t="n"/>
      <c r="O354" s="19" t="n"/>
      <c r="P354" s="19" t="n"/>
      <c r="Q354" s="19" t="n"/>
    </row>
    <row r="355" ht="15.75" customHeight="1" s="545">
      <c r="A355" s="19" t="n"/>
      <c r="B355" s="19" t="n"/>
      <c r="C355" s="19" t="n"/>
      <c r="D355" s="19" t="n"/>
      <c r="E355" s="19" t="n"/>
      <c r="F355" s="19" t="n"/>
      <c r="G355" s="19" t="n"/>
      <c r="H355" s="19" t="n"/>
      <c r="I355" s="19" t="n"/>
      <c r="J355" s="19" t="n"/>
      <c r="K355" s="19" t="n"/>
      <c r="L355" s="19" t="n"/>
      <c r="M355" s="19" t="n"/>
      <c r="N355" s="19" t="n"/>
      <c r="O355" s="19" t="n"/>
      <c r="P355" s="19" t="n"/>
      <c r="Q355" s="19" t="n"/>
    </row>
    <row r="356" ht="15.75" customHeight="1" s="545">
      <c r="A356" s="19" t="n"/>
      <c r="B356" s="19" t="n"/>
      <c r="C356" s="19" t="n"/>
      <c r="D356" s="19" t="n"/>
      <c r="E356" s="19" t="n"/>
      <c r="F356" s="19" t="n"/>
      <c r="G356" s="19" t="n"/>
      <c r="H356" s="19" t="n"/>
      <c r="I356" s="19" t="n"/>
      <c r="J356" s="19" t="n"/>
      <c r="K356" s="19" t="n"/>
      <c r="L356" s="19" t="n"/>
      <c r="M356" s="19" t="n"/>
      <c r="N356" s="19" t="n"/>
      <c r="O356" s="19" t="n"/>
      <c r="P356" s="19" t="n"/>
      <c r="Q356" s="19" t="n"/>
    </row>
    <row r="357" ht="15.75" customHeight="1" s="545">
      <c r="A357" s="19" t="n"/>
      <c r="B357" s="19" t="n"/>
      <c r="C357" s="19" t="n"/>
      <c r="D357" s="19" t="n"/>
      <c r="E357" s="19" t="n"/>
      <c r="F357" s="19" t="n"/>
      <c r="G357" s="19" t="n"/>
      <c r="H357" s="19" t="n"/>
      <c r="I357" s="19" t="n"/>
      <c r="J357" s="19" t="n"/>
      <c r="K357" s="19" t="n"/>
      <c r="L357" s="19" t="n"/>
      <c r="M357" s="19" t="n"/>
      <c r="N357" s="19" t="n"/>
      <c r="O357" s="19" t="n"/>
      <c r="P357" s="19" t="n"/>
      <c r="Q357" s="19" t="n"/>
    </row>
    <row r="358" ht="15.75" customHeight="1" s="545">
      <c r="A358" s="19" t="n"/>
      <c r="B358" s="19" t="n"/>
      <c r="C358" s="19" t="n"/>
      <c r="D358" s="19" t="n"/>
      <c r="E358" s="19" t="n"/>
      <c r="F358" s="19" t="n"/>
      <c r="G358" s="19" t="n"/>
      <c r="H358" s="19" t="n"/>
      <c r="I358" s="19" t="n"/>
      <c r="J358" s="19" t="n"/>
      <c r="K358" s="19" t="n"/>
      <c r="L358" s="19" t="n"/>
      <c r="M358" s="19" t="n"/>
      <c r="N358" s="19" t="n"/>
      <c r="O358" s="19" t="n"/>
      <c r="P358" s="19" t="n"/>
      <c r="Q358" s="19" t="n"/>
    </row>
    <row r="359" ht="15.75" customHeight="1" s="545">
      <c r="A359" s="19" t="n"/>
      <c r="B359" s="19" t="n"/>
      <c r="C359" s="19" t="n"/>
      <c r="D359" s="19" t="n"/>
      <c r="E359" s="19" t="n"/>
      <c r="F359" s="19" t="n"/>
      <c r="G359" s="19" t="n"/>
      <c r="H359" s="19" t="n"/>
      <c r="I359" s="19" t="n"/>
      <c r="J359" s="19" t="n"/>
      <c r="K359" s="19" t="n"/>
      <c r="L359" s="19" t="n"/>
      <c r="M359" s="19" t="n"/>
      <c r="N359" s="19" t="n"/>
      <c r="O359" s="19" t="n"/>
      <c r="P359" s="19" t="n"/>
      <c r="Q359" s="19" t="n"/>
    </row>
    <row r="360" ht="15.75" customHeight="1" s="545">
      <c r="A360" s="19" t="n"/>
      <c r="B360" s="19" t="n"/>
      <c r="C360" s="19" t="n"/>
      <c r="D360" s="19" t="n"/>
      <c r="E360" s="19" t="n"/>
      <c r="F360" s="19" t="n"/>
      <c r="G360" s="19" t="n"/>
      <c r="H360" s="19" t="n"/>
      <c r="I360" s="19" t="n"/>
      <c r="J360" s="19" t="n"/>
      <c r="K360" s="19" t="n"/>
      <c r="L360" s="19" t="n"/>
      <c r="M360" s="19" t="n"/>
      <c r="N360" s="19" t="n"/>
      <c r="O360" s="19" t="n"/>
      <c r="P360" s="19" t="n"/>
      <c r="Q360" s="19" t="n"/>
    </row>
    <row r="361" ht="15.75" customHeight="1" s="545">
      <c r="A361" s="19" t="n"/>
      <c r="B361" s="19" t="n"/>
      <c r="C361" s="19" t="n"/>
      <c r="D361" s="19" t="n"/>
      <c r="E361" s="19" t="n"/>
      <c r="F361" s="19" t="n"/>
      <c r="G361" s="19" t="n"/>
      <c r="H361" s="19" t="n"/>
      <c r="I361" s="19" t="n"/>
      <c r="J361" s="19" t="n"/>
      <c r="K361" s="19" t="n"/>
      <c r="L361" s="19" t="n"/>
      <c r="M361" s="19" t="n"/>
      <c r="N361" s="19" t="n"/>
      <c r="O361" s="19" t="n"/>
      <c r="P361" s="19" t="n"/>
      <c r="Q361" s="19" t="n"/>
    </row>
    <row r="362" ht="15.75" customHeight="1" s="545">
      <c r="A362" s="19" t="n"/>
      <c r="B362" s="19" t="n"/>
      <c r="C362" s="19" t="n"/>
      <c r="D362" s="19" t="n"/>
      <c r="E362" s="19" t="n"/>
      <c r="F362" s="19" t="n"/>
      <c r="G362" s="19" t="n"/>
      <c r="H362" s="19" t="n"/>
      <c r="I362" s="19" t="n"/>
      <c r="J362" s="19" t="n"/>
      <c r="K362" s="19" t="n"/>
      <c r="L362" s="19" t="n"/>
      <c r="M362" s="19" t="n"/>
      <c r="N362" s="19" t="n"/>
      <c r="O362" s="19" t="n"/>
      <c r="P362" s="19" t="n"/>
      <c r="Q362" s="19" t="n"/>
    </row>
    <row r="363" ht="15.75" customHeight="1" s="545">
      <c r="A363" s="19" t="n"/>
      <c r="B363" s="19" t="n"/>
      <c r="C363" s="19" t="n"/>
      <c r="D363" s="19" t="n"/>
      <c r="E363" s="19" t="n"/>
      <c r="F363" s="19" t="n"/>
      <c r="G363" s="19" t="n"/>
      <c r="H363" s="19" t="n"/>
      <c r="I363" s="19" t="n"/>
      <c r="J363" s="19" t="n"/>
      <c r="K363" s="19" t="n"/>
      <c r="L363" s="19" t="n"/>
      <c r="M363" s="19" t="n"/>
      <c r="N363" s="19" t="n"/>
      <c r="O363" s="19" t="n"/>
      <c r="P363" s="19" t="n"/>
      <c r="Q363" s="19" t="n"/>
    </row>
    <row r="364" ht="15.75" customHeight="1" s="545">
      <c r="A364" s="19" t="n"/>
      <c r="B364" s="19" t="n"/>
      <c r="C364" s="19" t="n"/>
      <c r="D364" s="19" t="n"/>
      <c r="E364" s="19" t="n"/>
      <c r="F364" s="19" t="n"/>
      <c r="G364" s="19" t="n"/>
      <c r="H364" s="19" t="n"/>
      <c r="I364" s="19" t="n"/>
      <c r="J364" s="19" t="n"/>
      <c r="K364" s="19" t="n"/>
      <c r="L364" s="19" t="n"/>
      <c r="M364" s="19" t="n"/>
      <c r="N364" s="19" t="n"/>
      <c r="O364" s="19" t="n"/>
      <c r="P364" s="19" t="n"/>
      <c r="Q364" s="19" t="n"/>
    </row>
    <row r="365" ht="15.75" customHeight="1" s="545">
      <c r="A365" s="19" t="n"/>
      <c r="B365" s="19" t="n"/>
      <c r="C365" s="19" t="n"/>
      <c r="D365" s="19" t="n"/>
      <c r="E365" s="19" t="n"/>
      <c r="F365" s="19" t="n"/>
      <c r="G365" s="19" t="n"/>
      <c r="H365" s="19" t="n"/>
      <c r="I365" s="19" t="n"/>
      <c r="J365" s="19" t="n"/>
      <c r="K365" s="19" t="n"/>
      <c r="L365" s="19" t="n"/>
      <c r="M365" s="19" t="n"/>
      <c r="N365" s="19" t="n"/>
      <c r="O365" s="19" t="n"/>
      <c r="P365" s="19" t="n"/>
      <c r="Q365" s="19" t="n"/>
    </row>
    <row r="366" ht="15.75" customHeight="1" s="545">
      <c r="A366" s="19" t="n"/>
      <c r="B366" s="19" t="n"/>
      <c r="C366" s="19" t="n"/>
      <c r="D366" s="19" t="n"/>
      <c r="E366" s="19" t="n"/>
      <c r="F366" s="19" t="n"/>
      <c r="G366" s="19" t="n"/>
      <c r="H366" s="19" t="n"/>
      <c r="I366" s="19" t="n"/>
      <c r="J366" s="19" t="n"/>
      <c r="K366" s="19" t="n"/>
      <c r="L366" s="19" t="n"/>
      <c r="M366" s="19" t="n"/>
      <c r="N366" s="19" t="n"/>
      <c r="O366" s="19" t="n"/>
      <c r="P366" s="19" t="n"/>
      <c r="Q366" s="19" t="n"/>
    </row>
    <row r="367" ht="15.75" customHeight="1" s="545">
      <c r="A367" s="19" t="n"/>
      <c r="B367" s="19" t="n"/>
      <c r="C367" s="19" t="n"/>
      <c r="D367" s="19" t="n"/>
      <c r="E367" s="19" t="n"/>
      <c r="F367" s="19" t="n"/>
      <c r="G367" s="19" t="n"/>
      <c r="H367" s="19" t="n"/>
      <c r="I367" s="19" t="n"/>
      <c r="J367" s="19" t="n"/>
      <c r="K367" s="19" t="n"/>
      <c r="L367" s="19" t="n"/>
      <c r="M367" s="19" t="n"/>
      <c r="N367" s="19" t="n"/>
      <c r="O367" s="19" t="n"/>
      <c r="P367" s="19" t="n"/>
      <c r="Q367" s="19" t="n"/>
    </row>
    <row r="368" ht="15.75" customHeight="1" s="545">
      <c r="A368" s="19" t="n"/>
      <c r="B368" s="19" t="n"/>
      <c r="C368" s="19" t="n"/>
      <c r="D368" s="19" t="n"/>
      <c r="E368" s="19" t="n"/>
      <c r="F368" s="19" t="n"/>
      <c r="G368" s="19" t="n"/>
      <c r="H368" s="19" t="n"/>
      <c r="I368" s="19" t="n"/>
      <c r="J368" s="19" t="n"/>
      <c r="K368" s="19" t="n"/>
      <c r="L368" s="19" t="n"/>
      <c r="M368" s="19" t="n"/>
      <c r="N368" s="19" t="n"/>
      <c r="O368" s="19" t="n"/>
      <c r="P368" s="19" t="n"/>
      <c r="Q368" s="19" t="n"/>
    </row>
    <row r="369" ht="15.75" customHeight="1" s="545">
      <c r="A369" s="19" t="n"/>
      <c r="B369" s="19" t="n"/>
      <c r="C369" s="19" t="n"/>
      <c r="D369" s="19" t="n"/>
      <c r="E369" s="19" t="n"/>
      <c r="F369" s="19" t="n"/>
      <c r="G369" s="19" t="n"/>
      <c r="H369" s="19" t="n"/>
      <c r="I369" s="19" t="n"/>
      <c r="J369" s="19" t="n"/>
      <c r="K369" s="19" t="n"/>
      <c r="L369" s="19" t="n"/>
      <c r="M369" s="19" t="n"/>
      <c r="N369" s="19" t="n"/>
      <c r="O369" s="19" t="n"/>
      <c r="P369" s="19" t="n"/>
      <c r="Q369" s="19" t="n"/>
    </row>
    <row r="370" ht="15.75" customHeight="1" s="545">
      <c r="A370" s="19" t="n"/>
      <c r="B370" s="19" t="n"/>
      <c r="C370" s="19" t="n"/>
      <c r="D370" s="19" t="n"/>
      <c r="E370" s="19" t="n"/>
      <c r="F370" s="19" t="n"/>
      <c r="G370" s="19" t="n"/>
      <c r="H370" s="19" t="n"/>
      <c r="I370" s="19" t="n"/>
      <c r="J370" s="19" t="n"/>
      <c r="K370" s="19" t="n"/>
      <c r="L370" s="19" t="n"/>
      <c r="M370" s="19" t="n"/>
      <c r="N370" s="19" t="n"/>
      <c r="O370" s="19" t="n"/>
      <c r="P370" s="19" t="n"/>
      <c r="Q370" s="19" t="n"/>
    </row>
    <row r="371" ht="15.75" customHeight="1" s="545">
      <c r="A371" s="19" t="n"/>
      <c r="B371" s="19" t="n"/>
      <c r="C371" s="19" t="n"/>
      <c r="D371" s="19" t="n"/>
      <c r="E371" s="19" t="n"/>
      <c r="F371" s="19" t="n"/>
      <c r="G371" s="19" t="n"/>
      <c r="H371" s="19" t="n"/>
      <c r="I371" s="19" t="n"/>
      <c r="J371" s="19" t="n"/>
      <c r="K371" s="19" t="n"/>
      <c r="L371" s="19" t="n"/>
      <c r="M371" s="19" t="n"/>
      <c r="N371" s="19" t="n"/>
      <c r="O371" s="19" t="n"/>
      <c r="P371" s="19" t="n"/>
      <c r="Q371" s="19" t="n"/>
    </row>
    <row r="372" ht="15.75" customHeight="1" s="545">
      <c r="A372" s="19" t="n"/>
      <c r="B372" s="19" t="n"/>
      <c r="C372" s="19" t="n"/>
      <c r="D372" s="19" t="n"/>
      <c r="E372" s="19" t="n"/>
      <c r="F372" s="19" t="n"/>
      <c r="G372" s="19" t="n"/>
      <c r="H372" s="19" t="n"/>
      <c r="I372" s="19" t="n"/>
      <c r="J372" s="19" t="n"/>
      <c r="K372" s="19" t="n"/>
      <c r="L372" s="19" t="n"/>
      <c r="M372" s="19" t="n"/>
      <c r="N372" s="19" t="n"/>
      <c r="O372" s="19" t="n"/>
      <c r="P372" s="19" t="n"/>
      <c r="Q372" s="19" t="n"/>
    </row>
    <row r="373" ht="15.75" customHeight="1" s="545">
      <c r="A373" s="19" t="n"/>
      <c r="B373" s="19" t="n"/>
      <c r="C373" s="19" t="n"/>
      <c r="D373" s="19" t="n"/>
      <c r="E373" s="19" t="n"/>
      <c r="F373" s="19" t="n"/>
      <c r="G373" s="19" t="n"/>
      <c r="H373" s="19" t="n"/>
      <c r="I373" s="19" t="n"/>
      <c r="J373" s="19" t="n"/>
      <c r="K373" s="19" t="n"/>
      <c r="L373" s="19" t="n"/>
      <c r="M373" s="19" t="n"/>
      <c r="N373" s="19" t="n"/>
      <c r="O373" s="19" t="n"/>
      <c r="P373" s="19" t="n"/>
      <c r="Q373" s="19" t="n"/>
    </row>
    <row r="374" ht="15.75" customHeight="1" s="545">
      <c r="A374" s="19" t="n"/>
      <c r="B374" s="19" t="n"/>
      <c r="C374" s="19" t="n"/>
      <c r="D374" s="19" t="n"/>
      <c r="E374" s="19" t="n"/>
      <c r="F374" s="19" t="n"/>
      <c r="G374" s="19" t="n"/>
      <c r="H374" s="19" t="n"/>
      <c r="I374" s="19" t="n"/>
      <c r="J374" s="19" t="n"/>
      <c r="K374" s="19" t="n"/>
      <c r="L374" s="19" t="n"/>
      <c r="M374" s="19" t="n"/>
      <c r="N374" s="19" t="n"/>
      <c r="O374" s="19" t="n"/>
      <c r="P374" s="19" t="n"/>
      <c r="Q374" s="19" t="n"/>
    </row>
    <row r="375" ht="15.75" customHeight="1" s="545">
      <c r="A375" s="19" t="n"/>
      <c r="B375" s="19" t="n"/>
      <c r="C375" s="19" t="n"/>
      <c r="D375" s="19" t="n"/>
      <c r="E375" s="19" t="n"/>
      <c r="F375" s="19" t="n"/>
      <c r="G375" s="19" t="n"/>
      <c r="H375" s="19" t="n"/>
      <c r="I375" s="19" t="n"/>
      <c r="J375" s="19" t="n"/>
      <c r="K375" s="19" t="n"/>
      <c r="L375" s="19" t="n"/>
      <c r="M375" s="19" t="n"/>
      <c r="N375" s="19" t="n"/>
      <c r="O375" s="19" t="n"/>
      <c r="P375" s="19" t="n"/>
      <c r="Q375" s="19" t="n"/>
    </row>
    <row r="376" ht="15.75" customHeight="1" s="545">
      <c r="A376" s="19" t="n"/>
      <c r="B376" s="19" t="n"/>
      <c r="C376" s="19" t="n"/>
      <c r="D376" s="19" t="n"/>
      <c r="E376" s="19" t="n"/>
      <c r="F376" s="19" t="n"/>
      <c r="G376" s="19" t="n"/>
      <c r="H376" s="19" t="n"/>
      <c r="I376" s="19" t="n"/>
      <c r="J376" s="19" t="n"/>
      <c r="K376" s="19" t="n"/>
      <c r="L376" s="19" t="n"/>
      <c r="M376" s="19" t="n"/>
      <c r="N376" s="19" t="n"/>
      <c r="O376" s="19" t="n"/>
      <c r="P376" s="19" t="n"/>
      <c r="Q376" s="19" t="n"/>
    </row>
    <row r="377" ht="15.75" customHeight="1" s="545">
      <c r="A377" s="19" t="n"/>
      <c r="B377" s="19" t="n"/>
      <c r="C377" s="19" t="n"/>
      <c r="D377" s="19" t="n"/>
      <c r="E377" s="19" t="n"/>
      <c r="F377" s="19" t="n"/>
      <c r="G377" s="19" t="n"/>
      <c r="H377" s="19" t="n"/>
      <c r="I377" s="19" t="n"/>
      <c r="J377" s="19" t="n"/>
      <c r="K377" s="19" t="n"/>
      <c r="L377" s="19" t="n"/>
      <c r="M377" s="19" t="n"/>
      <c r="N377" s="19" t="n"/>
      <c r="O377" s="19" t="n"/>
      <c r="P377" s="19" t="n"/>
      <c r="Q377" s="19" t="n"/>
    </row>
    <row r="378" ht="15.75" customHeight="1" s="545">
      <c r="A378" s="19" t="n"/>
      <c r="B378" s="19" t="n"/>
      <c r="C378" s="19" t="n"/>
      <c r="D378" s="19" t="n"/>
      <c r="E378" s="19" t="n"/>
      <c r="F378" s="19" t="n"/>
      <c r="G378" s="19" t="n"/>
      <c r="H378" s="19" t="n"/>
      <c r="I378" s="19" t="n"/>
      <c r="J378" s="19" t="n"/>
      <c r="K378" s="19" t="n"/>
      <c r="L378" s="19" t="n"/>
      <c r="M378" s="19" t="n"/>
      <c r="N378" s="19" t="n"/>
      <c r="O378" s="19" t="n"/>
      <c r="P378" s="19" t="n"/>
      <c r="Q378" s="19" t="n"/>
    </row>
    <row r="379" ht="15.75" customHeight="1" s="545">
      <c r="A379" s="19" t="n"/>
      <c r="B379" s="19" t="n"/>
      <c r="C379" s="19" t="n"/>
      <c r="D379" s="19" t="n"/>
      <c r="E379" s="19" t="n"/>
      <c r="F379" s="19" t="n"/>
      <c r="G379" s="19" t="n"/>
      <c r="H379" s="19" t="n"/>
      <c r="I379" s="19" t="n"/>
      <c r="J379" s="19" t="n"/>
      <c r="K379" s="19" t="n"/>
      <c r="L379" s="19" t="n"/>
      <c r="M379" s="19" t="n"/>
      <c r="N379" s="19" t="n"/>
      <c r="O379" s="19" t="n"/>
      <c r="P379" s="19" t="n"/>
      <c r="Q379" s="19" t="n"/>
    </row>
    <row r="380" ht="15.75" customHeight="1" s="545">
      <c r="A380" s="19" t="n"/>
      <c r="B380" s="19" t="n"/>
      <c r="C380" s="19" t="n"/>
      <c r="D380" s="19" t="n"/>
      <c r="E380" s="19" t="n"/>
      <c r="F380" s="19" t="n"/>
      <c r="G380" s="19" t="n"/>
      <c r="H380" s="19" t="n"/>
      <c r="I380" s="19" t="n"/>
      <c r="J380" s="19" t="n"/>
      <c r="K380" s="19" t="n"/>
      <c r="L380" s="19" t="n"/>
      <c r="M380" s="19" t="n"/>
      <c r="N380" s="19" t="n"/>
      <c r="O380" s="19" t="n"/>
      <c r="P380" s="19" t="n"/>
      <c r="Q380" s="19" t="n"/>
    </row>
    <row r="381" ht="15.75" customHeight="1" s="545">
      <c r="A381" s="19" t="n"/>
      <c r="B381" s="19" t="n"/>
      <c r="C381" s="19" t="n"/>
      <c r="D381" s="19" t="n"/>
      <c r="E381" s="19" t="n"/>
      <c r="F381" s="19" t="n"/>
      <c r="G381" s="19" t="n"/>
      <c r="H381" s="19" t="n"/>
      <c r="I381" s="19" t="n"/>
      <c r="J381" s="19" t="n"/>
      <c r="K381" s="19" t="n"/>
      <c r="L381" s="19" t="n"/>
      <c r="M381" s="19" t="n"/>
      <c r="N381" s="19" t="n"/>
      <c r="O381" s="19" t="n"/>
      <c r="P381" s="19" t="n"/>
      <c r="Q381" s="19" t="n"/>
    </row>
    <row r="382" ht="15.75" customHeight="1" s="545">
      <c r="A382" s="19" t="n"/>
      <c r="B382" s="19" t="n"/>
      <c r="C382" s="19" t="n"/>
      <c r="D382" s="19" t="n"/>
      <c r="E382" s="19" t="n"/>
      <c r="F382" s="19" t="n"/>
      <c r="G382" s="19" t="n"/>
      <c r="H382" s="19" t="n"/>
      <c r="I382" s="19" t="n"/>
      <c r="J382" s="19" t="n"/>
      <c r="K382" s="19" t="n"/>
      <c r="L382" s="19" t="n"/>
      <c r="M382" s="19" t="n"/>
      <c r="N382" s="19" t="n"/>
      <c r="O382" s="19" t="n"/>
      <c r="P382" s="19" t="n"/>
      <c r="Q382" s="19" t="n"/>
    </row>
    <row r="383" ht="15.75" customHeight="1" s="545">
      <c r="A383" s="19" t="n"/>
      <c r="B383" s="19" t="n"/>
      <c r="C383" s="19" t="n"/>
      <c r="D383" s="19" t="n"/>
      <c r="E383" s="19" t="n"/>
      <c r="F383" s="19" t="n"/>
      <c r="G383" s="19" t="n"/>
      <c r="H383" s="19" t="n"/>
      <c r="I383" s="19" t="n"/>
      <c r="J383" s="19" t="n"/>
      <c r="K383" s="19" t="n"/>
      <c r="L383" s="19" t="n"/>
      <c r="M383" s="19" t="n"/>
      <c r="N383" s="19" t="n"/>
      <c r="O383" s="19" t="n"/>
      <c r="P383" s="19" t="n"/>
      <c r="Q383" s="19" t="n"/>
    </row>
    <row r="384" ht="15.75" customHeight="1" s="545">
      <c r="A384" s="19" t="n"/>
      <c r="B384" s="19" t="n"/>
      <c r="C384" s="19" t="n"/>
      <c r="D384" s="19" t="n"/>
      <c r="E384" s="19" t="n"/>
      <c r="F384" s="19" t="n"/>
      <c r="G384" s="19" t="n"/>
      <c r="H384" s="19" t="n"/>
      <c r="I384" s="19" t="n"/>
      <c r="J384" s="19" t="n"/>
      <c r="K384" s="19" t="n"/>
      <c r="L384" s="19" t="n"/>
      <c r="M384" s="19" t="n"/>
      <c r="N384" s="19" t="n"/>
      <c r="O384" s="19" t="n"/>
      <c r="P384" s="19" t="n"/>
      <c r="Q384" s="19" t="n"/>
    </row>
    <row r="385" ht="15.75" customHeight="1" s="545">
      <c r="A385" s="19" t="n"/>
      <c r="B385" s="19" t="n"/>
      <c r="C385" s="19" t="n"/>
      <c r="D385" s="19" t="n"/>
      <c r="E385" s="19" t="n"/>
      <c r="F385" s="19" t="n"/>
      <c r="G385" s="19" t="n"/>
      <c r="H385" s="19" t="n"/>
      <c r="I385" s="19" t="n"/>
      <c r="J385" s="19" t="n"/>
      <c r="K385" s="19" t="n"/>
      <c r="L385" s="19" t="n"/>
      <c r="M385" s="19" t="n"/>
      <c r="N385" s="19" t="n"/>
      <c r="O385" s="19" t="n"/>
      <c r="P385" s="19" t="n"/>
      <c r="Q385" s="19" t="n"/>
    </row>
    <row r="386" ht="15.75" customHeight="1" s="545">
      <c r="A386" s="19" t="n"/>
      <c r="B386" s="19" t="n"/>
      <c r="C386" s="19" t="n"/>
      <c r="D386" s="19" t="n"/>
      <c r="E386" s="19" t="n"/>
      <c r="F386" s="19" t="n"/>
      <c r="G386" s="19" t="n"/>
      <c r="H386" s="19" t="n"/>
      <c r="I386" s="19" t="n"/>
      <c r="J386" s="19" t="n"/>
      <c r="K386" s="19" t="n"/>
      <c r="L386" s="19" t="n"/>
      <c r="M386" s="19" t="n"/>
      <c r="N386" s="19" t="n"/>
      <c r="O386" s="19" t="n"/>
      <c r="P386" s="19" t="n"/>
      <c r="Q386" s="19" t="n"/>
    </row>
    <row r="387" ht="15.75" customHeight="1" s="545">
      <c r="A387" s="19" t="n"/>
      <c r="B387" s="19" t="n"/>
      <c r="C387" s="19" t="n"/>
      <c r="D387" s="19" t="n"/>
      <c r="E387" s="19" t="n"/>
      <c r="F387" s="19" t="n"/>
      <c r="G387" s="19" t="n"/>
      <c r="H387" s="19" t="n"/>
      <c r="I387" s="19" t="n"/>
      <c r="J387" s="19" t="n"/>
      <c r="K387" s="19" t="n"/>
      <c r="L387" s="19" t="n"/>
      <c r="M387" s="19" t="n"/>
      <c r="N387" s="19" t="n"/>
      <c r="O387" s="19" t="n"/>
      <c r="P387" s="19" t="n"/>
      <c r="Q387" s="19" t="n"/>
    </row>
    <row r="388" ht="15.75" customHeight="1" s="545">
      <c r="A388" s="19" t="n"/>
      <c r="B388" s="19" t="n"/>
      <c r="C388" s="19" t="n"/>
      <c r="D388" s="19" t="n"/>
      <c r="E388" s="19" t="n"/>
      <c r="F388" s="19" t="n"/>
      <c r="G388" s="19" t="n"/>
      <c r="H388" s="19" t="n"/>
      <c r="I388" s="19" t="n"/>
      <c r="J388" s="19" t="n"/>
      <c r="K388" s="19" t="n"/>
      <c r="L388" s="19" t="n"/>
      <c r="M388" s="19" t="n"/>
      <c r="N388" s="19" t="n"/>
      <c r="O388" s="19" t="n"/>
      <c r="P388" s="19" t="n"/>
      <c r="Q388" s="19" t="n"/>
    </row>
    <row r="389" ht="15.75" customHeight="1" s="545">
      <c r="A389" s="19" t="n"/>
      <c r="B389" s="19" t="n"/>
      <c r="C389" s="19" t="n"/>
      <c r="D389" s="19" t="n"/>
      <c r="E389" s="19" t="n"/>
      <c r="F389" s="19" t="n"/>
      <c r="G389" s="19" t="n"/>
      <c r="H389" s="19" t="n"/>
      <c r="I389" s="19" t="n"/>
      <c r="J389" s="19" t="n"/>
      <c r="K389" s="19" t="n"/>
      <c r="L389" s="19" t="n"/>
      <c r="M389" s="19" t="n"/>
      <c r="N389" s="19" t="n"/>
      <c r="O389" s="19" t="n"/>
      <c r="P389" s="19" t="n"/>
      <c r="Q389" s="19" t="n"/>
    </row>
    <row r="390" ht="15.75" customHeight="1" s="545">
      <c r="A390" s="19" t="n"/>
      <c r="B390" s="19" t="n"/>
      <c r="C390" s="19" t="n"/>
      <c r="D390" s="19" t="n"/>
      <c r="E390" s="19" t="n"/>
      <c r="F390" s="19" t="n"/>
      <c r="G390" s="19" t="n"/>
      <c r="H390" s="19" t="n"/>
      <c r="I390" s="19" t="n"/>
      <c r="J390" s="19" t="n"/>
      <c r="K390" s="19" t="n"/>
      <c r="L390" s="19" t="n"/>
      <c r="M390" s="19" t="n"/>
      <c r="N390" s="19" t="n"/>
      <c r="O390" s="19" t="n"/>
      <c r="P390" s="19" t="n"/>
      <c r="Q390" s="19" t="n"/>
    </row>
    <row r="391" ht="15.75" customHeight="1" s="545">
      <c r="A391" s="19" t="n"/>
      <c r="B391" s="19" t="n"/>
      <c r="C391" s="19" t="n"/>
      <c r="D391" s="19" t="n"/>
      <c r="E391" s="19" t="n"/>
      <c r="F391" s="19" t="n"/>
      <c r="G391" s="19" t="n"/>
      <c r="H391" s="19" t="n"/>
      <c r="I391" s="19" t="n"/>
      <c r="J391" s="19" t="n"/>
      <c r="K391" s="19" t="n"/>
      <c r="L391" s="19" t="n"/>
      <c r="M391" s="19" t="n"/>
      <c r="N391" s="19" t="n"/>
      <c r="O391" s="19" t="n"/>
      <c r="P391" s="19" t="n"/>
      <c r="Q391" s="19" t="n"/>
    </row>
    <row r="392" ht="15.75" customHeight="1" s="545">
      <c r="A392" s="19" t="n"/>
      <c r="B392" s="19" t="n"/>
      <c r="C392" s="19" t="n"/>
      <c r="D392" s="19" t="n"/>
      <c r="E392" s="19" t="n"/>
      <c r="F392" s="19" t="n"/>
      <c r="G392" s="19" t="n"/>
      <c r="H392" s="19" t="n"/>
      <c r="I392" s="19" t="n"/>
      <c r="J392" s="19" t="n"/>
      <c r="K392" s="19" t="n"/>
      <c r="L392" s="19" t="n"/>
      <c r="M392" s="19" t="n"/>
      <c r="N392" s="19" t="n"/>
      <c r="O392" s="19" t="n"/>
      <c r="P392" s="19" t="n"/>
      <c r="Q392" s="19" t="n"/>
    </row>
    <row r="393" ht="15.75" customHeight="1" s="545">
      <c r="A393" s="19" t="n"/>
      <c r="B393" s="19" t="n"/>
      <c r="C393" s="19" t="n"/>
      <c r="D393" s="19" t="n"/>
      <c r="E393" s="19" t="n"/>
      <c r="F393" s="19" t="n"/>
      <c r="G393" s="19" t="n"/>
      <c r="H393" s="19" t="n"/>
      <c r="I393" s="19" t="n"/>
      <c r="J393" s="19" t="n"/>
      <c r="K393" s="19" t="n"/>
      <c r="L393" s="19" t="n"/>
      <c r="M393" s="19" t="n"/>
      <c r="N393" s="19" t="n"/>
      <c r="O393" s="19" t="n"/>
      <c r="P393" s="19" t="n"/>
      <c r="Q393" s="19" t="n"/>
    </row>
    <row r="394" ht="15.75" customHeight="1" s="545">
      <c r="A394" s="19" t="n"/>
      <c r="B394" s="19" t="n"/>
      <c r="C394" s="19" t="n"/>
      <c r="D394" s="19" t="n"/>
      <c r="E394" s="19" t="n"/>
      <c r="F394" s="19" t="n"/>
      <c r="G394" s="19" t="n"/>
      <c r="H394" s="19" t="n"/>
      <c r="I394" s="19" t="n"/>
      <c r="J394" s="19" t="n"/>
      <c r="K394" s="19" t="n"/>
      <c r="L394" s="19" t="n"/>
      <c r="M394" s="19" t="n"/>
      <c r="N394" s="19" t="n"/>
      <c r="O394" s="19" t="n"/>
      <c r="P394" s="19" t="n"/>
      <c r="Q394" s="19" t="n"/>
    </row>
    <row r="395" ht="15.75" customHeight="1" s="545">
      <c r="A395" s="19" t="n"/>
      <c r="B395" s="19" t="n"/>
      <c r="C395" s="19" t="n"/>
      <c r="D395" s="19" t="n"/>
      <c r="E395" s="19" t="n"/>
      <c r="F395" s="19" t="n"/>
      <c r="G395" s="19" t="n"/>
      <c r="H395" s="19" t="n"/>
      <c r="I395" s="19" t="n"/>
      <c r="J395" s="19" t="n"/>
      <c r="K395" s="19" t="n"/>
      <c r="L395" s="19" t="n"/>
      <c r="M395" s="19" t="n"/>
      <c r="N395" s="19" t="n"/>
      <c r="O395" s="19" t="n"/>
      <c r="P395" s="19" t="n"/>
      <c r="Q395" s="19" t="n"/>
    </row>
    <row r="396" ht="15.75" customHeight="1" s="545">
      <c r="A396" s="19" t="n"/>
      <c r="B396" s="19" t="n"/>
      <c r="C396" s="19" t="n"/>
      <c r="D396" s="19" t="n"/>
      <c r="E396" s="19" t="n"/>
      <c r="F396" s="19" t="n"/>
      <c r="G396" s="19" t="n"/>
      <c r="H396" s="19" t="n"/>
      <c r="I396" s="19" t="n"/>
      <c r="J396" s="19" t="n"/>
      <c r="K396" s="19" t="n"/>
      <c r="L396" s="19" t="n"/>
      <c r="M396" s="19" t="n"/>
      <c r="N396" s="19" t="n"/>
      <c r="O396" s="19" t="n"/>
      <c r="P396" s="19" t="n"/>
      <c r="Q396" s="19" t="n"/>
    </row>
    <row r="397" ht="15.75" customHeight="1" s="545">
      <c r="A397" s="19" t="n"/>
      <c r="B397" s="19" t="n"/>
      <c r="C397" s="19" t="n"/>
      <c r="D397" s="19" t="n"/>
      <c r="E397" s="19" t="n"/>
      <c r="F397" s="19" t="n"/>
      <c r="G397" s="19" t="n"/>
      <c r="H397" s="19" t="n"/>
      <c r="I397" s="19" t="n"/>
      <c r="J397" s="19" t="n"/>
      <c r="K397" s="19" t="n"/>
      <c r="L397" s="19" t="n"/>
      <c r="M397" s="19" t="n"/>
      <c r="N397" s="19" t="n"/>
      <c r="O397" s="19" t="n"/>
      <c r="P397" s="19" t="n"/>
      <c r="Q397" s="19" t="n"/>
    </row>
    <row r="398" ht="15.75" customHeight="1" s="545">
      <c r="A398" s="19" t="n"/>
      <c r="B398" s="19" t="n"/>
      <c r="C398" s="19" t="n"/>
      <c r="D398" s="19" t="n"/>
      <c r="E398" s="19" t="n"/>
      <c r="F398" s="19" t="n"/>
      <c r="G398" s="19" t="n"/>
      <c r="H398" s="19" t="n"/>
      <c r="I398" s="19" t="n"/>
      <c r="J398" s="19" t="n"/>
      <c r="K398" s="19" t="n"/>
      <c r="L398" s="19" t="n"/>
      <c r="M398" s="19" t="n"/>
      <c r="N398" s="19" t="n"/>
      <c r="O398" s="19" t="n"/>
      <c r="P398" s="19" t="n"/>
      <c r="Q398" s="19" t="n"/>
    </row>
    <row r="399" ht="15.75" customHeight="1" s="545">
      <c r="A399" s="19" t="n"/>
      <c r="B399" s="19" t="n"/>
      <c r="C399" s="19" t="n"/>
      <c r="D399" s="19" t="n"/>
      <c r="E399" s="19" t="n"/>
      <c r="F399" s="19" t="n"/>
      <c r="G399" s="19" t="n"/>
      <c r="H399" s="19" t="n"/>
      <c r="I399" s="19" t="n"/>
      <c r="J399" s="19" t="n"/>
      <c r="K399" s="19" t="n"/>
      <c r="L399" s="19" t="n"/>
      <c r="M399" s="19" t="n"/>
      <c r="N399" s="19" t="n"/>
      <c r="O399" s="19" t="n"/>
      <c r="P399" s="19" t="n"/>
      <c r="Q399" s="19" t="n"/>
    </row>
    <row r="400" ht="15.75" customHeight="1" s="545">
      <c r="A400" s="19" t="n"/>
      <c r="B400" s="19" t="n"/>
      <c r="C400" s="19" t="n"/>
      <c r="D400" s="19" t="n"/>
      <c r="E400" s="19" t="n"/>
      <c r="F400" s="19" t="n"/>
      <c r="G400" s="19" t="n"/>
      <c r="H400" s="19" t="n"/>
      <c r="I400" s="19" t="n"/>
      <c r="J400" s="19" t="n"/>
      <c r="K400" s="19" t="n"/>
      <c r="L400" s="19" t="n"/>
      <c r="M400" s="19" t="n"/>
      <c r="N400" s="19" t="n"/>
      <c r="O400" s="19" t="n"/>
      <c r="P400" s="19" t="n"/>
      <c r="Q400" s="19" t="n"/>
    </row>
    <row r="401" ht="15.75" customHeight="1" s="545">
      <c r="A401" s="19" t="n"/>
      <c r="B401" s="19" t="n"/>
      <c r="C401" s="19" t="n"/>
      <c r="D401" s="19" t="n"/>
      <c r="E401" s="19" t="n"/>
      <c r="F401" s="19" t="n"/>
      <c r="G401" s="19" t="n"/>
      <c r="H401" s="19" t="n"/>
      <c r="I401" s="19" t="n"/>
      <c r="J401" s="19" t="n"/>
      <c r="K401" s="19" t="n"/>
      <c r="L401" s="19" t="n"/>
      <c r="M401" s="19" t="n"/>
      <c r="N401" s="19" t="n"/>
      <c r="O401" s="19" t="n"/>
      <c r="P401" s="19" t="n"/>
      <c r="Q401" s="19" t="n"/>
    </row>
    <row r="402" ht="15.75" customHeight="1" s="545">
      <c r="A402" s="19" t="n"/>
      <c r="B402" s="19" t="n"/>
      <c r="C402" s="19" t="n"/>
      <c r="D402" s="19" t="n"/>
      <c r="E402" s="19" t="n"/>
      <c r="F402" s="19" t="n"/>
      <c r="G402" s="19" t="n"/>
      <c r="H402" s="19" t="n"/>
      <c r="I402" s="19" t="n"/>
      <c r="J402" s="19" t="n"/>
      <c r="K402" s="19" t="n"/>
      <c r="L402" s="19" t="n"/>
      <c r="M402" s="19" t="n"/>
      <c r="N402" s="19" t="n"/>
      <c r="O402" s="19" t="n"/>
      <c r="P402" s="19" t="n"/>
      <c r="Q402" s="19" t="n"/>
    </row>
    <row r="403" ht="15.75" customHeight="1" s="545">
      <c r="A403" s="19" t="n"/>
      <c r="B403" s="19" t="n"/>
      <c r="C403" s="19" t="n"/>
      <c r="D403" s="19" t="n"/>
      <c r="E403" s="19" t="n"/>
      <c r="F403" s="19" t="n"/>
      <c r="G403" s="19" t="n"/>
      <c r="H403" s="19" t="n"/>
      <c r="I403" s="19" t="n"/>
      <c r="J403" s="19" t="n"/>
      <c r="K403" s="19" t="n"/>
      <c r="L403" s="19" t="n"/>
      <c r="M403" s="19" t="n"/>
      <c r="N403" s="19" t="n"/>
      <c r="O403" s="19" t="n"/>
      <c r="P403" s="19" t="n"/>
      <c r="Q403" s="19" t="n"/>
    </row>
    <row r="404" ht="15.75" customHeight="1" s="545">
      <c r="A404" s="19" t="n"/>
      <c r="B404" s="19" t="n"/>
      <c r="C404" s="19" t="n"/>
      <c r="D404" s="19" t="n"/>
      <c r="E404" s="19" t="n"/>
      <c r="F404" s="19" t="n"/>
      <c r="G404" s="19" t="n"/>
      <c r="H404" s="19" t="n"/>
      <c r="I404" s="19" t="n"/>
      <c r="J404" s="19" t="n"/>
      <c r="K404" s="19" t="n"/>
      <c r="L404" s="19" t="n"/>
      <c r="M404" s="19" t="n"/>
      <c r="N404" s="19" t="n"/>
      <c r="O404" s="19" t="n"/>
      <c r="P404" s="19" t="n"/>
      <c r="Q404" s="19" t="n"/>
    </row>
    <row r="405" ht="15.75" customHeight="1" s="545">
      <c r="A405" s="19" t="n"/>
      <c r="B405" s="19" t="n"/>
      <c r="C405" s="19" t="n"/>
      <c r="D405" s="19" t="n"/>
      <c r="E405" s="19" t="n"/>
      <c r="F405" s="19" t="n"/>
      <c r="G405" s="19" t="n"/>
      <c r="H405" s="19" t="n"/>
      <c r="I405" s="19" t="n"/>
      <c r="J405" s="19" t="n"/>
      <c r="K405" s="19" t="n"/>
      <c r="L405" s="19" t="n"/>
      <c r="M405" s="19" t="n"/>
      <c r="N405" s="19" t="n"/>
      <c r="O405" s="19" t="n"/>
      <c r="P405" s="19" t="n"/>
      <c r="Q405" s="19" t="n"/>
    </row>
    <row r="406" ht="15.75" customHeight="1" s="545">
      <c r="A406" s="19" t="n"/>
      <c r="B406" s="19" t="n"/>
      <c r="C406" s="19" t="n"/>
      <c r="D406" s="19" t="n"/>
      <c r="E406" s="19" t="n"/>
      <c r="F406" s="19" t="n"/>
      <c r="G406" s="19" t="n"/>
      <c r="H406" s="19" t="n"/>
      <c r="I406" s="19" t="n"/>
      <c r="J406" s="19" t="n"/>
      <c r="K406" s="19" t="n"/>
      <c r="L406" s="19" t="n"/>
      <c r="M406" s="19" t="n"/>
      <c r="N406" s="19" t="n"/>
      <c r="O406" s="19" t="n"/>
      <c r="P406" s="19" t="n"/>
      <c r="Q406" s="19" t="n"/>
    </row>
    <row r="407" ht="15.75" customHeight="1" s="545">
      <c r="A407" s="19" t="n"/>
      <c r="B407" s="19" t="n"/>
      <c r="C407" s="19" t="n"/>
      <c r="D407" s="19" t="n"/>
      <c r="E407" s="19" t="n"/>
      <c r="F407" s="19" t="n"/>
      <c r="G407" s="19" t="n"/>
      <c r="H407" s="19" t="n"/>
      <c r="I407" s="19" t="n"/>
      <c r="J407" s="19" t="n"/>
      <c r="K407" s="19" t="n"/>
      <c r="L407" s="19" t="n"/>
      <c r="M407" s="19" t="n"/>
      <c r="N407" s="19" t="n"/>
      <c r="O407" s="19" t="n"/>
      <c r="P407" s="19" t="n"/>
      <c r="Q407" s="19" t="n"/>
    </row>
    <row r="408" ht="15.75" customHeight="1" s="545">
      <c r="A408" s="19" t="n"/>
      <c r="B408" s="19" t="n"/>
      <c r="C408" s="19" t="n"/>
      <c r="D408" s="19" t="n"/>
      <c r="E408" s="19" t="n"/>
      <c r="F408" s="19" t="n"/>
      <c r="G408" s="19" t="n"/>
      <c r="H408" s="19" t="n"/>
      <c r="I408" s="19" t="n"/>
      <c r="J408" s="19" t="n"/>
      <c r="K408" s="19" t="n"/>
      <c r="L408" s="19" t="n"/>
      <c r="M408" s="19" t="n"/>
      <c r="N408" s="19" t="n"/>
      <c r="O408" s="19" t="n"/>
      <c r="P408" s="19" t="n"/>
      <c r="Q408" s="19" t="n"/>
    </row>
    <row r="409" ht="15.75" customHeight="1" s="545">
      <c r="A409" s="19" t="n"/>
      <c r="B409" s="19" t="n"/>
      <c r="C409" s="19" t="n"/>
      <c r="D409" s="19" t="n"/>
      <c r="E409" s="19" t="n"/>
      <c r="F409" s="19" t="n"/>
      <c r="G409" s="19" t="n"/>
      <c r="H409" s="19" t="n"/>
      <c r="I409" s="19" t="n"/>
      <c r="J409" s="19" t="n"/>
      <c r="K409" s="19" t="n"/>
      <c r="L409" s="19" t="n"/>
      <c r="M409" s="19" t="n"/>
      <c r="N409" s="19" t="n"/>
      <c r="O409" s="19" t="n"/>
      <c r="P409" s="19" t="n"/>
      <c r="Q409" s="19" t="n"/>
    </row>
    <row r="410" ht="15.75" customHeight="1" s="545">
      <c r="A410" s="19" t="n"/>
      <c r="B410" s="19" t="n"/>
      <c r="C410" s="19" t="n"/>
      <c r="D410" s="19" t="n"/>
      <c r="E410" s="19" t="n"/>
      <c r="F410" s="19" t="n"/>
      <c r="G410" s="19" t="n"/>
      <c r="H410" s="19" t="n"/>
      <c r="I410" s="19" t="n"/>
      <c r="J410" s="19" t="n"/>
      <c r="K410" s="19" t="n"/>
      <c r="L410" s="19" t="n"/>
      <c r="M410" s="19" t="n"/>
      <c r="N410" s="19" t="n"/>
      <c r="O410" s="19" t="n"/>
      <c r="P410" s="19" t="n"/>
      <c r="Q410" s="19" t="n"/>
    </row>
    <row r="411" ht="15.75" customHeight="1" s="545">
      <c r="A411" s="19" t="n"/>
      <c r="B411" s="19" t="n"/>
      <c r="C411" s="19" t="n"/>
      <c r="D411" s="19" t="n"/>
      <c r="E411" s="19" t="n"/>
      <c r="F411" s="19" t="n"/>
      <c r="G411" s="19" t="n"/>
      <c r="H411" s="19" t="n"/>
      <c r="I411" s="19" t="n"/>
      <c r="J411" s="19" t="n"/>
      <c r="K411" s="19" t="n"/>
      <c r="L411" s="19" t="n"/>
      <c r="M411" s="19" t="n"/>
      <c r="N411" s="19" t="n"/>
      <c r="O411" s="19" t="n"/>
      <c r="P411" s="19" t="n"/>
      <c r="Q411" s="19" t="n"/>
    </row>
    <row r="412" ht="15.75" customHeight="1" s="545">
      <c r="A412" s="19" t="n"/>
      <c r="B412" s="19" t="n"/>
      <c r="C412" s="19" t="n"/>
      <c r="D412" s="19" t="n"/>
      <c r="E412" s="19" t="n"/>
      <c r="F412" s="19" t="n"/>
      <c r="G412" s="19" t="n"/>
      <c r="H412" s="19" t="n"/>
      <c r="I412" s="19" t="n"/>
      <c r="J412" s="19" t="n"/>
      <c r="K412" s="19" t="n"/>
      <c r="L412" s="19" t="n"/>
      <c r="M412" s="19" t="n"/>
      <c r="N412" s="19" t="n"/>
      <c r="O412" s="19" t="n"/>
      <c r="P412" s="19" t="n"/>
      <c r="Q412" s="19" t="n"/>
    </row>
    <row r="413" ht="15.75" customHeight="1" s="545">
      <c r="A413" s="19" t="n"/>
      <c r="B413" s="19" t="n"/>
      <c r="C413" s="19" t="n"/>
      <c r="D413" s="19" t="n"/>
      <c r="E413" s="19" t="n"/>
      <c r="F413" s="19" t="n"/>
      <c r="G413" s="19" t="n"/>
      <c r="H413" s="19" t="n"/>
      <c r="I413" s="19" t="n"/>
      <c r="J413" s="19" t="n"/>
      <c r="K413" s="19" t="n"/>
      <c r="L413" s="19" t="n"/>
      <c r="M413" s="19" t="n"/>
      <c r="N413" s="19" t="n"/>
      <c r="O413" s="19" t="n"/>
      <c r="P413" s="19" t="n"/>
      <c r="Q413" s="19" t="n"/>
    </row>
    <row r="414" ht="15.75" customHeight="1" s="545">
      <c r="A414" s="19" t="n"/>
      <c r="B414" s="19" t="n"/>
      <c r="C414" s="19" t="n"/>
      <c r="D414" s="19" t="n"/>
      <c r="E414" s="19" t="n"/>
      <c r="F414" s="19" t="n"/>
      <c r="G414" s="19" t="n"/>
      <c r="H414" s="19" t="n"/>
      <c r="I414" s="19" t="n"/>
      <c r="J414" s="19" t="n"/>
      <c r="K414" s="19" t="n"/>
      <c r="L414" s="19" t="n"/>
      <c r="M414" s="19" t="n"/>
      <c r="N414" s="19" t="n"/>
      <c r="O414" s="19" t="n"/>
      <c r="P414" s="19" t="n"/>
      <c r="Q414" s="19" t="n"/>
    </row>
    <row r="415" ht="15.75" customHeight="1" s="545">
      <c r="A415" s="19" t="n"/>
      <c r="B415" s="19" t="n"/>
      <c r="C415" s="19" t="n"/>
      <c r="D415" s="19" t="n"/>
      <c r="E415" s="19" t="n"/>
      <c r="F415" s="19" t="n"/>
      <c r="G415" s="19" t="n"/>
      <c r="H415" s="19" t="n"/>
      <c r="I415" s="19" t="n"/>
      <c r="J415" s="19" t="n"/>
      <c r="K415" s="19" t="n"/>
      <c r="L415" s="19" t="n"/>
      <c r="M415" s="19" t="n"/>
      <c r="N415" s="19" t="n"/>
      <c r="O415" s="19" t="n"/>
      <c r="P415" s="19" t="n"/>
      <c r="Q415" s="19" t="n"/>
    </row>
    <row r="416" ht="15.75" customHeight="1" s="545">
      <c r="A416" s="19" t="n"/>
      <c r="B416" s="19" t="n"/>
      <c r="C416" s="19" t="n"/>
      <c r="D416" s="19" t="n"/>
      <c r="E416" s="19" t="n"/>
      <c r="F416" s="19" t="n"/>
      <c r="G416" s="19" t="n"/>
      <c r="H416" s="19" t="n"/>
      <c r="I416" s="19" t="n"/>
      <c r="J416" s="19" t="n"/>
      <c r="K416" s="19" t="n"/>
      <c r="L416" s="19" t="n"/>
      <c r="M416" s="19" t="n"/>
      <c r="N416" s="19" t="n"/>
      <c r="O416" s="19" t="n"/>
      <c r="P416" s="19" t="n"/>
      <c r="Q416" s="19" t="n"/>
    </row>
    <row r="417" ht="15.75" customHeight="1" s="545">
      <c r="A417" s="19" t="n"/>
      <c r="B417" s="19" t="n"/>
      <c r="C417" s="19" t="n"/>
      <c r="D417" s="19" t="n"/>
      <c r="E417" s="19" t="n"/>
      <c r="F417" s="19" t="n"/>
      <c r="G417" s="19" t="n"/>
      <c r="H417" s="19" t="n"/>
      <c r="I417" s="19" t="n"/>
      <c r="J417" s="19" t="n"/>
      <c r="K417" s="19" t="n"/>
      <c r="L417" s="19" t="n"/>
      <c r="M417" s="19" t="n"/>
      <c r="N417" s="19" t="n"/>
      <c r="O417" s="19" t="n"/>
      <c r="P417" s="19" t="n"/>
      <c r="Q417" s="19" t="n"/>
    </row>
    <row r="418" ht="15.75" customHeight="1" s="545">
      <c r="A418" s="19" t="n"/>
      <c r="B418" s="19" t="n"/>
      <c r="C418" s="19" t="n"/>
      <c r="D418" s="19" t="n"/>
      <c r="E418" s="19" t="n"/>
      <c r="F418" s="19" t="n"/>
      <c r="G418" s="19" t="n"/>
      <c r="H418" s="19" t="n"/>
      <c r="I418" s="19" t="n"/>
      <c r="J418" s="19" t="n"/>
      <c r="K418" s="19" t="n"/>
      <c r="L418" s="19" t="n"/>
      <c r="M418" s="19" t="n"/>
      <c r="N418" s="19" t="n"/>
      <c r="O418" s="19" t="n"/>
      <c r="P418" s="19" t="n"/>
      <c r="Q418" s="19" t="n"/>
    </row>
    <row r="419" ht="15.75" customHeight="1" s="545">
      <c r="A419" s="19" t="n"/>
      <c r="B419" s="19" t="n"/>
      <c r="C419" s="19" t="n"/>
      <c r="D419" s="19" t="n"/>
      <c r="E419" s="19" t="n"/>
      <c r="F419" s="19" t="n"/>
      <c r="G419" s="19" t="n"/>
      <c r="H419" s="19" t="n"/>
      <c r="I419" s="19" t="n"/>
      <c r="J419" s="19" t="n"/>
      <c r="K419" s="19" t="n"/>
      <c r="L419" s="19" t="n"/>
      <c r="M419" s="19" t="n"/>
      <c r="N419" s="19" t="n"/>
      <c r="O419" s="19" t="n"/>
      <c r="P419" s="19" t="n"/>
      <c r="Q419" s="19" t="n"/>
    </row>
    <row r="420" ht="15.75" customHeight="1" s="545">
      <c r="A420" s="19" t="n"/>
      <c r="B420" s="19" t="n"/>
      <c r="C420" s="19" t="n"/>
      <c r="D420" s="19" t="n"/>
      <c r="E420" s="19" t="n"/>
      <c r="F420" s="19" t="n"/>
      <c r="G420" s="19" t="n"/>
      <c r="H420" s="19" t="n"/>
      <c r="I420" s="19" t="n"/>
      <c r="J420" s="19" t="n"/>
      <c r="K420" s="19" t="n"/>
      <c r="L420" s="19" t="n"/>
      <c r="M420" s="19" t="n"/>
      <c r="N420" s="19" t="n"/>
      <c r="O420" s="19" t="n"/>
      <c r="P420" s="19" t="n"/>
      <c r="Q420" s="19" t="n"/>
    </row>
    <row r="421" ht="15.75" customHeight="1" s="545">
      <c r="A421" s="19" t="n"/>
      <c r="B421" s="19" t="n"/>
      <c r="C421" s="19" t="n"/>
      <c r="D421" s="19" t="n"/>
      <c r="E421" s="19" t="n"/>
      <c r="F421" s="19" t="n"/>
      <c r="G421" s="19" t="n"/>
      <c r="H421" s="19" t="n"/>
      <c r="I421" s="19" t="n"/>
      <c r="J421" s="19" t="n"/>
      <c r="K421" s="19" t="n"/>
      <c r="L421" s="19" t="n"/>
      <c r="M421" s="19" t="n"/>
      <c r="N421" s="19" t="n"/>
      <c r="O421" s="19" t="n"/>
      <c r="P421" s="19" t="n"/>
      <c r="Q421" s="19" t="n"/>
    </row>
    <row r="422" ht="15.75" customHeight="1" s="545">
      <c r="A422" s="19" t="n"/>
      <c r="B422" s="19" t="n"/>
      <c r="C422" s="19" t="n"/>
      <c r="D422" s="19" t="n"/>
      <c r="E422" s="19" t="n"/>
      <c r="F422" s="19" t="n"/>
      <c r="G422" s="19" t="n"/>
      <c r="H422" s="19" t="n"/>
      <c r="I422" s="19" t="n"/>
      <c r="J422" s="19" t="n"/>
      <c r="K422" s="19" t="n"/>
      <c r="L422" s="19" t="n"/>
      <c r="M422" s="19" t="n"/>
      <c r="N422" s="19" t="n"/>
      <c r="O422" s="19" t="n"/>
      <c r="P422" s="19" t="n"/>
      <c r="Q422" s="19" t="n"/>
    </row>
    <row r="423" ht="15.75" customHeight="1" s="545">
      <c r="A423" s="19" t="n"/>
      <c r="B423" s="19" t="n"/>
      <c r="C423" s="19" t="n"/>
      <c r="D423" s="19" t="n"/>
      <c r="E423" s="19" t="n"/>
      <c r="F423" s="19" t="n"/>
      <c r="G423" s="19" t="n"/>
      <c r="H423" s="19" t="n"/>
      <c r="I423" s="19" t="n"/>
      <c r="J423" s="19" t="n"/>
      <c r="K423" s="19" t="n"/>
      <c r="L423" s="19" t="n"/>
      <c r="M423" s="19" t="n"/>
      <c r="N423" s="19" t="n"/>
      <c r="O423" s="19" t="n"/>
      <c r="P423" s="19" t="n"/>
      <c r="Q423" s="19" t="n"/>
    </row>
    <row r="424" ht="15.75" customHeight="1" s="545">
      <c r="A424" s="19" t="n"/>
      <c r="B424" s="19" t="n"/>
      <c r="C424" s="19" t="n"/>
      <c r="D424" s="19" t="n"/>
      <c r="E424" s="19" t="n"/>
      <c r="F424" s="19" t="n"/>
      <c r="G424" s="19" t="n"/>
      <c r="H424" s="19" t="n"/>
      <c r="I424" s="19" t="n"/>
      <c r="J424" s="19" t="n"/>
      <c r="K424" s="19" t="n"/>
      <c r="L424" s="19" t="n"/>
      <c r="M424" s="19" t="n"/>
      <c r="N424" s="19" t="n"/>
      <c r="O424" s="19" t="n"/>
      <c r="P424" s="19" t="n"/>
      <c r="Q424" s="19" t="n"/>
    </row>
    <row r="425" ht="15.75" customHeight="1" s="545">
      <c r="A425" s="19" t="n"/>
      <c r="B425" s="19" t="n"/>
      <c r="C425" s="19" t="n"/>
      <c r="D425" s="19" t="n"/>
      <c r="E425" s="19" t="n"/>
      <c r="F425" s="19" t="n"/>
      <c r="G425" s="19" t="n"/>
      <c r="H425" s="19" t="n"/>
      <c r="I425" s="19" t="n"/>
      <c r="J425" s="19" t="n"/>
      <c r="K425" s="19" t="n"/>
      <c r="L425" s="19" t="n"/>
      <c r="M425" s="19" t="n"/>
      <c r="N425" s="19" t="n"/>
      <c r="O425" s="19" t="n"/>
      <c r="P425" s="19" t="n"/>
      <c r="Q425" s="19" t="n"/>
    </row>
    <row r="426" ht="15.75" customHeight="1" s="545">
      <c r="A426" s="19" t="n"/>
      <c r="B426" s="19" t="n"/>
      <c r="C426" s="19" t="n"/>
      <c r="D426" s="19" t="n"/>
      <c r="E426" s="19" t="n"/>
      <c r="F426" s="19" t="n"/>
      <c r="G426" s="19" t="n"/>
      <c r="H426" s="19" t="n"/>
      <c r="I426" s="19" t="n"/>
      <c r="J426" s="19" t="n"/>
      <c r="K426" s="19" t="n"/>
      <c r="L426" s="19" t="n"/>
      <c r="M426" s="19" t="n"/>
      <c r="N426" s="19" t="n"/>
      <c r="O426" s="19" t="n"/>
      <c r="P426" s="19" t="n"/>
      <c r="Q426" s="19" t="n"/>
    </row>
    <row r="427" ht="15.75" customHeight="1" s="545">
      <c r="A427" s="19" t="n"/>
      <c r="B427" s="19" t="n"/>
      <c r="C427" s="19" t="n"/>
      <c r="D427" s="19" t="n"/>
      <c r="E427" s="19" t="n"/>
      <c r="F427" s="19" t="n"/>
      <c r="G427" s="19" t="n"/>
      <c r="H427" s="19" t="n"/>
      <c r="I427" s="19" t="n"/>
      <c r="J427" s="19" t="n"/>
      <c r="K427" s="19" t="n"/>
      <c r="L427" s="19" t="n"/>
      <c r="M427" s="19" t="n"/>
      <c r="N427" s="19" t="n"/>
      <c r="O427" s="19" t="n"/>
      <c r="P427" s="19" t="n"/>
      <c r="Q427" s="19" t="n"/>
    </row>
    <row r="428" ht="15.75" customHeight="1" s="545">
      <c r="A428" s="19" t="n"/>
      <c r="B428" s="19" t="n"/>
      <c r="C428" s="19" t="n"/>
      <c r="D428" s="19" t="n"/>
      <c r="E428" s="19" t="n"/>
      <c r="F428" s="19" t="n"/>
      <c r="G428" s="19" t="n"/>
      <c r="H428" s="19" t="n"/>
      <c r="I428" s="19" t="n"/>
      <c r="J428" s="19" t="n"/>
      <c r="K428" s="19" t="n"/>
      <c r="L428" s="19" t="n"/>
      <c r="M428" s="19" t="n"/>
      <c r="N428" s="19" t="n"/>
      <c r="O428" s="19" t="n"/>
      <c r="P428" s="19" t="n"/>
      <c r="Q428" s="19" t="n"/>
    </row>
    <row r="429" ht="15.75" customHeight="1" s="545">
      <c r="A429" s="19" t="n"/>
      <c r="B429" s="19" t="n"/>
      <c r="C429" s="19" t="n"/>
      <c r="D429" s="19" t="n"/>
      <c r="E429" s="19" t="n"/>
      <c r="F429" s="19" t="n"/>
      <c r="G429" s="19" t="n"/>
      <c r="H429" s="19" t="n"/>
      <c r="I429" s="19" t="n"/>
      <c r="J429" s="19" t="n"/>
      <c r="K429" s="19" t="n"/>
      <c r="L429" s="19" t="n"/>
      <c r="M429" s="19" t="n"/>
      <c r="N429" s="19" t="n"/>
      <c r="O429" s="19" t="n"/>
      <c r="P429" s="19" t="n"/>
      <c r="Q429" s="19" t="n"/>
    </row>
    <row r="430" ht="15.75" customHeight="1" s="545">
      <c r="A430" s="19" t="n"/>
      <c r="B430" s="19" t="n"/>
      <c r="C430" s="19" t="n"/>
      <c r="D430" s="19" t="n"/>
      <c r="E430" s="19" t="n"/>
      <c r="F430" s="19" t="n"/>
      <c r="G430" s="19" t="n"/>
      <c r="H430" s="19" t="n"/>
      <c r="I430" s="19" t="n"/>
      <c r="J430" s="19" t="n"/>
      <c r="K430" s="19" t="n"/>
      <c r="L430" s="19" t="n"/>
      <c r="M430" s="19" t="n"/>
      <c r="N430" s="19" t="n"/>
      <c r="O430" s="19" t="n"/>
      <c r="P430" s="19" t="n"/>
      <c r="Q430" s="19" t="n"/>
    </row>
    <row r="431" ht="15.75" customHeight="1" s="545">
      <c r="A431" s="19" t="n"/>
      <c r="B431" s="19" t="n"/>
      <c r="C431" s="19" t="n"/>
      <c r="D431" s="19" t="n"/>
      <c r="E431" s="19" t="n"/>
      <c r="F431" s="19" t="n"/>
      <c r="G431" s="19" t="n"/>
      <c r="H431" s="19" t="n"/>
      <c r="I431" s="19" t="n"/>
      <c r="J431" s="19" t="n"/>
      <c r="K431" s="19" t="n"/>
      <c r="L431" s="19" t="n"/>
      <c r="M431" s="19" t="n"/>
      <c r="N431" s="19" t="n"/>
      <c r="O431" s="19" t="n"/>
      <c r="P431" s="19" t="n"/>
      <c r="Q431" s="19" t="n"/>
    </row>
    <row r="432" ht="15.75" customHeight="1" s="545">
      <c r="A432" s="19" t="n"/>
      <c r="B432" s="19" t="n"/>
      <c r="C432" s="19" t="n"/>
      <c r="D432" s="19" t="n"/>
      <c r="E432" s="19" t="n"/>
      <c r="F432" s="19" t="n"/>
      <c r="G432" s="19" t="n"/>
      <c r="H432" s="19" t="n"/>
      <c r="I432" s="19" t="n"/>
      <c r="J432" s="19" t="n"/>
      <c r="K432" s="19" t="n"/>
      <c r="L432" s="19" t="n"/>
      <c r="M432" s="19" t="n"/>
      <c r="N432" s="19" t="n"/>
      <c r="O432" s="19" t="n"/>
      <c r="P432" s="19" t="n"/>
      <c r="Q432" s="19" t="n"/>
    </row>
    <row r="433" ht="15.75" customHeight="1" s="545">
      <c r="A433" s="19" t="n"/>
      <c r="B433" s="19" t="n"/>
      <c r="C433" s="19" t="n"/>
      <c r="D433" s="19" t="n"/>
      <c r="E433" s="19" t="n"/>
      <c r="F433" s="19" t="n"/>
      <c r="G433" s="19" t="n"/>
      <c r="H433" s="19" t="n"/>
      <c r="I433" s="19" t="n"/>
      <c r="J433" s="19" t="n"/>
      <c r="K433" s="19" t="n"/>
      <c r="L433" s="19" t="n"/>
      <c r="M433" s="19" t="n"/>
      <c r="N433" s="19" t="n"/>
      <c r="O433" s="19" t="n"/>
      <c r="P433" s="19" t="n"/>
      <c r="Q433" s="19" t="n"/>
    </row>
    <row r="434" ht="15.75" customHeight="1" s="545">
      <c r="A434" s="19" t="n"/>
      <c r="B434" s="19" t="n"/>
      <c r="C434" s="19" t="n"/>
      <c r="D434" s="19" t="n"/>
      <c r="E434" s="19" t="n"/>
      <c r="F434" s="19" t="n"/>
      <c r="G434" s="19" t="n"/>
      <c r="H434" s="19" t="n"/>
      <c r="I434" s="19" t="n"/>
      <c r="J434" s="19" t="n"/>
      <c r="K434" s="19" t="n"/>
      <c r="L434" s="19" t="n"/>
      <c r="M434" s="19" t="n"/>
      <c r="N434" s="19" t="n"/>
      <c r="O434" s="19" t="n"/>
      <c r="P434" s="19" t="n"/>
      <c r="Q434" s="19" t="n"/>
    </row>
    <row r="435" ht="15.75" customHeight="1" s="545">
      <c r="A435" s="19" t="n"/>
      <c r="B435" s="19" t="n"/>
      <c r="C435" s="19" t="n"/>
      <c r="D435" s="19" t="n"/>
      <c r="E435" s="19" t="n"/>
      <c r="F435" s="19" t="n"/>
      <c r="G435" s="19" t="n"/>
      <c r="H435" s="19" t="n"/>
      <c r="I435" s="19" t="n"/>
      <c r="J435" s="19" t="n"/>
      <c r="K435" s="19" t="n"/>
      <c r="L435" s="19" t="n"/>
      <c r="M435" s="19" t="n"/>
      <c r="N435" s="19" t="n"/>
      <c r="O435" s="19" t="n"/>
      <c r="P435" s="19" t="n"/>
      <c r="Q435" s="19" t="n"/>
    </row>
    <row r="436" ht="15.75" customHeight="1" s="545">
      <c r="A436" s="19" t="n"/>
      <c r="B436" s="19" t="n"/>
      <c r="C436" s="19" t="n"/>
      <c r="D436" s="19" t="n"/>
      <c r="E436" s="19" t="n"/>
      <c r="F436" s="19" t="n"/>
      <c r="G436" s="19" t="n"/>
      <c r="H436" s="19" t="n"/>
      <c r="I436" s="19" t="n"/>
      <c r="J436" s="19" t="n"/>
      <c r="K436" s="19" t="n"/>
      <c r="L436" s="19" t="n"/>
      <c r="M436" s="19" t="n"/>
      <c r="N436" s="19" t="n"/>
      <c r="O436" s="19" t="n"/>
      <c r="P436" s="19" t="n"/>
      <c r="Q436" s="19" t="n"/>
    </row>
    <row r="437" ht="15.75" customHeight="1" s="545">
      <c r="A437" s="19" t="n"/>
      <c r="B437" s="19" t="n"/>
      <c r="C437" s="19" t="n"/>
      <c r="D437" s="19" t="n"/>
      <c r="E437" s="19" t="n"/>
      <c r="F437" s="19" t="n"/>
      <c r="G437" s="19" t="n"/>
      <c r="H437" s="19" t="n"/>
      <c r="I437" s="19" t="n"/>
      <c r="J437" s="19" t="n"/>
      <c r="K437" s="19" t="n"/>
      <c r="L437" s="19" t="n"/>
      <c r="M437" s="19" t="n"/>
      <c r="N437" s="19" t="n"/>
      <c r="O437" s="19" t="n"/>
      <c r="P437" s="19" t="n"/>
      <c r="Q437" s="19" t="n"/>
    </row>
    <row r="438" ht="15.75" customHeight="1" s="545">
      <c r="A438" s="19" t="n"/>
      <c r="B438" s="19" t="n"/>
      <c r="C438" s="19" t="n"/>
      <c r="D438" s="19" t="n"/>
      <c r="E438" s="19" t="n"/>
      <c r="F438" s="19" t="n"/>
      <c r="G438" s="19" t="n"/>
      <c r="H438" s="19" t="n"/>
      <c r="I438" s="19" t="n"/>
      <c r="J438" s="19" t="n"/>
      <c r="K438" s="19" t="n"/>
      <c r="L438" s="19" t="n"/>
      <c r="M438" s="19" t="n"/>
      <c r="N438" s="19" t="n"/>
      <c r="O438" s="19" t="n"/>
      <c r="P438" s="19" t="n"/>
      <c r="Q438" s="19" t="n"/>
    </row>
    <row r="439" ht="15.75" customHeight="1" s="545">
      <c r="A439" s="19" t="n"/>
      <c r="B439" s="19" t="n"/>
      <c r="C439" s="19" t="n"/>
      <c r="D439" s="19" t="n"/>
      <c r="E439" s="19" t="n"/>
      <c r="F439" s="19" t="n"/>
      <c r="G439" s="19" t="n"/>
      <c r="H439" s="19" t="n"/>
      <c r="I439" s="19" t="n"/>
      <c r="J439" s="19" t="n"/>
      <c r="K439" s="19" t="n"/>
      <c r="L439" s="19" t="n"/>
      <c r="M439" s="19" t="n"/>
      <c r="N439" s="19" t="n"/>
      <c r="O439" s="19" t="n"/>
      <c r="P439" s="19" t="n"/>
      <c r="Q439" s="19" t="n"/>
    </row>
    <row r="440" ht="15.75" customHeight="1" s="545">
      <c r="A440" s="19" t="n"/>
      <c r="B440" s="19" t="n"/>
      <c r="C440" s="19" t="n"/>
      <c r="D440" s="19" t="n"/>
      <c r="E440" s="19" t="n"/>
      <c r="F440" s="19" t="n"/>
      <c r="G440" s="19" t="n"/>
      <c r="H440" s="19" t="n"/>
      <c r="I440" s="19" t="n"/>
      <c r="J440" s="19" t="n"/>
      <c r="K440" s="19" t="n"/>
      <c r="L440" s="19" t="n"/>
      <c r="M440" s="19" t="n"/>
      <c r="N440" s="19" t="n"/>
      <c r="O440" s="19" t="n"/>
      <c r="P440" s="19" t="n"/>
      <c r="Q440" s="19" t="n"/>
    </row>
    <row r="441" ht="15.75" customHeight="1" s="545">
      <c r="A441" s="19" t="n"/>
      <c r="B441" s="19" t="n"/>
      <c r="C441" s="19" t="n"/>
      <c r="D441" s="19" t="n"/>
      <c r="E441" s="19" t="n"/>
      <c r="F441" s="19" t="n"/>
      <c r="G441" s="19" t="n"/>
      <c r="H441" s="19" t="n"/>
      <c r="I441" s="19" t="n"/>
      <c r="J441" s="19" t="n"/>
      <c r="K441" s="19" t="n"/>
      <c r="L441" s="19" t="n"/>
      <c r="M441" s="19" t="n"/>
      <c r="N441" s="19" t="n"/>
      <c r="O441" s="19" t="n"/>
      <c r="P441" s="19" t="n"/>
      <c r="Q441" s="19" t="n"/>
    </row>
    <row r="442" ht="15.75" customHeight="1" s="545">
      <c r="A442" s="19" t="n"/>
      <c r="B442" s="19" t="n"/>
      <c r="C442" s="19" t="n"/>
      <c r="D442" s="19" t="n"/>
      <c r="E442" s="19" t="n"/>
      <c r="F442" s="19" t="n"/>
      <c r="G442" s="19" t="n"/>
      <c r="H442" s="19" t="n"/>
      <c r="I442" s="19" t="n"/>
      <c r="J442" s="19" t="n"/>
      <c r="K442" s="19" t="n"/>
      <c r="L442" s="19" t="n"/>
      <c r="M442" s="19" t="n"/>
      <c r="N442" s="19" t="n"/>
      <c r="O442" s="19" t="n"/>
      <c r="P442" s="19" t="n"/>
      <c r="Q442" s="19" t="n"/>
    </row>
    <row r="443" ht="15.75" customHeight="1" s="545">
      <c r="A443" s="19" t="n"/>
      <c r="B443" s="19" t="n"/>
      <c r="C443" s="19" t="n"/>
      <c r="D443" s="19" t="n"/>
      <c r="E443" s="19" t="n"/>
      <c r="F443" s="19" t="n"/>
      <c r="G443" s="19" t="n"/>
      <c r="H443" s="19" t="n"/>
      <c r="I443" s="19" t="n"/>
      <c r="J443" s="19" t="n"/>
      <c r="K443" s="19" t="n"/>
      <c r="L443" s="19" t="n"/>
      <c r="M443" s="19" t="n"/>
      <c r="N443" s="19" t="n"/>
      <c r="O443" s="19" t="n"/>
      <c r="P443" s="19" t="n"/>
      <c r="Q443" s="19" t="n"/>
    </row>
    <row r="444" ht="15.75" customHeight="1" s="545">
      <c r="A444" s="19" t="n"/>
      <c r="B444" s="19" t="n"/>
      <c r="C444" s="19" t="n"/>
      <c r="D444" s="19" t="n"/>
      <c r="E444" s="19" t="n"/>
      <c r="F444" s="19" t="n"/>
      <c r="G444" s="19" t="n"/>
      <c r="H444" s="19" t="n"/>
      <c r="I444" s="19" t="n"/>
      <c r="J444" s="19" t="n"/>
      <c r="K444" s="19" t="n"/>
      <c r="L444" s="19" t="n"/>
      <c r="M444" s="19" t="n"/>
      <c r="N444" s="19" t="n"/>
      <c r="O444" s="19" t="n"/>
      <c r="P444" s="19" t="n"/>
      <c r="Q444" s="19" t="n"/>
    </row>
    <row r="445" ht="15.75" customHeight="1" s="545">
      <c r="A445" s="19" t="n"/>
      <c r="B445" s="19" t="n"/>
      <c r="C445" s="19" t="n"/>
      <c r="D445" s="19" t="n"/>
      <c r="E445" s="19" t="n"/>
      <c r="F445" s="19" t="n"/>
      <c r="G445" s="19" t="n"/>
      <c r="H445" s="19" t="n"/>
      <c r="I445" s="19" t="n"/>
      <c r="J445" s="19" t="n"/>
      <c r="K445" s="19" t="n"/>
      <c r="L445" s="19" t="n"/>
      <c r="M445" s="19" t="n"/>
      <c r="N445" s="19" t="n"/>
      <c r="O445" s="19" t="n"/>
      <c r="P445" s="19" t="n"/>
      <c r="Q445" s="19" t="n"/>
    </row>
    <row r="446" ht="15.75" customHeight="1" s="545">
      <c r="A446" s="19" t="n"/>
      <c r="B446" s="19" t="n"/>
      <c r="C446" s="19" t="n"/>
      <c r="D446" s="19" t="n"/>
      <c r="E446" s="19" t="n"/>
      <c r="F446" s="19" t="n"/>
      <c r="G446" s="19" t="n"/>
      <c r="H446" s="19" t="n"/>
      <c r="I446" s="19" t="n"/>
      <c r="J446" s="19" t="n"/>
      <c r="K446" s="19" t="n"/>
      <c r="L446" s="19" t="n"/>
      <c r="M446" s="19" t="n"/>
      <c r="N446" s="19" t="n"/>
      <c r="O446" s="19" t="n"/>
      <c r="P446" s="19" t="n"/>
      <c r="Q446" s="19" t="n"/>
    </row>
    <row r="447" ht="15.75" customHeight="1" s="545">
      <c r="A447" s="19" t="n"/>
      <c r="B447" s="19" t="n"/>
      <c r="C447" s="19" t="n"/>
      <c r="D447" s="19" t="n"/>
      <c r="E447" s="19" t="n"/>
      <c r="F447" s="19" t="n"/>
      <c r="G447" s="19" t="n"/>
      <c r="H447" s="19" t="n"/>
      <c r="I447" s="19" t="n"/>
      <c r="J447" s="19" t="n"/>
      <c r="K447" s="19" t="n"/>
      <c r="L447" s="19" t="n"/>
      <c r="M447" s="19" t="n"/>
      <c r="N447" s="19" t="n"/>
      <c r="O447" s="19" t="n"/>
      <c r="P447" s="19" t="n"/>
      <c r="Q447" s="19" t="n"/>
    </row>
    <row r="448" ht="15.75" customHeight="1" s="545">
      <c r="A448" s="19" t="n"/>
      <c r="B448" s="19" t="n"/>
      <c r="C448" s="19" t="n"/>
      <c r="D448" s="19" t="n"/>
      <c r="E448" s="19" t="n"/>
      <c r="F448" s="19" t="n"/>
      <c r="G448" s="19" t="n"/>
      <c r="H448" s="19" t="n"/>
      <c r="I448" s="19" t="n"/>
      <c r="J448" s="19" t="n"/>
      <c r="K448" s="19" t="n"/>
      <c r="L448" s="19" t="n"/>
      <c r="M448" s="19" t="n"/>
      <c r="N448" s="19" t="n"/>
      <c r="O448" s="19" t="n"/>
      <c r="P448" s="19" t="n"/>
      <c r="Q448" s="19" t="n"/>
    </row>
    <row r="449" ht="15.75" customHeight="1" s="545">
      <c r="A449" s="19" t="n"/>
      <c r="B449" s="19" t="n"/>
      <c r="C449" s="19" t="n"/>
      <c r="D449" s="19" t="n"/>
      <c r="E449" s="19" t="n"/>
      <c r="F449" s="19" t="n"/>
      <c r="G449" s="19" t="n"/>
      <c r="H449" s="19" t="n"/>
      <c r="I449" s="19" t="n"/>
      <c r="J449" s="19" t="n"/>
      <c r="K449" s="19" t="n"/>
      <c r="L449" s="19" t="n"/>
      <c r="M449" s="19" t="n"/>
      <c r="N449" s="19" t="n"/>
      <c r="O449" s="19" t="n"/>
      <c r="P449" s="19" t="n"/>
      <c r="Q449" s="19" t="n"/>
    </row>
    <row r="450" ht="15.75" customHeight="1" s="545">
      <c r="A450" s="19" t="n"/>
      <c r="B450" s="19" t="n"/>
      <c r="C450" s="19" t="n"/>
      <c r="D450" s="19" t="n"/>
      <c r="E450" s="19" t="n"/>
      <c r="F450" s="19" t="n"/>
      <c r="G450" s="19" t="n"/>
      <c r="H450" s="19" t="n"/>
      <c r="I450" s="19" t="n"/>
      <c r="J450" s="19" t="n"/>
      <c r="K450" s="19" t="n"/>
      <c r="L450" s="19" t="n"/>
      <c r="M450" s="19" t="n"/>
      <c r="N450" s="19" t="n"/>
      <c r="O450" s="19" t="n"/>
      <c r="P450" s="19" t="n"/>
      <c r="Q450" s="19" t="n"/>
    </row>
    <row r="451" ht="15.75" customHeight="1" s="545">
      <c r="A451" s="19" t="n"/>
      <c r="B451" s="19" t="n"/>
      <c r="C451" s="19" t="n"/>
      <c r="D451" s="19" t="n"/>
      <c r="E451" s="19" t="n"/>
      <c r="F451" s="19" t="n"/>
      <c r="G451" s="19" t="n"/>
      <c r="H451" s="19" t="n"/>
      <c r="I451" s="19" t="n"/>
      <c r="J451" s="19" t="n"/>
      <c r="K451" s="19" t="n"/>
      <c r="L451" s="19" t="n"/>
      <c r="M451" s="19" t="n"/>
      <c r="N451" s="19" t="n"/>
      <c r="O451" s="19" t="n"/>
      <c r="P451" s="19" t="n"/>
      <c r="Q451" s="19" t="n"/>
    </row>
    <row r="452" ht="15.75" customHeight="1" s="545">
      <c r="A452" s="19" t="n"/>
      <c r="B452" s="19" t="n"/>
      <c r="C452" s="19" t="n"/>
      <c r="D452" s="19" t="n"/>
      <c r="E452" s="19" t="n"/>
      <c r="F452" s="19" t="n"/>
      <c r="G452" s="19" t="n"/>
      <c r="H452" s="19" t="n"/>
      <c r="I452" s="19" t="n"/>
      <c r="J452" s="19" t="n"/>
      <c r="K452" s="19" t="n"/>
      <c r="L452" s="19" t="n"/>
      <c r="M452" s="19" t="n"/>
      <c r="N452" s="19" t="n"/>
      <c r="O452" s="19" t="n"/>
      <c r="P452" s="19" t="n"/>
      <c r="Q452" s="19" t="n"/>
    </row>
    <row r="453" ht="15.75" customHeight="1" s="545">
      <c r="A453" s="19" t="n"/>
      <c r="B453" s="19" t="n"/>
      <c r="C453" s="19" t="n"/>
      <c r="D453" s="19" t="n"/>
      <c r="E453" s="19" t="n"/>
      <c r="F453" s="19" t="n"/>
      <c r="G453" s="19" t="n"/>
      <c r="H453" s="19" t="n"/>
      <c r="I453" s="19" t="n"/>
      <c r="J453" s="19" t="n"/>
      <c r="K453" s="19" t="n"/>
      <c r="L453" s="19" t="n"/>
      <c r="M453" s="19" t="n"/>
      <c r="N453" s="19" t="n"/>
      <c r="O453" s="19" t="n"/>
      <c r="P453" s="19" t="n"/>
      <c r="Q453" s="19" t="n"/>
    </row>
    <row r="454" ht="15.75" customHeight="1" s="545">
      <c r="A454" s="19" t="n"/>
      <c r="B454" s="19" t="n"/>
      <c r="C454" s="19" t="n"/>
      <c r="D454" s="19" t="n"/>
      <c r="E454" s="19" t="n"/>
      <c r="F454" s="19" t="n"/>
      <c r="G454" s="19" t="n"/>
      <c r="H454" s="19" t="n"/>
      <c r="I454" s="19" t="n"/>
      <c r="J454" s="19" t="n"/>
      <c r="K454" s="19" t="n"/>
      <c r="L454" s="19" t="n"/>
      <c r="M454" s="19" t="n"/>
      <c r="N454" s="19" t="n"/>
      <c r="O454" s="19" t="n"/>
      <c r="P454" s="19" t="n"/>
      <c r="Q454" s="19" t="n"/>
    </row>
    <row r="455" ht="15.75" customHeight="1" s="545">
      <c r="A455" s="19" t="n"/>
      <c r="B455" s="19" t="n"/>
      <c r="C455" s="19" t="n"/>
      <c r="D455" s="19" t="n"/>
      <c r="E455" s="19" t="n"/>
      <c r="F455" s="19" t="n"/>
      <c r="G455" s="19" t="n"/>
      <c r="H455" s="19" t="n"/>
      <c r="I455" s="19" t="n"/>
      <c r="J455" s="19" t="n"/>
      <c r="K455" s="19" t="n"/>
      <c r="L455" s="19" t="n"/>
      <c r="M455" s="19" t="n"/>
      <c r="N455" s="19" t="n"/>
      <c r="O455" s="19" t="n"/>
      <c r="P455" s="19" t="n"/>
      <c r="Q455" s="19" t="n"/>
    </row>
    <row r="456" ht="15.75" customHeight="1" s="545">
      <c r="A456" s="19" t="n"/>
      <c r="B456" s="19" t="n"/>
      <c r="C456" s="19" t="n"/>
      <c r="D456" s="19" t="n"/>
      <c r="E456" s="19" t="n"/>
      <c r="F456" s="19" t="n"/>
      <c r="G456" s="19" t="n"/>
      <c r="H456" s="19" t="n"/>
      <c r="I456" s="19" t="n"/>
      <c r="J456" s="19" t="n"/>
      <c r="K456" s="19" t="n"/>
      <c r="L456" s="19" t="n"/>
      <c r="M456" s="19" t="n"/>
      <c r="N456" s="19" t="n"/>
      <c r="O456" s="19" t="n"/>
      <c r="P456" s="19" t="n"/>
      <c r="Q456" s="19" t="n"/>
    </row>
    <row r="457" ht="15.75" customHeight="1" s="545">
      <c r="A457" s="19" t="n"/>
      <c r="B457" s="19" t="n"/>
      <c r="C457" s="19" t="n"/>
      <c r="D457" s="19" t="n"/>
      <c r="E457" s="19" t="n"/>
      <c r="F457" s="19" t="n"/>
      <c r="G457" s="19" t="n"/>
      <c r="H457" s="19" t="n"/>
      <c r="I457" s="19" t="n"/>
      <c r="J457" s="19" t="n"/>
      <c r="K457" s="19" t="n"/>
      <c r="L457" s="19" t="n"/>
      <c r="M457" s="19" t="n"/>
      <c r="N457" s="19" t="n"/>
      <c r="O457" s="19" t="n"/>
      <c r="P457" s="19" t="n"/>
      <c r="Q457" s="19" t="n"/>
    </row>
    <row r="458" ht="15.75" customHeight="1" s="545">
      <c r="A458" s="19" t="n"/>
      <c r="B458" s="19" t="n"/>
      <c r="C458" s="19" t="n"/>
      <c r="D458" s="19" t="n"/>
      <c r="E458" s="19" t="n"/>
      <c r="F458" s="19" t="n"/>
      <c r="G458" s="19" t="n"/>
      <c r="H458" s="19" t="n"/>
      <c r="I458" s="19" t="n"/>
      <c r="J458" s="19" t="n"/>
      <c r="K458" s="19" t="n"/>
      <c r="L458" s="19" t="n"/>
      <c r="M458" s="19" t="n"/>
      <c r="N458" s="19" t="n"/>
      <c r="O458" s="19" t="n"/>
      <c r="P458" s="19" t="n"/>
      <c r="Q458" s="19" t="n"/>
    </row>
    <row r="459" ht="15.75" customHeight="1" s="545">
      <c r="A459" s="19" t="n"/>
      <c r="B459" s="19" t="n"/>
      <c r="C459" s="19" t="n"/>
      <c r="D459" s="19" t="n"/>
      <c r="E459" s="19" t="n"/>
      <c r="F459" s="19" t="n"/>
      <c r="G459" s="19" t="n"/>
      <c r="H459" s="19" t="n"/>
      <c r="I459" s="19" t="n"/>
      <c r="J459" s="19" t="n"/>
      <c r="K459" s="19" t="n"/>
      <c r="L459" s="19" t="n"/>
      <c r="M459" s="19" t="n"/>
      <c r="N459" s="19" t="n"/>
      <c r="O459" s="19" t="n"/>
      <c r="P459" s="19" t="n"/>
      <c r="Q459" s="19" t="n"/>
    </row>
    <row r="460" ht="15.75" customHeight="1" s="545">
      <c r="A460" s="19" t="n"/>
      <c r="B460" s="19" t="n"/>
      <c r="C460" s="19" t="n"/>
      <c r="D460" s="19" t="n"/>
      <c r="E460" s="19" t="n"/>
      <c r="F460" s="19" t="n"/>
      <c r="G460" s="19" t="n"/>
      <c r="H460" s="19" t="n"/>
      <c r="I460" s="19" t="n"/>
      <c r="J460" s="19" t="n"/>
      <c r="K460" s="19" t="n"/>
      <c r="L460" s="19" t="n"/>
      <c r="M460" s="19" t="n"/>
      <c r="N460" s="19" t="n"/>
      <c r="O460" s="19" t="n"/>
      <c r="P460" s="19" t="n"/>
      <c r="Q460" s="19" t="n"/>
    </row>
    <row r="461" ht="15.75" customHeight="1" s="545">
      <c r="A461" s="19" t="n"/>
      <c r="B461" s="19" t="n"/>
      <c r="C461" s="19" t="n"/>
      <c r="D461" s="19" t="n"/>
      <c r="E461" s="19" t="n"/>
      <c r="F461" s="19" t="n"/>
      <c r="G461" s="19" t="n"/>
      <c r="H461" s="19" t="n"/>
      <c r="I461" s="19" t="n"/>
      <c r="J461" s="19" t="n"/>
      <c r="K461" s="19" t="n"/>
      <c r="L461" s="19" t="n"/>
      <c r="M461" s="19" t="n"/>
      <c r="N461" s="19" t="n"/>
      <c r="O461" s="19" t="n"/>
      <c r="P461" s="19" t="n"/>
      <c r="Q461" s="19" t="n"/>
    </row>
    <row r="462" ht="15.75" customHeight="1" s="545">
      <c r="A462" s="19" t="n"/>
      <c r="B462" s="19" t="n"/>
      <c r="C462" s="19" t="n"/>
      <c r="D462" s="19" t="n"/>
      <c r="E462" s="19" t="n"/>
      <c r="F462" s="19" t="n"/>
      <c r="G462" s="19" t="n"/>
      <c r="H462" s="19" t="n"/>
      <c r="I462" s="19" t="n"/>
      <c r="J462" s="19" t="n"/>
      <c r="K462" s="19" t="n"/>
      <c r="L462" s="19" t="n"/>
      <c r="M462" s="19" t="n"/>
      <c r="N462" s="19" t="n"/>
      <c r="O462" s="19" t="n"/>
      <c r="P462" s="19" t="n"/>
      <c r="Q462" s="19" t="n"/>
    </row>
    <row r="463" ht="15.75" customHeight="1" s="545">
      <c r="A463" s="19" t="n"/>
      <c r="B463" s="19" t="n"/>
      <c r="C463" s="19" t="n"/>
      <c r="D463" s="19" t="n"/>
      <c r="E463" s="19" t="n"/>
      <c r="F463" s="19" t="n"/>
      <c r="G463" s="19" t="n"/>
      <c r="H463" s="19" t="n"/>
      <c r="I463" s="19" t="n"/>
      <c r="J463" s="19" t="n"/>
      <c r="K463" s="19" t="n"/>
      <c r="L463" s="19" t="n"/>
      <c r="M463" s="19" t="n"/>
      <c r="N463" s="19" t="n"/>
      <c r="O463" s="19" t="n"/>
      <c r="P463" s="19" t="n"/>
      <c r="Q463" s="19" t="n"/>
    </row>
    <row r="464" ht="15.75" customHeight="1" s="545">
      <c r="A464" s="19" t="n"/>
      <c r="B464" s="19" t="n"/>
      <c r="C464" s="19" t="n"/>
      <c r="D464" s="19" t="n"/>
      <c r="E464" s="19" t="n"/>
      <c r="F464" s="19" t="n"/>
      <c r="G464" s="19" t="n"/>
      <c r="H464" s="19" t="n"/>
      <c r="I464" s="19" t="n"/>
      <c r="J464" s="19" t="n"/>
      <c r="K464" s="19" t="n"/>
      <c r="L464" s="19" t="n"/>
      <c r="M464" s="19" t="n"/>
      <c r="N464" s="19" t="n"/>
      <c r="O464" s="19" t="n"/>
      <c r="P464" s="19" t="n"/>
      <c r="Q464" s="19" t="n"/>
    </row>
    <row r="465" ht="15.75" customHeight="1" s="545">
      <c r="A465" s="19" t="n"/>
      <c r="B465" s="19" t="n"/>
      <c r="C465" s="19" t="n"/>
      <c r="D465" s="19" t="n"/>
      <c r="E465" s="19" t="n"/>
      <c r="F465" s="19" t="n"/>
      <c r="G465" s="19" t="n"/>
      <c r="H465" s="19" t="n"/>
      <c r="I465" s="19" t="n"/>
      <c r="J465" s="19" t="n"/>
      <c r="K465" s="19" t="n"/>
      <c r="L465" s="19" t="n"/>
      <c r="M465" s="19" t="n"/>
      <c r="N465" s="19" t="n"/>
      <c r="O465" s="19" t="n"/>
      <c r="P465" s="19" t="n"/>
      <c r="Q465" s="19" t="n"/>
    </row>
    <row r="466" ht="15.75" customHeight="1" s="545">
      <c r="A466" s="19" t="n"/>
      <c r="B466" s="19" t="n"/>
      <c r="C466" s="19" t="n"/>
      <c r="D466" s="19" t="n"/>
      <c r="E466" s="19" t="n"/>
      <c r="F466" s="19" t="n"/>
      <c r="G466" s="19" t="n"/>
      <c r="H466" s="19" t="n"/>
      <c r="I466" s="19" t="n"/>
      <c r="J466" s="19" t="n"/>
      <c r="K466" s="19" t="n"/>
      <c r="L466" s="19" t="n"/>
      <c r="M466" s="19" t="n"/>
      <c r="N466" s="19" t="n"/>
      <c r="O466" s="19" t="n"/>
      <c r="P466" s="19" t="n"/>
      <c r="Q466" s="19" t="n"/>
    </row>
    <row r="467" ht="15.75" customHeight="1" s="545">
      <c r="A467" s="19" t="n"/>
      <c r="B467" s="19" t="n"/>
      <c r="C467" s="19" t="n"/>
      <c r="D467" s="19" t="n"/>
      <c r="E467" s="19" t="n"/>
      <c r="F467" s="19" t="n"/>
      <c r="G467" s="19" t="n"/>
      <c r="H467" s="19" t="n"/>
      <c r="I467" s="19" t="n"/>
      <c r="J467" s="19" t="n"/>
      <c r="K467" s="19" t="n"/>
      <c r="L467" s="19" t="n"/>
      <c r="M467" s="19" t="n"/>
      <c r="N467" s="19" t="n"/>
      <c r="O467" s="19" t="n"/>
      <c r="P467" s="19" t="n"/>
      <c r="Q467" s="19" t="n"/>
    </row>
    <row r="468" ht="15.75" customHeight="1" s="545">
      <c r="A468" s="19" t="n"/>
      <c r="B468" s="19" t="n"/>
      <c r="C468" s="19" t="n"/>
      <c r="D468" s="19" t="n"/>
      <c r="E468" s="19" t="n"/>
      <c r="F468" s="19" t="n"/>
      <c r="G468" s="19" t="n"/>
      <c r="H468" s="19" t="n"/>
      <c r="I468" s="19" t="n"/>
      <c r="J468" s="19" t="n"/>
      <c r="K468" s="19" t="n"/>
      <c r="L468" s="19" t="n"/>
      <c r="M468" s="19" t="n"/>
      <c r="N468" s="19" t="n"/>
      <c r="O468" s="19" t="n"/>
      <c r="P468" s="19" t="n"/>
      <c r="Q468" s="19" t="n"/>
    </row>
    <row r="469" ht="15.75" customHeight="1" s="545">
      <c r="A469" s="19" t="n"/>
      <c r="B469" s="19" t="n"/>
      <c r="C469" s="19" t="n"/>
      <c r="D469" s="19" t="n"/>
      <c r="E469" s="19" t="n"/>
      <c r="F469" s="19" t="n"/>
      <c r="G469" s="19" t="n"/>
      <c r="H469" s="19" t="n"/>
      <c r="I469" s="19" t="n"/>
      <c r="J469" s="19" t="n"/>
      <c r="K469" s="19" t="n"/>
      <c r="L469" s="19" t="n"/>
      <c r="M469" s="19" t="n"/>
      <c r="N469" s="19" t="n"/>
      <c r="O469" s="19" t="n"/>
      <c r="P469" s="19" t="n"/>
      <c r="Q469" s="19" t="n"/>
    </row>
    <row r="470" ht="15.75" customHeight="1" s="545">
      <c r="A470" s="19" t="n"/>
      <c r="B470" s="19" t="n"/>
      <c r="C470" s="19" t="n"/>
      <c r="D470" s="19" t="n"/>
      <c r="E470" s="19" t="n"/>
      <c r="F470" s="19" t="n"/>
      <c r="G470" s="19" t="n"/>
      <c r="H470" s="19" t="n"/>
      <c r="I470" s="19" t="n"/>
      <c r="J470" s="19" t="n"/>
      <c r="K470" s="19" t="n"/>
      <c r="L470" s="19" t="n"/>
      <c r="M470" s="19" t="n"/>
      <c r="N470" s="19" t="n"/>
      <c r="O470" s="19" t="n"/>
      <c r="P470" s="19" t="n"/>
      <c r="Q470" s="19" t="n"/>
    </row>
    <row r="471" ht="15.75" customHeight="1" s="545">
      <c r="A471" s="19" t="n"/>
      <c r="B471" s="19" t="n"/>
      <c r="C471" s="19" t="n"/>
      <c r="D471" s="19" t="n"/>
      <c r="E471" s="19" t="n"/>
      <c r="F471" s="19" t="n"/>
      <c r="G471" s="19" t="n"/>
      <c r="H471" s="19" t="n"/>
      <c r="I471" s="19" t="n"/>
      <c r="J471" s="19" t="n"/>
      <c r="K471" s="19" t="n"/>
      <c r="L471" s="19" t="n"/>
      <c r="M471" s="19" t="n"/>
      <c r="N471" s="19" t="n"/>
      <c r="O471" s="19" t="n"/>
      <c r="P471" s="19" t="n"/>
      <c r="Q471" s="19" t="n"/>
    </row>
    <row r="472" ht="15.75" customHeight="1" s="545">
      <c r="A472" s="19" t="n"/>
      <c r="B472" s="19" t="n"/>
      <c r="C472" s="19" t="n"/>
      <c r="D472" s="19" t="n"/>
      <c r="E472" s="19" t="n"/>
      <c r="F472" s="19" t="n"/>
      <c r="G472" s="19" t="n"/>
      <c r="H472" s="19" t="n"/>
      <c r="I472" s="19" t="n"/>
      <c r="J472" s="19" t="n"/>
      <c r="K472" s="19" t="n"/>
      <c r="L472" s="19" t="n"/>
      <c r="M472" s="19" t="n"/>
      <c r="N472" s="19" t="n"/>
      <c r="O472" s="19" t="n"/>
      <c r="P472" s="19" t="n"/>
      <c r="Q472" s="19" t="n"/>
    </row>
    <row r="473" ht="15.75" customHeight="1" s="545">
      <c r="A473" s="19" t="n"/>
      <c r="B473" s="19" t="n"/>
      <c r="C473" s="19" t="n"/>
      <c r="D473" s="19" t="n"/>
      <c r="E473" s="19" t="n"/>
      <c r="F473" s="19" t="n"/>
      <c r="G473" s="19" t="n"/>
      <c r="H473" s="19" t="n"/>
      <c r="I473" s="19" t="n"/>
      <c r="J473" s="19" t="n"/>
      <c r="K473" s="19" t="n"/>
      <c r="L473" s="19" t="n"/>
      <c r="M473" s="19" t="n"/>
      <c r="N473" s="19" t="n"/>
      <c r="O473" s="19" t="n"/>
      <c r="P473" s="19" t="n"/>
      <c r="Q473" s="19" t="n"/>
    </row>
    <row r="474" ht="15.75" customHeight="1" s="545">
      <c r="A474" s="19" t="n"/>
      <c r="B474" s="19" t="n"/>
      <c r="C474" s="19" t="n"/>
      <c r="D474" s="19" t="n"/>
      <c r="E474" s="19" t="n"/>
      <c r="F474" s="19" t="n"/>
      <c r="G474" s="19" t="n"/>
      <c r="H474" s="19" t="n"/>
      <c r="I474" s="19" t="n"/>
      <c r="J474" s="19" t="n"/>
      <c r="K474" s="19" t="n"/>
      <c r="L474" s="19" t="n"/>
      <c r="M474" s="19" t="n"/>
      <c r="N474" s="19" t="n"/>
      <c r="O474" s="19" t="n"/>
      <c r="P474" s="19" t="n"/>
      <c r="Q474" s="19" t="n"/>
    </row>
    <row r="475" ht="15.75" customHeight="1" s="545">
      <c r="A475" s="19" t="n"/>
      <c r="B475" s="19" t="n"/>
      <c r="C475" s="19" t="n"/>
      <c r="D475" s="19" t="n"/>
      <c r="E475" s="19" t="n"/>
      <c r="F475" s="19" t="n"/>
      <c r="G475" s="19" t="n"/>
      <c r="H475" s="19" t="n"/>
      <c r="I475" s="19" t="n"/>
      <c r="J475" s="19" t="n"/>
      <c r="K475" s="19" t="n"/>
      <c r="L475" s="19" t="n"/>
      <c r="M475" s="19" t="n"/>
      <c r="N475" s="19" t="n"/>
      <c r="O475" s="19" t="n"/>
      <c r="P475" s="19" t="n"/>
      <c r="Q475" s="19" t="n"/>
    </row>
    <row r="476" ht="15.75" customHeight="1" s="545">
      <c r="A476" s="19" t="n"/>
      <c r="B476" s="19" t="n"/>
      <c r="C476" s="19" t="n"/>
      <c r="D476" s="19" t="n"/>
      <c r="E476" s="19" t="n"/>
      <c r="F476" s="19" t="n"/>
      <c r="G476" s="19" t="n"/>
      <c r="H476" s="19" t="n"/>
      <c r="I476" s="19" t="n"/>
      <c r="J476" s="19" t="n"/>
      <c r="K476" s="19" t="n"/>
      <c r="L476" s="19" t="n"/>
      <c r="M476" s="19" t="n"/>
      <c r="N476" s="19" t="n"/>
      <c r="O476" s="19" t="n"/>
      <c r="P476" s="19" t="n"/>
      <c r="Q476" s="19" t="n"/>
    </row>
    <row r="477" ht="15.75" customHeight="1" s="545">
      <c r="A477" s="19" t="n"/>
      <c r="B477" s="19" t="n"/>
      <c r="C477" s="19" t="n"/>
      <c r="D477" s="19" t="n"/>
      <c r="E477" s="19" t="n"/>
      <c r="F477" s="19" t="n"/>
      <c r="G477" s="19" t="n"/>
      <c r="H477" s="19" t="n"/>
      <c r="I477" s="19" t="n"/>
      <c r="J477" s="19" t="n"/>
      <c r="K477" s="19" t="n"/>
      <c r="L477" s="19" t="n"/>
      <c r="M477" s="19" t="n"/>
      <c r="N477" s="19" t="n"/>
      <c r="O477" s="19" t="n"/>
      <c r="P477" s="19" t="n"/>
      <c r="Q477" s="19" t="n"/>
    </row>
    <row r="478" ht="15.75" customHeight="1" s="545">
      <c r="A478" s="19" t="n"/>
      <c r="B478" s="19" t="n"/>
      <c r="C478" s="19" t="n"/>
      <c r="D478" s="19" t="n"/>
      <c r="E478" s="19" t="n"/>
      <c r="F478" s="19" t="n"/>
      <c r="G478" s="19" t="n"/>
      <c r="H478" s="19" t="n"/>
      <c r="I478" s="19" t="n"/>
      <c r="J478" s="19" t="n"/>
      <c r="K478" s="19" t="n"/>
      <c r="L478" s="19" t="n"/>
      <c r="M478" s="19" t="n"/>
      <c r="N478" s="19" t="n"/>
      <c r="O478" s="19" t="n"/>
      <c r="P478" s="19" t="n"/>
      <c r="Q478" s="19" t="n"/>
    </row>
    <row r="479" ht="15.75" customHeight="1" s="545">
      <c r="A479" s="19" t="n"/>
      <c r="B479" s="19" t="n"/>
      <c r="C479" s="19" t="n"/>
      <c r="D479" s="19" t="n"/>
      <c r="E479" s="19" t="n"/>
      <c r="F479" s="19" t="n"/>
      <c r="G479" s="19" t="n"/>
      <c r="H479" s="19" t="n"/>
      <c r="I479" s="19" t="n"/>
      <c r="J479" s="19" t="n"/>
      <c r="K479" s="19" t="n"/>
      <c r="L479" s="19" t="n"/>
      <c r="M479" s="19" t="n"/>
      <c r="N479" s="19" t="n"/>
      <c r="O479" s="19" t="n"/>
      <c r="P479" s="19" t="n"/>
      <c r="Q479" s="19" t="n"/>
    </row>
    <row r="480" ht="15.75" customHeight="1" s="545">
      <c r="A480" s="19" t="n"/>
      <c r="B480" s="19" t="n"/>
      <c r="C480" s="19" t="n"/>
      <c r="D480" s="19" t="n"/>
      <c r="E480" s="19" t="n"/>
      <c r="F480" s="19" t="n"/>
      <c r="G480" s="19" t="n"/>
      <c r="H480" s="19" t="n"/>
      <c r="I480" s="19" t="n"/>
      <c r="J480" s="19" t="n"/>
      <c r="K480" s="19" t="n"/>
      <c r="L480" s="19" t="n"/>
      <c r="M480" s="19" t="n"/>
      <c r="N480" s="19" t="n"/>
      <c r="O480" s="19" t="n"/>
      <c r="P480" s="19" t="n"/>
      <c r="Q480" s="19" t="n"/>
    </row>
    <row r="481" ht="15.75" customHeight="1" s="545">
      <c r="A481" s="19" t="n"/>
      <c r="B481" s="19" t="n"/>
      <c r="C481" s="19" t="n"/>
      <c r="D481" s="19" t="n"/>
      <c r="E481" s="19" t="n"/>
      <c r="F481" s="19" t="n"/>
      <c r="G481" s="19" t="n"/>
      <c r="H481" s="19" t="n"/>
      <c r="I481" s="19" t="n"/>
      <c r="J481" s="19" t="n"/>
      <c r="K481" s="19" t="n"/>
      <c r="L481" s="19" t="n"/>
      <c r="M481" s="19" t="n"/>
      <c r="N481" s="19" t="n"/>
      <c r="O481" s="19" t="n"/>
      <c r="P481" s="19" t="n"/>
      <c r="Q481" s="19" t="n"/>
    </row>
    <row r="482" ht="15.75" customHeight="1" s="545">
      <c r="A482" s="19" t="n"/>
      <c r="B482" s="19" t="n"/>
      <c r="C482" s="19" t="n"/>
      <c r="D482" s="19" t="n"/>
      <c r="E482" s="19" t="n"/>
      <c r="F482" s="19" t="n"/>
      <c r="G482" s="19" t="n"/>
      <c r="H482" s="19" t="n"/>
      <c r="I482" s="19" t="n"/>
      <c r="J482" s="19" t="n"/>
      <c r="K482" s="19" t="n"/>
      <c r="L482" s="19" t="n"/>
      <c r="M482" s="19" t="n"/>
      <c r="N482" s="19" t="n"/>
      <c r="O482" s="19" t="n"/>
      <c r="P482" s="19" t="n"/>
      <c r="Q482" s="19" t="n"/>
    </row>
    <row r="483" ht="15.75" customHeight="1" s="545">
      <c r="A483" s="19" t="n"/>
      <c r="B483" s="19" t="n"/>
      <c r="C483" s="19" t="n"/>
      <c r="D483" s="19" t="n"/>
      <c r="E483" s="19" t="n"/>
      <c r="F483" s="19" t="n"/>
      <c r="G483" s="19" t="n"/>
      <c r="H483" s="19" t="n"/>
      <c r="I483" s="19" t="n"/>
      <c r="J483" s="19" t="n"/>
      <c r="K483" s="19" t="n"/>
      <c r="L483" s="19" t="n"/>
      <c r="M483" s="19" t="n"/>
      <c r="N483" s="19" t="n"/>
      <c r="O483" s="19" t="n"/>
      <c r="P483" s="19" t="n"/>
      <c r="Q483" s="19" t="n"/>
    </row>
    <row r="484" ht="15.75" customHeight="1" s="545">
      <c r="A484" s="19" t="n"/>
      <c r="B484" s="19" t="n"/>
      <c r="C484" s="19" t="n"/>
      <c r="D484" s="19" t="n"/>
      <c r="E484" s="19" t="n"/>
      <c r="F484" s="19" t="n"/>
      <c r="G484" s="19" t="n"/>
      <c r="H484" s="19" t="n"/>
      <c r="I484" s="19" t="n"/>
      <c r="J484" s="19" t="n"/>
      <c r="K484" s="19" t="n"/>
      <c r="L484" s="19" t="n"/>
      <c r="M484" s="19" t="n"/>
      <c r="N484" s="19" t="n"/>
      <c r="O484" s="19" t="n"/>
      <c r="P484" s="19" t="n"/>
      <c r="Q484" s="19" t="n"/>
    </row>
    <row r="485" ht="15.75" customHeight="1" s="545">
      <c r="A485" s="19" t="n"/>
      <c r="B485" s="19" t="n"/>
      <c r="C485" s="19" t="n"/>
      <c r="D485" s="19" t="n"/>
      <c r="E485" s="19" t="n"/>
      <c r="F485" s="19" t="n"/>
      <c r="G485" s="19" t="n"/>
      <c r="H485" s="19" t="n"/>
      <c r="I485" s="19" t="n"/>
      <c r="J485" s="19" t="n"/>
      <c r="K485" s="19" t="n"/>
      <c r="L485" s="19" t="n"/>
      <c r="M485" s="19" t="n"/>
      <c r="N485" s="19" t="n"/>
      <c r="O485" s="19" t="n"/>
      <c r="P485" s="19" t="n"/>
      <c r="Q485" s="19" t="n"/>
    </row>
    <row r="486" ht="15.75" customHeight="1" s="545">
      <c r="A486" s="19" t="n"/>
      <c r="B486" s="19" t="n"/>
      <c r="C486" s="19" t="n"/>
      <c r="D486" s="19" t="n"/>
      <c r="E486" s="19" t="n"/>
      <c r="F486" s="19" t="n"/>
      <c r="G486" s="19" t="n"/>
      <c r="H486" s="19" t="n"/>
      <c r="I486" s="19" t="n"/>
      <c r="J486" s="19" t="n"/>
      <c r="K486" s="19" t="n"/>
      <c r="L486" s="19" t="n"/>
      <c r="M486" s="19" t="n"/>
      <c r="N486" s="19" t="n"/>
      <c r="O486" s="19" t="n"/>
      <c r="P486" s="19" t="n"/>
      <c r="Q486" s="19" t="n"/>
    </row>
    <row r="487" ht="15.75" customHeight="1" s="545">
      <c r="A487" s="19" t="n"/>
      <c r="B487" s="19" t="n"/>
      <c r="C487" s="19" t="n"/>
      <c r="D487" s="19" t="n"/>
      <c r="E487" s="19" t="n"/>
      <c r="F487" s="19" t="n"/>
      <c r="G487" s="19" t="n"/>
      <c r="H487" s="19" t="n"/>
      <c r="I487" s="19" t="n"/>
      <c r="J487" s="19" t="n"/>
      <c r="K487" s="19" t="n"/>
      <c r="L487" s="19" t="n"/>
      <c r="M487" s="19" t="n"/>
      <c r="N487" s="19" t="n"/>
      <c r="O487" s="19" t="n"/>
      <c r="P487" s="19" t="n"/>
      <c r="Q487" s="19" t="n"/>
    </row>
    <row r="488" ht="15.75" customHeight="1" s="545">
      <c r="A488" s="19" t="n"/>
      <c r="B488" s="19" t="n"/>
      <c r="C488" s="19" t="n"/>
      <c r="D488" s="19" t="n"/>
      <c r="E488" s="19" t="n"/>
      <c r="F488" s="19" t="n"/>
      <c r="G488" s="19" t="n"/>
      <c r="H488" s="19" t="n"/>
      <c r="I488" s="19" t="n"/>
      <c r="J488" s="19" t="n"/>
      <c r="K488" s="19" t="n"/>
      <c r="L488" s="19" t="n"/>
      <c r="M488" s="19" t="n"/>
      <c r="N488" s="19" t="n"/>
      <c r="O488" s="19" t="n"/>
      <c r="P488" s="19" t="n"/>
      <c r="Q488" s="19" t="n"/>
    </row>
    <row r="489" ht="15.75" customHeight="1" s="545">
      <c r="A489" s="19" t="n"/>
      <c r="B489" s="19" t="n"/>
      <c r="C489" s="19" t="n"/>
      <c r="D489" s="19" t="n"/>
      <c r="E489" s="19" t="n"/>
      <c r="F489" s="19" t="n"/>
      <c r="G489" s="19" t="n"/>
      <c r="H489" s="19" t="n"/>
      <c r="I489" s="19" t="n"/>
      <c r="J489" s="19" t="n"/>
      <c r="K489" s="19" t="n"/>
      <c r="L489" s="19" t="n"/>
      <c r="M489" s="19" t="n"/>
      <c r="N489" s="19" t="n"/>
      <c r="O489" s="19" t="n"/>
      <c r="P489" s="19" t="n"/>
      <c r="Q489" s="19" t="n"/>
    </row>
    <row r="490" ht="15.75" customHeight="1" s="545">
      <c r="A490" s="19" t="n"/>
      <c r="B490" s="19" t="n"/>
      <c r="C490" s="19" t="n"/>
      <c r="D490" s="19" t="n"/>
      <c r="E490" s="19" t="n"/>
      <c r="F490" s="19" t="n"/>
      <c r="G490" s="19" t="n"/>
      <c r="H490" s="19" t="n"/>
      <c r="I490" s="19" t="n"/>
      <c r="J490" s="19" t="n"/>
      <c r="K490" s="19" t="n"/>
      <c r="L490" s="19" t="n"/>
      <c r="M490" s="19" t="n"/>
      <c r="N490" s="19" t="n"/>
      <c r="O490" s="19" t="n"/>
      <c r="P490" s="19" t="n"/>
      <c r="Q490" s="19" t="n"/>
    </row>
    <row r="491" ht="15.75" customHeight="1" s="545">
      <c r="A491" s="19" t="n"/>
      <c r="B491" s="19" t="n"/>
      <c r="C491" s="19" t="n"/>
      <c r="D491" s="19" t="n"/>
      <c r="E491" s="19" t="n"/>
      <c r="F491" s="19" t="n"/>
      <c r="G491" s="19" t="n"/>
      <c r="H491" s="19" t="n"/>
      <c r="I491" s="19" t="n"/>
      <c r="J491" s="19" t="n"/>
      <c r="K491" s="19" t="n"/>
      <c r="L491" s="19" t="n"/>
      <c r="M491" s="19" t="n"/>
      <c r="N491" s="19" t="n"/>
      <c r="O491" s="19" t="n"/>
      <c r="P491" s="19" t="n"/>
      <c r="Q491" s="19" t="n"/>
    </row>
    <row r="492" ht="15.75" customHeight="1" s="545">
      <c r="A492" s="19" t="n"/>
      <c r="B492" s="19" t="n"/>
      <c r="C492" s="19" t="n"/>
      <c r="D492" s="19" t="n"/>
      <c r="E492" s="19" t="n"/>
      <c r="F492" s="19" t="n"/>
      <c r="G492" s="19" t="n"/>
      <c r="H492" s="19" t="n"/>
      <c r="I492" s="19" t="n"/>
      <c r="J492" s="19" t="n"/>
      <c r="K492" s="19" t="n"/>
      <c r="L492" s="19" t="n"/>
      <c r="M492" s="19" t="n"/>
      <c r="N492" s="19" t="n"/>
      <c r="O492" s="19" t="n"/>
      <c r="P492" s="19" t="n"/>
      <c r="Q492" s="19" t="n"/>
    </row>
    <row r="493" ht="15.75" customHeight="1" s="545">
      <c r="A493" s="19" t="n"/>
      <c r="B493" s="19" t="n"/>
      <c r="C493" s="19" t="n"/>
      <c r="D493" s="19" t="n"/>
      <c r="E493" s="19" t="n"/>
      <c r="F493" s="19" t="n"/>
      <c r="G493" s="19" t="n"/>
      <c r="H493" s="19" t="n"/>
      <c r="I493" s="19" t="n"/>
      <c r="J493" s="19" t="n"/>
      <c r="K493" s="19" t="n"/>
      <c r="L493" s="19" t="n"/>
      <c r="M493" s="19" t="n"/>
      <c r="N493" s="19" t="n"/>
      <c r="O493" s="19" t="n"/>
      <c r="P493" s="19" t="n"/>
      <c r="Q493" s="19" t="n"/>
    </row>
    <row r="494" ht="15.75" customHeight="1" s="545">
      <c r="A494" s="19" t="n"/>
      <c r="B494" s="19" t="n"/>
      <c r="C494" s="19" t="n"/>
      <c r="D494" s="19" t="n"/>
      <c r="E494" s="19" t="n"/>
      <c r="F494" s="19" t="n"/>
      <c r="G494" s="19" t="n"/>
      <c r="H494" s="19" t="n"/>
      <c r="I494" s="19" t="n"/>
      <c r="J494" s="19" t="n"/>
      <c r="K494" s="19" t="n"/>
      <c r="L494" s="19" t="n"/>
      <c r="M494" s="19" t="n"/>
      <c r="N494" s="19" t="n"/>
      <c r="O494" s="19" t="n"/>
      <c r="P494" s="19" t="n"/>
      <c r="Q494" s="19" t="n"/>
    </row>
    <row r="495" ht="15.75" customHeight="1" s="545">
      <c r="A495" s="19" t="n"/>
      <c r="B495" s="19" t="n"/>
      <c r="C495" s="19" t="n"/>
      <c r="D495" s="19" t="n"/>
      <c r="E495" s="19" t="n"/>
      <c r="F495" s="19" t="n"/>
      <c r="G495" s="19" t="n"/>
      <c r="H495" s="19" t="n"/>
      <c r="I495" s="19" t="n"/>
      <c r="J495" s="19" t="n"/>
      <c r="K495" s="19" t="n"/>
      <c r="L495" s="19" t="n"/>
      <c r="M495" s="19" t="n"/>
      <c r="N495" s="19" t="n"/>
      <c r="O495" s="19" t="n"/>
      <c r="P495" s="19" t="n"/>
      <c r="Q495" s="19" t="n"/>
    </row>
    <row r="496" ht="15.75" customHeight="1" s="545">
      <c r="A496" s="19" t="n"/>
      <c r="B496" s="19" t="n"/>
      <c r="C496" s="19" t="n"/>
      <c r="D496" s="19" t="n"/>
      <c r="E496" s="19" t="n"/>
      <c r="F496" s="19" t="n"/>
      <c r="G496" s="19" t="n"/>
      <c r="H496" s="19" t="n"/>
      <c r="I496" s="19" t="n"/>
      <c r="J496" s="19" t="n"/>
      <c r="K496" s="19" t="n"/>
      <c r="L496" s="19" t="n"/>
      <c r="M496" s="19" t="n"/>
      <c r="N496" s="19" t="n"/>
      <c r="O496" s="19" t="n"/>
      <c r="P496" s="19" t="n"/>
      <c r="Q496" s="19" t="n"/>
    </row>
    <row r="497" ht="15.75" customHeight="1" s="545">
      <c r="A497" s="19" t="n"/>
      <c r="B497" s="19" t="n"/>
      <c r="C497" s="19" t="n"/>
      <c r="D497" s="19" t="n"/>
      <c r="E497" s="19" t="n"/>
      <c r="F497" s="19" t="n"/>
      <c r="G497" s="19" t="n"/>
      <c r="H497" s="19" t="n"/>
      <c r="I497" s="19" t="n"/>
      <c r="J497" s="19" t="n"/>
      <c r="K497" s="19" t="n"/>
      <c r="L497" s="19" t="n"/>
      <c r="M497" s="19" t="n"/>
      <c r="N497" s="19" t="n"/>
      <c r="O497" s="19" t="n"/>
      <c r="P497" s="19" t="n"/>
      <c r="Q497" s="19" t="n"/>
    </row>
    <row r="498" ht="15.75" customHeight="1" s="545">
      <c r="A498" s="19" t="n"/>
      <c r="B498" s="19" t="n"/>
      <c r="C498" s="19" t="n"/>
      <c r="D498" s="19" t="n"/>
      <c r="E498" s="19" t="n"/>
      <c r="F498" s="19" t="n"/>
      <c r="G498" s="19" t="n"/>
      <c r="H498" s="19" t="n"/>
      <c r="I498" s="19" t="n"/>
      <c r="J498" s="19" t="n"/>
      <c r="K498" s="19" t="n"/>
      <c r="L498" s="19" t="n"/>
      <c r="M498" s="19" t="n"/>
      <c r="N498" s="19" t="n"/>
      <c r="O498" s="19" t="n"/>
      <c r="P498" s="19" t="n"/>
      <c r="Q498" s="19" t="n"/>
    </row>
    <row r="499" ht="15.75" customHeight="1" s="545">
      <c r="A499" s="19" t="n"/>
      <c r="B499" s="19" t="n"/>
      <c r="C499" s="19" t="n"/>
      <c r="D499" s="19" t="n"/>
      <c r="E499" s="19" t="n"/>
      <c r="F499" s="19" t="n"/>
      <c r="G499" s="19" t="n"/>
      <c r="H499" s="19" t="n"/>
      <c r="I499" s="19" t="n"/>
      <c r="J499" s="19" t="n"/>
      <c r="K499" s="19" t="n"/>
      <c r="L499" s="19" t="n"/>
      <c r="M499" s="19" t="n"/>
      <c r="N499" s="19" t="n"/>
      <c r="O499" s="19" t="n"/>
      <c r="P499" s="19" t="n"/>
      <c r="Q499" s="19" t="n"/>
    </row>
    <row r="500" ht="15.75" customHeight="1" s="545">
      <c r="A500" s="19" t="n"/>
      <c r="B500" s="19" t="n"/>
      <c r="C500" s="19" t="n"/>
      <c r="D500" s="19" t="n"/>
      <c r="E500" s="19" t="n"/>
      <c r="F500" s="19" t="n"/>
      <c r="G500" s="19" t="n"/>
      <c r="H500" s="19" t="n"/>
      <c r="I500" s="19" t="n"/>
      <c r="J500" s="19" t="n"/>
      <c r="K500" s="19" t="n"/>
      <c r="L500" s="19" t="n"/>
      <c r="M500" s="19" t="n"/>
      <c r="N500" s="19" t="n"/>
      <c r="O500" s="19" t="n"/>
      <c r="P500" s="19" t="n"/>
      <c r="Q500" s="19" t="n"/>
    </row>
    <row r="501" ht="15.75" customHeight="1" s="545">
      <c r="A501" s="19" t="n"/>
      <c r="B501" s="19" t="n"/>
      <c r="C501" s="19" t="n"/>
      <c r="D501" s="19" t="n"/>
      <c r="E501" s="19" t="n"/>
      <c r="F501" s="19" t="n"/>
      <c r="G501" s="19" t="n"/>
      <c r="H501" s="19" t="n"/>
      <c r="I501" s="19" t="n"/>
      <c r="J501" s="19" t="n"/>
      <c r="K501" s="19" t="n"/>
      <c r="L501" s="19" t="n"/>
      <c r="M501" s="19" t="n"/>
      <c r="N501" s="19" t="n"/>
      <c r="O501" s="19" t="n"/>
      <c r="P501" s="19" t="n"/>
      <c r="Q501" s="19" t="n"/>
    </row>
    <row r="502" ht="15.75" customHeight="1" s="545">
      <c r="A502" s="19" t="n"/>
      <c r="B502" s="19" t="n"/>
      <c r="C502" s="19" t="n"/>
      <c r="D502" s="19" t="n"/>
      <c r="E502" s="19" t="n"/>
      <c r="F502" s="19" t="n"/>
      <c r="G502" s="19" t="n"/>
      <c r="H502" s="19" t="n"/>
      <c r="I502" s="19" t="n"/>
      <c r="J502" s="19" t="n"/>
      <c r="K502" s="19" t="n"/>
      <c r="L502" s="19" t="n"/>
      <c r="M502" s="19" t="n"/>
      <c r="N502" s="19" t="n"/>
      <c r="O502" s="19" t="n"/>
      <c r="P502" s="19" t="n"/>
      <c r="Q502" s="19" t="n"/>
    </row>
    <row r="503" ht="15.75" customHeight="1" s="545">
      <c r="A503" s="19" t="n"/>
      <c r="B503" s="19" t="n"/>
      <c r="C503" s="19" t="n"/>
      <c r="D503" s="19" t="n"/>
      <c r="E503" s="19" t="n"/>
      <c r="F503" s="19" t="n"/>
      <c r="G503" s="19" t="n"/>
      <c r="H503" s="19" t="n"/>
      <c r="I503" s="19" t="n"/>
      <c r="J503" s="19" t="n"/>
      <c r="K503" s="19" t="n"/>
      <c r="L503" s="19" t="n"/>
      <c r="M503" s="19" t="n"/>
      <c r="N503" s="19" t="n"/>
      <c r="O503" s="19" t="n"/>
      <c r="P503" s="19" t="n"/>
      <c r="Q503" s="19" t="n"/>
    </row>
    <row r="504" ht="15.75" customHeight="1" s="545">
      <c r="A504" s="19" t="n"/>
      <c r="B504" s="19" t="n"/>
      <c r="C504" s="19" t="n"/>
      <c r="D504" s="19" t="n"/>
      <c r="E504" s="19" t="n"/>
      <c r="F504" s="19" t="n"/>
      <c r="G504" s="19" t="n"/>
      <c r="H504" s="19" t="n"/>
      <c r="I504" s="19" t="n"/>
      <c r="J504" s="19" t="n"/>
      <c r="K504" s="19" t="n"/>
      <c r="L504" s="19" t="n"/>
      <c r="M504" s="19" t="n"/>
      <c r="N504" s="19" t="n"/>
      <c r="O504" s="19" t="n"/>
      <c r="P504" s="19" t="n"/>
      <c r="Q504" s="19" t="n"/>
    </row>
    <row r="505" ht="15.75" customHeight="1" s="545">
      <c r="A505" s="19" t="n"/>
      <c r="B505" s="19" t="n"/>
      <c r="C505" s="19" t="n"/>
      <c r="D505" s="19" t="n"/>
      <c r="E505" s="19" t="n"/>
      <c r="F505" s="19" t="n"/>
      <c r="G505" s="19" t="n"/>
      <c r="H505" s="19" t="n"/>
      <c r="I505" s="19" t="n"/>
      <c r="J505" s="19" t="n"/>
      <c r="K505" s="19" t="n"/>
      <c r="L505" s="19" t="n"/>
      <c r="M505" s="19" t="n"/>
      <c r="N505" s="19" t="n"/>
      <c r="O505" s="19" t="n"/>
      <c r="P505" s="19" t="n"/>
      <c r="Q505" s="19" t="n"/>
    </row>
    <row r="506" ht="15.75" customHeight="1" s="545">
      <c r="A506" s="19" t="n"/>
      <c r="B506" s="19" t="n"/>
      <c r="C506" s="19" t="n"/>
      <c r="D506" s="19" t="n"/>
      <c r="E506" s="19" t="n"/>
      <c r="F506" s="19" t="n"/>
      <c r="G506" s="19" t="n"/>
      <c r="H506" s="19" t="n"/>
      <c r="I506" s="19" t="n"/>
      <c r="J506" s="19" t="n"/>
      <c r="K506" s="19" t="n"/>
      <c r="L506" s="19" t="n"/>
      <c r="M506" s="19" t="n"/>
      <c r="N506" s="19" t="n"/>
      <c r="O506" s="19" t="n"/>
      <c r="P506" s="19" t="n"/>
      <c r="Q506" s="19" t="n"/>
    </row>
    <row r="507" ht="15.75" customHeight="1" s="545">
      <c r="A507" s="19" t="n"/>
      <c r="B507" s="19" t="n"/>
      <c r="C507" s="19" t="n"/>
      <c r="D507" s="19" t="n"/>
      <c r="E507" s="19" t="n"/>
      <c r="F507" s="19" t="n"/>
      <c r="G507" s="19" t="n"/>
      <c r="H507" s="19" t="n"/>
      <c r="I507" s="19" t="n"/>
      <c r="J507" s="19" t="n"/>
      <c r="K507" s="19" t="n"/>
      <c r="L507" s="19" t="n"/>
      <c r="M507" s="19" t="n"/>
      <c r="N507" s="19" t="n"/>
      <c r="O507" s="19" t="n"/>
      <c r="P507" s="19" t="n"/>
      <c r="Q507" s="19" t="n"/>
    </row>
    <row r="508" ht="15.75" customHeight="1" s="545">
      <c r="A508" s="19" t="n"/>
      <c r="B508" s="19" t="n"/>
      <c r="C508" s="19" t="n"/>
      <c r="D508" s="19" t="n"/>
      <c r="E508" s="19" t="n"/>
      <c r="F508" s="19" t="n"/>
      <c r="G508" s="19" t="n"/>
      <c r="H508" s="19" t="n"/>
      <c r="I508" s="19" t="n"/>
      <c r="J508" s="19" t="n"/>
      <c r="K508" s="19" t="n"/>
      <c r="L508" s="19" t="n"/>
      <c r="M508" s="19" t="n"/>
      <c r="N508" s="19" t="n"/>
      <c r="O508" s="19" t="n"/>
      <c r="P508" s="19" t="n"/>
      <c r="Q508" s="19" t="n"/>
    </row>
    <row r="509" ht="15.75" customHeight="1" s="545">
      <c r="A509" s="19" t="n"/>
      <c r="B509" s="19" t="n"/>
      <c r="C509" s="19" t="n"/>
      <c r="D509" s="19" t="n"/>
      <c r="E509" s="19" t="n"/>
      <c r="F509" s="19" t="n"/>
      <c r="G509" s="19" t="n"/>
      <c r="H509" s="19" t="n"/>
      <c r="I509" s="19" t="n"/>
      <c r="J509" s="19" t="n"/>
      <c r="K509" s="19" t="n"/>
      <c r="L509" s="19" t="n"/>
      <c r="M509" s="19" t="n"/>
      <c r="N509" s="19" t="n"/>
      <c r="O509" s="19" t="n"/>
      <c r="P509" s="19" t="n"/>
      <c r="Q509" s="19" t="n"/>
    </row>
    <row r="510" ht="15.75" customHeight="1" s="545">
      <c r="A510" s="19" t="n"/>
      <c r="B510" s="19" t="n"/>
      <c r="C510" s="19" t="n"/>
      <c r="D510" s="19" t="n"/>
      <c r="E510" s="19" t="n"/>
      <c r="F510" s="19" t="n"/>
      <c r="G510" s="19" t="n"/>
      <c r="H510" s="19" t="n"/>
      <c r="I510" s="19" t="n"/>
      <c r="J510" s="19" t="n"/>
      <c r="K510" s="19" t="n"/>
      <c r="L510" s="19" t="n"/>
      <c r="M510" s="19" t="n"/>
      <c r="N510" s="19" t="n"/>
      <c r="O510" s="19" t="n"/>
      <c r="P510" s="19" t="n"/>
      <c r="Q510" s="19" t="n"/>
    </row>
    <row r="511" ht="15.75" customHeight="1" s="545">
      <c r="A511" s="19" t="n"/>
      <c r="B511" s="19" t="n"/>
      <c r="C511" s="19" t="n"/>
      <c r="D511" s="19" t="n"/>
      <c r="E511" s="19" t="n"/>
      <c r="F511" s="19" t="n"/>
      <c r="G511" s="19" t="n"/>
      <c r="H511" s="19" t="n"/>
      <c r="I511" s="19" t="n"/>
      <c r="J511" s="19" t="n"/>
      <c r="K511" s="19" t="n"/>
      <c r="L511" s="19" t="n"/>
      <c r="M511" s="19" t="n"/>
      <c r="N511" s="19" t="n"/>
      <c r="O511" s="19" t="n"/>
      <c r="P511" s="19" t="n"/>
      <c r="Q511" s="19" t="n"/>
    </row>
    <row r="512" ht="15.75" customHeight="1" s="545">
      <c r="A512" s="19" t="n"/>
      <c r="B512" s="19" t="n"/>
      <c r="C512" s="19" t="n"/>
      <c r="D512" s="19" t="n"/>
      <c r="E512" s="19" t="n"/>
      <c r="F512" s="19" t="n"/>
      <c r="G512" s="19" t="n"/>
      <c r="H512" s="19" t="n"/>
      <c r="I512" s="19" t="n"/>
      <c r="J512" s="19" t="n"/>
      <c r="K512" s="19" t="n"/>
      <c r="L512" s="19" t="n"/>
      <c r="M512" s="19" t="n"/>
      <c r="N512" s="19" t="n"/>
      <c r="O512" s="19" t="n"/>
      <c r="P512" s="19" t="n"/>
      <c r="Q512" s="19" t="n"/>
    </row>
    <row r="513" ht="15.75" customHeight="1" s="545">
      <c r="A513" s="19" t="n"/>
      <c r="B513" s="19" t="n"/>
      <c r="C513" s="19" t="n"/>
      <c r="D513" s="19" t="n"/>
      <c r="E513" s="19" t="n"/>
      <c r="F513" s="19" t="n"/>
      <c r="G513" s="19" t="n"/>
      <c r="H513" s="19" t="n"/>
      <c r="I513" s="19" t="n"/>
      <c r="J513" s="19" t="n"/>
      <c r="K513" s="19" t="n"/>
      <c r="L513" s="19" t="n"/>
      <c r="M513" s="19" t="n"/>
      <c r="N513" s="19" t="n"/>
      <c r="O513" s="19" t="n"/>
      <c r="P513" s="19" t="n"/>
      <c r="Q513" s="19" t="n"/>
    </row>
    <row r="514" ht="15.75" customHeight="1" s="545">
      <c r="A514" s="19" t="n"/>
      <c r="B514" s="19" t="n"/>
      <c r="C514" s="19" t="n"/>
      <c r="D514" s="19" t="n"/>
      <c r="E514" s="19" t="n"/>
      <c r="F514" s="19" t="n"/>
      <c r="G514" s="19" t="n"/>
      <c r="H514" s="19" t="n"/>
      <c r="I514" s="19" t="n"/>
      <c r="J514" s="19" t="n"/>
      <c r="K514" s="19" t="n"/>
      <c r="L514" s="19" t="n"/>
      <c r="M514" s="19" t="n"/>
      <c r="N514" s="19" t="n"/>
      <c r="O514" s="19" t="n"/>
      <c r="P514" s="19" t="n"/>
      <c r="Q514" s="19" t="n"/>
    </row>
    <row r="515" ht="15.75" customHeight="1" s="545">
      <c r="A515" s="19" t="n"/>
      <c r="B515" s="19" t="n"/>
      <c r="C515" s="19" t="n"/>
      <c r="D515" s="19" t="n"/>
      <c r="E515" s="19" t="n"/>
      <c r="F515" s="19" t="n"/>
      <c r="G515" s="19" t="n"/>
      <c r="H515" s="19" t="n"/>
      <c r="I515" s="19" t="n"/>
      <c r="J515" s="19" t="n"/>
      <c r="K515" s="19" t="n"/>
      <c r="L515" s="19" t="n"/>
      <c r="M515" s="19" t="n"/>
      <c r="N515" s="19" t="n"/>
      <c r="O515" s="19" t="n"/>
      <c r="P515" s="19" t="n"/>
      <c r="Q515" s="19" t="n"/>
    </row>
    <row r="516" ht="15.75" customHeight="1" s="545">
      <c r="A516" s="19" t="n"/>
      <c r="B516" s="19" t="n"/>
      <c r="C516" s="19" t="n"/>
      <c r="D516" s="19" t="n"/>
      <c r="E516" s="19" t="n"/>
      <c r="F516" s="19" t="n"/>
      <c r="G516" s="19" t="n"/>
      <c r="H516" s="19" t="n"/>
      <c r="I516" s="19" t="n"/>
      <c r="J516" s="19" t="n"/>
      <c r="K516" s="19" t="n"/>
      <c r="L516" s="19" t="n"/>
      <c r="M516" s="19" t="n"/>
      <c r="N516" s="19" t="n"/>
      <c r="O516" s="19" t="n"/>
      <c r="P516" s="19" t="n"/>
      <c r="Q516" s="19" t="n"/>
    </row>
    <row r="517" ht="15.75" customHeight="1" s="545">
      <c r="A517" s="19" t="n"/>
      <c r="B517" s="19" t="n"/>
      <c r="C517" s="19" t="n"/>
      <c r="D517" s="19" t="n"/>
      <c r="E517" s="19" t="n"/>
      <c r="F517" s="19" t="n"/>
      <c r="G517" s="19" t="n"/>
      <c r="H517" s="19" t="n"/>
      <c r="I517" s="19" t="n"/>
      <c r="J517" s="19" t="n"/>
      <c r="K517" s="19" t="n"/>
      <c r="L517" s="19" t="n"/>
      <c r="M517" s="19" t="n"/>
      <c r="N517" s="19" t="n"/>
      <c r="O517" s="19" t="n"/>
      <c r="P517" s="19" t="n"/>
      <c r="Q517" s="19" t="n"/>
    </row>
    <row r="518" ht="15.75" customHeight="1" s="545">
      <c r="A518" s="19" t="n"/>
      <c r="B518" s="19" t="n"/>
      <c r="C518" s="19" t="n"/>
      <c r="D518" s="19" t="n"/>
      <c r="E518" s="19" t="n"/>
      <c r="F518" s="19" t="n"/>
      <c r="G518" s="19" t="n"/>
      <c r="H518" s="19" t="n"/>
      <c r="I518" s="19" t="n"/>
      <c r="J518" s="19" t="n"/>
      <c r="K518" s="19" t="n"/>
      <c r="L518" s="19" t="n"/>
      <c r="M518" s="19" t="n"/>
      <c r="N518" s="19" t="n"/>
      <c r="O518" s="19" t="n"/>
      <c r="P518" s="19" t="n"/>
      <c r="Q518" s="19" t="n"/>
    </row>
    <row r="519" ht="15.75" customHeight="1" s="545">
      <c r="A519" s="19" t="n"/>
      <c r="B519" s="19" t="n"/>
      <c r="C519" s="19" t="n"/>
      <c r="D519" s="19" t="n"/>
      <c r="E519" s="19" t="n"/>
      <c r="F519" s="19" t="n"/>
      <c r="G519" s="19" t="n"/>
      <c r="H519" s="19" t="n"/>
      <c r="I519" s="19" t="n"/>
      <c r="J519" s="19" t="n"/>
      <c r="K519" s="19" t="n"/>
      <c r="L519" s="19" t="n"/>
      <c r="M519" s="19" t="n"/>
      <c r="N519" s="19" t="n"/>
      <c r="O519" s="19" t="n"/>
      <c r="P519" s="19" t="n"/>
      <c r="Q519" s="19" t="n"/>
    </row>
    <row r="520" ht="15.75" customHeight="1" s="545">
      <c r="A520" s="19" t="n"/>
      <c r="B520" s="19" t="n"/>
      <c r="C520" s="19" t="n"/>
      <c r="D520" s="19" t="n"/>
      <c r="E520" s="19" t="n"/>
      <c r="F520" s="19" t="n"/>
      <c r="G520" s="19" t="n"/>
      <c r="H520" s="19" t="n"/>
      <c r="I520" s="19" t="n"/>
      <c r="J520" s="19" t="n"/>
      <c r="K520" s="19" t="n"/>
      <c r="L520" s="19" t="n"/>
      <c r="M520" s="19" t="n"/>
      <c r="N520" s="19" t="n"/>
      <c r="O520" s="19" t="n"/>
      <c r="P520" s="19" t="n"/>
      <c r="Q520" s="19" t="n"/>
    </row>
    <row r="521" ht="15.75" customHeight="1" s="545">
      <c r="A521" s="19" t="n"/>
      <c r="B521" s="19" t="n"/>
      <c r="C521" s="19" t="n"/>
      <c r="D521" s="19" t="n"/>
      <c r="E521" s="19" t="n"/>
      <c r="F521" s="19" t="n"/>
      <c r="G521" s="19" t="n"/>
      <c r="H521" s="19" t="n"/>
      <c r="I521" s="19" t="n"/>
      <c r="J521" s="19" t="n"/>
      <c r="K521" s="19" t="n"/>
      <c r="L521" s="19" t="n"/>
      <c r="M521" s="19" t="n"/>
      <c r="N521" s="19" t="n"/>
      <c r="O521" s="19" t="n"/>
      <c r="P521" s="19" t="n"/>
      <c r="Q521" s="19" t="n"/>
    </row>
    <row r="522" ht="15.75" customHeight="1" s="545">
      <c r="A522" s="19" t="n"/>
      <c r="B522" s="19" t="n"/>
      <c r="C522" s="19" t="n"/>
      <c r="D522" s="19" t="n"/>
      <c r="E522" s="19" t="n"/>
      <c r="F522" s="19" t="n"/>
      <c r="G522" s="19" t="n"/>
      <c r="H522" s="19" t="n"/>
      <c r="I522" s="19" t="n"/>
      <c r="J522" s="19" t="n"/>
      <c r="K522" s="19" t="n"/>
      <c r="L522" s="19" t="n"/>
      <c r="M522" s="19" t="n"/>
      <c r="N522" s="19" t="n"/>
      <c r="O522" s="19" t="n"/>
      <c r="P522" s="19" t="n"/>
      <c r="Q522" s="19" t="n"/>
    </row>
    <row r="523" ht="15.75" customHeight="1" s="545">
      <c r="A523" s="19" t="n"/>
      <c r="B523" s="19" t="n"/>
      <c r="C523" s="19" t="n"/>
      <c r="D523" s="19" t="n"/>
      <c r="E523" s="19" t="n"/>
      <c r="F523" s="19" t="n"/>
      <c r="G523" s="19" t="n"/>
      <c r="H523" s="19" t="n"/>
      <c r="I523" s="19" t="n"/>
      <c r="J523" s="19" t="n"/>
      <c r="K523" s="19" t="n"/>
      <c r="L523" s="19" t="n"/>
      <c r="M523" s="19" t="n"/>
      <c r="N523" s="19" t="n"/>
      <c r="O523" s="19" t="n"/>
      <c r="P523" s="19" t="n"/>
      <c r="Q523" s="19" t="n"/>
    </row>
    <row r="524" ht="15.75" customHeight="1" s="545">
      <c r="A524" s="19" t="n"/>
      <c r="B524" s="19" t="n"/>
      <c r="C524" s="19" t="n"/>
      <c r="D524" s="19" t="n"/>
      <c r="E524" s="19" t="n"/>
      <c r="F524" s="19" t="n"/>
      <c r="G524" s="19" t="n"/>
      <c r="H524" s="19" t="n"/>
      <c r="I524" s="19" t="n"/>
      <c r="J524" s="19" t="n"/>
      <c r="K524" s="19" t="n"/>
      <c r="L524" s="19" t="n"/>
      <c r="M524" s="19" t="n"/>
      <c r="N524" s="19" t="n"/>
      <c r="O524" s="19" t="n"/>
      <c r="P524" s="19" t="n"/>
      <c r="Q524" s="19" t="n"/>
    </row>
    <row r="525" ht="15.75" customHeight="1" s="545">
      <c r="A525" s="19" t="n"/>
      <c r="B525" s="19" t="n"/>
      <c r="C525" s="19" t="n"/>
      <c r="D525" s="19" t="n"/>
      <c r="E525" s="19" t="n"/>
      <c r="F525" s="19" t="n"/>
      <c r="G525" s="19" t="n"/>
      <c r="H525" s="19" t="n"/>
      <c r="I525" s="19" t="n"/>
      <c r="J525" s="19" t="n"/>
      <c r="K525" s="19" t="n"/>
      <c r="L525" s="19" t="n"/>
      <c r="M525" s="19" t="n"/>
      <c r="N525" s="19" t="n"/>
      <c r="O525" s="19" t="n"/>
      <c r="P525" s="19" t="n"/>
      <c r="Q525" s="19" t="n"/>
    </row>
    <row r="526" ht="15.75" customHeight="1" s="545">
      <c r="A526" s="19" t="n"/>
      <c r="B526" s="19" t="n"/>
      <c r="C526" s="19" t="n"/>
      <c r="D526" s="19" t="n"/>
      <c r="E526" s="19" t="n"/>
      <c r="F526" s="19" t="n"/>
      <c r="G526" s="19" t="n"/>
      <c r="H526" s="19" t="n"/>
      <c r="I526" s="19" t="n"/>
      <c r="J526" s="19" t="n"/>
      <c r="K526" s="19" t="n"/>
      <c r="L526" s="19" t="n"/>
      <c r="M526" s="19" t="n"/>
      <c r="N526" s="19" t="n"/>
      <c r="O526" s="19" t="n"/>
      <c r="P526" s="19" t="n"/>
      <c r="Q526" s="19" t="n"/>
    </row>
    <row r="527" ht="15.75" customHeight="1" s="545">
      <c r="A527" s="19" t="n"/>
      <c r="B527" s="19" t="n"/>
      <c r="C527" s="19" t="n"/>
      <c r="D527" s="19" t="n"/>
      <c r="E527" s="19" t="n"/>
      <c r="F527" s="19" t="n"/>
      <c r="G527" s="19" t="n"/>
      <c r="H527" s="19" t="n"/>
      <c r="I527" s="19" t="n"/>
      <c r="J527" s="19" t="n"/>
      <c r="K527" s="19" t="n"/>
      <c r="L527" s="19" t="n"/>
      <c r="M527" s="19" t="n"/>
      <c r="N527" s="19" t="n"/>
      <c r="O527" s="19" t="n"/>
      <c r="P527" s="19" t="n"/>
      <c r="Q527" s="19" t="n"/>
    </row>
    <row r="528" ht="15.75" customHeight="1" s="545">
      <c r="A528" s="19" t="n"/>
      <c r="B528" s="19" t="n"/>
      <c r="C528" s="19" t="n"/>
      <c r="D528" s="19" t="n"/>
      <c r="E528" s="19" t="n"/>
      <c r="F528" s="19" t="n"/>
      <c r="G528" s="19" t="n"/>
      <c r="H528" s="19" t="n"/>
      <c r="I528" s="19" t="n"/>
      <c r="J528" s="19" t="n"/>
      <c r="K528" s="19" t="n"/>
      <c r="L528" s="19" t="n"/>
      <c r="M528" s="19" t="n"/>
      <c r="N528" s="19" t="n"/>
      <c r="O528" s="19" t="n"/>
      <c r="P528" s="19" t="n"/>
      <c r="Q528" s="19" t="n"/>
    </row>
    <row r="529" ht="15.75" customHeight="1" s="545">
      <c r="A529" s="19" t="n"/>
      <c r="B529" s="19" t="n"/>
      <c r="C529" s="19" t="n"/>
      <c r="D529" s="19" t="n"/>
      <c r="E529" s="19" t="n"/>
      <c r="F529" s="19" t="n"/>
      <c r="G529" s="19" t="n"/>
      <c r="H529" s="19" t="n"/>
      <c r="I529" s="19" t="n"/>
      <c r="J529" s="19" t="n"/>
      <c r="K529" s="19" t="n"/>
      <c r="L529" s="19" t="n"/>
      <c r="M529" s="19" t="n"/>
      <c r="N529" s="19" t="n"/>
      <c r="O529" s="19" t="n"/>
      <c r="P529" s="19" t="n"/>
      <c r="Q529" s="19" t="n"/>
    </row>
    <row r="530" ht="15.75" customHeight="1" s="545">
      <c r="A530" s="19" t="n"/>
      <c r="B530" s="19" t="n"/>
      <c r="C530" s="19" t="n"/>
      <c r="D530" s="19" t="n"/>
      <c r="E530" s="19" t="n"/>
      <c r="F530" s="19" t="n"/>
      <c r="G530" s="19" t="n"/>
      <c r="H530" s="19" t="n"/>
      <c r="I530" s="19" t="n"/>
      <c r="J530" s="19" t="n"/>
      <c r="K530" s="19" t="n"/>
      <c r="L530" s="19" t="n"/>
      <c r="M530" s="19" t="n"/>
      <c r="N530" s="19" t="n"/>
      <c r="O530" s="19" t="n"/>
      <c r="P530" s="19" t="n"/>
      <c r="Q530" s="19" t="n"/>
    </row>
    <row r="531" ht="15.75" customHeight="1" s="545">
      <c r="A531" s="19" t="n"/>
      <c r="B531" s="19" t="n"/>
      <c r="C531" s="19" t="n"/>
      <c r="D531" s="19" t="n"/>
      <c r="E531" s="19" t="n"/>
      <c r="F531" s="19" t="n"/>
      <c r="G531" s="19" t="n"/>
      <c r="H531" s="19" t="n"/>
      <c r="I531" s="19" t="n"/>
      <c r="J531" s="19" t="n"/>
      <c r="K531" s="19" t="n"/>
      <c r="L531" s="19" t="n"/>
      <c r="M531" s="19" t="n"/>
      <c r="N531" s="19" t="n"/>
      <c r="O531" s="19" t="n"/>
      <c r="P531" s="19" t="n"/>
      <c r="Q531" s="19" t="n"/>
    </row>
    <row r="532" ht="15.75" customHeight="1" s="545">
      <c r="A532" s="19" t="n"/>
      <c r="B532" s="19" t="n"/>
      <c r="C532" s="19" t="n"/>
      <c r="D532" s="19" t="n"/>
      <c r="E532" s="19" t="n"/>
      <c r="F532" s="19" t="n"/>
      <c r="G532" s="19" t="n"/>
      <c r="H532" s="19" t="n"/>
      <c r="I532" s="19" t="n"/>
      <c r="J532" s="19" t="n"/>
      <c r="K532" s="19" t="n"/>
      <c r="L532" s="19" t="n"/>
      <c r="M532" s="19" t="n"/>
      <c r="N532" s="19" t="n"/>
      <c r="O532" s="19" t="n"/>
      <c r="P532" s="19" t="n"/>
      <c r="Q532" s="19" t="n"/>
    </row>
    <row r="533" ht="15.75" customHeight="1" s="545">
      <c r="A533" s="19" t="n"/>
      <c r="B533" s="19" t="n"/>
      <c r="C533" s="19" t="n"/>
      <c r="D533" s="19" t="n"/>
      <c r="E533" s="19" t="n"/>
      <c r="F533" s="19" t="n"/>
      <c r="G533" s="19" t="n"/>
      <c r="H533" s="19" t="n"/>
      <c r="I533" s="19" t="n"/>
      <c r="J533" s="19" t="n"/>
      <c r="K533" s="19" t="n"/>
      <c r="L533" s="19" t="n"/>
      <c r="M533" s="19" t="n"/>
      <c r="N533" s="19" t="n"/>
      <c r="O533" s="19" t="n"/>
      <c r="P533" s="19" t="n"/>
      <c r="Q533" s="19" t="n"/>
    </row>
    <row r="534" ht="15.75" customHeight="1" s="545">
      <c r="A534" s="19" t="n"/>
      <c r="B534" s="19" t="n"/>
      <c r="C534" s="19" t="n"/>
      <c r="D534" s="19" t="n"/>
      <c r="E534" s="19" t="n"/>
      <c r="F534" s="19" t="n"/>
      <c r="G534" s="19" t="n"/>
      <c r="H534" s="19" t="n"/>
      <c r="I534" s="19" t="n"/>
      <c r="J534" s="19" t="n"/>
      <c r="K534" s="19" t="n"/>
      <c r="L534" s="19" t="n"/>
      <c r="M534" s="19" t="n"/>
      <c r="N534" s="19" t="n"/>
      <c r="O534" s="19" t="n"/>
      <c r="P534" s="19" t="n"/>
      <c r="Q534" s="19" t="n"/>
    </row>
    <row r="535" ht="15.75" customHeight="1" s="545">
      <c r="A535" s="19" t="n"/>
      <c r="B535" s="19" t="n"/>
      <c r="C535" s="19" t="n"/>
      <c r="D535" s="19" t="n"/>
      <c r="E535" s="19" t="n"/>
      <c r="F535" s="19" t="n"/>
      <c r="G535" s="19" t="n"/>
      <c r="H535" s="19" t="n"/>
      <c r="I535" s="19" t="n"/>
      <c r="J535" s="19" t="n"/>
      <c r="K535" s="19" t="n"/>
      <c r="L535" s="19" t="n"/>
      <c r="M535" s="19" t="n"/>
      <c r="N535" s="19" t="n"/>
      <c r="O535" s="19" t="n"/>
      <c r="P535" s="19" t="n"/>
      <c r="Q535" s="19" t="n"/>
    </row>
    <row r="536" ht="15.75" customHeight="1" s="545">
      <c r="A536" s="19" t="n"/>
      <c r="B536" s="19" t="n"/>
      <c r="C536" s="19" t="n"/>
      <c r="D536" s="19" t="n"/>
      <c r="E536" s="19" t="n"/>
      <c r="F536" s="19" t="n"/>
      <c r="G536" s="19" t="n"/>
      <c r="H536" s="19" t="n"/>
      <c r="I536" s="19" t="n"/>
      <c r="J536" s="19" t="n"/>
      <c r="K536" s="19" t="n"/>
      <c r="L536" s="19" t="n"/>
      <c r="M536" s="19" t="n"/>
      <c r="N536" s="19" t="n"/>
      <c r="O536" s="19" t="n"/>
      <c r="P536" s="19" t="n"/>
      <c r="Q536" s="19" t="n"/>
    </row>
    <row r="537" ht="15.75" customHeight="1" s="545">
      <c r="A537" s="19" t="n"/>
      <c r="B537" s="19" t="n"/>
      <c r="C537" s="19" t="n"/>
      <c r="D537" s="19" t="n"/>
      <c r="E537" s="19" t="n"/>
      <c r="F537" s="19" t="n"/>
      <c r="G537" s="19" t="n"/>
      <c r="H537" s="19" t="n"/>
      <c r="I537" s="19" t="n"/>
      <c r="J537" s="19" t="n"/>
      <c r="K537" s="19" t="n"/>
      <c r="L537" s="19" t="n"/>
      <c r="M537" s="19" t="n"/>
      <c r="N537" s="19" t="n"/>
      <c r="O537" s="19" t="n"/>
      <c r="P537" s="19" t="n"/>
      <c r="Q537" s="19" t="n"/>
    </row>
    <row r="538" ht="15.75" customHeight="1" s="545">
      <c r="A538" s="19" t="n"/>
      <c r="B538" s="19" t="n"/>
      <c r="C538" s="19" t="n"/>
      <c r="D538" s="19" t="n"/>
      <c r="E538" s="19" t="n"/>
      <c r="F538" s="19" t="n"/>
      <c r="G538" s="19" t="n"/>
      <c r="H538" s="19" t="n"/>
      <c r="I538" s="19" t="n"/>
      <c r="J538" s="19" t="n"/>
      <c r="K538" s="19" t="n"/>
      <c r="L538" s="19" t="n"/>
      <c r="M538" s="19" t="n"/>
      <c r="N538" s="19" t="n"/>
      <c r="O538" s="19" t="n"/>
      <c r="P538" s="19" t="n"/>
      <c r="Q538" s="19" t="n"/>
    </row>
    <row r="539" ht="15.75" customHeight="1" s="545">
      <c r="A539" s="19" t="n"/>
      <c r="B539" s="19" t="n"/>
      <c r="C539" s="19" t="n"/>
      <c r="D539" s="19" t="n"/>
      <c r="E539" s="19" t="n"/>
      <c r="F539" s="19" t="n"/>
      <c r="G539" s="19" t="n"/>
      <c r="H539" s="19" t="n"/>
      <c r="I539" s="19" t="n"/>
      <c r="J539" s="19" t="n"/>
      <c r="K539" s="19" t="n"/>
      <c r="L539" s="19" t="n"/>
      <c r="M539" s="19" t="n"/>
      <c r="N539" s="19" t="n"/>
      <c r="O539" s="19" t="n"/>
      <c r="P539" s="19" t="n"/>
      <c r="Q539" s="19" t="n"/>
    </row>
    <row r="540" ht="15.75" customHeight="1" s="545">
      <c r="A540" s="19" t="n"/>
      <c r="B540" s="19" t="n"/>
      <c r="C540" s="19" t="n"/>
      <c r="D540" s="19" t="n"/>
      <c r="E540" s="19" t="n"/>
      <c r="F540" s="19" t="n"/>
      <c r="G540" s="19" t="n"/>
      <c r="H540" s="19" t="n"/>
      <c r="I540" s="19" t="n"/>
      <c r="J540" s="19" t="n"/>
      <c r="K540" s="19" t="n"/>
      <c r="L540" s="19" t="n"/>
      <c r="M540" s="19" t="n"/>
      <c r="N540" s="19" t="n"/>
      <c r="O540" s="19" t="n"/>
      <c r="P540" s="19" t="n"/>
      <c r="Q540" s="19" t="n"/>
    </row>
    <row r="541" ht="15.75" customHeight="1" s="545">
      <c r="A541" s="19" t="n"/>
      <c r="B541" s="19" t="n"/>
      <c r="C541" s="19" t="n"/>
      <c r="D541" s="19" t="n"/>
      <c r="E541" s="19" t="n"/>
      <c r="F541" s="19" t="n"/>
      <c r="G541" s="19" t="n"/>
      <c r="H541" s="19" t="n"/>
      <c r="I541" s="19" t="n"/>
      <c r="J541" s="19" t="n"/>
      <c r="K541" s="19" t="n"/>
      <c r="L541" s="19" t="n"/>
      <c r="M541" s="19" t="n"/>
      <c r="N541" s="19" t="n"/>
      <c r="O541" s="19" t="n"/>
      <c r="P541" s="19" t="n"/>
      <c r="Q541" s="19" t="n"/>
    </row>
    <row r="542" ht="15.75" customHeight="1" s="545">
      <c r="A542" s="19" t="n"/>
      <c r="B542" s="19" t="n"/>
      <c r="C542" s="19" t="n"/>
      <c r="D542" s="19" t="n"/>
      <c r="E542" s="19" t="n"/>
      <c r="F542" s="19" t="n"/>
      <c r="G542" s="19" t="n"/>
      <c r="H542" s="19" t="n"/>
      <c r="I542" s="19" t="n"/>
      <c r="J542" s="19" t="n"/>
      <c r="K542" s="19" t="n"/>
      <c r="L542" s="19" t="n"/>
      <c r="M542" s="19" t="n"/>
      <c r="N542" s="19" t="n"/>
      <c r="O542" s="19" t="n"/>
      <c r="P542" s="19" t="n"/>
      <c r="Q542" s="19" t="n"/>
    </row>
    <row r="543" ht="15.75" customHeight="1" s="545">
      <c r="A543" s="19" t="n"/>
      <c r="B543" s="19" t="n"/>
      <c r="C543" s="19" t="n"/>
      <c r="D543" s="19" t="n"/>
      <c r="E543" s="19" t="n"/>
      <c r="F543" s="19" t="n"/>
      <c r="G543" s="19" t="n"/>
      <c r="H543" s="19" t="n"/>
      <c r="I543" s="19" t="n"/>
      <c r="J543" s="19" t="n"/>
      <c r="K543" s="19" t="n"/>
      <c r="L543" s="19" t="n"/>
      <c r="M543" s="19" t="n"/>
      <c r="N543" s="19" t="n"/>
      <c r="O543" s="19" t="n"/>
      <c r="P543" s="19" t="n"/>
      <c r="Q543" s="19" t="n"/>
    </row>
    <row r="544" ht="15.75" customHeight="1" s="545">
      <c r="A544" s="19" t="n"/>
      <c r="B544" s="19" t="n"/>
      <c r="C544" s="19" t="n"/>
      <c r="D544" s="19" t="n"/>
      <c r="E544" s="19" t="n"/>
      <c r="F544" s="19" t="n"/>
      <c r="G544" s="19" t="n"/>
      <c r="H544" s="19" t="n"/>
      <c r="I544" s="19" t="n"/>
      <c r="J544" s="19" t="n"/>
      <c r="K544" s="19" t="n"/>
      <c r="L544" s="19" t="n"/>
      <c r="M544" s="19" t="n"/>
      <c r="N544" s="19" t="n"/>
      <c r="O544" s="19" t="n"/>
      <c r="P544" s="19" t="n"/>
      <c r="Q544" s="19" t="n"/>
    </row>
    <row r="545" ht="15.75" customHeight="1" s="545">
      <c r="A545" s="19" t="n"/>
      <c r="B545" s="19" t="n"/>
      <c r="C545" s="19" t="n"/>
      <c r="D545" s="19" t="n"/>
      <c r="E545" s="19" t="n"/>
      <c r="F545" s="19" t="n"/>
      <c r="G545" s="19" t="n"/>
      <c r="H545" s="19" t="n"/>
      <c r="I545" s="19" t="n"/>
      <c r="J545" s="19" t="n"/>
      <c r="K545" s="19" t="n"/>
      <c r="L545" s="19" t="n"/>
      <c r="M545" s="19" t="n"/>
      <c r="N545" s="19" t="n"/>
      <c r="O545" s="19" t="n"/>
      <c r="P545" s="19" t="n"/>
      <c r="Q545" s="19" t="n"/>
    </row>
    <row r="546" ht="15.75" customHeight="1" s="545">
      <c r="A546" s="19" t="n"/>
      <c r="B546" s="19" t="n"/>
      <c r="C546" s="19" t="n"/>
      <c r="D546" s="19" t="n"/>
      <c r="E546" s="19" t="n"/>
      <c r="F546" s="19" t="n"/>
      <c r="G546" s="19" t="n"/>
      <c r="H546" s="19" t="n"/>
      <c r="I546" s="19" t="n"/>
      <c r="J546" s="19" t="n"/>
      <c r="K546" s="19" t="n"/>
      <c r="L546" s="19" t="n"/>
      <c r="M546" s="19" t="n"/>
      <c r="N546" s="19" t="n"/>
      <c r="O546" s="19" t="n"/>
      <c r="P546" s="19" t="n"/>
      <c r="Q546" s="19" t="n"/>
    </row>
    <row r="547" ht="15.75" customHeight="1" s="545">
      <c r="A547" s="19" t="n"/>
      <c r="B547" s="19" t="n"/>
      <c r="C547" s="19" t="n"/>
      <c r="D547" s="19" t="n"/>
      <c r="E547" s="19" t="n"/>
      <c r="F547" s="19" t="n"/>
      <c r="G547" s="19" t="n"/>
      <c r="H547" s="19" t="n"/>
      <c r="I547" s="19" t="n"/>
      <c r="J547" s="19" t="n"/>
      <c r="K547" s="19" t="n"/>
      <c r="L547" s="19" t="n"/>
      <c r="M547" s="19" t="n"/>
      <c r="N547" s="19" t="n"/>
      <c r="O547" s="19" t="n"/>
      <c r="P547" s="19" t="n"/>
      <c r="Q547" s="19" t="n"/>
    </row>
    <row r="548" ht="15.75" customHeight="1" s="545">
      <c r="A548" s="19" t="n"/>
      <c r="B548" s="19" t="n"/>
      <c r="C548" s="19" t="n"/>
      <c r="D548" s="19" t="n"/>
      <c r="E548" s="19" t="n"/>
      <c r="F548" s="19" t="n"/>
      <c r="G548" s="19" t="n"/>
      <c r="H548" s="19" t="n"/>
      <c r="I548" s="19" t="n"/>
      <c r="J548" s="19" t="n"/>
      <c r="K548" s="19" t="n"/>
      <c r="L548" s="19" t="n"/>
      <c r="M548" s="19" t="n"/>
      <c r="N548" s="19" t="n"/>
      <c r="O548" s="19" t="n"/>
      <c r="P548" s="19" t="n"/>
      <c r="Q548" s="19" t="n"/>
    </row>
    <row r="549" ht="15.75" customHeight="1" s="545">
      <c r="A549" s="19" t="n"/>
      <c r="B549" s="19" t="n"/>
      <c r="C549" s="19" t="n"/>
      <c r="D549" s="19" t="n"/>
      <c r="E549" s="19" t="n"/>
      <c r="F549" s="19" t="n"/>
      <c r="G549" s="19" t="n"/>
      <c r="H549" s="19" t="n"/>
      <c r="I549" s="19" t="n"/>
      <c r="J549" s="19" t="n"/>
      <c r="K549" s="19" t="n"/>
      <c r="L549" s="19" t="n"/>
      <c r="M549" s="19" t="n"/>
      <c r="N549" s="19" t="n"/>
      <c r="O549" s="19" t="n"/>
      <c r="P549" s="19" t="n"/>
      <c r="Q549" s="19" t="n"/>
    </row>
    <row r="550" ht="15.75" customHeight="1" s="545">
      <c r="A550" s="19" t="n"/>
      <c r="B550" s="19" t="n"/>
      <c r="C550" s="19" t="n"/>
      <c r="D550" s="19" t="n"/>
      <c r="E550" s="19" t="n"/>
      <c r="F550" s="19" t="n"/>
      <c r="G550" s="19" t="n"/>
      <c r="H550" s="19" t="n"/>
      <c r="I550" s="19" t="n"/>
      <c r="J550" s="19" t="n"/>
      <c r="K550" s="19" t="n"/>
      <c r="L550" s="19" t="n"/>
      <c r="M550" s="19" t="n"/>
      <c r="N550" s="19" t="n"/>
      <c r="O550" s="19" t="n"/>
      <c r="P550" s="19" t="n"/>
      <c r="Q550" s="19" t="n"/>
    </row>
    <row r="551" ht="15.75" customHeight="1" s="545">
      <c r="A551" s="19" t="n"/>
      <c r="B551" s="19" t="n"/>
      <c r="C551" s="19" t="n"/>
      <c r="D551" s="19" t="n"/>
      <c r="E551" s="19" t="n"/>
      <c r="F551" s="19" t="n"/>
      <c r="G551" s="19" t="n"/>
      <c r="H551" s="19" t="n"/>
      <c r="I551" s="19" t="n"/>
      <c r="J551" s="19" t="n"/>
      <c r="K551" s="19" t="n"/>
      <c r="L551" s="19" t="n"/>
      <c r="M551" s="19" t="n"/>
      <c r="N551" s="19" t="n"/>
      <c r="O551" s="19" t="n"/>
      <c r="P551" s="19" t="n"/>
      <c r="Q551" s="19" t="n"/>
    </row>
    <row r="552" ht="15.75" customHeight="1" s="545">
      <c r="A552" s="19" t="n"/>
      <c r="B552" s="19" t="n"/>
      <c r="C552" s="19" t="n"/>
      <c r="D552" s="19" t="n"/>
      <c r="E552" s="19" t="n"/>
      <c r="F552" s="19" t="n"/>
      <c r="G552" s="19" t="n"/>
      <c r="H552" s="19" t="n"/>
      <c r="I552" s="19" t="n"/>
      <c r="J552" s="19" t="n"/>
      <c r="K552" s="19" t="n"/>
      <c r="L552" s="19" t="n"/>
      <c r="M552" s="19" t="n"/>
      <c r="N552" s="19" t="n"/>
      <c r="O552" s="19" t="n"/>
      <c r="P552" s="19" t="n"/>
      <c r="Q552" s="19" t="n"/>
    </row>
    <row r="553" ht="15.75" customHeight="1" s="545">
      <c r="A553" s="19" t="n"/>
      <c r="B553" s="19" t="n"/>
      <c r="C553" s="19" t="n"/>
      <c r="D553" s="19" t="n"/>
      <c r="E553" s="19" t="n"/>
      <c r="F553" s="19" t="n"/>
      <c r="G553" s="19" t="n"/>
      <c r="H553" s="19" t="n"/>
      <c r="I553" s="19" t="n"/>
      <c r="J553" s="19" t="n"/>
      <c r="K553" s="19" t="n"/>
      <c r="L553" s="19" t="n"/>
      <c r="M553" s="19" t="n"/>
      <c r="N553" s="19" t="n"/>
      <c r="O553" s="19" t="n"/>
      <c r="P553" s="19" t="n"/>
      <c r="Q553" s="19" t="n"/>
    </row>
    <row r="554" ht="15.75" customHeight="1" s="545">
      <c r="A554" s="19" t="n"/>
      <c r="B554" s="19" t="n"/>
      <c r="C554" s="19" t="n"/>
      <c r="D554" s="19" t="n"/>
      <c r="E554" s="19" t="n"/>
      <c r="F554" s="19" t="n"/>
      <c r="G554" s="19" t="n"/>
      <c r="H554" s="19" t="n"/>
      <c r="I554" s="19" t="n"/>
      <c r="J554" s="19" t="n"/>
      <c r="K554" s="19" t="n"/>
      <c r="L554" s="19" t="n"/>
      <c r="M554" s="19" t="n"/>
      <c r="N554" s="19" t="n"/>
      <c r="O554" s="19" t="n"/>
      <c r="P554" s="19" t="n"/>
      <c r="Q554" s="19" t="n"/>
    </row>
    <row r="555" ht="15.75" customHeight="1" s="545">
      <c r="A555" s="19" t="n"/>
      <c r="B555" s="19" t="n"/>
      <c r="C555" s="19" t="n"/>
      <c r="D555" s="19" t="n"/>
      <c r="E555" s="19" t="n"/>
      <c r="F555" s="19" t="n"/>
      <c r="G555" s="19" t="n"/>
      <c r="H555" s="19" t="n"/>
      <c r="I555" s="19" t="n"/>
      <c r="J555" s="19" t="n"/>
      <c r="K555" s="19" t="n"/>
      <c r="L555" s="19" t="n"/>
      <c r="M555" s="19" t="n"/>
      <c r="N555" s="19" t="n"/>
      <c r="O555" s="19" t="n"/>
      <c r="P555" s="19" t="n"/>
      <c r="Q555" s="19" t="n"/>
    </row>
    <row r="556" ht="15.75" customHeight="1" s="545">
      <c r="A556" s="19" t="n"/>
      <c r="B556" s="19" t="n"/>
      <c r="C556" s="19" t="n"/>
      <c r="D556" s="19" t="n"/>
      <c r="E556" s="19" t="n"/>
      <c r="F556" s="19" t="n"/>
      <c r="G556" s="19" t="n"/>
      <c r="H556" s="19" t="n"/>
      <c r="I556" s="19" t="n"/>
      <c r="J556" s="19" t="n"/>
      <c r="K556" s="19" t="n"/>
      <c r="L556" s="19" t="n"/>
      <c r="M556" s="19" t="n"/>
      <c r="N556" s="19" t="n"/>
      <c r="O556" s="19" t="n"/>
      <c r="P556" s="19" t="n"/>
      <c r="Q556" s="19" t="n"/>
    </row>
    <row r="557" ht="15.75" customHeight="1" s="545">
      <c r="A557" s="19" t="n"/>
      <c r="B557" s="19" t="n"/>
      <c r="C557" s="19" t="n"/>
      <c r="D557" s="19" t="n"/>
      <c r="E557" s="19" t="n"/>
      <c r="F557" s="19" t="n"/>
      <c r="G557" s="19" t="n"/>
      <c r="H557" s="19" t="n"/>
      <c r="I557" s="19" t="n"/>
      <c r="J557" s="19" t="n"/>
      <c r="K557" s="19" t="n"/>
      <c r="L557" s="19" t="n"/>
      <c r="M557" s="19" t="n"/>
      <c r="N557" s="19" t="n"/>
      <c r="O557" s="19" t="n"/>
      <c r="P557" s="19" t="n"/>
      <c r="Q557" s="19" t="n"/>
    </row>
    <row r="558" ht="15.75" customHeight="1" s="545">
      <c r="A558" s="19" t="n"/>
      <c r="B558" s="19" t="n"/>
      <c r="C558" s="19" t="n"/>
      <c r="D558" s="19" t="n"/>
      <c r="E558" s="19" t="n"/>
      <c r="F558" s="19" t="n"/>
      <c r="G558" s="19" t="n"/>
      <c r="H558" s="19" t="n"/>
      <c r="I558" s="19" t="n"/>
      <c r="J558" s="19" t="n"/>
      <c r="K558" s="19" t="n"/>
      <c r="L558" s="19" t="n"/>
      <c r="M558" s="19" t="n"/>
      <c r="N558" s="19" t="n"/>
      <c r="O558" s="19" t="n"/>
      <c r="P558" s="19" t="n"/>
      <c r="Q558" s="19" t="n"/>
    </row>
    <row r="559" ht="15.75" customHeight="1" s="545">
      <c r="A559" s="19" t="n"/>
      <c r="B559" s="19" t="n"/>
      <c r="C559" s="19" t="n"/>
      <c r="D559" s="19" t="n"/>
      <c r="E559" s="19" t="n"/>
      <c r="F559" s="19" t="n"/>
      <c r="G559" s="19" t="n"/>
      <c r="H559" s="19" t="n"/>
      <c r="I559" s="19" t="n"/>
      <c r="J559" s="19" t="n"/>
      <c r="K559" s="19" t="n"/>
      <c r="L559" s="19" t="n"/>
      <c r="M559" s="19" t="n"/>
      <c r="N559" s="19" t="n"/>
      <c r="O559" s="19" t="n"/>
      <c r="P559" s="19" t="n"/>
      <c r="Q559" s="19" t="n"/>
    </row>
    <row r="560" ht="15.75" customHeight="1" s="545">
      <c r="A560" s="19" t="n"/>
      <c r="B560" s="19" t="n"/>
      <c r="C560" s="19" t="n"/>
      <c r="D560" s="19" t="n"/>
      <c r="E560" s="19" t="n"/>
      <c r="F560" s="19" t="n"/>
      <c r="G560" s="19" t="n"/>
      <c r="H560" s="19" t="n"/>
      <c r="I560" s="19" t="n"/>
      <c r="J560" s="19" t="n"/>
      <c r="K560" s="19" t="n"/>
      <c r="L560" s="19" t="n"/>
      <c r="M560" s="19" t="n"/>
      <c r="N560" s="19" t="n"/>
      <c r="O560" s="19" t="n"/>
      <c r="P560" s="19" t="n"/>
      <c r="Q560" s="19" t="n"/>
    </row>
    <row r="561" ht="15.75" customHeight="1" s="545">
      <c r="A561" s="19" t="n"/>
      <c r="B561" s="19" t="n"/>
      <c r="C561" s="19" t="n"/>
      <c r="D561" s="19" t="n"/>
      <c r="E561" s="19" t="n"/>
      <c r="F561" s="19" t="n"/>
      <c r="G561" s="19" t="n"/>
      <c r="H561" s="19" t="n"/>
      <c r="I561" s="19" t="n"/>
      <c r="J561" s="19" t="n"/>
      <c r="K561" s="19" t="n"/>
      <c r="L561" s="19" t="n"/>
      <c r="M561" s="19" t="n"/>
      <c r="N561" s="19" t="n"/>
      <c r="O561" s="19" t="n"/>
      <c r="P561" s="19" t="n"/>
      <c r="Q561" s="19" t="n"/>
    </row>
    <row r="562" ht="15.75" customHeight="1" s="545">
      <c r="A562" s="19" t="n"/>
      <c r="B562" s="19" t="n"/>
      <c r="C562" s="19" t="n"/>
      <c r="D562" s="19" t="n"/>
      <c r="E562" s="19" t="n"/>
      <c r="F562" s="19" t="n"/>
      <c r="G562" s="19" t="n"/>
      <c r="H562" s="19" t="n"/>
      <c r="I562" s="19" t="n"/>
      <c r="J562" s="19" t="n"/>
      <c r="K562" s="19" t="n"/>
      <c r="L562" s="19" t="n"/>
      <c r="M562" s="19" t="n"/>
      <c r="N562" s="19" t="n"/>
      <c r="O562" s="19" t="n"/>
      <c r="P562" s="19" t="n"/>
      <c r="Q562" s="19" t="n"/>
    </row>
    <row r="563" ht="15.75" customHeight="1" s="545">
      <c r="A563" s="19" t="n"/>
      <c r="B563" s="19" t="n"/>
      <c r="C563" s="19" t="n"/>
      <c r="D563" s="19" t="n"/>
      <c r="E563" s="19" t="n"/>
      <c r="F563" s="19" t="n"/>
      <c r="G563" s="19" t="n"/>
      <c r="H563" s="19" t="n"/>
      <c r="I563" s="19" t="n"/>
      <c r="J563" s="19" t="n"/>
      <c r="K563" s="19" t="n"/>
      <c r="L563" s="19" t="n"/>
      <c r="M563" s="19" t="n"/>
      <c r="N563" s="19" t="n"/>
      <c r="O563" s="19" t="n"/>
      <c r="P563" s="19" t="n"/>
      <c r="Q563" s="19" t="n"/>
    </row>
    <row r="564" ht="15.75" customHeight="1" s="545">
      <c r="A564" s="19" t="n"/>
      <c r="B564" s="19" t="n"/>
      <c r="C564" s="19" t="n"/>
      <c r="D564" s="19" t="n"/>
      <c r="E564" s="19" t="n"/>
      <c r="F564" s="19" t="n"/>
      <c r="G564" s="19" t="n"/>
      <c r="H564" s="19" t="n"/>
      <c r="I564" s="19" t="n"/>
      <c r="J564" s="19" t="n"/>
      <c r="K564" s="19" t="n"/>
      <c r="L564" s="19" t="n"/>
      <c r="M564" s="19" t="n"/>
      <c r="N564" s="19" t="n"/>
      <c r="O564" s="19" t="n"/>
      <c r="P564" s="19" t="n"/>
      <c r="Q564" s="19" t="n"/>
    </row>
    <row r="565" ht="15.75" customHeight="1" s="545">
      <c r="A565" s="19" t="n"/>
      <c r="B565" s="19" t="n"/>
      <c r="C565" s="19" t="n"/>
      <c r="D565" s="19" t="n"/>
      <c r="E565" s="19" t="n"/>
      <c r="F565" s="19" t="n"/>
      <c r="G565" s="19" t="n"/>
      <c r="H565" s="19" t="n"/>
      <c r="I565" s="19" t="n"/>
      <c r="J565" s="19" t="n"/>
      <c r="K565" s="19" t="n"/>
      <c r="L565" s="19" t="n"/>
      <c r="M565" s="19" t="n"/>
      <c r="N565" s="19" t="n"/>
      <c r="O565" s="19" t="n"/>
      <c r="P565" s="19" t="n"/>
      <c r="Q565" s="19" t="n"/>
    </row>
    <row r="566" ht="15.75" customHeight="1" s="545">
      <c r="A566" s="19" t="n"/>
      <c r="B566" s="19" t="n"/>
      <c r="C566" s="19" t="n"/>
      <c r="D566" s="19" t="n"/>
      <c r="E566" s="19" t="n"/>
      <c r="F566" s="19" t="n"/>
      <c r="G566" s="19" t="n"/>
      <c r="H566" s="19" t="n"/>
      <c r="I566" s="19" t="n"/>
      <c r="J566" s="19" t="n"/>
      <c r="K566" s="19" t="n"/>
      <c r="L566" s="19" t="n"/>
      <c r="M566" s="19" t="n"/>
      <c r="N566" s="19" t="n"/>
      <c r="O566" s="19" t="n"/>
      <c r="P566" s="19" t="n"/>
      <c r="Q566" s="19" t="n"/>
    </row>
    <row r="567" ht="15.75" customHeight="1" s="545">
      <c r="A567" s="19" t="n"/>
      <c r="B567" s="19" t="n"/>
      <c r="C567" s="19" t="n"/>
      <c r="D567" s="19" t="n"/>
      <c r="E567" s="19" t="n"/>
      <c r="F567" s="19" t="n"/>
      <c r="G567" s="19" t="n"/>
      <c r="H567" s="19" t="n"/>
      <c r="I567" s="19" t="n"/>
      <c r="J567" s="19" t="n"/>
      <c r="K567" s="19" t="n"/>
      <c r="L567" s="19" t="n"/>
      <c r="M567" s="19" t="n"/>
      <c r="N567" s="19" t="n"/>
      <c r="O567" s="19" t="n"/>
      <c r="P567" s="19" t="n"/>
      <c r="Q567" s="19" t="n"/>
    </row>
    <row r="568" ht="15.75" customHeight="1" s="545">
      <c r="A568" s="19" t="n"/>
      <c r="B568" s="19" t="n"/>
      <c r="C568" s="19" t="n"/>
      <c r="D568" s="19" t="n"/>
      <c r="E568" s="19" t="n"/>
      <c r="F568" s="19" t="n"/>
      <c r="G568" s="19" t="n"/>
      <c r="H568" s="19" t="n"/>
      <c r="I568" s="19" t="n"/>
      <c r="J568" s="19" t="n"/>
      <c r="K568" s="19" t="n"/>
      <c r="L568" s="19" t="n"/>
      <c r="M568" s="19" t="n"/>
      <c r="N568" s="19" t="n"/>
      <c r="O568" s="19" t="n"/>
      <c r="P568" s="19" t="n"/>
      <c r="Q568" s="19" t="n"/>
    </row>
    <row r="569" ht="15.75" customHeight="1" s="545">
      <c r="A569" s="19" t="n"/>
      <c r="B569" s="19" t="n"/>
      <c r="C569" s="19" t="n"/>
      <c r="D569" s="19" t="n"/>
      <c r="E569" s="19" t="n"/>
      <c r="F569" s="19" t="n"/>
      <c r="G569" s="19" t="n"/>
      <c r="H569" s="19" t="n"/>
      <c r="I569" s="19" t="n"/>
      <c r="J569" s="19" t="n"/>
      <c r="K569" s="19" t="n"/>
      <c r="L569" s="19" t="n"/>
      <c r="M569" s="19" t="n"/>
      <c r="N569" s="19" t="n"/>
      <c r="O569" s="19" t="n"/>
      <c r="P569" s="19" t="n"/>
      <c r="Q569" s="19" t="n"/>
    </row>
    <row r="570" ht="15.75" customHeight="1" s="545">
      <c r="A570" s="19" t="n"/>
      <c r="B570" s="19" t="n"/>
      <c r="C570" s="19" t="n"/>
      <c r="D570" s="19" t="n"/>
      <c r="E570" s="19" t="n"/>
      <c r="F570" s="19" t="n"/>
      <c r="G570" s="19" t="n"/>
      <c r="H570" s="19" t="n"/>
      <c r="I570" s="19" t="n"/>
      <c r="J570" s="19" t="n"/>
      <c r="K570" s="19" t="n"/>
      <c r="L570" s="19" t="n"/>
      <c r="M570" s="19" t="n"/>
      <c r="N570" s="19" t="n"/>
      <c r="O570" s="19" t="n"/>
      <c r="P570" s="19" t="n"/>
      <c r="Q570" s="19" t="n"/>
    </row>
    <row r="571" ht="15.75" customHeight="1" s="545">
      <c r="A571" s="19" t="n"/>
      <c r="B571" s="19" t="n"/>
      <c r="C571" s="19" t="n"/>
      <c r="D571" s="19" t="n"/>
      <c r="E571" s="19" t="n"/>
      <c r="F571" s="19" t="n"/>
      <c r="G571" s="19" t="n"/>
      <c r="H571" s="19" t="n"/>
      <c r="I571" s="19" t="n"/>
      <c r="J571" s="19" t="n"/>
      <c r="K571" s="19" t="n"/>
      <c r="L571" s="19" t="n"/>
      <c r="M571" s="19" t="n"/>
      <c r="N571" s="19" t="n"/>
      <c r="O571" s="19" t="n"/>
      <c r="P571" s="19" t="n"/>
      <c r="Q571" s="19" t="n"/>
    </row>
    <row r="572" ht="15.75" customHeight="1" s="545">
      <c r="A572" s="19" t="n"/>
      <c r="B572" s="19" t="n"/>
      <c r="C572" s="19" t="n"/>
      <c r="D572" s="19" t="n"/>
      <c r="E572" s="19" t="n"/>
      <c r="F572" s="19" t="n"/>
      <c r="G572" s="19" t="n"/>
      <c r="H572" s="19" t="n"/>
      <c r="I572" s="19" t="n"/>
      <c r="J572" s="19" t="n"/>
      <c r="K572" s="19" t="n"/>
      <c r="L572" s="19" t="n"/>
      <c r="M572" s="19" t="n"/>
      <c r="N572" s="19" t="n"/>
      <c r="O572" s="19" t="n"/>
      <c r="P572" s="19" t="n"/>
      <c r="Q572" s="19" t="n"/>
    </row>
    <row r="573" ht="15.75" customHeight="1" s="545">
      <c r="A573" s="19" t="n"/>
      <c r="B573" s="19" t="n"/>
      <c r="C573" s="19" t="n"/>
      <c r="D573" s="19" t="n"/>
      <c r="E573" s="19" t="n"/>
      <c r="F573" s="19" t="n"/>
      <c r="G573" s="19" t="n"/>
      <c r="H573" s="19" t="n"/>
      <c r="I573" s="19" t="n"/>
      <c r="J573" s="19" t="n"/>
      <c r="K573" s="19" t="n"/>
      <c r="L573" s="19" t="n"/>
      <c r="M573" s="19" t="n"/>
      <c r="N573" s="19" t="n"/>
      <c r="O573" s="19" t="n"/>
      <c r="P573" s="19" t="n"/>
      <c r="Q573" s="19" t="n"/>
    </row>
    <row r="574" ht="15.75" customHeight="1" s="545">
      <c r="A574" s="19" t="n"/>
      <c r="B574" s="19" t="n"/>
      <c r="C574" s="19" t="n"/>
      <c r="D574" s="19" t="n"/>
      <c r="E574" s="19" t="n"/>
      <c r="F574" s="19" t="n"/>
      <c r="G574" s="19" t="n"/>
      <c r="H574" s="19" t="n"/>
      <c r="I574" s="19" t="n"/>
      <c r="J574" s="19" t="n"/>
      <c r="K574" s="19" t="n"/>
      <c r="L574" s="19" t="n"/>
      <c r="M574" s="19" t="n"/>
      <c r="N574" s="19" t="n"/>
      <c r="O574" s="19" t="n"/>
      <c r="P574" s="19" t="n"/>
      <c r="Q574" s="19" t="n"/>
    </row>
    <row r="575" ht="15.75" customHeight="1" s="545">
      <c r="A575" s="19" t="n"/>
      <c r="B575" s="19" t="n"/>
      <c r="C575" s="19" t="n"/>
      <c r="D575" s="19" t="n"/>
      <c r="E575" s="19" t="n"/>
      <c r="F575" s="19" t="n"/>
      <c r="G575" s="19" t="n"/>
      <c r="H575" s="19" t="n"/>
      <c r="I575" s="19" t="n"/>
      <c r="J575" s="19" t="n"/>
      <c r="K575" s="19" t="n"/>
      <c r="L575" s="19" t="n"/>
      <c r="M575" s="19" t="n"/>
      <c r="N575" s="19" t="n"/>
      <c r="O575" s="19" t="n"/>
      <c r="P575" s="19" t="n"/>
      <c r="Q575" s="19" t="n"/>
    </row>
    <row r="576" ht="15.75" customHeight="1" s="545">
      <c r="A576" s="19" t="n"/>
      <c r="B576" s="19" t="n"/>
      <c r="C576" s="19" t="n"/>
      <c r="D576" s="19" t="n"/>
      <c r="E576" s="19" t="n"/>
      <c r="F576" s="19" t="n"/>
      <c r="G576" s="19" t="n"/>
      <c r="H576" s="19" t="n"/>
      <c r="I576" s="19" t="n"/>
      <c r="J576" s="19" t="n"/>
      <c r="K576" s="19" t="n"/>
      <c r="L576" s="19" t="n"/>
      <c r="M576" s="19" t="n"/>
      <c r="N576" s="19" t="n"/>
      <c r="O576" s="19" t="n"/>
      <c r="P576" s="19" t="n"/>
      <c r="Q576" s="19" t="n"/>
    </row>
    <row r="577" ht="15.75" customHeight="1" s="545">
      <c r="A577" s="19" t="n"/>
      <c r="B577" s="19" t="n"/>
      <c r="C577" s="19" t="n"/>
      <c r="D577" s="19" t="n"/>
      <c r="E577" s="19" t="n"/>
      <c r="F577" s="19" t="n"/>
      <c r="G577" s="19" t="n"/>
      <c r="H577" s="19" t="n"/>
      <c r="I577" s="19" t="n"/>
      <c r="J577" s="19" t="n"/>
      <c r="K577" s="19" t="n"/>
      <c r="L577" s="19" t="n"/>
      <c r="M577" s="19" t="n"/>
      <c r="N577" s="19" t="n"/>
      <c r="O577" s="19" t="n"/>
      <c r="P577" s="19" t="n"/>
      <c r="Q577" s="19" t="n"/>
    </row>
    <row r="578" ht="15.75" customHeight="1" s="545">
      <c r="A578" s="19" t="n"/>
      <c r="B578" s="19" t="n"/>
      <c r="C578" s="19" t="n"/>
      <c r="D578" s="19" t="n"/>
      <c r="E578" s="19" t="n"/>
      <c r="F578" s="19" t="n"/>
      <c r="G578" s="19" t="n"/>
      <c r="H578" s="19" t="n"/>
      <c r="I578" s="19" t="n"/>
      <c r="J578" s="19" t="n"/>
      <c r="K578" s="19" t="n"/>
      <c r="L578" s="19" t="n"/>
      <c r="M578" s="19" t="n"/>
      <c r="N578" s="19" t="n"/>
      <c r="O578" s="19" t="n"/>
      <c r="P578" s="19" t="n"/>
      <c r="Q578" s="19" t="n"/>
    </row>
    <row r="579" ht="15.75" customHeight="1" s="545">
      <c r="A579" s="19" t="n"/>
      <c r="B579" s="19" t="n"/>
      <c r="C579" s="19" t="n"/>
      <c r="D579" s="19" t="n"/>
      <c r="E579" s="19" t="n"/>
      <c r="F579" s="19" t="n"/>
      <c r="G579" s="19" t="n"/>
      <c r="H579" s="19" t="n"/>
      <c r="I579" s="19" t="n"/>
      <c r="J579" s="19" t="n"/>
      <c r="K579" s="19" t="n"/>
      <c r="L579" s="19" t="n"/>
      <c r="M579" s="19" t="n"/>
      <c r="N579" s="19" t="n"/>
      <c r="O579" s="19" t="n"/>
      <c r="P579" s="19" t="n"/>
      <c r="Q579" s="19" t="n"/>
    </row>
    <row r="580" ht="15.75" customHeight="1" s="545">
      <c r="A580" s="19" t="n"/>
      <c r="B580" s="19" t="n"/>
      <c r="C580" s="19" t="n"/>
      <c r="D580" s="19" t="n"/>
      <c r="E580" s="19" t="n"/>
      <c r="F580" s="19" t="n"/>
      <c r="G580" s="19" t="n"/>
      <c r="H580" s="19" t="n"/>
      <c r="I580" s="19" t="n"/>
      <c r="J580" s="19" t="n"/>
      <c r="K580" s="19" t="n"/>
      <c r="L580" s="19" t="n"/>
      <c r="M580" s="19" t="n"/>
      <c r="N580" s="19" t="n"/>
      <c r="O580" s="19" t="n"/>
      <c r="P580" s="19" t="n"/>
      <c r="Q580" s="19" t="n"/>
    </row>
    <row r="581" ht="15.75" customHeight="1" s="545">
      <c r="A581" s="19" t="n"/>
      <c r="B581" s="19" t="n"/>
      <c r="C581" s="19" t="n"/>
      <c r="D581" s="19" t="n"/>
      <c r="E581" s="19" t="n"/>
      <c r="F581" s="19" t="n"/>
      <c r="G581" s="19" t="n"/>
      <c r="H581" s="19" t="n"/>
      <c r="I581" s="19" t="n"/>
      <c r="J581" s="19" t="n"/>
      <c r="K581" s="19" t="n"/>
      <c r="L581" s="19" t="n"/>
      <c r="M581" s="19" t="n"/>
      <c r="N581" s="19" t="n"/>
      <c r="O581" s="19" t="n"/>
      <c r="P581" s="19" t="n"/>
      <c r="Q581" s="19" t="n"/>
    </row>
    <row r="582" ht="15.75" customHeight="1" s="545">
      <c r="A582" s="19" t="n"/>
      <c r="B582" s="19" t="n"/>
      <c r="C582" s="19" t="n"/>
      <c r="D582" s="19" t="n"/>
      <c r="E582" s="19" t="n"/>
      <c r="F582" s="19" t="n"/>
      <c r="G582" s="19" t="n"/>
      <c r="H582" s="19" t="n"/>
      <c r="I582" s="19" t="n"/>
      <c r="J582" s="19" t="n"/>
      <c r="K582" s="19" t="n"/>
      <c r="L582" s="19" t="n"/>
      <c r="M582" s="19" t="n"/>
      <c r="N582" s="19" t="n"/>
      <c r="O582" s="19" t="n"/>
      <c r="P582" s="19" t="n"/>
      <c r="Q582" s="19" t="n"/>
    </row>
    <row r="583" ht="15.75" customHeight="1" s="545">
      <c r="A583" s="19" t="n"/>
      <c r="B583" s="19" t="n"/>
      <c r="C583" s="19" t="n"/>
      <c r="D583" s="19" t="n"/>
      <c r="E583" s="19" t="n"/>
      <c r="F583" s="19" t="n"/>
      <c r="G583" s="19" t="n"/>
      <c r="H583" s="19" t="n"/>
      <c r="I583" s="19" t="n"/>
      <c r="J583" s="19" t="n"/>
      <c r="K583" s="19" t="n"/>
      <c r="L583" s="19" t="n"/>
      <c r="M583" s="19" t="n"/>
      <c r="N583" s="19" t="n"/>
      <c r="O583" s="19" t="n"/>
      <c r="P583" s="19" t="n"/>
      <c r="Q583" s="19" t="n"/>
    </row>
    <row r="584" ht="15.75" customHeight="1" s="545">
      <c r="A584" s="19" t="n"/>
      <c r="B584" s="19" t="n"/>
      <c r="C584" s="19" t="n"/>
      <c r="D584" s="19" t="n"/>
      <c r="E584" s="19" t="n"/>
      <c r="F584" s="19" t="n"/>
      <c r="G584" s="19" t="n"/>
      <c r="H584" s="19" t="n"/>
      <c r="I584" s="19" t="n"/>
      <c r="J584" s="19" t="n"/>
      <c r="K584" s="19" t="n"/>
      <c r="L584" s="19" t="n"/>
      <c r="M584" s="19" t="n"/>
      <c r="N584" s="19" t="n"/>
      <c r="O584" s="19" t="n"/>
      <c r="P584" s="19" t="n"/>
      <c r="Q584" s="19" t="n"/>
    </row>
    <row r="585" ht="15.75" customHeight="1" s="545">
      <c r="A585" s="19" t="n"/>
      <c r="B585" s="19" t="n"/>
      <c r="C585" s="19" t="n"/>
      <c r="D585" s="19" t="n"/>
      <c r="E585" s="19" t="n"/>
      <c r="F585" s="19" t="n"/>
      <c r="G585" s="19" t="n"/>
      <c r="H585" s="19" t="n"/>
      <c r="I585" s="19" t="n"/>
      <c r="J585" s="19" t="n"/>
      <c r="K585" s="19" t="n"/>
      <c r="L585" s="19" t="n"/>
      <c r="M585" s="19" t="n"/>
      <c r="N585" s="19" t="n"/>
      <c r="O585" s="19" t="n"/>
      <c r="P585" s="19" t="n"/>
      <c r="Q585" s="19" t="n"/>
    </row>
    <row r="586" ht="15.75" customHeight="1" s="545">
      <c r="A586" s="19" t="n"/>
      <c r="B586" s="19" t="n"/>
      <c r="C586" s="19" t="n"/>
      <c r="D586" s="19" t="n"/>
      <c r="E586" s="19" t="n"/>
      <c r="F586" s="19" t="n"/>
      <c r="G586" s="19" t="n"/>
      <c r="H586" s="19" t="n"/>
      <c r="I586" s="19" t="n"/>
      <c r="J586" s="19" t="n"/>
      <c r="K586" s="19" t="n"/>
      <c r="L586" s="19" t="n"/>
      <c r="M586" s="19" t="n"/>
      <c r="N586" s="19" t="n"/>
      <c r="O586" s="19" t="n"/>
      <c r="P586" s="19" t="n"/>
      <c r="Q586" s="19" t="n"/>
    </row>
    <row r="587" ht="15.75" customHeight="1" s="545">
      <c r="A587" s="19" t="n"/>
      <c r="B587" s="19" t="n"/>
      <c r="C587" s="19" t="n"/>
      <c r="D587" s="19" t="n"/>
      <c r="E587" s="19" t="n"/>
      <c r="F587" s="19" t="n"/>
      <c r="G587" s="19" t="n"/>
      <c r="H587" s="19" t="n"/>
      <c r="I587" s="19" t="n"/>
      <c r="J587" s="19" t="n"/>
      <c r="K587" s="19" t="n"/>
      <c r="L587" s="19" t="n"/>
      <c r="M587" s="19" t="n"/>
      <c r="N587" s="19" t="n"/>
      <c r="O587" s="19" t="n"/>
      <c r="P587" s="19" t="n"/>
      <c r="Q587" s="19" t="n"/>
    </row>
    <row r="588" ht="15.75" customHeight="1" s="545">
      <c r="A588" s="19" t="n"/>
      <c r="B588" s="19" t="n"/>
      <c r="C588" s="19" t="n"/>
      <c r="D588" s="19" t="n"/>
      <c r="E588" s="19" t="n"/>
      <c r="F588" s="19" t="n"/>
      <c r="G588" s="19" t="n"/>
      <c r="H588" s="19" t="n"/>
      <c r="I588" s="19" t="n"/>
      <c r="J588" s="19" t="n"/>
      <c r="K588" s="19" t="n"/>
      <c r="L588" s="19" t="n"/>
      <c r="M588" s="19" t="n"/>
      <c r="N588" s="19" t="n"/>
      <c r="O588" s="19" t="n"/>
      <c r="P588" s="19" t="n"/>
      <c r="Q588" s="19" t="n"/>
    </row>
    <row r="589" ht="15.75" customHeight="1" s="545">
      <c r="A589" s="19" t="n"/>
      <c r="B589" s="19" t="n"/>
      <c r="C589" s="19" t="n"/>
      <c r="D589" s="19" t="n"/>
      <c r="E589" s="19" t="n"/>
      <c r="F589" s="19" t="n"/>
      <c r="G589" s="19" t="n"/>
      <c r="H589" s="19" t="n"/>
      <c r="I589" s="19" t="n"/>
      <c r="J589" s="19" t="n"/>
      <c r="K589" s="19" t="n"/>
      <c r="L589" s="19" t="n"/>
      <c r="M589" s="19" t="n"/>
      <c r="N589" s="19" t="n"/>
      <c r="O589" s="19" t="n"/>
      <c r="P589" s="19" t="n"/>
      <c r="Q589" s="19" t="n"/>
    </row>
    <row r="590" ht="15.75" customHeight="1" s="545">
      <c r="A590" s="19" t="n"/>
      <c r="B590" s="19" t="n"/>
      <c r="C590" s="19" t="n"/>
      <c r="D590" s="19" t="n"/>
      <c r="E590" s="19" t="n"/>
      <c r="F590" s="19" t="n"/>
      <c r="G590" s="19" t="n"/>
      <c r="H590" s="19" t="n"/>
      <c r="I590" s="19" t="n"/>
      <c r="J590" s="19" t="n"/>
      <c r="K590" s="19" t="n"/>
      <c r="L590" s="19" t="n"/>
      <c r="M590" s="19" t="n"/>
      <c r="N590" s="19" t="n"/>
      <c r="O590" s="19" t="n"/>
      <c r="P590" s="19" t="n"/>
      <c r="Q590" s="19" t="n"/>
    </row>
    <row r="591" ht="15.75" customHeight="1" s="545">
      <c r="A591" s="19" t="n"/>
      <c r="B591" s="19" t="n"/>
      <c r="C591" s="19" t="n"/>
      <c r="D591" s="19" t="n"/>
      <c r="E591" s="19" t="n"/>
      <c r="F591" s="19" t="n"/>
      <c r="G591" s="19" t="n"/>
      <c r="H591" s="19" t="n"/>
      <c r="I591" s="19" t="n"/>
      <c r="J591" s="19" t="n"/>
      <c r="K591" s="19" t="n"/>
      <c r="L591" s="19" t="n"/>
      <c r="M591" s="19" t="n"/>
      <c r="N591" s="19" t="n"/>
      <c r="O591" s="19" t="n"/>
      <c r="P591" s="19" t="n"/>
      <c r="Q591" s="19" t="n"/>
    </row>
    <row r="592" ht="15.75" customHeight="1" s="545">
      <c r="A592" s="19" t="n"/>
      <c r="B592" s="19" t="n"/>
      <c r="C592" s="19" t="n"/>
      <c r="D592" s="19" t="n"/>
      <c r="E592" s="19" t="n"/>
      <c r="F592" s="19" t="n"/>
      <c r="G592" s="19" t="n"/>
      <c r="H592" s="19" t="n"/>
      <c r="I592" s="19" t="n"/>
      <c r="J592" s="19" t="n"/>
      <c r="K592" s="19" t="n"/>
      <c r="L592" s="19" t="n"/>
      <c r="M592" s="19" t="n"/>
      <c r="N592" s="19" t="n"/>
      <c r="O592" s="19" t="n"/>
      <c r="P592" s="19" t="n"/>
      <c r="Q592" s="19" t="n"/>
    </row>
    <row r="593" ht="15.75" customHeight="1" s="545">
      <c r="A593" s="19" t="n"/>
      <c r="B593" s="19" t="n"/>
      <c r="C593" s="19" t="n"/>
      <c r="D593" s="19" t="n"/>
      <c r="E593" s="19" t="n"/>
      <c r="F593" s="19" t="n"/>
      <c r="G593" s="19" t="n"/>
      <c r="H593" s="19" t="n"/>
      <c r="I593" s="19" t="n"/>
      <c r="J593" s="19" t="n"/>
      <c r="K593" s="19" t="n"/>
      <c r="L593" s="19" t="n"/>
      <c r="M593" s="19" t="n"/>
      <c r="N593" s="19" t="n"/>
      <c r="O593" s="19" t="n"/>
      <c r="P593" s="19" t="n"/>
      <c r="Q593" s="19" t="n"/>
    </row>
    <row r="594" ht="15.75" customHeight="1" s="545">
      <c r="A594" s="19" t="n"/>
      <c r="B594" s="19" t="n"/>
      <c r="C594" s="19" t="n"/>
      <c r="D594" s="19" t="n"/>
      <c r="E594" s="19" t="n"/>
      <c r="F594" s="19" t="n"/>
      <c r="G594" s="19" t="n"/>
      <c r="H594" s="19" t="n"/>
      <c r="I594" s="19" t="n"/>
      <c r="J594" s="19" t="n"/>
      <c r="K594" s="19" t="n"/>
      <c r="L594" s="19" t="n"/>
      <c r="M594" s="19" t="n"/>
      <c r="N594" s="19" t="n"/>
      <c r="O594" s="19" t="n"/>
      <c r="P594" s="19" t="n"/>
      <c r="Q594" s="19" t="n"/>
    </row>
    <row r="595" ht="15.75" customHeight="1" s="545">
      <c r="A595" s="19" t="n"/>
      <c r="B595" s="19" t="n"/>
      <c r="C595" s="19" t="n"/>
      <c r="D595" s="19" t="n"/>
      <c r="E595" s="19" t="n"/>
      <c r="F595" s="19" t="n"/>
      <c r="G595" s="19" t="n"/>
      <c r="H595" s="19" t="n"/>
      <c r="I595" s="19" t="n"/>
      <c r="J595" s="19" t="n"/>
      <c r="K595" s="19" t="n"/>
      <c r="L595" s="19" t="n"/>
      <c r="M595" s="19" t="n"/>
      <c r="N595" s="19" t="n"/>
      <c r="O595" s="19" t="n"/>
      <c r="P595" s="19" t="n"/>
      <c r="Q595" s="19" t="n"/>
    </row>
    <row r="596" ht="15.75" customHeight="1" s="545">
      <c r="A596" s="19" t="n"/>
      <c r="B596" s="19" t="n"/>
      <c r="C596" s="19" t="n"/>
      <c r="D596" s="19" t="n"/>
      <c r="E596" s="19" t="n"/>
      <c r="F596" s="19" t="n"/>
      <c r="G596" s="19" t="n"/>
      <c r="H596" s="19" t="n"/>
      <c r="I596" s="19" t="n"/>
      <c r="J596" s="19" t="n"/>
      <c r="K596" s="19" t="n"/>
      <c r="L596" s="19" t="n"/>
      <c r="M596" s="19" t="n"/>
      <c r="N596" s="19" t="n"/>
      <c r="O596" s="19" t="n"/>
      <c r="P596" s="19" t="n"/>
      <c r="Q596" s="19" t="n"/>
    </row>
    <row r="597" ht="15.75" customHeight="1" s="545">
      <c r="A597" s="19" t="n"/>
      <c r="B597" s="19" t="n"/>
      <c r="C597" s="19" t="n"/>
      <c r="D597" s="19" t="n"/>
      <c r="E597" s="19" t="n"/>
      <c r="F597" s="19" t="n"/>
      <c r="G597" s="19" t="n"/>
      <c r="H597" s="19" t="n"/>
      <c r="I597" s="19" t="n"/>
      <c r="J597" s="19" t="n"/>
      <c r="K597" s="19" t="n"/>
      <c r="L597" s="19" t="n"/>
      <c r="M597" s="19" t="n"/>
      <c r="N597" s="19" t="n"/>
      <c r="O597" s="19" t="n"/>
      <c r="P597" s="19" t="n"/>
      <c r="Q597" s="19" t="n"/>
    </row>
    <row r="598" ht="15.75" customHeight="1" s="545">
      <c r="A598" s="19" t="n"/>
      <c r="B598" s="19" t="n"/>
      <c r="C598" s="19" t="n"/>
      <c r="D598" s="19" t="n"/>
      <c r="E598" s="19" t="n"/>
      <c r="F598" s="19" t="n"/>
      <c r="G598" s="19" t="n"/>
      <c r="H598" s="19" t="n"/>
      <c r="I598" s="19" t="n"/>
      <c r="J598" s="19" t="n"/>
      <c r="K598" s="19" t="n"/>
      <c r="L598" s="19" t="n"/>
      <c r="M598" s="19" t="n"/>
      <c r="N598" s="19" t="n"/>
      <c r="O598" s="19" t="n"/>
      <c r="P598" s="19" t="n"/>
      <c r="Q598" s="19" t="n"/>
    </row>
    <row r="599" ht="15.75" customHeight="1" s="545">
      <c r="A599" s="19" t="n"/>
      <c r="B599" s="19" t="n"/>
      <c r="C599" s="19" t="n"/>
      <c r="D599" s="19" t="n"/>
      <c r="E599" s="19" t="n"/>
      <c r="F599" s="19" t="n"/>
      <c r="G599" s="19" t="n"/>
      <c r="H599" s="19" t="n"/>
      <c r="I599" s="19" t="n"/>
      <c r="J599" s="19" t="n"/>
      <c r="K599" s="19" t="n"/>
      <c r="L599" s="19" t="n"/>
      <c r="M599" s="19" t="n"/>
      <c r="N599" s="19" t="n"/>
      <c r="O599" s="19" t="n"/>
      <c r="P599" s="19" t="n"/>
      <c r="Q599" s="19" t="n"/>
    </row>
    <row r="600" ht="15.75" customHeight="1" s="545">
      <c r="A600" s="19" t="n"/>
      <c r="B600" s="19" t="n"/>
      <c r="C600" s="19" t="n"/>
      <c r="D600" s="19" t="n"/>
      <c r="E600" s="19" t="n"/>
      <c r="F600" s="19" t="n"/>
      <c r="G600" s="19" t="n"/>
      <c r="H600" s="19" t="n"/>
      <c r="I600" s="19" t="n"/>
      <c r="J600" s="19" t="n"/>
      <c r="K600" s="19" t="n"/>
      <c r="L600" s="19" t="n"/>
      <c r="M600" s="19" t="n"/>
      <c r="N600" s="19" t="n"/>
      <c r="O600" s="19" t="n"/>
      <c r="P600" s="19" t="n"/>
      <c r="Q600" s="19" t="n"/>
    </row>
    <row r="601" ht="15.75" customHeight="1" s="545">
      <c r="A601" s="19" t="n"/>
      <c r="B601" s="19" t="n"/>
      <c r="C601" s="19" t="n"/>
      <c r="D601" s="19" t="n"/>
      <c r="E601" s="19" t="n"/>
      <c r="F601" s="19" t="n"/>
      <c r="G601" s="19" t="n"/>
      <c r="H601" s="19" t="n"/>
      <c r="I601" s="19" t="n"/>
      <c r="J601" s="19" t="n"/>
      <c r="K601" s="19" t="n"/>
      <c r="L601" s="19" t="n"/>
      <c r="M601" s="19" t="n"/>
      <c r="N601" s="19" t="n"/>
      <c r="O601" s="19" t="n"/>
      <c r="P601" s="19" t="n"/>
      <c r="Q601" s="19" t="n"/>
    </row>
    <row r="602" ht="15.75" customHeight="1" s="545">
      <c r="A602" s="19" t="n"/>
      <c r="B602" s="19" t="n"/>
      <c r="C602" s="19" t="n"/>
      <c r="D602" s="19" t="n"/>
      <c r="E602" s="19" t="n"/>
      <c r="F602" s="19" t="n"/>
      <c r="G602" s="19" t="n"/>
      <c r="H602" s="19" t="n"/>
      <c r="I602" s="19" t="n"/>
      <c r="J602" s="19" t="n"/>
      <c r="K602" s="19" t="n"/>
      <c r="L602" s="19" t="n"/>
      <c r="M602" s="19" t="n"/>
      <c r="N602" s="19" t="n"/>
      <c r="O602" s="19" t="n"/>
      <c r="P602" s="19" t="n"/>
      <c r="Q602" s="19" t="n"/>
    </row>
    <row r="603" ht="15.75" customHeight="1" s="545">
      <c r="A603" s="19" t="n"/>
      <c r="B603" s="19" t="n"/>
      <c r="C603" s="19" t="n"/>
      <c r="D603" s="19" t="n"/>
      <c r="E603" s="19" t="n"/>
      <c r="F603" s="19" t="n"/>
      <c r="G603" s="19" t="n"/>
      <c r="H603" s="19" t="n"/>
      <c r="I603" s="19" t="n"/>
      <c r="J603" s="19" t="n"/>
      <c r="K603" s="19" t="n"/>
      <c r="L603" s="19" t="n"/>
      <c r="M603" s="19" t="n"/>
      <c r="N603" s="19" t="n"/>
      <c r="O603" s="19" t="n"/>
      <c r="P603" s="19" t="n"/>
      <c r="Q603" s="19" t="n"/>
    </row>
    <row r="604" ht="15.75" customHeight="1" s="545">
      <c r="A604" s="19" t="n"/>
      <c r="B604" s="19" t="n"/>
      <c r="C604" s="19" t="n"/>
      <c r="D604" s="19" t="n"/>
      <c r="E604" s="19" t="n"/>
      <c r="F604" s="19" t="n"/>
      <c r="G604" s="19" t="n"/>
      <c r="H604" s="19" t="n"/>
      <c r="I604" s="19" t="n"/>
      <c r="J604" s="19" t="n"/>
      <c r="K604" s="19" t="n"/>
      <c r="L604" s="19" t="n"/>
      <c r="M604" s="19" t="n"/>
      <c r="N604" s="19" t="n"/>
      <c r="O604" s="19" t="n"/>
      <c r="P604" s="19" t="n"/>
      <c r="Q604" s="19" t="n"/>
    </row>
    <row r="605" ht="15.75" customHeight="1" s="545">
      <c r="A605" s="19" t="n"/>
      <c r="B605" s="19" t="n"/>
      <c r="C605" s="19" t="n"/>
      <c r="D605" s="19" t="n"/>
      <c r="E605" s="19" t="n"/>
      <c r="F605" s="19" t="n"/>
      <c r="G605" s="19" t="n"/>
      <c r="H605" s="19" t="n"/>
      <c r="I605" s="19" t="n"/>
      <c r="J605" s="19" t="n"/>
      <c r="K605" s="19" t="n"/>
      <c r="L605" s="19" t="n"/>
      <c r="M605" s="19" t="n"/>
      <c r="N605" s="19" t="n"/>
      <c r="O605" s="19" t="n"/>
      <c r="P605" s="19" t="n"/>
      <c r="Q605" s="19" t="n"/>
    </row>
    <row r="606" ht="15.75" customHeight="1" s="545">
      <c r="A606" s="19" t="n"/>
      <c r="B606" s="19" t="n"/>
      <c r="C606" s="19" t="n"/>
      <c r="D606" s="19" t="n"/>
      <c r="E606" s="19" t="n"/>
      <c r="F606" s="19" t="n"/>
      <c r="G606" s="19" t="n"/>
      <c r="H606" s="19" t="n"/>
      <c r="I606" s="19" t="n"/>
      <c r="J606" s="19" t="n"/>
      <c r="K606" s="19" t="n"/>
      <c r="L606" s="19" t="n"/>
      <c r="M606" s="19" t="n"/>
      <c r="N606" s="19" t="n"/>
      <c r="O606" s="19" t="n"/>
      <c r="P606" s="19" t="n"/>
      <c r="Q606" s="19" t="n"/>
    </row>
    <row r="607" ht="15.75" customHeight="1" s="545">
      <c r="A607" s="19" t="n"/>
      <c r="B607" s="19" t="n"/>
      <c r="C607" s="19" t="n"/>
      <c r="D607" s="19" t="n"/>
      <c r="E607" s="19" t="n"/>
      <c r="F607" s="19" t="n"/>
      <c r="G607" s="19" t="n"/>
      <c r="H607" s="19" t="n"/>
      <c r="I607" s="19" t="n"/>
      <c r="J607" s="19" t="n"/>
      <c r="K607" s="19" t="n"/>
      <c r="L607" s="19" t="n"/>
      <c r="M607" s="19" t="n"/>
      <c r="N607" s="19" t="n"/>
      <c r="O607" s="19" t="n"/>
      <c r="P607" s="19" t="n"/>
      <c r="Q607" s="19" t="n"/>
    </row>
    <row r="608" ht="15.75" customHeight="1" s="545">
      <c r="A608" s="19" t="n"/>
      <c r="B608" s="19" t="n"/>
      <c r="C608" s="19" t="n"/>
      <c r="D608" s="19" t="n"/>
      <c r="E608" s="19" t="n"/>
      <c r="F608" s="19" t="n"/>
      <c r="G608" s="19" t="n"/>
      <c r="H608" s="19" t="n"/>
      <c r="I608" s="19" t="n"/>
      <c r="J608" s="19" t="n"/>
      <c r="K608" s="19" t="n"/>
      <c r="L608" s="19" t="n"/>
      <c r="M608" s="19" t="n"/>
      <c r="N608" s="19" t="n"/>
      <c r="O608" s="19" t="n"/>
      <c r="P608" s="19" t="n"/>
      <c r="Q608" s="19" t="n"/>
    </row>
    <row r="609" ht="15.75" customHeight="1" s="545">
      <c r="A609" s="19" t="n"/>
      <c r="B609" s="19" t="n"/>
      <c r="C609" s="19" t="n"/>
      <c r="D609" s="19" t="n"/>
      <c r="E609" s="19" t="n"/>
      <c r="F609" s="19" t="n"/>
      <c r="G609" s="19" t="n"/>
      <c r="H609" s="19" t="n"/>
      <c r="I609" s="19" t="n"/>
      <c r="J609" s="19" t="n"/>
      <c r="K609" s="19" t="n"/>
      <c r="L609" s="19" t="n"/>
      <c r="M609" s="19" t="n"/>
      <c r="N609" s="19" t="n"/>
      <c r="O609" s="19" t="n"/>
      <c r="P609" s="19" t="n"/>
      <c r="Q609" s="19" t="n"/>
    </row>
    <row r="610" ht="15.75" customHeight="1" s="545">
      <c r="A610" s="19" t="n"/>
      <c r="B610" s="19" t="n"/>
      <c r="C610" s="19" t="n"/>
      <c r="D610" s="19" t="n"/>
      <c r="E610" s="19" t="n"/>
      <c r="F610" s="19" t="n"/>
      <c r="G610" s="19" t="n"/>
      <c r="H610" s="19" t="n"/>
      <c r="I610" s="19" t="n"/>
      <c r="J610" s="19" t="n"/>
      <c r="K610" s="19" t="n"/>
      <c r="L610" s="19" t="n"/>
      <c r="M610" s="19" t="n"/>
      <c r="N610" s="19" t="n"/>
      <c r="O610" s="19" t="n"/>
      <c r="P610" s="19" t="n"/>
      <c r="Q610" s="19" t="n"/>
    </row>
    <row r="611" ht="15.75" customHeight="1" s="545">
      <c r="A611" s="19" t="n"/>
      <c r="B611" s="19" t="n"/>
      <c r="C611" s="19" t="n"/>
      <c r="D611" s="19" t="n"/>
      <c r="E611" s="19" t="n"/>
      <c r="F611" s="19" t="n"/>
      <c r="G611" s="19" t="n"/>
      <c r="H611" s="19" t="n"/>
      <c r="I611" s="19" t="n"/>
      <c r="J611" s="19" t="n"/>
      <c r="K611" s="19" t="n"/>
      <c r="L611" s="19" t="n"/>
      <c r="M611" s="19" t="n"/>
      <c r="N611" s="19" t="n"/>
      <c r="O611" s="19" t="n"/>
      <c r="P611" s="19" t="n"/>
      <c r="Q611" s="19" t="n"/>
    </row>
    <row r="612" ht="15.75" customHeight="1" s="545">
      <c r="A612" s="19" t="n"/>
      <c r="B612" s="19" t="n"/>
      <c r="C612" s="19" t="n"/>
      <c r="D612" s="19" t="n"/>
      <c r="E612" s="19" t="n"/>
      <c r="F612" s="19" t="n"/>
      <c r="G612" s="19" t="n"/>
      <c r="H612" s="19" t="n"/>
      <c r="I612" s="19" t="n"/>
      <c r="J612" s="19" t="n"/>
      <c r="K612" s="19" t="n"/>
      <c r="L612" s="19" t="n"/>
      <c r="M612" s="19" t="n"/>
      <c r="N612" s="19" t="n"/>
      <c r="O612" s="19" t="n"/>
      <c r="P612" s="19" t="n"/>
      <c r="Q612" s="19" t="n"/>
    </row>
    <row r="613" ht="15.75" customHeight="1" s="545">
      <c r="A613" s="19" t="n"/>
      <c r="B613" s="19" t="n"/>
      <c r="C613" s="19" t="n"/>
      <c r="D613" s="19" t="n"/>
      <c r="E613" s="19" t="n"/>
      <c r="F613" s="19" t="n"/>
      <c r="G613" s="19" t="n"/>
      <c r="H613" s="19" t="n"/>
      <c r="I613" s="19" t="n"/>
      <c r="J613" s="19" t="n"/>
      <c r="K613" s="19" t="n"/>
      <c r="L613" s="19" t="n"/>
      <c r="M613" s="19" t="n"/>
      <c r="N613" s="19" t="n"/>
      <c r="O613" s="19" t="n"/>
      <c r="P613" s="19" t="n"/>
      <c r="Q613" s="19" t="n"/>
    </row>
    <row r="614" ht="15.75" customHeight="1" s="545">
      <c r="A614" s="19" t="n"/>
      <c r="B614" s="19" t="n"/>
      <c r="C614" s="19" t="n"/>
      <c r="D614" s="19" t="n"/>
      <c r="E614" s="19" t="n"/>
      <c r="F614" s="19" t="n"/>
      <c r="G614" s="19" t="n"/>
      <c r="H614" s="19" t="n"/>
      <c r="I614" s="19" t="n"/>
      <c r="J614" s="19" t="n"/>
      <c r="K614" s="19" t="n"/>
      <c r="L614" s="19" t="n"/>
      <c r="M614" s="19" t="n"/>
      <c r="N614" s="19" t="n"/>
      <c r="O614" s="19" t="n"/>
      <c r="P614" s="19" t="n"/>
      <c r="Q614" s="19" t="n"/>
    </row>
    <row r="615" ht="15.75" customHeight="1" s="545">
      <c r="A615" s="19" t="n"/>
      <c r="B615" s="19" t="n"/>
      <c r="C615" s="19" t="n"/>
      <c r="D615" s="19" t="n"/>
      <c r="E615" s="19" t="n"/>
      <c r="F615" s="19" t="n"/>
      <c r="G615" s="19" t="n"/>
      <c r="H615" s="19" t="n"/>
      <c r="I615" s="19" t="n"/>
      <c r="J615" s="19" t="n"/>
      <c r="K615" s="19" t="n"/>
      <c r="L615" s="19" t="n"/>
      <c r="M615" s="19" t="n"/>
      <c r="N615" s="19" t="n"/>
      <c r="O615" s="19" t="n"/>
      <c r="P615" s="19" t="n"/>
      <c r="Q615" s="19" t="n"/>
    </row>
    <row r="616" ht="15.75" customHeight="1" s="545">
      <c r="A616" s="19" t="n"/>
      <c r="B616" s="19" t="n"/>
      <c r="C616" s="19" t="n"/>
      <c r="D616" s="19" t="n"/>
      <c r="E616" s="19" t="n"/>
      <c r="F616" s="19" t="n"/>
      <c r="G616" s="19" t="n"/>
      <c r="H616" s="19" t="n"/>
      <c r="I616" s="19" t="n"/>
      <c r="J616" s="19" t="n"/>
      <c r="K616" s="19" t="n"/>
      <c r="L616" s="19" t="n"/>
      <c r="M616" s="19" t="n"/>
      <c r="N616" s="19" t="n"/>
      <c r="O616" s="19" t="n"/>
      <c r="P616" s="19" t="n"/>
      <c r="Q616" s="19" t="n"/>
    </row>
    <row r="617" ht="15.75" customHeight="1" s="545">
      <c r="A617" s="19" t="n"/>
      <c r="B617" s="19" t="n"/>
      <c r="C617" s="19" t="n"/>
      <c r="D617" s="19" t="n"/>
      <c r="E617" s="19" t="n"/>
      <c r="F617" s="19" t="n"/>
      <c r="G617" s="19" t="n"/>
      <c r="H617" s="19" t="n"/>
      <c r="I617" s="19" t="n"/>
      <c r="J617" s="19" t="n"/>
      <c r="K617" s="19" t="n"/>
      <c r="L617" s="19" t="n"/>
      <c r="M617" s="19" t="n"/>
      <c r="N617" s="19" t="n"/>
      <c r="O617" s="19" t="n"/>
      <c r="P617" s="19" t="n"/>
      <c r="Q617" s="19" t="n"/>
    </row>
    <row r="618" ht="15.75" customHeight="1" s="545">
      <c r="A618" s="19" t="n"/>
      <c r="B618" s="19" t="n"/>
      <c r="C618" s="19" t="n"/>
      <c r="D618" s="19" t="n"/>
      <c r="E618" s="19" t="n"/>
      <c r="F618" s="19" t="n"/>
      <c r="G618" s="19" t="n"/>
      <c r="H618" s="19" t="n"/>
      <c r="I618" s="19" t="n"/>
      <c r="J618" s="19" t="n"/>
      <c r="K618" s="19" t="n"/>
      <c r="L618" s="19" t="n"/>
      <c r="M618" s="19" t="n"/>
      <c r="N618" s="19" t="n"/>
      <c r="O618" s="19" t="n"/>
      <c r="P618" s="19" t="n"/>
      <c r="Q618" s="19" t="n"/>
    </row>
    <row r="619" ht="15.75" customHeight="1" s="545">
      <c r="A619" s="19" t="n"/>
      <c r="B619" s="19" t="n"/>
      <c r="C619" s="19" t="n"/>
      <c r="D619" s="19" t="n"/>
      <c r="E619" s="19" t="n"/>
      <c r="F619" s="19" t="n"/>
      <c r="G619" s="19" t="n"/>
      <c r="H619" s="19" t="n"/>
      <c r="I619" s="19" t="n"/>
      <c r="J619" s="19" t="n"/>
      <c r="K619" s="19" t="n"/>
      <c r="L619" s="19" t="n"/>
      <c r="M619" s="19" t="n"/>
      <c r="N619" s="19" t="n"/>
      <c r="O619" s="19" t="n"/>
      <c r="P619" s="19" t="n"/>
      <c r="Q619" s="19" t="n"/>
    </row>
    <row r="620" ht="15.75" customHeight="1" s="545">
      <c r="A620" s="19" t="n"/>
      <c r="B620" s="19" t="n"/>
      <c r="C620" s="19" t="n"/>
      <c r="D620" s="19" t="n"/>
      <c r="E620" s="19" t="n"/>
      <c r="F620" s="19" t="n"/>
      <c r="G620" s="19" t="n"/>
      <c r="H620" s="19" t="n"/>
      <c r="I620" s="19" t="n"/>
      <c r="J620" s="19" t="n"/>
      <c r="K620" s="19" t="n"/>
      <c r="L620" s="19" t="n"/>
      <c r="M620" s="19" t="n"/>
      <c r="N620" s="19" t="n"/>
      <c r="O620" s="19" t="n"/>
      <c r="P620" s="19" t="n"/>
      <c r="Q620" s="19" t="n"/>
    </row>
    <row r="621" ht="15.75" customHeight="1" s="545">
      <c r="A621" s="19" t="n"/>
      <c r="B621" s="19" t="n"/>
      <c r="C621" s="19" t="n"/>
      <c r="D621" s="19" t="n"/>
      <c r="E621" s="19" t="n"/>
      <c r="F621" s="19" t="n"/>
      <c r="G621" s="19" t="n"/>
      <c r="H621" s="19" t="n"/>
      <c r="I621" s="19" t="n"/>
      <c r="J621" s="19" t="n"/>
      <c r="K621" s="19" t="n"/>
      <c r="L621" s="19" t="n"/>
      <c r="M621" s="19" t="n"/>
      <c r="N621" s="19" t="n"/>
      <c r="O621" s="19" t="n"/>
      <c r="P621" s="19" t="n"/>
      <c r="Q621" s="19" t="n"/>
    </row>
    <row r="622" ht="15.75" customHeight="1" s="545">
      <c r="A622" s="19" t="n"/>
      <c r="B622" s="19" t="n"/>
      <c r="C622" s="19" t="n"/>
      <c r="D622" s="19" t="n"/>
      <c r="E622" s="19" t="n"/>
      <c r="F622" s="19" t="n"/>
      <c r="G622" s="19" t="n"/>
      <c r="H622" s="19" t="n"/>
      <c r="I622" s="19" t="n"/>
      <c r="J622" s="19" t="n"/>
      <c r="K622" s="19" t="n"/>
      <c r="L622" s="19" t="n"/>
      <c r="M622" s="19" t="n"/>
      <c r="N622" s="19" t="n"/>
      <c r="O622" s="19" t="n"/>
      <c r="P622" s="19" t="n"/>
      <c r="Q622" s="19" t="n"/>
    </row>
    <row r="623" ht="15.75" customHeight="1" s="545">
      <c r="A623" s="19" t="n"/>
      <c r="B623" s="19" t="n"/>
      <c r="C623" s="19" t="n"/>
      <c r="D623" s="19" t="n"/>
      <c r="E623" s="19" t="n"/>
      <c r="F623" s="19" t="n"/>
      <c r="G623" s="19" t="n"/>
      <c r="H623" s="19" t="n"/>
      <c r="I623" s="19" t="n"/>
      <c r="J623" s="19" t="n"/>
      <c r="K623" s="19" t="n"/>
      <c r="L623" s="19" t="n"/>
      <c r="M623" s="19" t="n"/>
      <c r="N623" s="19" t="n"/>
      <c r="O623" s="19" t="n"/>
      <c r="P623" s="19" t="n"/>
      <c r="Q623" s="19" t="n"/>
    </row>
    <row r="624" ht="15.75" customHeight="1" s="545">
      <c r="A624" s="19" t="n"/>
      <c r="B624" s="19" t="n"/>
      <c r="C624" s="19" t="n"/>
      <c r="D624" s="19" t="n"/>
      <c r="E624" s="19" t="n"/>
      <c r="F624" s="19" t="n"/>
      <c r="G624" s="19" t="n"/>
      <c r="H624" s="19" t="n"/>
      <c r="I624" s="19" t="n"/>
      <c r="J624" s="19" t="n"/>
      <c r="K624" s="19" t="n"/>
      <c r="L624" s="19" t="n"/>
      <c r="M624" s="19" t="n"/>
      <c r="N624" s="19" t="n"/>
      <c r="O624" s="19" t="n"/>
      <c r="P624" s="19" t="n"/>
      <c r="Q624" s="19" t="n"/>
    </row>
    <row r="625" ht="15.75" customHeight="1" s="545">
      <c r="A625" s="19" t="n"/>
      <c r="B625" s="19" t="n"/>
      <c r="C625" s="19" t="n"/>
      <c r="D625" s="19" t="n"/>
      <c r="E625" s="19" t="n"/>
      <c r="F625" s="19" t="n"/>
      <c r="G625" s="19" t="n"/>
      <c r="H625" s="19" t="n"/>
      <c r="I625" s="19" t="n"/>
      <c r="J625" s="19" t="n"/>
      <c r="K625" s="19" t="n"/>
      <c r="L625" s="19" t="n"/>
      <c r="M625" s="19" t="n"/>
      <c r="N625" s="19" t="n"/>
      <c r="O625" s="19" t="n"/>
      <c r="P625" s="19" t="n"/>
      <c r="Q625" s="19" t="n"/>
    </row>
    <row r="626" ht="15.75" customHeight="1" s="545">
      <c r="A626" s="19" t="n"/>
      <c r="B626" s="19" t="n"/>
      <c r="C626" s="19" t="n"/>
      <c r="D626" s="19" t="n"/>
      <c r="E626" s="19" t="n"/>
      <c r="F626" s="19" t="n"/>
      <c r="G626" s="19" t="n"/>
      <c r="H626" s="19" t="n"/>
      <c r="I626" s="19" t="n"/>
      <c r="J626" s="19" t="n"/>
      <c r="K626" s="19" t="n"/>
      <c r="L626" s="19" t="n"/>
      <c r="M626" s="19" t="n"/>
      <c r="N626" s="19" t="n"/>
      <c r="O626" s="19" t="n"/>
      <c r="P626" s="19" t="n"/>
      <c r="Q626" s="19" t="n"/>
    </row>
    <row r="627" ht="15.75" customHeight="1" s="545">
      <c r="A627" s="19" t="n"/>
      <c r="B627" s="19" t="n"/>
      <c r="C627" s="19" t="n"/>
      <c r="D627" s="19" t="n"/>
      <c r="E627" s="19" t="n"/>
      <c r="F627" s="19" t="n"/>
      <c r="G627" s="19" t="n"/>
      <c r="H627" s="19" t="n"/>
      <c r="I627" s="19" t="n"/>
      <c r="J627" s="19" t="n"/>
      <c r="K627" s="19" t="n"/>
      <c r="L627" s="19" t="n"/>
      <c r="M627" s="19" t="n"/>
      <c r="N627" s="19" t="n"/>
      <c r="O627" s="19" t="n"/>
      <c r="P627" s="19" t="n"/>
      <c r="Q627" s="19" t="n"/>
    </row>
    <row r="628" ht="15.75" customHeight="1" s="545">
      <c r="A628" s="19" t="n"/>
      <c r="B628" s="19" t="n"/>
      <c r="C628" s="19" t="n"/>
      <c r="D628" s="19" t="n"/>
      <c r="E628" s="19" t="n"/>
      <c r="F628" s="19" t="n"/>
      <c r="G628" s="19" t="n"/>
      <c r="H628" s="19" t="n"/>
      <c r="I628" s="19" t="n"/>
      <c r="J628" s="19" t="n"/>
      <c r="K628" s="19" t="n"/>
      <c r="L628" s="19" t="n"/>
      <c r="M628" s="19" t="n"/>
      <c r="N628" s="19" t="n"/>
      <c r="O628" s="19" t="n"/>
      <c r="P628" s="19" t="n"/>
      <c r="Q628" s="19" t="n"/>
    </row>
    <row r="629" ht="15.75" customHeight="1" s="545">
      <c r="A629" s="19" t="n"/>
      <c r="B629" s="19" t="n"/>
      <c r="C629" s="19" t="n"/>
      <c r="D629" s="19" t="n"/>
      <c r="E629" s="19" t="n"/>
      <c r="F629" s="19" t="n"/>
      <c r="G629" s="19" t="n"/>
      <c r="H629" s="19" t="n"/>
      <c r="I629" s="19" t="n"/>
      <c r="J629" s="19" t="n"/>
      <c r="K629" s="19" t="n"/>
      <c r="L629" s="19" t="n"/>
      <c r="M629" s="19" t="n"/>
      <c r="N629" s="19" t="n"/>
      <c r="O629" s="19" t="n"/>
      <c r="P629" s="19" t="n"/>
      <c r="Q629" s="19" t="n"/>
    </row>
    <row r="630" ht="15.75" customHeight="1" s="545">
      <c r="A630" s="19" t="n"/>
      <c r="B630" s="19" t="n"/>
      <c r="C630" s="19" t="n"/>
      <c r="D630" s="19" t="n"/>
      <c r="E630" s="19" t="n"/>
      <c r="F630" s="19" t="n"/>
      <c r="G630" s="19" t="n"/>
      <c r="H630" s="19" t="n"/>
      <c r="I630" s="19" t="n"/>
      <c r="J630" s="19" t="n"/>
      <c r="K630" s="19" t="n"/>
      <c r="L630" s="19" t="n"/>
      <c r="M630" s="19" t="n"/>
      <c r="N630" s="19" t="n"/>
      <c r="O630" s="19" t="n"/>
      <c r="P630" s="19" t="n"/>
      <c r="Q630" s="19" t="n"/>
    </row>
    <row r="631" ht="15.75" customHeight="1" s="545">
      <c r="A631" s="19" t="n"/>
      <c r="B631" s="19" t="n"/>
      <c r="C631" s="19" t="n"/>
      <c r="D631" s="19" t="n"/>
      <c r="E631" s="19" t="n"/>
      <c r="F631" s="19" t="n"/>
      <c r="G631" s="19" t="n"/>
      <c r="H631" s="19" t="n"/>
      <c r="I631" s="19" t="n"/>
      <c r="J631" s="19" t="n"/>
      <c r="K631" s="19" t="n"/>
      <c r="L631" s="19" t="n"/>
      <c r="M631" s="19" t="n"/>
      <c r="N631" s="19" t="n"/>
      <c r="O631" s="19" t="n"/>
      <c r="P631" s="19" t="n"/>
      <c r="Q631" s="19" t="n"/>
    </row>
    <row r="632" ht="15.75" customHeight="1" s="545">
      <c r="A632" s="19" t="n"/>
      <c r="B632" s="19" t="n"/>
      <c r="C632" s="19" t="n"/>
      <c r="D632" s="19" t="n"/>
      <c r="E632" s="19" t="n"/>
      <c r="F632" s="19" t="n"/>
      <c r="G632" s="19" t="n"/>
      <c r="H632" s="19" t="n"/>
      <c r="I632" s="19" t="n"/>
      <c r="J632" s="19" t="n"/>
      <c r="K632" s="19" t="n"/>
      <c r="L632" s="19" t="n"/>
      <c r="M632" s="19" t="n"/>
      <c r="N632" s="19" t="n"/>
      <c r="O632" s="19" t="n"/>
      <c r="P632" s="19" t="n"/>
      <c r="Q632" s="19" t="n"/>
    </row>
    <row r="633" ht="15.75" customHeight="1" s="545">
      <c r="A633" s="19" t="n"/>
      <c r="B633" s="19" t="n"/>
      <c r="C633" s="19" t="n"/>
      <c r="D633" s="19" t="n"/>
      <c r="E633" s="19" t="n"/>
      <c r="F633" s="19" t="n"/>
      <c r="G633" s="19" t="n"/>
      <c r="H633" s="19" t="n"/>
      <c r="I633" s="19" t="n"/>
      <c r="J633" s="19" t="n"/>
      <c r="K633" s="19" t="n"/>
      <c r="L633" s="19" t="n"/>
      <c r="M633" s="19" t="n"/>
      <c r="N633" s="19" t="n"/>
      <c r="O633" s="19" t="n"/>
      <c r="P633" s="19" t="n"/>
      <c r="Q633" s="19" t="n"/>
    </row>
    <row r="634" ht="15.75" customHeight="1" s="545">
      <c r="A634" s="19" t="n"/>
      <c r="B634" s="19" t="n"/>
      <c r="C634" s="19" t="n"/>
      <c r="D634" s="19" t="n"/>
      <c r="E634" s="19" t="n"/>
      <c r="F634" s="19" t="n"/>
      <c r="G634" s="19" t="n"/>
      <c r="H634" s="19" t="n"/>
      <c r="I634" s="19" t="n"/>
      <c r="J634" s="19" t="n"/>
      <c r="K634" s="19" t="n"/>
      <c r="L634" s="19" t="n"/>
      <c r="M634" s="19" t="n"/>
      <c r="N634" s="19" t="n"/>
      <c r="O634" s="19" t="n"/>
      <c r="P634" s="19" t="n"/>
      <c r="Q634" s="19" t="n"/>
    </row>
    <row r="635" ht="15.75" customHeight="1" s="545">
      <c r="A635" s="19" t="n"/>
      <c r="B635" s="19" t="n"/>
      <c r="C635" s="19" t="n"/>
      <c r="D635" s="19" t="n"/>
      <c r="E635" s="19" t="n"/>
      <c r="F635" s="19" t="n"/>
      <c r="G635" s="19" t="n"/>
      <c r="H635" s="19" t="n"/>
      <c r="I635" s="19" t="n"/>
      <c r="J635" s="19" t="n"/>
      <c r="K635" s="19" t="n"/>
      <c r="L635" s="19" t="n"/>
      <c r="M635" s="19" t="n"/>
      <c r="N635" s="19" t="n"/>
      <c r="O635" s="19" t="n"/>
      <c r="P635" s="19" t="n"/>
      <c r="Q635" s="19" t="n"/>
    </row>
    <row r="636" ht="15.75" customHeight="1" s="545">
      <c r="A636" s="19" t="n"/>
      <c r="B636" s="19" t="n"/>
      <c r="C636" s="19" t="n"/>
      <c r="D636" s="19" t="n"/>
      <c r="E636" s="19" t="n"/>
      <c r="F636" s="19" t="n"/>
      <c r="G636" s="19" t="n"/>
      <c r="H636" s="19" t="n"/>
      <c r="I636" s="19" t="n"/>
      <c r="J636" s="19" t="n"/>
      <c r="K636" s="19" t="n"/>
      <c r="L636" s="19" t="n"/>
      <c r="M636" s="19" t="n"/>
      <c r="N636" s="19" t="n"/>
      <c r="O636" s="19" t="n"/>
      <c r="P636" s="19" t="n"/>
      <c r="Q636" s="19" t="n"/>
    </row>
    <row r="637" ht="15.75" customHeight="1" s="545">
      <c r="A637" s="19" t="n"/>
      <c r="B637" s="19" t="n"/>
      <c r="C637" s="19" t="n"/>
      <c r="D637" s="19" t="n"/>
      <c r="E637" s="19" t="n"/>
      <c r="F637" s="19" t="n"/>
      <c r="G637" s="19" t="n"/>
      <c r="H637" s="19" t="n"/>
      <c r="I637" s="19" t="n"/>
      <c r="J637" s="19" t="n"/>
      <c r="K637" s="19" t="n"/>
      <c r="L637" s="19" t="n"/>
      <c r="M637" s="19" t="n"/>
      <c r="N637" s="19" t="n"/>
      <c r="O637" s="19" t="n"/>
      <c r="P637" s="19" t="n"/>
      <c r="Q637" s="19" t="n"/>
    </row>
    <row r="638" ht="15.75" customHeight="1" s="545">
      <c r="A638" s="19" t="n"/>
      <c r="B638" s="19" t="n"/>
      <c r="C638" s="19" t="n"/>
      <c r="D638" s="19" t="n"/>
      <c r="E638" s="19" t="n"/>
      <c r="F638" s="19" t="n"/>
      <c r="G638" s="19" t="n"/>
      <c r="H638" s="19" t="n"/>
      <c r="I638" s="19" t="n"/>
      <c r="J638" s="19" t="n"/>
      <c r="K638" s="19" t="n"/>
      <c r="L638" s="19" t="n"/>
      <c r="M638" s="19" t="n"/>
      <c r="N638" s="19" t="n"/>
      <c r="O638" s="19" t="n"/>
      <c r="P638" s="19" t="n"/>
      <c r="Q638" s="19" t="n"/>
    </row>
    <row r="639" ht="15.75" customHeight="1" s="545">
      <c r="A639" s="19" t="n"/>
      <c r="B639" s="19" t="n"/>
      <c r="C639" s="19" t="n"/>
      <c r="D639" s="19" t="n"/>
      <c r="E639" s="19" t="n"/>
      <c r="F639" s="19" t="n"/>
      <c r="G639" s="19" t="n"/>
      <c r="H639" s="19" t="n"/>
      <c r="I639" s="19" t="n"/>
      <c r="J639" s="19" t="n"/>
      <c r="K639" s="19" t="n"/>
      <c r="L639" s="19" t="n"/>
      <c r="M639" s="19" t="n"/>
      <c r="N639" s="19" t="n"/>
      <c r="O639" s="19" t="n"/>
      <c r="P639" s="19" t="n"/>
      <c r="Q639" s="19" t="n"/>
    </row>
    <row r="640" ht="15.75" customHeight="1" s="545">
      <c r="A640" s="19" t="n"/>
      <c r="B640" s="19" t="n"/>
      <c r="C640" s="19" t="n"/>
      <c r="D640" s="19" t="n"/>
      <c r="E640" s="19" t="n"/>
      <c r="F640" s="19" t="n"/>
      <c r="G640" s="19" t="n"/>
      <c r="H640" s="19" t="n"/>
      <c r="I640" s="19" t="n"/>
      <c r="J640" s="19" t="n"/>
      <c r="K640" s="19" t="n"/>
      <c r="L640" s="19" t="n"/>
      <c r="M640" s="19" t="n"/>
      <c r="N640" s="19" t="n"/>
      <c r="O640" s="19" t="n"/>
      <c r="P640" s="19" t="n"/>
      <c r="Q640" s="19" t="n"/>
    </row>
    <row r="641" ht="15.75" customHeight="1" s="545">
      <c r="A641" s="19" t="n"/>
      <c r="B641" s="19" t="n"/>
      <c r="C641" s="19" t="n"/>
      <c r="D641" s="19" t="n"/>
      <c r="E641" s="19" t="n"/>
      <c r="F641" s="19" t="n"/>
      <c r="G641" s="19" t="n"/>
      <c r="H641" s="19" t="n"/>
      <c r="I641" s="19" t="n"/>
      <c r="J641" s="19" t="n"/>
      <c r="K641" s="19" t="n"/>
      <c r="L641" s="19" t="n"/>
      <c r="M641" s="19" t="n"/>
      <c r="N641" s="19" t="n"/>
      <c r="O641" s="19" t="n"/>
      <c r="P641" s="19" t="n"/>
      <c r="Q641" s="19" t="n"/>
    </row>
    <row r="642" ht="15.75" customHeight="1" s="545">
      <c r="A642" s="19" t="n"/>
      <c r="B642" s="19" t="n"/>
      <c r="C642" s="19" t="n"/>
      <c r="D642" s="19" t="n"/>
      <c r="E642" s="19" t="n"/>
      <c r="F642" s="19" t="n"/>
      <c r="G642" s="19" t="n"/>
      <c r="H642" s="19" t="n"/>
      <c r="I642" s="19" t="n"/>
      <c r="J642" s="19" t="n"/>
      <c r="K642" s="19" t="n"/>
      <c r="L642" s="19" t="n"/>
      <c r="M642" s="19" t="n"/>
      <c r="N642" s="19" t="n"/>
      <c r="O642" s="19" t="n"/>
      <c r="P642" s="19" t="n"/>
      <c r="Q642" s="19" t="n"/>
    </row>
    <row r="643" ht="15.75" customHeight="1" s="545">
      <c r="A643" s="19" t="n"/>
      <c r="B643" s="19" t="n"/>
      <c r="C643" s="19" t="n"/>
      <c r="D643" s="19" t="n"/>
      <c r="E643" s="19" t="n"/>
      <c r="F643" s="19" t="n"/>
      <c r="G643" s="19" t="n"/>
      <c r="H643" s="19" t="n"/>
      <c r="I643" s="19" t="n"/>
      <c r="J643" s="19" t="n"/>
      <c r="K643" s="19" t="n"/>
      <c r="L643" s="19" t="n"/>
      <c r="M643" s="19" t="n"/>
      <c r="N643" s="19" t="n"/>
      <c r="O643" s="19" t="n"/>
      <c r="P643" s="19" t="n"/>
      <c r="Q643" s="19" t="n"/>
    </row>
    <row r="644" ht="15.75" customHeight="1" s="545">
      <c r="A644" s="19" t="n"/>
      <c r="B644" s="19" t="n"/>
      <c r="C644" s="19" t="n"/>
      <c r="D644" s="19" t="n"/>
      <c r="E644" s="19" t="n"/>
      <c r="F644" s="19" t="n"/>
      <c r="G644" s="19" t="n"/>
      <c r="H644" s="19" t="n"/>
      <c r="I644" s="19" t="n"/>
      <c r="J644" s="19" t="n"/>
      <c r="K644" s="19" t="n"/>
      <c r="L644" s="19" t="n"/>
      <c r="M644" s="19" t="n"/>
      <c r="N644" s="19" t="n"/>
      <c r="O644" s="19" t="n"/>
      <c r="P644" s="19" t="n"/>
      <c r="Q644" s="19" t="n"/>
    </row>
    <row r="645" ht="15.75" customHeight="1" s="545">
      <c r="A645" s="19" t="n"/>
      <c r="B645" s="19" t="n"/>
      <c r="C645" s="19" t="n"/>
      <c r="D645" s="19" t="n"/>
      <c r="E645" s="19" t="n"/>
      <c r="F645" s="19" t="n"/>
      <c r="G645" s="19" t="n"/>
      <c r="H645" s="19" t="n"/>
      <c r="I645" s="19" t="n"/>
      <c r="J645" s="19" t="n"/>
      <c r="K645" s="19" t="n"/>
      <c r="L645" s="19" t="n"/>
      <c r="M645" s="19" t="n"/>
      <c r="N645" s="19" t="n"/>
      <c r="O645" s="19" t="n"/>
      <c r="P645" s="19" t="n"/>
      <c r="Q645" s="19" t="n"/>
    </row>
    <row r="646" ht="15.75" customHeight="1" s="545">
      <c r="A646" s="19" t="n"/>
      <c r="B646" s="19" t="n"/>
      <c r="C646" s="19" t="n"/>
      <c r="D646" s="19" t="n"/>
      <c r="E646" s="19" t="n"/>
      <c r="F646" s="19" t="n"/>
      <c r="G646" s="19" t="n"/>
      <c r="H646" s="19" t="n"/>
      <c r="I646" s="19" t="n"/>
      <c r="J646" s="19" t="n"/>
      <c r="K646" s="19" t="n"/>
      <c r="L646" s="19" t="n"/>
      <c r="M646" s="19" t="n"/>
      <c r="N646" s="19" t="n"/>
      <c r="O646" s="19" t="n"/>
      <c r="P646" s="19" t="n"/>
      <c r="Q646" s="19" t="n"/>
    </row>
    <row r="647" ht="15.75" customHeight="1" s="545">
      <c r="A647" s="19" t="n"/>
      <c r="B647" s="19" t="n"/>
      <c r="C647" s="19" t="n"/>
      <c r="D647" s="19" t="n"/>
      <c r="E647" s="19" t="n"/>
      <c r="F647" s="19" t="n"/>
      <c r="G647" s="19" t="n"/>
      <c r="H647" s="19" t="n"/>
      <c r="I647" s="19" t="n"/>
      <c r="J647" s="19" t="n"/>
      <c r="K647" s="19" t="n"/>
      <c r="L647" s="19" t="n"/>
      <c r="M647" s="19" t="n"/>
      <c r="N647" s="19" t="n"/>
      <c r="O647" s="19" t="n"/>
      <c r="P647" s="19" t="n"/>
      <c r="Q647" s="19" t="n"/>
    </row>
    <row r="648" ht="15.75" customHeight="1" s="545">
      <c r="A648" s="19" t="n"/>
      <c r="B648" s="19" t="n"/>
      <c r="C648" s="19" t="n"/>
      <c r="D648" s="19" t="n"/>
      <c r="E648" s="19" t="n"/>
      <c r="F648" s="19" t="n"/>
      <c r="G648" s="19" t="n"/>
      <c r="H648" s="19" t="n"/>
      <c r="I648" s="19" t="n"/>
      <c r="J648" s="19" t="n"/>
      <c r="K648" s="19" t="n"/>
      <c r="L648" s="19" t="n"/>
      <c r="M648" s="19" t="n"/>
      <c r="N648" s="19" t="n"/>
      <c r="O648" s="19" t="n"/>
      <c r="P648" s="19" t="n"/>
      <c r="Q648" s="19" t="n"/>
    </row>
    <row r="649" ht="15.75" customHeight="1" s="545">
      <c r="A649" s="19" t="n"/>
      <c r="B649" s="19" t="n"/>
      <c r="C649" s="19" t="n"/>
      <c r="D649" s="19" t="n"/>
      <c r="E649" s="19" t="n"/>
      <c r="F649" s="19" t="n"/>
      <c r="G649" s="19" t="n"/>
      <c r="H649" s="19" t="n"/>
      <c r="I649" s="19" t="n"/>
      <c r="J649" s="19" t="n"/>
      <c r="K649" s="19" t="n"/>
      <c r="L649" s="19" t="n"/>
      <c r="M649" s="19" t="n"/>
      <c r="N649" s="19" t="n"/>
      <c r="O649" s="19" t="n"/>
      <c r="P649" s="19" t="n"/>
      <c r="Q649" s="19" t="n"/>
    </row>
    <row r="650" ht="15.75" customHeight="1" s="545">
      <c r="A650" s="19" t="n"/>
      <c r="B650" s="19" t="n"/>
      <c r="C650" s="19" t="n"/>
      <c r="D650" s="19" t="n"/>
      <c r="E650" s="19" t="n"/>
      <c r="F650" s="19" t="n"/>
      <c r="G650" s="19" t="n"/>
      <c r="H650" s="19" t="n"/>
      <c r="I650" s="19" t="n"/>
      <c r="J650" s="19" t="n"/>
      <c r="K650" s="19" t="n"/>
      <c r="L650" s="19" t="n"/>
      <c r="M650" s="19" t="n"/>
      <c r="N650" s="19" t="n"/>
      <c r="O650" s="19" t="n"/>
      <c r="P650" s="19" t="n"/>
      <c r="Q650" s="19" t="n"/>
    </row>
    <row r="651" ht="15.75" customHeight="1" s="545">
      <c r="A651" s="19" t="n"/>
      <c r="B651" s="19" t="n"/>
      <c r="C651" s="19" t="n"/>
      <c r="D651" s="19" t="n"/>
      <c r="E651" s="19" t="n"/>
      <c r="F651" s="19" t="n"/>
      <c r="G651" s="19" t="n"/>
      <c r="H651" s="19" t="n"/>
      <c r="I651" s="19" t="n"/>
      <c r="J651" s="19" t="n"/>
      <c r="K651" s="19" t="n"/>
      <c r="L651" s="19" t="n"/>
      <c r="M651" s="19" t="n"/>
      <c r="N651" s="19" t="n"/>
      <c r="O651" s="19" t="n"/>
      <c r="P651" s="19" t="n"/>
      <c r="Q651" s="19" t="n"/>
    </row>
    <row r="652" ht="15.75" customHeight="1" s="545">
      <c r="A652" s="19" t="n"/>
      <c r="B652" s="19" t="n"/>
      <c r="C652" s="19" t="n"/>
      <c r="D652" s="19" t="n"/>
      <c r="E652" s="19" t="n"/>
      <c r="F652" s="19" t="n"/>
      <c r="G652" s="19" t="n"/>
      <c r="H652" s="19" t="n"/>
      <c r="I652" s="19" t="n"/>
      <c r="J652" s="19" t="n"/>
      <c r="K652" s="19" t="n"/>
      <c r="L652" s="19" t="n"/>
      <c r="M652" s="19" t="n"/>
      <c r="N652" s="19" t="n"/>
      <c r="O652" s="19" t="n"/>
      <c r="P652" s="19" t="n"/>
      <c r="Q652" s="19" t="n"/>
    </row>
    <row r="653" ht="15.75" customHeight="1" s="545">
      <c r="A653" s="19" t="n"/>
      <c r="B653" s="19" t="n"/>
      <c r="C653" s="19" t="n"/>
      <c r="D653" s="19" t="n"/>
      <c r="E653" s="19" t="n"/>
      <c r="F653" s="19" t="n"/>
      <c r="G653" s="19" t="n"/>
      <c r="H653" s="19" t="n"/>
      <c r="I653" s="19" t="n"/>
      <c r="J653" s="19" t="n"/>
      <c r="K653" s="19" t="n"/>
      <c r="L653" s="19" t="n"/>
      <c r="M653" s="19" t="n"/>
      <c r="N653" s="19" t="n"/>
      <c r="O653" s="19" t="n"/>
      <c r="P653" s="19" t="n"/>
      <c r="Q653" s="19" t="n"/>
    </row>
    <row r="654" ht="15.75" customHeight="1" s="545">
      <c r="A654" s="19" t="n"/>
      <c r="B654" s="19" t="n"/>
      <c r="C654" s="19" t="n"/>
      <c r="D654" s="19" t="n"/>
      <c r="E654" s="19" t="n"/>
      <c r="F654" s="19" t="n"/>
      <c r="G654" s="19" t="n"/>
      <c r="H654" s="19" t="n"/>
      <c r="I654" s="19" t="n"/>
      <c r="J654" s="19" t="n"/>
      <c r="K654" s="19" t="n"/>
      <c r="L654" s="19" t="n"/>
      <c r="M654" s="19" t="n"/>
      <c r="N654" s="19" t="n"/>
      <c r="O654" s="19" t="n"/>
      <c r="P654" s="19" t="n"/>
      <c r="Q654" s="19" t="n"/>
    </row>
    <row r="655" ht="15.75" customHeight="1" s="545">
      <c r="A655" s="19" t="n"/>
      <c r="B655" s="19" t="n"/>
      <c r="C655" s="19" t="n"/>
      <c r="D655" s="19" t="n"/>
      <c r="E655" s="19" t="n"/>
      <c r="F655" s="19" t="n"/>
      <c r="G655" s="19" t="n"/>
      <c r="H655" s="19" t="n"/>
      <c r="I655" s="19" t="n"/>
      <c r="J655" s="19" t="n"/>
      <c r="K655" s="19" t="n"/>
      <c r="L655" s="19" t="n"/>
      <c r="M655" s="19" t="n"/>
      <c r="N655" s="19" t="n"/>
      <c r="O655" s="19" t="n"/>
      <c r="P655" s="19" t="n"/>
      <c r="Q655" s="19" t="n"/>
    </row>
    <row r="656" ht="15.75" customHeight="1" s="545">
      <c r="A656" s="19" t="n"/>
      <c r="B656" s="19" t="n"/>
      <c r="C656" s="19" t="n"/>
      <c r="D656" s="19" t="n"/>
      <c r="E656" s="19" t="n"/>
      <c r="F656" s="19" t="n"/>
      <c r="G656" s="19" t="n"/>
      <c r="H656" s="19" t="n"/>
      <c r="I656" s="19" t="n"/>
      <c r="J656" s="19" t="n"/>
      <c r="K656" s="19" t="n"/>
      <c r="L656" s="19" t="n"/>
      <c r="M656" s="19" t="n"/>
      <c r="N656" s="19" t="n"/>
      <c r="O656" s="19" t="n"/>
      <c r="P656" s="19" t="n"/>
      <c r="Q656" s="19" t="n"/>
    </row>
    <row r="657" ht="15.75" customHeight="1" s="545">
      <c r="A657" s="19" t="n"/>
      <c r="B657" s="19" t="n"/>
      <c r="C657" s="19" t="n"/>
      <c r="D657" s="19" t="n"/>
      <c r="E657" s="19" t="n"/>
      <c r="F657" s="19" t="n"/>
      <c r="G657" s="19" t="n"/>
      <c r="H657" s="19" t="n"/>
      <c r="I657" s="19" t="n"/>
      <c r="J657" s="19" t="n"/>
      <c r="K657" s="19" t="n"/>
      <c r="L657" s="19" t="n"/>
      <c r="M657" s="19" t="n"/>
      <c r="N657" s="19" t="n"/>
      <c r="O657" s="19" t="n"/>
      <c r="P657" s="19" t="n"/>
      <c r="Q657" s="19" t="n"/>
    </row>
    <row r="658" ht="15.75" customHeight="1" s="545">
      <c r="A658" s="19" t="n"/>
      <c r="B658" s="19" t="n"/>
      <c r="C658" s="19" t="n"/>
      <c r="D658" s="19" t="n"/>
      <c r="E658" s="19" t="n"/>
      <c r="F658" s="19" t="n"/>
      <c r="G658" s="19" t="n"/>
      <c r="H658" s="19" t="n"/>
      <c r="I658" s="19" t="n"/>
      <c r="J658" s="19" t="n"/>
      <c r="K658" s="19" t="n"/>
      <c r="L658" s="19" t="n"/>
      <c r="M658" s="19" t="n"/>
      <c r="N658" s="19" t="n"/>
      <c r="O658" s="19" t="n"/>
      <c r="P658" s="19" t="n"/>
      <c r="Q658" s="19" t="n"/>
    </row>
    <row r="659" ht="15.75" customHeight="1" s="545">
      <c r="A659" s="19" t="n"/>
      <c r="B659" s="19" t="n"/>
      <c r="C659" s="19" t="n"/>
      <c r="D659" s="19" t="n"/>
      <c r="E659" s="19" t="n"/>
      <c r="F659" s="19" t="n"/>
      <c r="G659" s="19" t="n"/>
      <c r="H659" s="19" t="n"/>
      <c r="I659" s="19" t="n"/>
      <c r="J659" s="19" t="n"/>
      <c r="K659" s="19" t="n"/>
      <c r="L659" s="19" t="n"/>
      <c r="M659" s="19" t="n"/>
      <c r="N659" s="19" t="n"/>
      <c r="O659" s="19" t="n"/>
      <c r="P659" s="19" t="n"/>
      <c r="Q659" s="19" t="n"/>
    </row>
    <row r="660" ht="15.75" customHeight="1" s="545">
      <c r="A660" s="19" t="n"/>
      <c r="B660" s="19" t="n"/>
      <c r="C660" s="19" t="n"/>
      <c r="D660" s="19" t="n"/>
      <c r="E660" s="19" t="n"/>
      <c r="F660" s="19" t="n"/>
      <c r="G660" s="19" t="n"/>
      <c r="H660" s="19" t="n"/>
      <c r="I660" s="19" t="n"/>
      <c r="J660" s="19" t="n"/>
      <c r="K660" s="19" t="n"/>
      <c r="L660" s="19" t="n"/>
      <c r="M660" s="19" t="n"/>
      <c r="N660" s="19" t="n"/>
      <c r="O660" s="19" t="n"/>
      <c r="P660" s="19" t="n"/>
      <c r="Q660" s="19" t="n"/>
    </row>
    <row r="661" ht="15.75" customHeight="1" s="545">
      <c r="A661" s="19" t="n"/>
      <c r="B661" s="19" t="n"/>
      <c r="C661" s="19" t="n"/>
      <c r="D661" s="19" t="n"/>
      <c r="E661" s="19" t="n"/>
      <c r="F661" s="19" t="n"/>
      <c r="G661" s="19" t="n"/>
      <c r="H661" s="19" t="n"/>
      <c r="I661" s="19" t="n"/>
      <c r="J661" s="19" t="n"/>
      <c r="K661" s="19" t="n"/>
      <c r="L661" s="19" t="n"/>
      <c r="M661" s="19" t="n"/>
      <c r="N661" s="19" t="n"/>
      <c r="O661" s="19" t="n"/>
      <c r="P661" s="19" t="n"/>
      <c r="Q661" s="19" t="n"/>
    </row>
    <row r="662" ht="15.75" customHeight="1" s="545">
      <c r="A662" s="19" t="n"/>
      <c r="B662" s="19" t="n"/>
      <c r="C662" s="19" t="n"/>
      <c r="D662" s="19" t="n"/>
      <c r="E662" s="19" t="n"/>
      <c r="F662" s="19" t="n"/>
      <c r="G662" s="19" t="n"/>
      <c r="H662" s="19" t="n"/>
      <c r="I662" s="19" t="n"/>
      <c r="J662" s="19" t="n"/>
      <c r="K662" s="19" t="n"/>
      <c r="L662" s="19" t="n"/>
      <c r="M662" s="19" t="n"/>
      <c r="N662" s="19" t="n"/>
      <c r="O662" s="19" t="n"/>
      <c r="P662" s="19" t="n"/>
      <c r="Q662" s="19" t="n"/>
    </row>
    <row r="663" ht="15.75" customHeight="1" s="545">
      <c r="A663" s="19" t="n"/>
      <c r="B663" s="19" t="n"/>
      <c r="C663" s="19" t="n"/>
      <c r="D663" s="19" t="n"/>
      <c r="E663" s="19" t="n"/>
      <c r="F663" s="19" t="n"/>
      <c r="G663" s="19" t="n"/>
      <c r="H663" s="19" t="n"/>
      <c r="I663" s="19" t="n"/>
      <c r="J663" s="19" t="n"/>
      <c r="K663" s="19" t="n"/>
      <c r="L663" s="19" t="n"/>
      <c r="M663" s="19" t="n"/>
      <c r="N663" s="19" t="n"/>
      <c r="O663" s="19" t="n"/>
      <c r="P663" s="19" t="n"/>
      <c r="Q663" s="19" t="n"/>
    </row>
    <row r="664" ht="15.75" customHeight="1" s="545">
      <c r="A664" s="19" t="n"/>
      <c r="B664" s="19" t="n"/>
      <c r="C664" s="19" t="n"/>
      <c r="D664" s="19" t="n"/>
      <c r="E664" s="19" t="n"/>
      <c r="F664" s="19" t="n"/>
      <c r="G664" s="19" t="n"/>
      <c r="H664" s="19" t="n"/>
      <c r="I664" s="19" t="n"/>
      <c r="J664" s="19" t="n"/>
      <c r="K664" s="19" t="n"/>
      <c r="L664" s="19" t="n"/>
      <c r="M664" s="19" t="n"/>
      <c r="N664" s="19" t="n"/>
      <c r="O664" s="19" t="n"/>
      <c r="P664" s="19" t="n"/>
      <c r="Q664" s="19" t="n"/>
    </row>
    <row r="665" ht="15.75" customHeight="1" s="545">
      <c r="A665" s="19" t="n"/>
      <c r="B665" s="19" t="n"/>
      <c r="C665" s="19" t="n"/>
      <c r="D665" s="19" t="n"/>
      <c r="E665" s="19" t="n"/>
      <c r="F665" s="19" t="n"/>
      <c r="G665" s="19" t="n"/>
      <c r="H665" s="19" t="n"/>
      <c r="I665" s="19" t="n"/>
      <c r="J665" s="19" t="n"/>
      <c r="K665" s="19" t="n"/>
      <c r="L665" s="19" t="n"/>
      <c r="M665" s="19" t="n"/>
      <c r="N665" s="19" t="n"/>
      <c r="O665" s="19" t="n"/>
      <c r="P665" s="19" t="n"/>
      <c r="Q665" s="19" t="n"/>
    </row>
    <row r="666" ht="15.75" customHeight="1" s="545">
      <c r="A666" s="19" t="n"/>
      <c r="B666" s="19" t="n"/>
      <c r="C666" s="19" t="n"/>
      <c r="D666" s="19" t="n"/>
      <c r="E666" s="19" t="n"/>
      <c r="F666" s="19" t="n"/>
      <c r="G666" s="19" t="n"/>
      <c r="H666" s="19" t="n"/>
      <c r="I666" s="19" t="n"/>
      <c r="J666" s="19" t="n"/>
      <c r="K666" s="19" t="n"/>
      <c r="L666" s="19" t="n"/>
      <c r="M666" s="19" t="n"/>
      <c r="N666" s="19" t="n"/>
      <c r="O666" s="19" t="n"/>
      <c r="P666" s="19" t="n"/>
      <c r="Q666" s="19" t="n"/>
    </row>
    <row r="667" ht="15.75" customHeight="1" s="545">
      <c r="A667" s="19" t="n"/>
      <c r="B667" s="19" t="n"/>
      <c r="C667" s="19" t="n"/>
      <c r="D667" s="19" t="n"/>
      <c r="E667" s="19" t="n"/>
      <c r="F667" s="19" t="n"/>
      <c r="G667" s="19" t="n"/>
      <c r="H667" s="19" t="n"/>
      <c r="I667" s="19" t="n"/>
      <c r="J667" s="19" t="n"/>
      <c r="K667" s="19" t="n"/>
      <c r="L667" s="19" t="n"/>
      <c r="M667" s="19" t="n"/>
      <c r="N667" s="19" t="n"/>
      <c r="O667" s="19" t="n"/>
      <c r="P667" s="19" t="n"/>
      <c r="Q667" s="19" t="n"/>
    </row>
    <row r="668" ht="15.75" customHeight="1" s="545">
      <c r="A668" s="19" t="n"/>
      <c r="B668" s="19" t="n"/>
      <c r="C668" s="19" t="n"/>
      <c r="D668" s="19" t="n"/>
      <c r="E668" s="19" t="n"/>
      <c r="F668" s="19" t="n"/>
      <c r="G668" s="19" t="n"/>
      <c r="H668" s="19" t="n"/>
      <c r="I668" s="19" t="n"/>
      <c r="J668" s="19" t="n"/>
      <c r="K668" s="19" t="n"/>
      <c r="L668" s="19" t="n"/>
      <c r="M668" s="19" t="n"/>
      <c r="N668" s="19" t="n"/>
      <c r="O668" s="19" t="n"/>
      <c r="P668" s="19" t="n"/>
      <c r="Q668" s="19" t="n"/>
    </row>
    <row r="669" ht="15.75" customHeight="1" s="545">
      <c r="A669" s="19" t="n"/>
      <c r="B669" s="19" t="n"/>
      <c r="C669" s="19" t="n"/>
      <c r="D669" s="19" t="n"/>
      <c r="E669" s="19" t="n"/>
      <c r="F669" s="19" t="n"/>
      <c r="G669" s="19" t="n"/>
      <c r="H669" s="19" t="n"/>
      <c r="I669" s="19" t="n"/>
      <c r="J669" s="19" t="n"/>
      <c r="K669" s="19" t="n"/>
      <c r="L669" s="19" t="n"/>
      <c r="M669" s="19" t="n"/>
      <c r="N669" s="19" t="n"/>
      <c r="O669" s="19" t="n"/>
      <c r="P669" s="19" t="n"/>
      <c r="Q669" s="19" t="n"/>
    </row>
    <row r="670" ht="15.75" customHeight="1" s="545">
      <c r="A670" s="19" t="n"/>
      <c r="B670" s="19" t="n"/>
      <c r="C670" s="19" t="n"/>
      <c r="D670" s="19" t="n"/>
      <c r="E670" s="19" t="n"/>
      <c r="F670" s="19" t="n"/>
      <c r="G670" s="19" t="n"/>
      <c r="H670" s="19" t="n"/>
      <c r="I670" s="19" t="n"/>
      <c r="J670" s="19" t="n"/>
      <c r="K670" s="19" t="n"/>
      <c r="L670" s="19" t="n"/>
      <c r="M670" s="19" t="n"/>
      <c r="N670" s="19" t="n"/>
      <c r="O670" s="19" t="n"/>
      <c r="P670" s="19" t="n"/>
      <c r="Q670" s="19" t="n"/>
    </row>
    <row r="671" ht="15.75" customHeight="1" s="545">
      <c r="A671" s="19" t="n"/>
      <c r="B671" s="19" t="n"/>
      <c r="C671" s="19" t="n"/>
      <c r="D671" s="19" t="n"/>
      <c r="E671" s="19" t="n"/>
      <c r="F671" s="19" t="n"/>
      <c r="G671" s="19" t="n"/>
      <c r="H671" s="19" t="n"/>
      <c r="I671" s="19" t="n"/>
      <c r="J671" s="19" t="n"/>
      <c r="K671" s="19" t="n"/>
      <c r="L671" s="19" t="n"/>
      <c r="M671" s="19" t="n"/>
      <c r="N671" s="19" t="n"/>
      <c r="O671" s="19" t="n"/>
      <c r="P671" s="19" t="n"/>
      <c r="Q671" s="19" t="n"/>
    </row>
    <row r="672" ht="15.75" customHeight="1" s="545">
      <c r="A672" s="19" t="n"/>
      <c r="B672" s="19" t="n"/>
      <c r="C672" s="19" t="n"/>
      <c r="D672" s="19" t="n"/>
      <c r="E672" s="19" t="n"/>
      <c r="F672" s="19" t="n"/>
      <c r="G672" s="19" t="n"/>
      <c r="H672" s="19" t="n"/>
      <c r="I672" s="19" t="n"/>
      <c r="J672" s="19" t="n"/>
      <c r="K672" s="19" t="n"/>
      <c r="L672" s="19" t="n"/>
      <c r="M672" s="19" t="n"/>
      <c r="N672" s="19" t="n"/>
      <c r="O672" s="19" t="n"/>
      <c r="P672" s="19" t="n"/>
      <c r="Q672" s="19" t="n"/>
    </row>
    <row r="673" ht="15.75" customHeight="1" s="545">
      <c r="A673" s="19" t="n"/>
      <c r="B673" s="19" t="n"/>
      <c r="C673" s="19" t="n"/>
      <c r="D673" s="19" t="n"/>
      <c r="E673" s="19" t="n"/>
      <c r="F673" s="19" t="n"/>
      <c r="G673" s="19" t="n"/>
      <c r="H673" s="19" t="n"/>
      <c r="I673" s="19" t="n"/>
      <c r="J673" s="19" t="n"/>
      <c r="K673" s="19" t="n"/>
      <c r="L673" s="19" t="n"/>
      <c r="M673" s="19" t="n"/>
      <c r="N673" s="19" t="n"/>
      <c r="O673" s="19" t="n"/>
      <c r="P673" s="19" t="n"/>
      <c r="Q673" s="19" t="n"/>
    </row>
    <row r="674" ht="15.75" customHeight="1" s="545">
      <c r="A674" s="19" t="n"/>
      <c r="B674" s="19" t="n"/>
      <c r="C674" s="19" t="n"/>
      <c r="D674" s="19" t="n"/>
      <c r="E674" s="19" t="n"/>
      <c r="F674" s="19" t="n"/>
      <c r="G674" s="19" t="n"/>
      <c r="H674" s="19" t="n"/>
      <c r="I674" s="19" t="n"/>
      <c r="J674" s="19" t="n"/>
      <c r="K674" s="19" t="n"/>
      <c r="L674" s="19" t="n"/>
      <c r="M674" s="19" t="n"/>
      <c r="N674" s="19" t="n"/>
      <c r="O674" s="19" t="n"/>
      <c r="P674" s="19" t="n"/>
      <c r="Q674" s="19" t="n"/>
    </row>
    <row r="675" ht="15.75" customHeight="1" s="545">
      <c r="A675" s="19" t="n"/>
      <c r="B675" s="19" t="n"/>
      <c r="C675" s="19" t="n"/>
      <c r="D675" s="19" t="n"/>
      <c r="E675" s="19" t="n"/>
      <c r="F675" s="19" t="n"/>
      <c r="G675" s="19" t="n"/>
      <c r="H675" s="19" t="n"/>
      <c r="I675" s="19" t="n"/>
      <c r="J675" s="19" t="n"/>
      <c r="K675" s="19" t="n"/>
      <c r="L675" s="19" t="n"/>
      <c r="M675" s="19" t="n"/>
      <c r="N675" s="19" t="n"/>
      <c r="O675" s="19" t="n"/>
      <c r="P675" s="19" t="n"/>
      <c r="Q675" s="19" t="n"/>
    </row>
    <row r="676" ht="15.75" customHeight="1" s="545">
      <c r="A676" s="19" t="n"/>
      <c r="B676" s="19" t="n"/>
      <c r="C676" s="19" t="n"/>
      <c r="D676" s="19" t="n"/>
      <c r="E676" s="19" t="n"/>
      <c r="F676" s="19" t="n"/>
      <c r="G676" s="19" t="n"/>
      <c r="H676" s="19" t="n"/>
      <c r="I676" s="19" t="n"/>
      <c r="J676" s="19" t="n"/>
      <c r="K676" s="19" t="n"/>
      <c r="L676" s="19" t="n"/>
      <c r="M676" s="19" t="n"/>
      <c r="N676" s="19" t="n"/>
      <c r="O676" s="19" t="n"/>
      <c r="P676" s="19" t="n"/>
      <c r="Q676" s="19" t="n"/>
    </row>
    <row r="677" ht="15.75" customHeight="1" s="545">
      <c r="A677" s="19" t="n"/>
      <c r="B677" s="19" t="n"/>
      <c r="C677" s="19" t="n"/>
      <c r="D677" s="19" t="n"/>
      <c r="E677" s="19" t="n"/>
      <c r="F677" s="19" t="n"/>
      <c r="G677" s="19" t="n"/>
      <c r="H677" s="19" t="n"/>
      <c r="I677" s="19" t="n"/>
      <c r="J677" s="19" t="n"/>
      <c r="K677" s="19" t="n"/>
      <c r="L677" s="19" t="n"/>
      <c r="M677" s="19" t="n"/>
      <c r="N677" s="19" t="n"/>
      <c r="O677" s="19" t="n"/>
      <c r="P677" s="19" t="n"/>
      <c r="Q677" s="19" t="n"/>
    </row>
    <row r="678" ht="15.75" customHeight="1" s="545">
      <c r="A678" s="19" t="n"/>
      <c r="B678" s="19" t="n"/>
      <c r="C678" s="19" t="n"/>
      <c r="D678" s="19" t="n"/>
      <c r="E678" s="19" t="n"/>
      <c r="F678" s="19" t="n"/>
      <c r="G678" s="19" t="n"/>
      <c r="H678" s="19" t="n"/>
      <c r="I678" s="19" t="n"/>
      <c r="J678" s="19" t="n"/>
      <c r="K678" s="19" t="n"/>
      <c r="L678" s="19" t="n"/>
      <c r="M678" s="19" t="n"/>
      <c r="N678" s="19" t="n"/>
      <c r="O678" s="19" t="n"/>
      <c r="P678" s="19" t="n"/>
      <c r="Q678" s="19" t="n"/>
    </row>
    <row r="679" ht="15.75" customHeight="1" s="545">
      <c r="A679" s="19" t="n"/>
      <c r="B679" s="19" t="n"/>
      <c r="C679" s="19" t="n"/>
      <c r="D679" s="19" t="n"/>
      <c r="E679" s="19" t="n"/>
      <c r="F679" s="19" t="n"/>
      <c r="G679" s="19" t="n"/>
      <c r="H679" s="19" t="n"/>
      <c r="I679" s="19" t="n"/>
      <c r="J679" s="19" t="n"/>
      <c r="K679" s="19" t="n"/>
      <c r="L679" s="19" t="n"/>
      <c r="M679" s="19" t="n"/>
      <c r="N679" s="19" t="n"/>
      <c r="O679" s="19" t="n"/>
      <c r="P679" s="19" t="n"/>
      <c r="Q679" s="19" t="n"/>
    </row>
    <row r="680" ht="15.75" customHeight="1" s="545">
      <c r="A680" s="19" t="n"/>
      <c r="B680" s="19" t="n"/>
      <c r="C680" s="19" t="n"/>
      <c r="D680" s="19" t="n"/>
      <c r="E680" s="19" t="n"/>
      <c r="F680" s="19" t="n"/>
      <c r="G680" s="19" t="n"/>
      <c r="H680" s="19" t="n"/>
      <c r="I680" s="19" t="n"/>
      <c r="J680" s="19" t="n"/>
      <c r="K680" s="19" t="n"/>
      <c r="L680" s="19" t="n"/>
      <c r="M680" s="19" t="n"/>
      <c r="N680" s="19" t="n"/>
      <c r="O680" s="19" t="n"/>
      <c r="P680" s="19" t="n"/>
      <c r="Q680" s="19" t="n"/>
    </row>
    <row r="681" ht="15.75" customHeight="1" s="545">
      <c r="A681" s="19" t="n"/>
      <c r="B681" s="19" t="n"/>
      <c r="C681" s="19" t="n"/>
      <c r="D681" s="19" t="n"/>
      <c r="E681" s="19" t="n"/>
      <c r="F681" s="19" t="n"/>
      <c r="G681" s="19" t="n"/>
      <c r="H681" s="19" t="n"/>
      <c r="I681" s="19" t="n"/>
      <c r="J681" s="19" t="n"/>
      <c r="K681" s="19" t="n"/>
      <c r="L681" s="19" t="n"/>
      <c r="M681" s="19" t="n"/>
      <c r="N681" s="19" t="n"/>
      <c r="O681" s="19" t="n"/>
      <c r="P681" s="19" t="n"/>
      <c r="Q681" s="19" t="n"/>
    </row>
    <row r="682" ht="15.75" customHeight="1" s="545">
      <c r="A682" s="19" t="n"/>
      <c r="B682" s="19" t="n"/>
      <c r="C682" s="19" t="n"/>
      <c r="D682" s="19" t="n"/>
      <c r="E682" s="19" t="n"/>
      <c r="F682" s="19" t="n"/>
      <c r="G682" s="19" t="n"/>
      <c r="H682" s="19" t="n"/>
      <c r="I682" s="19" t="n"/>
      <c r="J682" s="19" t="n"/>
      <c r="K682" s="19" t="n"/>
      <c r="L682" s="19" t="n"/>
      <c r="M682" s="19" t="n"/>
      <c r="N682" s="19" t="n"/>
      <c r="O682" s="19" t="n"/>
      <c r="P682" s="19" t="n"/>
      <c r="Q682" s="19" t="n"/>
    </row>
    <row r="683" ht="15.75" customHeight="1" s="545">
      <c r="A683" s="19" t="n"/>
      <c r="B683" s="19" t="n"/>
      <c r="C683" s="19" t="n"/>
      <c r="D683" s="19" t="n"/>
      <c r="E683" s="19" t="n"/>
      <c r="F683" s="19" t="n"/>
      <c r="G683" s="19" t="n"/>
      <c r="H683" s="19" t="n"/>
      <c r="I683" s="19" t="n"/>
      <c r="J683" s="19" t="n"/>
      <c r="K683" s="19" t="n"/>
      <c r="L683" s="19" t="n"/>
      <c r="M683" s="19" t="n"/>
      <c r="N683" s="19" t="n"/>
      <c r="O683" s="19" t="n"/>
      <c r="P683" s="19" t="n"/>
      <c r="Q683" s="19" t="n"/>
    </row>
    <row r="684" ht="15.75" customHeight="1" s="545">
      <c r="A684" s="19" t="n"/>
      <c r="B684" s="19" t="n"/>
      <c r="C684" s="19" t="n"/>
      <c r="D684" s="19" t="n"/>
      <c r="E684" s="19" t="n"/>
      <c r="F684" s="19" t="n"/>
      <c r="G684" s="19" t="n"/>
      <c r="H684" s="19" t="n"/>
      <c r="I684" s="19" t="n"/>
      <c r="J684" s="19" t="n"/>
      <c r="K684" s="19" t="n"/>
      <c r="L684" s="19" t="n"/>
      <c r="M684" s="19" t="n"/>
      <c r="N684" s="19" t="n"/>
      <c r="O684" s="19" t="n"/>
      <c r="P684" s="19" t="n"/>
      <c r="Q684" s="19" t="n"/>
    </row>
    <row r="685" ht="15.75" customHeight="1" s="545">
      <c r="A685" s="19" t="n"/>
      <c r="B685" s="19" t="n"/>
      <c r="C685" s="19" t="n"/>
      <c r="D685" s="19" t="n"/>
      <c r="E685" s="19" t="n"/>
      <c r="F685" s="19" t="n"/>
      <c r="G685" s="19" t="n"/>
      <c r="H685" s="19" t="n"/>
      <c r="I685" s="19" t="n"/>
      <c r="J685" s="19" t="n"/>
      <c r="K685" s="19" t="n"/>
      <c r="L685" s="19" t="n"/>
      <c r="M685" s="19" t="n"/>
      <c r="N685" s="19" t="n"/>
      <c r="O685" s="19" t="n"/>
      <c r="P685" s="19" t="n"/>
      <c r="Q685" s="19" t="n"/>
    </row>
    <row r="686" ht="15.75" customHeight="1" s="545">
      <c r="A686" s="19" t="n"/>
      <c r="B686" s="19" t="n"/>
      <c r="C686" s="19" t="n"/>
      <c r="D686" s="19" t="n"/>
      <c r="E686" s="19" t="n"/>
      <c r="F686" s="19" t="n"/>
      <c r="G686" s="19" t="n"/>
      <c r="H686" s="19" t="n"/>
      <c r="I686" s="19" t="n"/>
      <c r="J686" s="19" t="n"/>
      <c r="K686" s="19" t="n"/>
      <c r="L686" s="19" t="n"/>
      <c r="M686" s="19" t="n"/>
      <c r="N686" s="19" t="n"/>
      <c r="O686" s="19" t="n"/>
      <c r="P686" s="19" t="n"/>
      <c r="Q686" s="19" t="n"/>
    </row>
    <row r="687" ht="15.75" customHeight="1" s="545">
      <c r="A687" s="19" t="n"/>
      <c r="B687" s="19" t="n"/>
      <c r="C687" s="19" t="n"/>
      <c r="D687" s="19" t="n"/>
      <c r="E687" s="19" t="n"/>
      <c r="F687" s="19" t="n"/>
      <c r="G687" s="19" t="n"/>
      <c r="H687" s="19" t="n"/>
      <c r="I687" s="19" t="n"/>
      <c r="J687" s="19" t="n"/>
      <c r="K687" s="19" t="n"/>
      <c r="L687" s="19" t="n"/>
      <c r="M687" s="19" t="n"/>
      <c r="N687" s="19" t="n"/>
      <c r="O687" s="19" t="n"/>
      <c r="P687" s="19" t="n"/>
      <c r="Q687" s="19" t="n"/>
    </row>
    <row r="688" ht="15.75" customHeight="1" s="545">
      <c r="A688" s="19" t="n"/>
      <c r="B688" s="19" t="n"/>
      <c r="C688" s="19" t="n"/>
      <c r="D688" s="19" t="n"/>
      <c r="E688" s="19" t="n"/>
      <c r="F688" s="19" t="n"/>
      <c r="G688" s="19" t="n"/>
      <c r="H688" s="19" t="n"/>
      <c r="I688" s="19" t="n"/>
      <c r="J688" s="19" t="n"/>
      <c r="K688" s="19" t="n"/>
      <c r="L688" s="19" t="n"/>
      <c r="M688" s="19" t="n"/>
      <c r="N688" s="19" t="n"/>
      <c r="O688" s="19" t="n"/>
      <c r="P688" s="19" t="n"/>
      <c r="Q688" s="19" t="n"/>
    </row>
    <row r="689" ht="15.75" customHeight="1" s="545">
      <c r="A689" s="19" t="n"/>
      <c r="B689" s="19" t="n"/>
      <c r="C689" s="19" t="n"/>
      <c r="D689" s="19" t="n"/>
      <c r="E689" s="19" t="n"/>
      <c r="F689" s="19" t="n"/>
      <c r="G689" s="19" t="n"/>
      <c r="H689" s="19" t="n"/>
      <c r="I689" s="19" t="n"/>
      <c r="J689" s="19" t="n"/>
      <c r="K689" s="19" t="n"/>
      <c r="L689" s="19" t="n"/>
      <c r="M689" s="19" t="n"/>
      <c r="N689" s="19" t="n"/>
      <c r="O689" s="19" t="n"/>
      <c r="P689" s="19" t="n"/>
      <c r="Q689" s="19" t="n"/>
    </row>
    <row r="690" ht="15.75" customHeight="1" s="545">
      <c r="A690" s="19" t="n"/>
      <c r="B690" s="19" t="n"/>
      <c r="C690" s="19" t="n"/>
      <c r="D690" s="19" t="n"/>
      <c r="E690" s="19" t="n"/>
      <c r="F690" s="19" t="n"/>
      <c r="G690" s="19" t="n"/>
      <c r="H690" s="19" t="n"/>
      <c r="I690" s="19" t="n"/>
      <c r="J690" s="19" t="n"/>
      <c r="K690" s="19" t="n"/>
      <c r="L690" s="19" t="n"/>
      <c r="M690" s="19" t="n"/>
      <c r="N690" s="19" t="n"/>
      <c r="O690" s="19" t="n"/>
      <c r="P690" s="19" t="n"/>
      <c r="Q690" s="19" t="n"/>
    </row>
    <row r="691" ht="15.75" customHeight="1" s="545">
      <c r="A691" s="19" t="n"/>
      <c r="B691" s="19" t="n"/>
      <c r="C691" s="19" t="n"/>
      <c r="D691" s="19" t="n"/>
      <c r="E691" s="19" t="n"/>
      <c r="F691" s="19" t="n"/>
      <c r="G691" s="19" t="n"/>
      <c r="H691" s="19" t="n"/>
      <c r="I691" s="19" t="n"/>
      <c r="J691" s="19" t="n"/>
      <c r="K691" s="19" t="n"/>
      <c r="L691" s="19" t="n"/>
      <c r="M691" s="19" t="n"/>
      <c r="N691" s="19" t="n"/>
      <c r="O691" s="19" t="n"/>
      <c r="P691" s="19" t="n"/>
      <c r="Q691" s="19" t="n"/>
    </row>
    <row r="692" ht="15.75" customHeight="1" s="545">
      <c r="A692" s="19" t="n"/>
      <c r="B692" s="19" t="n"/>
      <c r="C692" s="19" t="n"/>
      <c r="D692" s="19" t="n"/>
      <c r="E692" s="19" t="n"/>
      <c r="F692" s="19" t="n"/>
      <c r="G692" s="19" t="n"/>
      <c r="H692" s="19" t="n"/>
      <c r="I692" s="19" t="n"/>
      <c r="J692" s="19" t="n"/>
      <c r="K692" s="19" t="n"/>
      <c r="L692" s="19" t="n"/>
      <c r="M692" s="19" t="n"/>
      <c r="N692" s="19" t="n"/>
      <c r="O692" s="19" t="n"/>
      <c r="P692" s="19" t="n"/>
      <c r="Q692" s="19" t="n"/>
    </row>
    <row r="693" ht="15.75" customHeight="1" s="545">
      <c r="A693" s="19" t="n"/>
      <c r="B693" s="19" t="n"/>
      <c r="C693" s="19" t="n"/>
      <c r="D693" s="19" t="n"/>
      <c r="E693" s="19" t="n"/>
      <c r="F693" s="19" t="n"/>
      <c r="G693" s="19" t="n"/>
      <c r="H693" s="19" t="n"/>
      <c r="I693" s="19" t="n"/>
      <c r="J693" s="19" t="n"/>
      <c r="K693" s="19" t="n"/>
      <c r="L693" s="19" t="n"/>
      <c r="M693" s="19" t="n"/>
      <c r="N693" s="19" t="n"/>
      <c r="O693" s="19" t="n"/>
      <c r="P693" s="19" t="n"/>
      <c r="Q693" s="19" t="n"/>
    </row>
    <row r="694" ht="15.75" customHeight="1" s="545">
      <c r="A694" s="19" t="n"/>
      <c r="B694" s="19" t="n"/>
      <c r="C694" s="19" t="n"/>
      <c r="D694" s="19" t="n"/>
      <c r="E694" s="19" t="n"/>
      <c r="F694" s="19" t="n"/>
      <c r="G694" s="19" t="n"/>
      <c r="H694" s="19" t="n"/>
      <c r="I694" s="19" t="n"/>
      <c r="J694" s="19" t="n"/>
      <c r="K694" s="19" t="n"/>
      <c r="L694" s="19" t="n"/>
      <c r="M694" s="19" t="n"/>
      <c r="N694" s="19" t="n"/>
      <c r="O694" s="19" t="n"/>
      <c r="P694" s="19" t="n"/>
      <c r="Q694" s="19" t="n"/>
    </row>
    <row r="695" ht="15.75" customHeight="1" s="545">
      <c r="A695" s="19" t="n"/>
      <c r="B695" s="19" t="n"/>
      <c r="C695" s="19" t="n"/>
      <c r="D695" s="19" t="n"/>
      <c r="E695" s="19" t="n"/>
      <c r="F695" s="19" t="n"/>
      <c r="G695" s="19" t="n"/>
      <c r="H695" s="19" t="n"/>
      <c r="I695" s="19" t="n"/>
      <c r="J695" s="19" t="n"/>
      <c r="K695" s="19" t="n"/>
      <c r="L695" s="19" t="n"/>
      <c r="M695" s="19" t="n"/>
      <c r="N695" s="19" t="n"/>
      <c r="O695" s="19" t="n"/>
      <c r="P695" s="19" t="n"/>
      <c r="Q695" s="19" t="n"/>
    </row>
    <row r="696" ht="15.75" customHeight="1" s="545">
      <c r="A696" s="19" t="n"/>
      <c r="B696" s="19" t="n"/>
      <c r="C696" s="19" t="n"/>
      <c r="D696" s="19" t="n"/>
      <c r="E696" s="19" t="n"/>
      <c r="F696" s="19" t="n"/>
      <c r="G696" s="19" t="n"/>
      <c r="H696" s="19" t="n"/>
      <c r="I696" s="19" t="n"/>
      <c r="J696" s="19" t="n"/>
      <c r="K696" s="19" t="n"/>
      <c r="L696" s="19" t="n"/>
      <c r="M696" s="19" t="n"/>
      <c r="N696" s="19" t="n"/>
      <c r="O696" s="19" t="n"/>
      <c r="P696" s="19" t="n"/>
      <c r="Q696" s="19" t="n"/>
    </row>
    <row r="697" ht="15.75" customHeight="1" s="545">
      <c r="A697" s="19" t="n"/>
      <c r="B697" s="19" t="n"/>
      <c r="C697" s="19" t="n"/>
      <c r="D697" s="19" t="n"/>
      <c r="E697" s="19" t="n"/>
      <c r="F697" s="19" t="n"/>
      <c r="G697" s="19" t="n"/>
      <c r="H697" s="19" t="n"/>
      <c r="I697" s="19" t="n"/>
      <c r="J697" s="19" t="n"/>
      <c r="K697" s="19" t="n"/>
      <c r="L697" s="19" t="n"/>
      <c r="M697" s="19" t="n"/>
      <c r="N697" s="19" t="n"/>
      <c r="O697" s="19" t="n"/>
      <c r="P697" s="19" t="n"/>
      <c r="Q697" s="19" t="n"/>
    </row>
    <row r="698" ht="15.75" customHeight="1" s="545">
      <c r="A698" s="19" t="n"/>
      <c r="B698" s="19" t="n"/>
      <c r="C698" s="19" t="n"/>
      <c r="D698" s="19" t="n"/>
      <c r="E698" s="19" t="n"/>
      <c r="F698" s="19" t="n"/>
      <c r="G698" s="19" t="n"/>
      <c r="H698" s="19" t="n"/>
      <c r="I698" s="19" t="n"/>
      <c r="J698" s="19" t="n"/>
      <c r="K698" s="19" t="n"/>
      <c r="L698" s="19" t="n"/>
      <c r="M698" s="19" t="n"/>
      <c r="N698" s="19" t="n"/>
      <c r="O698" s="19" t="n"/>
      <c r="P698" s="19" t="n"/>
      <c r="Q698" s="19" t="n"/>
    </row>
    <row r="699" ht="15.75" customHeight="1" s="545">
      <c r="A699" s="19" t="n"/>
      <c r="B699" s="19" t="n"/>
      <c r="C699" s="19" t="n"/>
      <c r="D699" s="19" t="n"/>
      <c r="E699" s="19" t="n"/>
      <c r="F699" s="19" t="n"/>
      <c r="G699" s="19" t="n"/>
      <c r="H699" s="19" t="n"/>
      <c r="I699" s="19" t="n"/>
      <c r="J699" s="19" t="n"/>
      <c r="K699" s="19" t="n"/>
      <c r="L699" s="19" t="n"/>
      <c r="M699" s="19" t="n"/>
      <c r="N699" s="19" t="n"/>
      <c r="O699" s="19" t="n"/>
      <c r="P699" s="19" t="n"/>
      <c r="Q699" s="19" t="n"/>
    </row>
    <row r="700" ht="15.75" customHeight="1" s="545">
      <c r="A700" s="19" t="n"/>
      <c r="B700" s="19" t="n"/>
      <c r="C700" s="19" t="n"/>
      <c r="D700" s="19" t="n"/>
      <c r="E700" s="19" t="n"/>
      <c r="F700" s="19" t="n"/>
      <c r="G700" s="19" t="n"/>
      <c r="H700" s="19" t="n"/>
      <c r="I700" s="19" t="n"/>
      <c r="J700" s="19" t="n"/>
      <c r="K700" s="19" t="n"/>
      <c r="L700" s="19" t="n"/>
      <c r="M700" s="19" t="n"/>
      <c r="N700" s="19" t="n"/>
      <c r="O700" s="19" t="n"/>
      <c r="P700" s="19" t="n"/>
      <c r="Q700" s="19" t="n"/>
    </row>
    <row r="701" ht="15.75" customHeight="1" s="545">
      <c r="A701" s="19" t="n"/>
      <c r="B701" s="19" t="n"/>
      <c r="C701" s="19" t="n"/>
      <c r="D701" s="19" t="n"/>
      <c r="E701" s="19" t="n"/>
      <c r="F701" s="19" t="n"/>
      <c r="G701" s="19" t="n"/>
      <c r="H701" s="19" t="n"/>
      <c r="I701" s="19" t="n"/>
      <c r="J701" s="19" t="n"/>
      <c r="K701" s="19" t="n"/>
      <c r="L701" s="19" t="n"/>
      <c r="M701" s="19" t="n"/>
      <c r="N701" s="19" t="n"/>
      <c r="O701" s="19" t="n"/>
      <c r="P701" s="19" t="n"/>
      <c r="Q701" s="19" t="n"/>
    </row>
    <row r="702" ht="15.75" customHeight="1" s="545">
      <c r="A702" s="19" t="n"/>
      <c r="B702" s="19" t="n"/>
      <c r="C702" s="19" t="n"/>
      <c r="D702" s="19" t="n"/>
      <c r="E702" s="19" t="n"/>
      <c r="F702" s="19" t="n"/>
      <c r="G702" s="19" t="n"/>
      <c r="H702" s="19" t="n"/>
      <c r="I702" s="19" t="n"/>
      <c r="J702" s="19" t="n"/>
      <c r="K702" s="19" t="n"/>
      <c r="L702" s="19" t="n"/>
      <c r="M702" s="19" t="n"/>
      <c r="N702" s="19" t="n"/>
      <c r="O702" s="19" t="n"/>
      <c r="P702" s="19" t="n"/>
      <c r="Q702" s="19" t="n"/>
    </row>
    <row r="703" ht="15.75" customHeight="1" s="545">
      <c r="A703" s="19" t="n"/>
      <c r="B703" s="19" t="n"/>
      <c r="C703" s="19" t="n"/>
      <c r="D703" s="19" t="n"/>
      <c r="E703" s="19" t="n"/>
      <c r="F703" s="19" t="n"/>
      <c r="G703" s="19" t="n"/>
      <c r="H703" s="19" t="n"/>
      <c r="I703" s="19" t="n"/>
      <c r="J703" s="19" t="n"/>
      <c r="K703" s="19" t="n"/>
      <c r="L703" s="19" t="n"/>
      <c r="M703" s="19" t="n"/>
      <c r="N703" s="19" t="n"/>
      <c r="O703" s="19" t="n"/>
      <c r="P703" s="19" t="n"/>
      <c r="Q703" s="19" t="n"/>
    </row>
    <row r="704" ht="15.75" customHeight="1" s="545">
      <c r="A704" s="19" t="n"/>
      <c r="B704" s="19" t="n"/>
      <c r="C704" s="19" t="n"/>
      <c r="D704" s="19" t="n"/>
      <c r="E704" s="19" t="n"/>
      <c r="F704" s="19" t="n"/>
      <c r="G704" s="19" t="n"/>
      <c r="H704" s="19" t="n"/>
      <c r="I704" s="19" t="n"/>
      <c r="J704" s="19" t="n"/>
      <c r="K704" s="19" t="n"/>
      <c r="L704" s="19" t="n"/>
      <c r="M704" s="19" t="n"/>
      <c r="N704" s="19" t="n"/>
      <c r="O704" s="19" t="n"/>
      <c r="P704" s="19" t="n"/>
      <c r="Q704" s="19" t="n"/>
    </row>
    <row r="705" ht="15.75" customHeight="1" s="545">
      <c r="A705" s="19" t="n"/>
      <c r="B705" s="19" t="n"/>
      <c r="C705" s="19" t="n"/>
      <c r="D705" s="19" t="n"/>
      <c r="E705" s="19" t="n"/>
      <c r="F705" s="19" t="n"/>
      <c r="G705" s="19" t="n"/>
      <c r="H705" s="19" t="n"/>
      <c r="I705" s="19" t="n"/>
      <c r="J705" s="19" t="n"/>
      <c r="K705" s="19" t="n"/>
      <c r="L705" s="19" t="n"/>
      <c r="M705" s="19" t="n"/>
      <c r="N705" s="19" t="n"/>
      <c r="O705" s="19" t="n"/>
      <c r="P705" s="19" t="n"/>
      <c r="Q705" s="19" t="n"/>
    </row>
    <row r="706" ht="15.75" customHeight="1" s="545">
      <c r="A706" s="19" t="n"/>
      <c r="B706" s="19" t="n"/>
      <c r="C706" s="19" t="n"/>
      <c r="D706" s="19" t="n"/>
      <c r="E706" s="19" t="n"/>
      <c r="F706" s="19" t="n"/>
      <c r="G706" s="19" t="n"/>
      <c r="H706" s="19" t="n"/>
      <c r="I706" s="19" t="n"/>
      <c r="J706" s="19" t="n"/>
      <c r="K706" s="19" t="n"/>
      <c r="L706" s="19" t="n"/>
      <c r="M706" s="19" t="n"/>
      <c r="N706" s="19" t="n"/>
      <c r="O706" s="19" t="n"/>
      <c r="P706" s="19" t="n"/>
      <c r="Q706" s="19" t="n"/>
    </row>
    <row r="707" ht="15.75" customHeight="1" s="545">
      <c r="A707" s="19" t="n"/>
      <c r="B707" s="19" t="n"/>
      <c r="C707" s="19" t="n"/>
      <c r="D707" s="19" t="n"/>
      <c r="E707" s="19" t="n"/>
      <c r="F707" s="19" t="n"/>
      <c r="G707" s="19" t="n"/>
      <c r="H707" s="19" t="n"/>
      <c r="I707" s="19" t="n"/>
      <c r="J707" s="19" t="n"/>
      <c r="K707" s="19" t="n"/>
      <c r="L707" s="19" t="n"/>
      <c r="M707" s="19" t="n"/>
      <c r="N707" s="19" t="n"/>
      <c r="O707" s="19" t="n"/>
      <c r="P707" s="19" t="n"/>
      <c r="Q707" s="19" t="n"/>
    </row>
    <row r="708" ht="15.75" customHeight="1" s="545">
      <c r="A708" s="19" t="n"/>
      <c r="B708" s="19" t="n"/>
      <c r="C708" s="19" t="n"/>
      <c r="D708" s="19" t="n"/>
      <c r="E708" s="19" t="n"/>
      <c r="F708" s="19" t="n"/>
      <c r="G708" s="19" t="n"/>
      <c r="H708" s="19" t="n"/>
      <c r="I708" s="19" t="n"/>
      <c r="J708" s="19" t="n"/>
      <c r="K708" s="19" t="n"/>
      <c r="L708" s="19" t="n"/>
      <c r="M708" s="19" t="n"/>
      <c r="N708" s="19" t="n"/>
      <c r="O708" s="19" t="n"/>
      <c r="P708" s="19" t="n"/>
      <c r="Q708" s="19" t="n"/>
    </row>
    <row r="709" ht="15.75" customHeight="1" s="545">
      <c r="A709" s="19" t="n"/>
      <c r="B709" s="19" t="n"/>
      <c r="C709" s="19" t="n"/>
      <c r="D709" s="19" t="n"/>
      <c r="E709" s="19" t="n"/>
      <c r="F709" s="19" t="n"/>
      <c r="G709" s="19" t="n"/>
      <c r="H709" s="19" t="n"/>
      <c r="I709" s="19" t="n"/>
      <c r="J709" s="19" t="n"/>
      <c r="K709" s="19" t="n"/>
      <c r="L709" s="19" t="n"/>
      <c r="M709" s="19" t="n"/>
      <c r="N709" s="19" t="n"/>
      <c r="O709" s="19" t="n"/>
      <c r="P709" s="19" t="n"/>
      <c r="Q709" s="19" t="n"/>
    </row>
    <row r="710" ht="15.75" customHeight="1" s="545">
      <c r="A710" s="19" t="n"/>
      <c r="B710" s="19" t="n"/>
      <c r="C710" s="19" t="n"/>
      <c r="D710" s="19" t="n"/>
      <c r="E710" s="19" t="n"/>
      <c r="F710" s="19" t="n"/>
      <c r="G710" s="19" t="n"/>
      <c r="H710" s="19" t="n"/>
      <c r="I710" s="19" t="n"/>
      <c r="J710" s="19" t="n"/>
      <c r="K710" s="19" t="n"/>
      <c r="L710" s="19" t="n"/>
      <c r="M710" s="19" t="n"/>
      <c r="N710" s="19" t="n"/>
      <c r="O710" s="19" t="n"/>
      <c r="P710" s="19" t="n"/>
      <c r="Q710" s="19" t="n"/>
    </row>
    <row r="711" ht="15.75" customHeight="1" s="545">
      <c r="A711" s="19" t="n"/>
      <c r="B711" s="19" t="n"/>
      <c r="C711" s="19" t="n"/>
      <c r="D711" s="19" t="n"/>
      <c r="E711" s="19" t="n"/>
      <c r="F711" s="19" t="n"/>
      <c r="G711" s="19" t="n"/>
      <c r="H711" s="19" t="n"/>
      <c r="I711" s="19" t="n"/>
      <c r="J711" s="19" t="n"/>
      <c r="K711" s="19" t="n"/>
      <c r="L711" s="19" t="n"/>
      <c r="M711" s="19" t="n"/>
      <c r="N711" s="19" t="n"/>
      <c r="O711" s="19" t="n"/>
      <c r="P711" s="19" t="n"/>
      <c r="Q711" s="19" t="n"/>
    </row>
    <row r="712" ht="15.75" customHeight="1" s="545">
      <c r="A712" s="19" t="n"/>
      <c r="B712" s="19" t="n"/>
      <c r="C712" s="19" t="n"/>
      <c r="D712" s="19" t="n"/>
      <c r="E712" s="19" t="n"/>
      <c r="F712" s="19" t="n"/>
      <c r="G712" s="19" t="n"/>
      <c r="H712" s="19" t="n"/>
      <c r="I712" s="19" t="n"/>
      <c r="J712" s="19" t="n"/>
      <c r="K712" s="19" t="n"/>
      <c r="L712" s="19" t="n"/>
      <c r="M712" s="19" t="n"/>
      <c r="N712" s="19" t="n"/>
      <c r="O712" s="19" t="n"/>
      <c r="P712" s="19" t="n"/>
      <c r="Q712" s="19" t="n"/>
    </row>
    <row r="713" ht="15.75" customHeight="1" s="545">
      <c r="A713" s="19" t="n"/>
      <c r="B713" s="19" t="n"/>
      <c r="C713" s="19" t="n"/>
      <c r="D713" s="19" t="n"/>
      <c r="E713" s="19" t="n"/>
      <c r="F713" s="19" t="n"/>
      <c r="G713" s="19" t="n"/>
      <c r="H713" s="19" t="n"/>
      <c r="I713" s="19" t="n"/>
      <c r="J713" s="19" t="n"/>
      <c r="K713" s="19" t="n"/>
      <c r="L713" s="19" t="n"/>
      <c r="M713" s="19" t="n"/>
      <c r="N713" s="19" t="n"/>
      <c r="O713" s="19" t="n"/>
      <c r="P713" s="19" t="n"/>
      <c r="Q713" s="19" t="n"/>
    </row>
    <row r="714" ht="15.75" customHeight="1" s="545">
      <c r="A714" s="19" t="n"/>
      <c r="B714" s="19" t="n"/>
      <c r="C714" s="19" t="n"/>
      <c r="D714" s="19" t="n"/>
      <c r="E714" s="19" t="n"/>
      <c r="F714" s="19" t="n"/>
      <c r="G714" s="19" t="n"/>
      <c r="H714" s="19" t="n"/>
      <c r="I714" s="19" t="n"/>
      <c r="J714" s="19" t="n"/>
      <c r="K714" s="19" t="n"/>
      <c r="L714" s="19" t="n"/>
      <c r="M714" s="19" t="n"/>
      <c r="N714" s="19" t="n"/>
      <c r="O714" s="19" t="n"/>
      <c r="P714" s="19" t="n"/>
      <c r="Q714" s="19" t="n"/>
    </row>
    <row r="715" ht="15.75" customHeight="1" s="545">
      <c r="A715" s="19" t="n"/>
      <c r="B715" s="19" t="n"/>
      <c r="C715" s="19" t="n"/>
      <c r="D715" s="19" t="n"/>
      <c r="E715" s="19" t="n"/>
      <c r="F715" s="19" t="n"/>
      <c r="G715" s="19" t="n"/>
      <c r="H715" s="19" t="n"/>
      <c r="I715" s="19" t="n"/>
      <c r="J715" s="19" t="n"/>
      <c r="K715" s="19" t="n"/>
      <c r="L715" s="19" t="n"/>
      <c r="M715" s="19" t="n"/>
      <c r="N715" s="19" t="n"/>
      <c r="O715" s="19" t="n"/>
      <c r="P715" s="19" t="n"/>
      <c r="Q715" s="19" t="n"/>
    </row>
    <row r="716" ht="15.75" customHeight="1" s="545">
      <c r="A716" s="19" t="n"/>
      <c r="B716" s="19" t="n"/>
      <c r="C716" s="19" t="n"/>
      <c r="D716" s="19" t="n"/>
      <c r="E716" s="19" t="n"/>
      <c r="F716" s="19" t="n"/>
      <c r="G716" s="19" t="n"/>
      <c r="H716" s="19" t="n"/>
      <c r="I716" s="19" t="n"/>
      <c r="J716" s="19" t="n"/>
      <c r="K716" s="19" t="n"/>
      <c r="L716" s="19" t="n"/>
      <c r="M716" s="19" t="n"/>
      <c r="N716" s="19" t="n"/>
      <c r="O716" s="19" t="n"/>
      <c r="P716" s="19" t="n"/>
      <c r="Q716" s="19" t="n"/>
    </row>
    <row r="717" ht="15.75" customHeight="1" s="545">
      <c r="A717" s="19" t="n"/>
      <c r="B717" s="19" t="n"/>
      <c r="C717" s="19" t="n"/>
      <c r="D717" s="19" t="n"/>
      <c r="E717" s="19" t="n"/>
      <c r="F717" s="19" t="n"/>
      <c r="G717" s="19" t="n"/>
      <c r="H717" s="19" t="n"/>
      <c r="I717" s="19" t="n"/>
      <c r="J717" s="19" t="n"/>
      <c r="K717" s="19" t="n"/>
      <c r="L717" s="19" t="n"/>
      <c r="M717" s="19" t="n"/>
      <c r="N717" s="19" t="n"/>
      <c r="O717" s="19" t="n"/>
      <c r="P717" s="19" t="n"/>
      <c r="Q717" s="19" t="n"/>
    </row>
    <row r="718" ht="15.75" customHeight="1" s="545">
      <c r="A718" s="19" t="n"/>
      <c r="B718" s="19" t="n"/>
      <c r="C718" s="19" t="n"/>
      <c r="D718" s="19" t="n"/>
      <c r="E718" s="19" t="n"/>
      <c r="F718" s="19" t="n"/>
      <c r="G718" s="19" t="n"/>
      <c r="H718" s="19" t="n"/>
      <c r="I718" s="19" t="n"/>
      <c r="J718" s="19" t="n"/>
      <c r="K718" s="19" t="n"/>
      <c r="L718" s="19" t="n"/>
      <c r="M718" s="19" t="n"/>
      <c r="N718" s="19" t="n"/>
      <c r="O718" s="19" t="n"/>
      <c r="P718" s="19" t="n"/>
      <c r="Q718" s="19" t="n"/>
    </row>
    <row r="719" ht="15.75" customHeight="1" s="545">
      <c r="A719" s="19" t="n"/>
      <c r="B719" s="19" t="n"/>
      <c r="C719" s="19" t="n"/>
      <c r="D719" s="19" t="n"/>
      <c r="E719" s="19" t="n"/>
      <c r="F719" s="19" t="n"/>
      <c r="G719" s="19" t="n"/>
      <c r="H719" s="19" t="n"/>
      <c r="I719" s="19" t="n"/>
      <c r="J719" s="19" t="n"/>
      <c r="K719" s="19" t="n"/>
      <c r="L719" s="19" t="n"/>
      <c r="M719" s="19" t="n"/>
      <c r="N719" s="19" t="n"/>
      <c r="O719" s="19" t="n"/>
      <c r="P719" s="19" t="n"/>
      <c r="Q719" s="19" t="n"/>
    </row>
    <row r="720" ht="15.75" customHeight="1" s="545">
      <c r="A720" s="19" t="n"/>
      <c r="B720" s="19" t="n"/>
      <c r="C720" s="19" t="n"/>
      <c r="D720" s="19" t="n"/>
      <c r="E720" s="19" t="n"/>
      <c r="F720" s="19" t="n"/>
      <c r="G720" s="19" t="n"/>
      <c r="H720" s="19" t="n"/>
      <c r="I720" s="19" t="n"/>
      <c r="J720" s="19" t="n"/>
      <c r="K720" s="19" t="n"/>
      <c r="L720" s="19" t="n"/>
      <c r="M720" s="19" t="n"/>
      <c r="N720" s="19" t="n"/>
      <c r="O720" s="19" t="n"/>
      <c r="P720" s="19" t="n"/>
      <c r="Q720" s="19" t="n"/>
    </row>
    <row r="721" ht="15.75" customHeight="1" s="545">
      <c r="A721" s="19" t="n"/>
      <c r="B721" s="19" t="n"/>
      <c r="C721" s="19" t="n"/>
      <c r="D721" s="19" t="n"/>
      <c r="E721" s="19" t="n"/>
      <c r="F721" s="19" t="n"/>
      <c r="G721" s="19" t="n"/>
      <c r="H721" s="19" t="n"/>
      <c r="I721" s="19" t="n"/>
      <c r="J721" s="19" t="n"/>
      <c r="K721" s="19" t="n"/>
      <c r="L721" s="19" t="n"/>
      <c r="M721" s="19" t="n"/>
      <c r="N721" s="19" t="n"/>
      <c r="O721" s="19" t="n"/>
      <c r="P721" s="19" t="n"/>
      <c r="Q721" s="19" t="n"/>
    </row>
    <row r="722" ht="15.75" customHeight="1" s="545">
      <c r="A722" s="19" t="n"/>
      <c r="B722" s="19" t="n"/>
      <c r="C722" s="19" t="n"/>
      <c r="D722" s="19" t="n"/>
      <c r="E722" s="19" t="n"/>
      <c r="F722" s="19" t="n"/>
      <c r="G722" s="19" t="n"/>
      <c r="H722" s="19" t="n"/>
      <c r="I722" s="19" t="n"/>
      <c r="J722" s="19" t="n"/>
      <c r="K722" s="19" t="n"/>
      <c r="L722" s="19" t="n"/>
      <c r="M722" s="19" t="n"/>
      <c r="N722" s="19" t="n"/>
      <c r="O722" s="19" t="n"/>
      <c r="P722" s="19" t="n"/>
      <c r="Q722" s="19" t="n"/>
    </row>
    <row r="723" ht="15.75" customHeight="1" s="545">
      <c r="A723" s="19" t="n"/>
      <c r="B723" s="19" t="n"/>
      <c r="C723" s="19" t="n"/>
      <c r="D723" s="19" t="n"/>
      <c r="E723" s="19" t="n"/>
      <c r="F723" s="19" t="n"/>
      <c r="G723" s="19" t="n"/>
      <c r="H723" s="19" t="n"/>
      <c r="I723" s="19" t="n"/>
      <c r="J723" s="19" t="n"/>
      <c r="K723" s="19" t="n"/>
      <c r="L723" s="19" t="n"/>
      <c r="M723" s="19" t="n"/>
      <c r="N723" s="19" t="n"/>
      <c r="O723" s="19" t="n"/>
      <c r="P723" s="19" t="n"/>
      <c r="Q723" s="19" t="n"/>
    </row>
    <row r="724" ht="15.75" customHeight="1" s="545">
      <c r="A724" s="19" t="n"/>
      <c r="B724" s="19" t="n"/>
      <c r="C724" s="19" t="n"/>
      <c r="D724" s="19" t="n"/>
      <c r="E724" s="19" t="n"/>
      <c r="F724" s="19" t="n"/>
      <c r="G724" s="19" t="n"/>
      <c r="H724" s="19" t="n"/>
      <c r="I724" s="19" t="n"/>
      <c r="J724" s="19" t="n"/>
      <c r="K724" s="19" t="n"/>
      <c r="L724" s="19" t="n"/>
      <c r="M724" s="19" t="n"/>
      <c r="N724" s="19" t="n"/>
      <c r="O724" s="19" t="n"/>
      <c r="P724" s="19" t="n"/>
      <c r="Q724" s="19" t="n"/>
    </row>
    <row r="725" ht="15.75" customHeight="1" s="545">
      <c r="A725" s="19" t="n"/>
      <c r="B725" s="19" t="n"/>
      <c r="C725" s="19" t="n"/>
      <c r="D725" s="19" t="n"/>
      <c r="E725" s="19" t="n"/>
      <c r="F725" s="19" t="n"/>
      <c r="G725" s="19" t="n"/>
      <c r="H725" s="19" t="n"/>
      <c r="I725" s="19" t="n"/>
      <c r="J725" s="19" t="n"/>
      <c r="K725" s="19" t="n"/>
      <c r="L725" s="19" t="n"/>
      <c r="M725" s="19" t="n"/>
      <c r="N725" s="19" t="n"/>
      <c r="O725" s="19" t="n"/>
      <c r="P725" s="19" t="n"/>
      <c r="Q725" s="19" t="n"/>
    </row>
    <row r="726" ht="15.75" customHeight="1" s="545">
      <c r="A726" s="19" t="n"/>
      <c r="B726" s="19" t="n"/>
      <c r="C726" s="19" t="n"/>
      <c r="D726" s="19" t="n"/>
      <c r="E726" s="19" t="n"/>
      <c r="F726" s="19" t="n"/>
      <c r="G726" s="19" t="n"/>
      <c r="H726" s="19" t="n"/>
      <c r="I726" s="19" t="n"/>
      <c r="J726" s="19" t="n"/>
      <c r="K726" s="19" t="n"/>
      <c r="L726" s="19" t="n"/>
      <c r="M726" s="19" t="n"/>
      <c r="N726" s="19" t="n"/>
      <c r="O726" s="19" t="n"/>
      <c r="P726" s="19" t="n"/>
      <c r="Q726" s="19" t="n"/>
    </row>
    <row r="727" ht="15.75" customHeight="1" s="545">
      <c r="A727" s="19" t="n"/>
      <c r="B727" s="19" t="n"/>
      <c r="C727" s="19" t="n"/>
      <c r="D727" s="19" t="n"/>
      <c r="E727" s="19" t="n"/>
      <c r="F727" s="19" t="n"/>
      <c r="G727" s="19" t="n"/>
      <c r="H727" s="19" t="n"/>
      <c r="I727" s="19" t="n"/>
      <c r="J727" s="19" t="n"/>
      <c r="K727" s="19" t="n"/>
      <c r="L727" s="19" t="n"/>
      <c r="M727" s="19" t="n"/>
      <c r="N727" s="19" t="n"/>
      <c r="O727" s="19" t="n"/>
      <c r="P727" s="19" t="n"/>
      <c r="Q727" s="19" t="n"/>
    </row>
    <row r="728" ht="15.75" customHeight="1" s="545">
      <c r="A728" s="19" t="n"/>
      <c r="B728" s="19" t="n"/>
      <c r="C728" s="19" t="n"/>
      <c r="D728" s="19" t="n"/>
      <c r="E728" s="19" t="n"/>
      <c r="F728" s="19" t="n"/>
      <c r="G728" s="19" t="n"/>
      <c r="H728" s="19" t="n"/>
      <c r="I728" s="19" t="n"/>
      <c r="J728" s="19" t="n"/>
      <c r="K728" s="19" t="n"/>
      <c r="L728" s="19" t="n"/>
      <c r="M728" s="19" t="n"/>
      <c r="N728" s="19" t="n"/>
      <c r="O728" s="19" t="n"/>
      <c r="P728" s="19" t="n"/>
      <c r="Q728" s="19" t="n"/>
    </row>
    <row r="729" ht="15.75" customHeight="1" s="545">
      <c r="A729" s="19" t="n"/>
      <c r="B729" s="19" t="n"/>
      <c r="C729" s="19" t="n"/>
      <c r="D729" s="19" t="n"/>
      <c r="E729" s="19" t="n"/>
      <c r="F729" s="19" t="n"/>
      <c r="G729" s="19" t="n"/>
      <c r="H729" s="19" t="n"/>
      <c r="I729" s="19" t="n"/>
      <c r="J729" s="19" t="n"/>
      <c r="K729" s="19" t="n"/>
      <c r="L729" s="19" t="n"/>
      <c r="M729" s="19" t="n"/>
      <c r="N729" s="19" t="n"/>
      <c r="O729" s="19" t="n"/>
      <c r="P729" s="19" t="n"/>
      <c r="Q729" s="19" t="n"/>
    </row>
    <row r="730" ht="15.75" customHeight="1" s="545">
      <c r="A730" s="19" t="n"/>
      <c r="B730" s="19" t="n"/>
      <c r="C730" s="19" t="n"/>
      <c r="D730" s="19" t="n"/>
      <c r="E730" s="19" t="n"/>
      <c r="F730" s="19" t="n"/>
      <c r="G730" s="19" t="n"/>
      <c r="H730" s="19" t="n"/>
      <c r="I730" s="19" t="n"/>
      <c r="J730" s="19" t="n"/>
      <c r="K730" s="19" t="n"/>
      <c r="L730" s="19" t="n"/>
      <c r="M730" s="19" t="n"/>
      <c r="N730" s="19" t="n"/>
      <c r="O730" s="19" t="n"/>
      <c r="P730" s="19" t="n"/>
      <c r="Q730" s="19" t="n"/>
    </row>
    <row r="731" ht="15.75" customHeight="1" s="545">
      <c r="A731" s="19" t="n"/>
      <c r="B731" s="19" t="n"/>
      <c r="C731" s="19" t="n"/>
      <c r="D731" s="19" t="n"/>
      <c r="E731" s="19" t="n"/>
      <c r="F731" s="19" t="n"/>
      <c r="G731" s="19" t="n"/>
      <c r="H731" s="19" t="n"/>
      <c r="I731" s="19" t="n"/>
      <c r="J731" s="19" t="n"/>
      <c r="K731" s="19" t="n"/>
      <c r="L731" s="19" t="n"/>
      <c r="M731" s="19" t="n"/>
      <c r="N731" s="19" t="n"/>
      <c r="O731" s="19" t="n"/>
      <c r="P731" s="19" t="n"/>
      <c r="Q731" s="19" t="n"/>
    </row>
    <row r="732" ht="15.75" customHeight="1" s="545">
      <c r="A732" s="19" t="n"/>
      <c r="B732" s="19" t="n"/>
      <c r="C732" s="19" t="n"/>
      <c r="D732" s="19" t="n"/>
      <c r="E732" s="19" t="n"/>
      <c r="F732" s="19" t="n"/>
      <c r="G732" s="19" t="n"/>
      <c r="H732" s="19" t="n"/>
      <c r="I732" s="19" t="n"/>
      <c r="J732" s="19" t="n"/>
      <c r="K732" s="19" t="n"/>
      <c r="L732" s="19" t="n"/>
      <c r="M732" s="19" t="n"/>
      <c r="N732" s="19" t="n"/>
      <c r="O732" s="19" t="n"/>
      <c r="P732" s="19" t="n"/>
      <c r="Q732" s="19" t="n"/>
    </row>
    <row r="733" ht="15.75" customHeight="1" s="545">
      <c r="A733" s="19" t="n"/>
      <c r="B733" s="19" t="n"/>
      <c r="C733" s="19" t="n"/>
      <c r="D733" s="19" t="n"/>
      <c r="E733" s="19" t="n"/>
      <c r="F733" s="19" t="n"/>
      <c r="G733" s="19" t="n"/>
      <c r="H733" s="19" t="n"/>
      <c r="I733" s="19" t="n"/>
      <c r="J733" s="19" t="n"/>
      <c r="K733" s="19" t="n"/>
      <c r="L733" s="19" t="n"/>
      <c r="M733" s="19" t="n"/>
      <c r="N733" s="19" t="n"/>
      <c r="O733" s="19" t="n"/>
      <c r="P733" s="19" t="n"/>
      <c r="Q733" s="19" t="n"/>
    </row>
    <row r="734" ht="15.75" customHeight="1" s="545">
      <c r="A734" s="19" t="n"/>
      <c r="B734" s="19" t="n"/>
      <c r="C734" s="19" t="n"/>
      <c r="D734" s="19" t="n"/>
      <c r="E734" s="19" t="n"/>
      <c r="F734" s="19" t="n"/>
      <c r="G734" s="19" t="n"/>
      <c r="H734" s="19" t="n"/>
      <c r="I734" s="19" t="n"/>
      <c r="J734" s="19" t="n"/>
      <c r="K734" s="19" t="n"/>
      <c r="L734" s="19" t="n"/>
      <c r="M734" s="19" t="n"/>
      <c r="N734" s="19" t="n"/>
      <c r="O734" s="19" t="n"/>
      <c r="P734" s="19" t="n"/>
      <c r="Q734" s="19" t="n"/>
    </row>
    <row r="735" ht="15.75" customHeight="1" s="545">
      <c r="A735" s="19" t="n"/>
      <c r="B735" s="19" t="n"/>
      <c r="C735" s="19" t="n"/>
      <c r="D735" s="19" t="n"/>
      <c r="E735" s="19" t="n"/>
      <c r="F735" s="19" t="n"/>
      <c r="G735" s="19" t="n"/>
      <c r="H735" s="19" t="n"/>
      <c r="I735" s="19" t="n"/>
      <c r="J735" s="19" t="n"/>
      <c r="K735" s="19" t="n"/>
      <c r="L735" s="19" t="n"/>
      <c r="M735" s="19" t="n"/>
      <c r="N735" s="19" t="n"/>
      <c r="O735" s="19" t="n"/>
      <c r="P735" s="19" t="n"/>
      <c r="Q735" s="19" t="n"/>
    </row>
    <row r="736" ht="15.75" customHeight="1" s="545">
      <c r="A736" s="19" t="n"/>
      <c r="B736" s="19" t="n"/>
      <c r="C736" s="19" t="n"/>
      <c r="D736" s="19" t="n"/>
      <c r="E736" s="19" t="n"/>
      <c r="F736" s="19" t="n"/>
      <c r="G736" s="19" t="n"/>
      <c r="H736" s="19" t="n"/>
      <c r="I736" s="19" t="n"/>
      <c r="J736" s="19" t="n"/>
      <c r="K736" s="19" t="n"/>
      <c r="L736" s="19" t="n"/>
      <c r="M736" s="19" t="n"/>
      <c r="N736" s="19" t="n"/>
      <c r="O736" s="19" t="n"/>
      <c r="P736" s="19" t="n"/>
      <c r="Q736" s="19" t="n"/>
    </row>
    <row r="737" ht="15.75" customHeight="1" s="545">
      <c r="A737" s="19" t="n"/>
      <c r="B737" s="19" t="n"/>
      <c r="C737" s="19" t="n"/>
      <c r="D737" s="19" t="n"/>
      <c r="E737" s="19" t="n"/>
      <c r="F737" s="19" t="n"/>
      <c r="G737" s="19" t="n"/>
      <c r="H737" s="19" t="n"/>
      <c r="I737" s="19" t="n"/>
      <c r="J737" s="19" t="n"/>
      <c r="K737" s="19" t="n"/>
      <c r="L737" s="19" t="n"/>
      <c r="M737" s="19" t="n"/>
      <c r="N737" s="19" t="n"/>
      <c r="O737" s="19" t="n"/>
      <c r="P737" s="19" t="n"/>
      <c r="Q737" s="19" t="n"/>
    </row>
    <row r="738" ht="15.75" customHeight="1" s="545">
      <c r="A738" s="19" t="n"/>
      <c r="B738" s="19" t="n"/>
      <c r="C738" s="19" t="n"/>
      <c r="D738" s="19" t="n"/>
      <c r="E738" s="19" t="n"/>
      <c r="F738" s="19" t="n"/>
      <c r="G738" s="19" t="n"/>
      <c r="H738" s="19" t="n"/>
      <c r="I738" s="19" t="n"/>
      <c r="J738" s="19" t="n"/>
      <c r="K738" s="19" t="n"/>
      <c r="L738" s="19" t="n"/>
      <c r="M738" s="19" t="n"/>
      <c r="N738" s="19" t="n"/>
      <c r="O738" s="19" t="n"/>
      <c r="P738" s="19" t="n"/>
      <c r="Q738" s="19" t="n"/>
    </row>
    <row r="739" ht="15.75" customHeight="1" s="545">
      <c r="A739" s="19" t="n"/>
      <c r="B739" s="19" t="n"/>
      <c r="C739" s="19" t="n"/>
      <c r="D739" s="19" t="n"/>
      <c r="E739" s="19" t="n"/>
      <c r="F739" s="19" t="n"/>
      <c r="G739" s="19" t="n"/>
      <c r="H739" s="19" t="n"/>
      <c r="I739" s="19" t="n"/>
      <c r="J739" s="19" t="n"/>
      <c r="K739" s="19" t="n"/>
      <c r="L739" s="19" t="n"/>
      <c r="M739" s="19" t="n"/>
      <c r="N739" s="19" t="n"/>
      <c r="O739" s="19" t="n"/>
      <c r="P739" s="19" t="n"/>
      <c r="Q739" s="19" t="n"/>
    </row>
    <row r="740" ht="15.75" customHeight="1" s="545">
      <c r="A740" s="19" t="n"/>
      <c r="B740" s="19" t="n"/>
      <c r="C740" s="19" t="n"/>
      <c r="D740" s="19" t="n"/>
      <c r="E740" s="19" t="n"/>
      <c r="F740" s="19" t="n"/>
      <c r="G740" s="19" t="n"/>
      <c r="H740" s="19" t="n"/>
      <c r="I740" s="19" t="n"/>
      <c r="J740" s="19" t="n"/>
      <c r="K740" s="19" t="n"/>
      <c r="L740" s="19" t="n"/>
      <c r="M740" s="19" t="n"/>
      <c r="N740" s="19" t="n"/>
      <c r="O740" s="19" t="n"/>
      <c r="P740" s="19" t="n"/>
      <c r="Q740" s="19" t="n"/>
    </row>
    <row r="741" ht="15.75" customHeight="1" s="545">
      <c r="A741" s="19" t="n"/>
      <c r="B741" s="19" t="n"/>
      <c r="C741" s="19" t="n"/>
      <c r="D741" s="19" t="n"/>
      <c r="E741" s="19" t="n"/>
      <c r="F741" s="19" t="n"/>
      <c r="G741" s="19" t="n"/>
      <c r="H741" s="19" t="n"/>
      <c r="I741" s="19" t="n"/>
      <c r="J741" s="19" t="n"/>
      <c r="K741" s="19" t="n"/>
      <c r="L741" s="19" t="n"/>
      <c r="M741" s="19" t="n"/>
      <c r="N741" s="19" t="n"/>
      <c r="O741" s="19" t="n"/>
      <c r="P741" s="19" t="n"/>
      <c r="Q741" s="19" t="n"/>
    </row>
    <row r="742" ht="15.75" customHeight="1" s="545">
      <c r="A742" s="19" t="n"/>
      <c r="B742" s="19" t="n"/>
      <c r="C742" s="19" t="n"/>
      <c r="D742" s="19" t="n"/>
      <c r="E742" s="19" t="n"/>
      <c r="F742" s="19" t="n"/>
      <c r="G742" s="19" t="n"/>
      <c r="H742" s="19" t="n"/>
      <c r="I742" s="19" t="n"/>
      <c r="J742" s="19" t="n"/>
      <c r="K742" s="19" t="n"/>
      <c r="L742" s="19" t="n"/>
      <c r="M742" s="19" t="n"/>
      <c r="N742" s="19" t="n"/>
      <c r="O742" s="19" t="n"/>
      <c r="P742" s="19" t="n"/>
      <c r="Q742" s="19" t="n"/>
    </row>
    <row r="743" ht="15.75" customHeight="1" s="545">
      <c r="A743" s="19" t="n"/>
      <c r="B743" s="19" t="n"/>
      <c r="C743" s="19" t="n"/>
      <c r="D743" s="19" t="n"/>
      <c r="E743" s="19" t="n"/>
      <c r="F743" s="19" t="n"/>
      <c r="G743" s="19" t="n"/>
      <c r="H743" s="19" t="n"/>
      <c r="I743" s="19" t="n"/>
      <c r="J743" s="19" t="n"/>
      <c r="K743" s="19" t="n"/>
      <c r="L743" s="19" t="n"/>
      <c r="M743" s="19" t="n"/>
      <c r="N743" s="19" t="n"/>
      <c r="O743" s="19" t="n"/>
      <c r="P743" s="19" t="n"/>
      <c r="Q743" s="19" t="n"/>
    </row>
    <row r="744" ht="15.75" customHeight="1" s="545">
      <c r="A744" s="19" t="n"/>
      <c r="B744" s="19" t="n"/>
      <c r="C744" s="19" t="n"/>
      <c r="D744" s="19" t="n"/>
      <c r="E744" s="19" t="n"/>
      <c r="F744" s="19" t="n"/>
      <c r="G744" s="19" t="n"/>
      <c r="H744" s="19" t="n"/>
      <c r="I744" s="19" t="n"/>
      <c r="J744" s="19" t="n"/>
      <c r="K744" s="19" t="n"/>
      <c r="L744" s="19" t="n"/>
      <c r="M744" s="19" t="n"/>
      <c r="N744" s="19" t="n"/>
      <c r="O744" s="19" t="n"/>
      <c r="P744" s="19" t="n"/>
      <c r="Q744" s="19" t="n"/>
    </row>
    <row r="745" ht="15.75" customHeight="1" s="545">
      <c r="A745" s="19" t="n"/>
      <c r="B745" s="19" t="n"/>
      <c r="C745" s="19" t="n"/>
      <c r="D745" s="19" t="n"/>
      <c r="E745" s="19" t="n"/>
      <c r="F745" s="19" t="n"/>
      <c r="G745" s="19" t="n"/>
      <c r="H745" s="19" t="n"/>
      <c r="I745" s="19" t="n"/>
      <c r="J745" s="19" t="n"/>
      <c r="K745" s="19" t="n"/>
      <c r="L745" s="19" t="n"/>
      <c r="M745" s="19" t="n"/>
      <c r="N745" s="19" t="n"/>
      <c r="O745" s="19" t="n"/>
      <c r="P745" s="19" t="n"/>
      <c r="Q745" s="19" t="n"/>
    </row>
    <row r="746" ht="15.75" customHeight="1" s="545">
      <c r="A746" s="19" t="n"/>
      <c r="B746" s="19" t="n"/>
      <c r="C746" s="19" t="n"/>
      <c r="D746" s="19" t="n"/>
      <c r="E746" s="19" t="n"/>
      <c r="F746" s="19" t="n"/>
      <c r="G746" s="19" t="n"/>
      <c r="H746" s="19" t="n"/>
      <c r="I746" s="19" t="n"/>
      <c r="J746" s="19" t="n"/>
      <c r="K746" s="19" t="n"/>
      <c r="L746" s="19" t="n"/>
      <c r="M746" s="19" t="n"/>
      <c r="N746" s="19" t="n"/>
      <c r="O746" s="19" t="n"/>
      <c r="P746" s="19" t="n"/>
      <c r="Q746" s="19" t="n"/>
    </row>
    <row r="747" ht="15.75" customHeight="1" s="545">
      <c r="A747" s="19" t="n"/>
      <c r="B747" s="19" t="n"/>
      <c r="C747" s="19" t="n"/>
      <c r="D747" s="19" t="n"/>
      <c r="E747" s="19" t="n"/>
      <c r="F747" s="19" t="n"/>
      <c r="G747" s="19" t="n"/>
      <c r="H747" s="19" t="n"/>
      <c r="I747" s="19" t="n"/>
      <c r="J747" s="19" t="n"/>
      <c r="K747" s="19" t="n"/>
      <c r="L747" s="19" t="n"/>
      <c r="M747" s="19" t="n"/>
      <c r="N747" s="19" t="n"/>
      <c r="O747" s="19" t="n"/>
      <c r="P747" s="19" t="n"/>
      <c r="Q747" s="19" t="n"/>
    </row>
    <row r="748" ht="15.75" customHeight="1" s="545">
      <c r="A748" s="19" t="n"/>
      <c r="B748" s="19" t="n"/>
      <c r="C748" s="19" t="n"/>
      <c r="D748" s="19" t="n"/>
      <c r="E748" s="19" t="n"/>
      <c r="F748" s="19" t="n"/>
      <c r="G748" s="19" t="n"/>
      <c r="H748" s="19" t="n"/>
      <c r="I748" s="19" t="n"/>
      <c r="J748" s="19" t="n"/>
      <c r="K748" s="19" t="n"/>
      <c r="L748" s="19" t="n"/>
      <c r="M748" s="19" t="n"/>
      <c r="N748" s="19" t="n"/>
      <c r="O748" s="19" t="n"/>
      <c r="P748" s="19" t="n"/>
      <c r="Q748" s="19" t="n"/>
    </row>
    <row r="749" ht="15.75" customHeight="1" s="545">
      <c r="A749" s="19" t="n"/>
      <c r="B749" s="19" t="n"/>
      <c r="C749" s="19" t="n"/>
      <c r="D749" s="19" t="n"/>
      <c r="E749" s="19" t="n"/>
      <c r="F749" s="19" t="n"/>
      <c r="G749" s="19" t="n"/>
      <c r="H749" s="19" t="n"/>
      <c r="I749" s="19" t="n"/>
      <c r="J749" s="19" t="n"/>
      <c r="K749" s="19" t="n"/>
      <c r="L749" s="19" t="n"/>
      <c r="M749" s="19" t="n"/>
      <c r="N749" s="19" t="n"/>
      <c r="O749" s="19" t="n"/>
      <c r="P749" s="19" t="n"/>
      <c r="Q749" s="19" t="n"/>
    </row>
    <row r="750" ht="15.75" customHeight="1" s="545">
      <c r="A750" s="19" t="n"/>
      <c r="B750" s="19" t="n"/>
      <c r="C750" s="19" t="n"/>
      <c r="D750" s="19" t="n"/>
      <c r="E750" s="19" t="n"/>
      <c r="F750" s="19" t="n"/>
      <c r="G750" s="19" t="n"/>
      <c r="H750" s="19" t="n"/>
      <c r="I750" s="19" t="n"/>
      <c r="J750" s="19" t="n"/>
      <c r="K750" s="19" t="n"/>
      <c r="L750" s="19" t="n"/>
      <c r="M750" s="19" t="n"/>
      <c r="N750" s="19" t="n"/>
      <c r="O750" s="19" t="n"/>
      <c r="P750" s="19" t="n"/>
      <c r="Q750" s="19" t="n"/>
    </row>
    <row r="751" ht="15.75" customHeight="1" s="545">
      <c r="A751" s="19" t="n"/>
      <c r="B751" s="19" t="n"/>
      <c r="C751" s="19" t="n"/>
      <c r="D751" s="19" t="n"/>
      <c r="E751" s="19" t="n"/>
      <c r="F751" s="19" t="n"/>
      <c r="G751" s="19" t="n"/>
      <c r="H751" s="19" t="n"/>
      <c r="I751" s="19" t="n"/>
      <c r="J751" s="19" t="n"/>
      <c r="K751" s="19" t="n"/>
      <c r="L751" s="19" t="n"/>
      <c r="M751" s="19" t="n"/>
      <c r="N751" s="19" t="n"/>
      <c r="O751" s="19" t="n"/>
      <c r="P751" s="19" t="n"/>
      <c r="Q751" s="19" t="n"/>
    </row>
    <row r="752" ht="15.75" customHeight="1" s="545">
      <c r="A752" s="19" t="n"/>
      <c r="B752" s="19" t="n"/>
      <c r="C752" s="19" t="n"/>
      <c r="D752" s="19" t="n"/>
      <c r="E752" s="19" t="n"/>
      <c r="F752" s="19" t="n"/>
      <c r="G752" s="19" t="n"/>
      <c r="H752" s="19" t="n"/>
      <c r="I752" s="19" t="n"/>
      <c r="J752" s="19" t="n"/>
      <c r="K752" s="19" t="n"/>
      <c r="L752" s="19" t="n"/>
      <c r="M752" s="19" t="n"/>
      <c r="N752" s="19" t="n"/>
      <c r="O752" s="19" t="n"/>
      <c r="P752" s="19" t="n"/>
      <c r="Q752" s="19" t="n"/>
    </row>
    <row r="753" ht="15.75" customHeight="1" s="545">
      <c r="A753" s="19" t="n"/>
      <c r="B753" s="19" t="n"/>
      <c r="C753" s="19" t="n"/>
      <c r="D753" s="19" t="n"/>
      <c r="E753" s="19" t="n"/>
      <c r="F753" s="19" t="n"/>
      <c r="G753" s="19" t="n"/>
      <c r="H753" s="19" t="n"/>
      <c r="I753" s="19" t="n"/>
      <c r="J753" s="19" t="n"/>
      <c r="K753" s="19" t="n"/>
      <c r="L753" s="19" t="n"/>
      <c r="M753" s="19" t="n"/>
      <c r="N753" s="19" t="n"/>
      <c r="O753" s="19" t="n"/>
      <c r="P753" s="19" t="n"/>
      <c r="Q753" s="19" t="n"/>
    </row>
    <row r="754" ht="15.75" customHeight="1" s="545">
      <c r="A754" s="19" t="n"/>
      <c r="B754" s="19" t="n"/>
      <c r="C754" s="19" t="n"/>
      <c r="D754" s="19" t="n"/>
      <c r="E754" s="19" t="n"/>
      <c r="F754" s="19" t="n"/>
      <c r="G754" s="19" t="n"/>
      <c r="H754" s="19" t="n"/>
      <c r="I754" s="19" t="n"/>
      <c r="J754" s="19" t="n"/>
      <c r="K754" s="19" t="n"/>
      <c r="L754" s="19" t="n"/>
      <c r="M754" s="19" t="n"/>
      <c r="N754" s="19" t="n"/>
      <c r="O754" s="19" t="n"/>
      <c r="P754" s="19" t="n"/>
      <c r="Q754" s="19" t="n"/>
    </row>
    <row r="755" ht="15.75" customHeight="1" s="545">
      <c r="A755" s="19" t="n"/>
      <c r="B755" s="19" t="n"/>
      <c r="C755" s="19" t="n"/>
      <c r="D755" s="19" t="n"/>
      <c r="E755" s="19" t="n"/>
      <c r="F755" s="19" t="n"/>
      <c r="G755" s="19" t="n"/>
      <c r="H755" s="19" t="n"/>
      <c r="I755" s="19" t="n"/>
      <c r="J755" s="19" t="n"/>
      <c r="K755" s="19" t="n"/>
      <c r="L755" s="19" t="n"/>
      <c r="M755" s="19" t="n"/>
      <c r="N755" s="19" t="n"/>
      <c r="O755" s="19" t="n"/>
      <c r="P755" s="19" t="n"/>
      <c r="Q755" s="19" t="n"/>
    </row>
    <row r="756" ht="15.75" customHeight="1" s="545">
      <c r="A756" s="19" t="n"/>
      <c r="B756" s="19" t="n"/>
      <c r="C756" s="19" t="n"/>
      <c r="D756" s="19" t="n"/>
      <c r="E756" s="19" t="n"/>
      <c r="F756" s="19" t="n"/>
      <c r="G756" s="19" t="n"/>
      <c r="H756" s="19" t="n"/>
      <c r="I756" s="19" t="n"/>
      <c r="J756" s="19" t="n"/>
      <c r="K756" s="19" t="n"/>
      <c r="L756" s="19" t="n"/>
      <c r="M756" s="19" t="n"/>
      <c r="N756" s="19" t="n"/>
      <c r="O756" s="19" t="n"/>
      <c r="P756" s="19" t="n"/>
      <c r="Q756" s="19" t="n"/>
    </row>
    <row r="757" ht="15.75" customHeight="1" s="545">
      <c r="A757" s="19" t="n"/>
      <c r="B757" s="19" t="n"/>
      <c r="C757" s="19" t="n"/>
      <c r="D757" s="19" t="n"/>
      <c r="E757" s="19" t="n"/>
      <c r="F757" s="19" t="n"/>
      <c r="G757" s="19" t="n"/>
      <c r="H757" s="19" t="n"/>
      <c r="I757" s="19" t="n"/>
      <c r="J757" s="19" t="n"/>
      <c r="K757" s="19" t="n"/>
      <c r="L757" s="19" t="n"/>
      <c r="M757" s="19" t="n"/>
      <c r="N757" s="19" t="n"/>
      <c r="O757" s="19" t="n"/>
      <c r="P757" s="19" t="n"/>
      <c r="Q757" s="19" t="n"/>
    </row>
    <row r="758" ht="15.75" customHeight="1" s="545">
      <c r="A758" s="19" t="n"/>
      <c r="B758" s="19" t="n"/>
      <c r="C758" s="19" t="n"/>
      <c r="D758" s="19" t="n"/>
      <c r="E758" s="19" t="n"/>
      <c r="F758" s="19" t="n"/>
      <c r="G758" s="19" t="n"/>
      <c r="H758" s="19" t="n"/>
      <c r="I758" s="19" t="n"/>
      <c r="J758" s="19" t="n"/>
      <c r="K758" s="19" t="n"/>
      <c r="L758" s="19" t="n"/>
      <c r="M758" s="19" t="n"/>
      <c r="N758" s="19" t="n"/>
      <c r="O758" s="19" t="n"/>
      <c r="P758" s="19" t="n"/>
      <c r="Q758" s="19" t="n"/>
    </row>
    <row r="759" ht="15.75" customHeight="1" s="545">
      <c r="A759" s="19" t="n"/>
      <c r="B759" s="19" t="n"/>
      <c r="C759" s="19" t="n"/>
      <c r="D759" s="19" t="n"/>
      <c r="E759" s="19" t="n"/>
      <c r="F759" s="19" t="n"/>
      <c r="G759" s="19" t="n"/>
      <c r="H759" s="19" t="n"/>
      <c r="I759" s="19" t="n"/>
      <c r="J759" s="19" t="n"/>
      <c r="K759" s="19" t="n"/>
      <c r="L759" s="19" t="n"/>
      <c r="M759" s="19" t="n"/>
      <c r="N759" s="19" t="n"/>
      <c r="O759" s="19" t="n"/>
      <c r="P759" s="19" t="n"/>
      <c r="Q759" s="19" t="n"/>
    </row>
    <row r="760" ht="15.75" customHeight="1" s="545">
      <c r="A760" s="19" t="n"/>
      <c r="B760" s="19" t="n"/>
      <c r="C760" s="19" t="n"/>
      <c r="D760" s="19" t="n"/>
      <c r="E760" s="19" t="n"/>
      <c r="F760" s="19" t="n"/>
      <c r="G760" s="19" t="n"/>
      <c r="H760" s="19" t="n"/>
      <c r="I760" s="19" t="n"/>
      <c r="J760" s="19" t="n"/>
      <c r="K760" s="19" t="n"/>
      <c r="L760" s="19" t="n"/>
      <c r="M760" s="19" t="n"/>
      <c r="N760" s="19" t="n"/>
      <c r="O760" s="19" t="n"/>
      <c r="P760" s="19" t="n"/>
      <c r="Q760" s="19" t="n"/>
    </row>
    <row r="761" ht="15.75" customHeight="1" s="545">
      <c r="A761" s="19" t="n"/>
      <c r="B761" s="19" t="n"/>
      <c r="C761" s="19" t="n"/>
      <c r="D761" s="19" t="n"/>
      <c r="E761" s="19" t="n"/>
      <c r="F761" s="19" t="n"/>
      <c r="G761" s="19" t="n"/>
      <c r="H761" s="19" t="n"/>
      <c r="I761" s="19" t="n"/>
      <c r="J761" s="19" t="n"/>
      <c r="K761" s="19" t="n"/>
      <c r="L761" s="19" t="n"/>
      <c r="M761" s="19" t="n"/>
      <c r="N761" s="19" t="n"/>
      <c r="O761" s="19" t="n"/>
      <c r="P761" s="19" t="n"/>
      <c r="Q761" s="19" t="n"/>
    </row>
    <row r="762" ht="15.75" customHeight="1" s="545">
      <c r="A762" s="19" t="n"/>
      <c r="B762" s="19" t="n"/>
      <c r="C762" s="19" t="n"/>
      <c r="D762" s="19" t="n"/>
      <c r="E762" s="19" t="n"/>
      <c r="F762" s="19" t="n"/>
      <c r="G762" s="19" t="n"/>
      <c r="H762" s="19" t="n"/>
      <c r="I762" s="19" t="n"/>
      <c r="J762" s="19" t="n"/>
      <c r="K762" s="19" t="n"/>
      <c r="L762" s="19" t="n"/>
      <c r="M762" s="19" t="n"/>
      <c r="N762" s="19" t="n"/>
      <c r="O762" s="19" t="n"/>
      <c r="P762" s="19" t="n"/>
      <c r="Q762" s="19" t="n"/>
    </row>
    <row r="763" ht="15.75" customHeight="1" s="545">
      <c r="A763" s="19" t="n"/>
      <c r="B763" s="19" t="n"/>
      <c r="C763" s="19" t="n"/>
      <c r="D763" s="19" t="n"/>
      <c r="E763" s="19" t="n"/>
      <c r="F763" s="19" t="n"/>
      <c r="G763" s="19" t="n"/>
      <c r="H763" s="19" t="n"/>
      <c r="I763" s="19" t="n"/>
      <c r="J763" s="19" t="n"/>
      <c r="K763" s="19" t="n"/>
      <c r="L763" s="19" t="n"/>
      <c r="M763" s="19" t="n"/>
      <c r="N763" s="19" t="n"/>
      <c r="O763" s="19" t="n"/>
      <c r="P763" s="19" t="n"/>
      <c r="Q763" s="19" t="n"/>
    </row>
    <row r="764" ht="15.75" customHeight="1" s="545">
      <c r="A764" s="19" t="n"/>
      <c r="B764" s="19" t="n"/>
      <c r="C764" s="19" t="n"/>
      <c r="D764" s="19" t="n"/>
      <c r="E764" s="19" t="n"/>
      <c r="F764" s="19" t="n"/>
      <c r="G764" s="19" t="n"/>
      <c r="H764" s="19" t="n"/>
      <c r="I764" s="19" t="n"/>
      <c r="J764" s="19" t="n"/>
      <c r="K764" s="19" t="n"/>
      <c r="L764" s="19" t="n"/>
      <c r="M764" s="19" t="n"/>
      <c r="N764" s="19" t="n"/>
      <c r="O764" s="19" t="n"/>
      <c r="P764" s="19" t="n"/>
      <c r="Q764" s="19" t="n"/>
    </row>
    <row r="765" ht="15.75" customHeight="1" s="545">
      <c r="A765" s="19" t="n"/>
      <c r="B765" s="19" t="n"/>
      <c r="C765" s="19" t="n"/>
      <c r="D765" s="19" t="n"/>
      <c r="E765" s="19" t="n"/>
      <c r="F765" s="19" t="n"/>
      <c r="G765" s="19" t="n"/>
      <c r="H765" s="19" t="n"/>
      <c r="I765" s="19" t="n"/>
      <c r="J765" s="19" t="n"/>
      <c r="K765" s="19" t="n"/>
      <c r="L765" s="19" t="n"/>
      <c r="M765" s="19" t="n"/>
      <c r="N765" s="19" t="n"/>
      <c r="O765" s="19" t="n"/>
      <c r="P765" s="19" t="n"/>
      <c r="Q765" s="19" t="n"/>
    </row>
    <row r="766" ht="15.75" customHeight="1" s="545">
      <c r="A766" s="19" t="n"/>
      <c r="B766" s="19" t="n"/>
      <c r="C766" s="19" t="n"/>
      <c r="D766" s="19" t="n"/>
      <c r="E766" s="19" t="n"/>
      <c r="F766" s="19" t="n"/>
      <c r="G766" s="19" t="n"/>
      <c r="H766" s="19" t="n"/>
      <c r="I766" s="19" t="n"/>
      <c r="J766" s="19" t="n"/>
      <c r="K766" s="19" t="n"/>
      <c r="L766" s="19" t="n"/>
      <c r="M766" s="19" t="n"/>
      <c r="N766" s="19" t="n"/>
      <c r="O766" s="19" t="n"/>
      <c r="P766" s="19" t="n"/>
      <c r="Q766" s="19" t="n"/>
    </row>
    <row r="767" ht="15.75" customHeight="1" s="545">
      <c r="A767" s="19" t="n"/>
      <c r="B767" s="19" t="n"/>
      <c r="C767" s="19" t="n"/>
      <c r="D767" s="19" t="n"/>
      <c r="E767" s="19" t="n"/>
      <c r="F767" s="19" t="n"/>
      <c r="G767" s="19" t="n"/>
      <c r="H767" s="19" t="n"/>
      <c r="I767" s="19" t="n"/>
      <c r="J767" s="19" t="n"/>
      <c r="K767" s="19" t="n"/>
      <c r="L767" s="19" t="n"/>
      <c r="M767" s="19" t="n"/>
      <c r="N767" s="19" t="n"/>
      <c r="O767" s="19" t="n"/>
      <c r="P767" s="19" t="n"/>
      <c r="Q767" s="19" t="n"/>
    </row>
    <row r="768" ht="15.75" customHeight="1" s="545">
      <c r="A768" s="19" t="n"/>
      <c r="B768" s="19" t="n"/>
      <c r="C768" s="19" t="n"/>
      <c r="D768" s="19" t="n"/>
      <c r="E768" s="19" t="n"/>
      <c r="F768" s="19" t="n"/>
      <c r="G768" s="19" t="n"/>
      <c r="H768" s="19" t="n"/>
      <c r="I768" s="19" t="n"/>
      <c r="J768" s="19" t="n"/>
      <c r="K768" s="19" t="n"/>
      <c r="L768" s="19" t="n"/>
      <c r="M768" s="19" t="n"/>
      <c r="N768" s="19" t="n"/>
      <c r="O768" s="19" t="n"/>
      <c r="P768" s="19" t="n"/>
      <c r="Q768" s="19" t="n"/>
    </row>
    <row r="769" ht="15.75" customHeight="1" s="545">
      <c r="A769" s="19" t="n"/>
      <c r="B769" s="19" t="n"/>
      <c r="C769" s="19" t="n"/>
      <c r="D769" s="19" t="n"/>
      <c r="E769" s="19" t="n"/>
      <c r="F769" s="19" t="n"/>
      <c r="G769" s="19" t="n"/>
      <c r="H769" s="19" t="n"/>
      <c r="I769" s="19" t="n"/>
      <c r="J769" s="19" t="n"/>
      <c r="K769" s="19" t="n"/>
      <c r="L769" s="19" t="n"/>
      <c r="M769" s="19" t="n"/>
      <c r="N769" s="19" t="n"/>
      <c r="O769" s="19" t="n"/>
      <c r="P769" s="19" t="n"/>
      <c r="Q769" s="19" t="n"/>
    </row>
    <row r="770" ht="15.75" customHeight="1" s="545">
      <c r="A770" s="19" t="n"/>
      <c r="B770" s="19" t="n"/>
      <c r="C770" s="19" t="n"/>
      <c r="D770" s="19" t="n"/>
      <c r="E770" s="19" t="n"/>
      <c r="F770" s="19" t="n"/>
      <c r="G770" s="19" t="n"/>
      <c r="H770" s="19" t="n"/>
      <c r="I770" s="19" t="n"/>
      <c r="J770" s="19" t="n"/>
      <c r="K770" s="19" t="n"/>
      <c r="L770" s="19" t="n"/>
      <c r="M770" s="19" t="n"/>
      <c r="N770" s="19" t="n"/>
      <c r="O770" s="19" t="n"/>
      <c r="P770" s="19" t="n"/>
      <c r="Q770" s="19" t="n"/>
    </row>
    <row r="771" ht="15.75" customHeight="1" s="545">
      <c r="A771" s="19" t="n"/>
      <c r="B771" s="19" t="n"/>
      <c r="C771" s="19" t="n"/>
      <c r="D771" s="19" t="n"/>
      <c r="E771" s="19" t="n"/>
      <c r="F771" s="19" t="n"/>
      <c r="G771" s="19" t="n"/>
      <c r="H771" s="19" t="n"/>
      <c r="I771" s="19" t="n"/>
      <c r="J771" s="19" t="n"/>
      <c r="K771" s="19" t="n"/>
      <c r="L771" s="19" t="n"/>
      <c r="M771" s="19" t="n"/>
      <c r="N771" s="19" t="n"/>
      <c r="O771" s="19" t="n"/>
      <c r="P771" s="19" t="n"/>
      <c r="Q771" s="19" t="n"/>
    </row>
    <row r="772" ht="15.75" customHeight="1" s="545">
      <c r="A772" s="19" t="n"/>
      <c r="B772" s="19" t="n"/>
      <c r="C772" s="19" t="n"/>
      <c r="D772" s="19" t="n"/>
      <c r="E772" s="19" t="n"/>
      <c r="F772" s="19" t="n"/>
      <c r="G772" s="19" t="n"/>
      <c r="H772" s="19" t="n"/>
      <c r="I772" s="19" t="n"/>
      <c r="J772" s="19" t="n"/>
      <c r="K772" s="19" t="n"/>
      <c r="L772" s="19" t="n"/>
      <c r="M772" s="19" t="n"/>
      <c r="N772" s="19" t="n"/>
      <c r="O772" s="19" t="n"/>
      <c r="P772" s="19" t="n"/>
      <c r="Q772" s="19" t="n"/>
    </row>
    <row r="773" ht="15.75" customHeight="1" s="545">
      <c r="A773" s="19" t="n"/>
      <c r="B773" s="19" t="n"/>
      <c r="C773" s="19" t="n"/>
      <c r="D773" s="19" t="n"/>
      <c r="E773" s="19" t="n"/>
      <c r="F773" s="19" t="n"/>
      <c r="G773" s="19" t="n"/>
      <c r="H773" s="19" t="n"/>
      <c r="I773" s="19" t="n"/>
      <c r="J773" s="19" t="n"/>
      <c r="K773" s="19" t="n"/>
      <c r="L773" s="19" t="n"/>
      <c r="M773" s="19" t="n"/>
      <c r="N773" s="19" t="n"/>
      <c r="O773" s="19" t="n"/>
      <c r="P773" s="19" t="n"/>
      <c r="Q773" s="19" t="n"/>
    </row>
    <row r="774" ht="15.75" customHeight="1" s="545">
      <c r="A774" s="19" t="n"/>
      <c r="B774" s="19" t="n"/>
      <c r="C774" s="19" t="n"/>
      <c r="D774" s="19" t="n"/>
      <c r="E774" s="19" t="n"/>
      <c r="F774" s="19" t="n"/>
      <c r="G774" s="19" t="n"/>
      <c r="H774" s="19" t="n"/>
      <c r="I774" s="19" t="n"/>
      <c r="J774" s="19" t="n"/>
      <c r="K774" s="19" t="n"/>
      <c r="L774" s="19" t="n"/>
      <c r="M774" s="19" t="n"/>
      <c r="N774" s="19" t="n"/>
      <c r="O774" s="19" t="n"/>
      <c r="P774" s="19" t="n"/>
      <c r="Q774" s="19" t="n"/>
    </row>
    <row r="775" ht="15.75" customHeight="1" s="545">
      <c r="A775" s="19" t="n"/>
      <c r="B775" s="19" t="n"/>
      <c r="C775" s="19" t="n"/>
      <c r="D775" s="19" t="n"/>
      <c r="E775" s="19" t="n"/>
      <c r="F775" s="19" t="n"/>
      <c r="G775" s="19" t="n"/>
      <c r="H775" s="19" t="n"/>
      <c r="I775" s="19" t="n"/>
      <c r="J775" s="19" t="n"/>
      <c r="K775" s="19" t="n"/>
      <c r="L775" s="19" t="n"/>
      <c r="M775" s="19" t="n"/>
      <c r="N775" s="19" t="n"/>
      <c r="O775" s="19" t="n"/>
      <c r="P775" s="19" t="n"/>
      <c r="Q775" s="19" t="n"/>
    </row>
    <row r="776" ht="15.75" customHeight="1" s="545">
      <c r="A776" s="19" t="n"/>
      <c r="B776" s="19" t="n"/>
      <c r="C776" s="19" t="n"/>
      <c r="D776" s="19" t="n"/>
      <c r="E776" s="19" t="n"/>
      <c r="F776" s="19" t="n"/>
      <c r="G776" s="19" t="n"/>
      <c r="H776" s="19" t="n"/>
      <c r="I776" s="19" t="n"/>
      <c r="J776" s="19" t="n"/>
      <c r="K776" s="19" t="n"/>
      <c r="L776" s="19" t="n"/>
      <c r="M776" s="19" t="n"/>
      <c r="N776" s="19" t="n"/>
      <c r="O776" s="19" t="n"/>
      <c r="P776" s="19" t="n"/>
      <c r="Q776" s="19" t="n"/>
    </row>
    <row r="777" ht="15.75" customHeight="1" s="545">
      <c r="A777" s="19" t="n"/>
      <c r="B777" s="19" t="n"/>
      <c r="C777" s="19" t="n"/>
      <c r="D777" s="19" t="n"/>
      <c r="E777" s="19" t="n"/>
      <c r="F777" s="19" t="n"/>
      <c r="G777" s="19" t="n"/>
      <c r="H777" s="19" t="n"/>
      <c r="I777" s="19" t="n"/>
      <c r="J777" s="19" t="n"/>
      <c r="K777" s="19" t="n"/>
      <c r="L777" s="19" t="n"/>
      <c r="M777" s="19" t="n"/>
      <c r="N777" s="19" t="n"/>
      <c r="O777" s="19" t="n"/>
      <c r="P777" s="19" t="n"/>
      <c r="Q777" s="19" t="n"/>
    </row>
    <row r="778" ht="15.75" customHeight="1" s="545">
      <c r="A778" s="19" t="n"/>
      <c r="B778" s="19" t="n"/>
      <c r="C778" s="19" t="n"/>
      <c r="D778" s="19" t="n"/>
      <c r="E778" s="19" t="n"/>
      <c r="F778" s="19" t="n"/>
      <c r="G778" s="19" t="n"/>
      <c r="H778" s="19" t="n"/>
      <c r="I778" s="19" t="n"/>
      <c r="J778" s="19" t="n"/>
      <c r="K778" s="19" t="n"/>
      <c r="L778" s="19" t="n"/>
      <c r="M778" s="19" t="n"/>
      <c r="N778" s="19" t="n"/>
      <c r="O778" s="19" t="n"/>
      <c r="P778" s="19" t="n"/>
      <c r="Q778" s="19" t="n"/>
    </row>
    <row r="779" ht="15.75" customHeight="1" s="545">
      <c r="A779" s="19" t="n"/>
      <c r="B779" s="19" t="n"/>
      <c r="C779" s="19" t="n"/>
      <c r="D779" s="19" t="n"/>
      <c r="E779" s="19" t="n"/>
      <c r="F779" s="19" t="n"/>
      <c r="G779" s="19" t="n"/>
      <c r="H779" s="19" t="n"/>
      <c r="I779" s="19" t="n"/>
      <c r="J779" s="19" t="n"/>
      <c r="K779" s="19" t="n"/>
      <c r="L779" s="19" t="n"/>
      <c r="M779" s="19" t="n"/>
      <c r="N779" s="19" t="n"/>
      <c r="O779" s="19" t="n"/>
      <c r="P779" s="19" t="n"/>
      <c r="Q779" s="19" t="n"/>
    </row>
    <row r="780" ht="15.75" customHeight="1" s="545">
      <c r="A780" s="19" t="n"/>
      <c r="B780" s="19" t="n"/>
      <c r="C780" s="19" t="n"/>
      <c r="D780" s="19" t="n"/>
      <c r="E780" s="19" t="n"/>
      <c r="F780" s="19" t="n"/>
      <c r="G780" s="19" t="n"/>
      <c r="H780" s="19" t="n"/>
      <c r="I780" s="19" t="n"/>
      <c r="J780" s="19" t="n"/>
      <c r="K780" s="19" t="n"/>
      <c r="L780" s="19" t="n"/>
      <c r="M780" s="19" t="n"/>
      <c r="N780" s="19" t="n"/>
      <c r="O780" s="19" t="n"/>
      <c r="P780" s="19" t="n"/>
      <c r="Q780" s="19" t="n"/>
    </row>
    <row r="781" ht="15.75" customHeight="1" s="545">
      <c r="A781" s="19" t="n"/>
      <c r="B781" s="19" t="n"/>
      <c r="C781" s="19" t="n"/>
      <c r="D781" s="19" t="n"/>
      <c r="E781" s="19" t="n"/>
      <c r="F781" s="19" t="n"/>
      <c r="G781" s="19" t="n"/>
      <c r="H781" s="19" t="n"/>
      <c r="I781" s="19" t="n"/>
      <c r="J781" s="19" t="n"/>
      <c r="K781" s="19" t="n"/>
      <c r="L781" s="19" t="n"/>
      <c r="M781" s="19" t="n"/>
      <c r="N781" s="19" t="n"/>
      <c r="O781" s="19" t="n"/>
      <c r="P781" s="19" t="n"/>
      <c r="Q781" s="19" t="n"/>
    </row>
    <row r="782" ht="15.75" customHeight="1" s="545">
      <c r="A782" s="19" t="n"/>
      <c r="B782" s="19" t="n"/>
      <c r="C782" s="19" t="n"/>
      <c r="D782" s="19" t="n"/>
      <c r="E782" s="19" t="n"/>
      <c r="F782" s="19" t="n"/>
      <c r="G782" s="19" t="n"/>
      <c r="H782" s="19" t="n"/>
      <c r="I782" s="19" t="n"/>
      <c r="J782" s="19" t="n"/>
      <c r="K782" s="19" t="n"/>
      <c r="L782" s="19" t="n"/>
      <c r="M782" s="19" t="n"/>
      <c r="N782" s="19" t="n"/>
      <c r="O782" s="19" t="n"/>
      <c r="P782" s="19" t="n"/>
      <c r="Q782" s="19" t="n"/>
    </row>
    <row r="783" ht="15.75" customHeight="1" s="545">
      <c r="A783" s="19" t="n"/>
      <c r="B783" s="19" t="n"/>
      <c r="C783" s="19" t="n"/>
      <c r="D783" s="19" t="n"/>
      <c r="E783" s="19" t="n"/>
      <c r="F783" s="19" t="n"/>
      <c r="G783" s="19" t="n"/>
      <c r="H783" s="19" t="n"/>
      <c r="I783" s="19" t="n"/>
      <c r="J783" s="19" t="n"/>
      <c r="K783" s="19" t="n"/>
      <c r="L783" s="19" t="n"/>
      <c r="M783" s="19" t="n"/>
      <c r="N783" s="19" t="n"/>
      <c r="O783" s="19" t="n"/>
      <c r="P783" s="19" t="n"/>
      <c r="Q783" s="19" t="n"/>
    </row>
    <row r="784" ht="15.75" customHeight="1" s="545">
      <c r="A784" s="19" t="n"/>
      <c r="B784" s="19" t="n"/>
      <c r="C784" s="19" t="n"/>
      <c r="D784" s="19" t="n"/>
      <c r="E784" s="19" t="n"/>
      <c r="F784" s="19" t="n"/>
      <c r="G784" s="19" t="n"/>
      <c r="H784" s="19" t="n"/>
      <c r="I784" s="19" t="n"/>
      <c r="J784" s="19" t="n"/>
      <c r="K784" s="19" t="n"/>
      <c r="L784" s="19" t="n"/>
      <c r="M784" s="19" t="n"/>
      <c r="N784" s="19" t="n"/>
      <c r="O784" s="19" t="n"/>
      <c r="P784" s="19" t="n"/>
      <c r="Q784" s="19" t="n"/>
    </row>
    <row r="785" ht="15.75" customHeight="1" s="545">
      <c r="A785" s="19" t="n"/>
      <c r="B785" s="19" t="n"/>
      <c r="C785" s="19" t="n"/>
      <c r="D785" s="19" t="n"/>
      <c r="E785" s="19" t="n"/>
      <c r="F785" s="19" t="n"/>
      <c r="G785" s="19" t="n"/>
      <c r="H785" s="19" t="n"/>
      <c r="I785" s="19" t="n"/>
      <c r="J785" s="19" t="n"/>
      <c r="K785" s="19" t="n"/>
      <c r="L785" s="19" t="n"/>
      <c r="M785" s="19" t="n"/>
      <c r="N785" s="19" t="n"/>
      <c r="O785" s="19" t="n"/>
      <c r="P785" s="19" t="n"/>
      <c r="Q785" s="19" t="n"/>
    </row>
    <row r="786" ht="15.75" customHeight="1" s="545">
      <c r="A786" s="19" t="n"/>
      <c r="B786" s="19" t="n"/>
      <c r="C786" s="19" t="n"/>
      <c r="D786" s="19" t="n"/>
      <c r="E786" s="19" t="n"/>
      <c r="F786" s="19" t="n"/>
      <c r="G786" s="19" t="n"/>
      <c r="H786" s="19" t="n"/>
      <c r="I786" s="19" t="n"/>
      <c r="J786" s="19" t="n"/>
      <c r="K786" s="19" t="n"/>
      <c r="L786" s="19" t="n"/>
      <c r="M786" s="19" t="n"/>
      <c r="N786" s="19" t="n"/>
      <c r="O786" s="19" t="n"/>
      <c r="P786" s="19" t="n"/>
      <c r="Q786" s="19" t="n"/>
    </row>
    <row r="787" ht="15.75" customHeight="1" s="545">
      <c r="A787" s="19" t="n"/>
      <c r="B787" s="19" t="n"/>
      <c r="C787" s="19" t="n"/>
      <c r="D787" s="19" t="n"/>
      <c r="E787" s="19" t="n"/>
      <c r="F787" s="19" t="n"/>
      <c r="G787" s="19" t="n"/>
      <c r="H787" s="19" t="n"/>
      <c r="I787" s="19" t="n"/>
      <c r="J787" s="19" t="n"/>
      <c r="K787" s="19" t="n"/>
      <c r="L787" s="19" t="n"/>
      <c r="M787" s="19" t="n"/>
      <c r="N787" s="19" t="n"/>
      <c r="O787" s="19" t="n"/>
      <c r="P787" s="19" t="n"/>
      <c r="Q787" s="19" t="n"/>
    </row>
    <row r="788" ht="15.75" customHeight="1" s="545">
      <c r="A788" s="19" t="n"/>
      <c r="B788" s="19" t="n"/>
      <c r="C788" s="19" t="n"/>
      <c r="D788" s="19" t="n"/>
      <c r="E788" s="19" t="n"/>
      <c r="F788" s="19" t="n"/>
      <c r="G788" s="19" t="n"/>
      <c r="H788" s="19" t="n"/>
      <c r="I788" s="19" t="n"/>
      <c r="J788" s="19" t="n"/>
      <c r="K788" s="19" t="n"/>
      <c r="L788" s="19" t="n"/>
      <c r="M788" s="19" t="n"/>
      <c r="N788" s="19" t="n"/>
      <c r="O788" s="19" t="n"/>
      <c r="P788" s="19" t="n"/>
      <c r="Q788" s="19" t="n"/>
    </row>
    <row r="789" ht="15.75" customHeight="1" s="545">
      <c r="A789" s="19" t="n"/>
      <c r="B789" s="19" t="n"/>
      <c r="C789" s="19" t="n"/>
      <c r="D789" s="19" t="n"/>
      <c r="E789" s="19" t="n"/>
      <c r="F789" s="19" t="n"/>
      <c r="G789" s="19" t="n"/>
      <c r="H789" s="19" t="n"/>
      <c r="I789" s="19" t="n"/>
      <c r="J789" s="19" t="n"/>
      <c r="K789" s="19" t="n"/>
      <c r="L789" s="19" t="n"/>
      <c r="M789" s="19" t="n"/>
      <c r="N789" s="19" t="n"/>
      <c r="O789" s="19" t="n"/>
      <c r="P789" s="19" t="n"/>
      <c r="Q789" s="19" t="n"/>
    </row>
    <row r="790" ht="15.75" customHeight="1" s="545">
      <c r="A790" s="19" t="n"/>
      <c r="B790" s="19" t="n"/>
      <c r="C790" s="19" t="n"/>
      <c r="D790" s="19" t="n"/>
      <c r="E790" s="19" t="n"/>
      <c r="F790" s="19" t="n"/>
      <c r="G790" s="19" t="n"/>
      <c r="H790" s="19" t="n"/>
      <c r="I790" s="19" t="n"/>
      <c r="J790" s="19" t="n"/>
      <c r="K790" s="19" t="n"/>
      <c r="L790" s="19" t="n"/>
      <c r="M790" s="19" t="n"/>
      <c r="N790" s="19" t="n"/>
      <c r="O790" s="19" t="n"/>
      <c r="P790" s="19" t="n"/>
      <c r="Q790" s="19" t="n"/>
    </row>
    <row r="791" ht="15.75" customHeight="1" s="545">
      <c r="A791" s="19" t="n"/>
      <c r="B791" s="19" t="n"/>
      <c r="C791" s="19" t="n"/>
      <c r="D791" s="19" t="n"/>
      <c r="E791" s="19" t="n"/>
      <c r="F791" s="19" t="n"/>
      <c r="G791" s="19" t="n"/>
      <c r="H791" s="19" t="n"/>
      <c r="I791" s="19" t="n"/>
      <c r="J791" s="19" t="n"/>
      <c r="K791" s="19" t="n"/>
      <c r="L791" s="19" t="n"/>
      <c r="M791" s="19" t="n"/>
      <c r="N791" s="19" t="n"/>
      <c r="O791" s="19" t="n"/>
      <c r="P791" s="19" t="n"/>
      <c r="Q791" s="19" t="n"/>
    </row>
    <row r="792" ht="15.75" customHeight="1" s="545">
      <c r="A792" s="19" t="n"/>
      <c r="B792" s="19" t="n"/>
      <c r="C792" s="19" t="n"/>
      <c r="D792" s="19" t="n"/>
      <c r="E792" s="19" t="n"/>
      <c r="F792" s="19" t="n"/>
      <c r="G792" s="19" t="n"/>
      <c r="H792" s="19" t="n"/>
      <c r="I792" s="19" t="n"/>
      <c r="J792" s="19" t="n"/>
      <c r="K792" s="19" t="n"/>
      <c r="L792" s="19" t="n"/>
      <c r="M792" s="19" t="n"/>
      <c r="N792" s="19" t="n"/>
      <c r="O792" s="19" t="n"/>
      <c r="P792" s="19" t="n"/>
      <c r="Q792" s="19" t="n"/>
    </row>
    <row r="793" ht="15.75" customHeight="1" s="545">
      <c r="A793" s="19" t="n"/>
      <c r="B793" s="19" t="n"/>
      <c r="C793" s="19" t="n"/>
      <c r="D793" s="19" t="n"/>
      <c r="E793" s="19" t="n"/>
      <c r="F793" s="19" t="n"/>
      <c r="G793" s="19" t="n"/>
      <c r="H793" s="19" t="n"/>
      <c r="I793" s="19" t="n"/>
      <c r="J793" s="19" t="n"/>
      <c r="K793" s="19" t="n"/>
      <c r="L793" s="19" t="n"/>
      <c r="M793" s="19" t="n"/>
      <c r="N793" s="19" t="n"/>
      <c r="O793" s="19" t="n"/>
      <c r="P793" s="19" t="n"/>
      <c r="Q793" s="19" t="n"/>
    </row>
    <row r="794" ht="15.75" customHeight="1" s="545">
      <c r="A794" s="19" t="n"/>
      <c r="B794" s="19" t="n"/>
      <c r="C794" s="19" t="n"/>
      <c r="D794" s="19" t="n"/>
      <c r="E794" s="19" t="n"/>
      <c r="F794" s="19" t="n"/>
      <c r="G794" s="19" t="n"/>
      <c r="H794" s="19" t="n"/>
      <c r="I794" s="19" t="n"/>
      <c r="J794" s="19" t="n"/>
      <c r="K794" s="19" t="n"/>
      <c r="L794" s="19" t="n"/>
      <c r="M794" s="19" t="n"/>
      <c r="N794" s="19" t="n"/>
      <c r="O794" s="19" t="n"/>
      <c r="P794" s="19" t="n"/>
      <c r="Q794" s="19" t="n"/>
    </row>
    <row r="795" ht="15.75" customHeight="1" s="545">
      <c r="A795" s="19" t="n"/>
      <c r="B795" s="19" t="n"/>
      <c r="C795" s="19" t="n"/>
      <c r="D795" s="19" t="n"/>
      <c r="E795" s="19" t="n"/>
      <c r="F795" s="19" t="n"/>
      <c r="G795" s="19" t="n"/>
      <c r="H795" s="19" t="n"/>
      <c r="I795" s="19" t="n"/>
      <c r="J795" s="19" t="n"/>
      <c r="K795" s="19" t="n"/>
      <c r="L795" s="19" t="n"/>
      <c r="M795" s="19" t="n"/>
      <c r="N795" s="19" t="n"/>
      <c r="O795" s="19" t="n"/>
      <c r="P795" s="19" t="n"/>
      <c r="Q795" s="19" t="n"/>
    </row>
    <row r="796" ht="15.75" customHeight="1" s="545">
      <c r="A796" s="19" t="n"/>
      <c r="B796" s="19" t="n"/>
      <c r="C796" s="19" t="n"/>
      <c r="D796" s="19" t="n"/>
      <c r="E796" s="19" t="n"/>
      <c r="F796" s="19" t="n"/>
      <c r="G796" s="19" t="n"/>
      <c r="H796" s="19" t="n"/>
      <c r="I796" s="19" t="n"/>
      <c r="J796" s="19" t="n"/>
      <c r="K796" s="19" t="n"/>
      <c r="L796" s="19" t="n"/>
      <c r="M796" s="19" t="n"/>
      <c r="N796" s="19" t="n"/>
      <c r="O796" s="19" t="n"/>
      <c r="P796" s="19" t="n"/>
      <c r="Q796" s="19" t="n"/>
    </row>
    <row r="797" ht="15.75" customHeight="1" s="545">
      <c r="A797" s="19" t="n"/>
      <c r="B797" s="19" t="n"/>
      <c r="C797" s="19" t="n"/>
      <c r="D797" s="19" t="n"/>
      <c r="E797" s="19" t="n"/>
      <c r="F797" s="19" t="n"/>
      <c r="G797" s="19" t="n"/>
      <c r="H797" s="19" t="n"/>
      <c r="I797" s="19" t="n"/>
      <c r="J797" s="19" t="n"/>
      <c r="K797" s="19" t="n"/>
      <c r="L797" s="19" t="n"/>
      <c r="M797" s="19" t="n"/>
      <c r="N797" s="19" t="n"/>
      <c r="O797" s="19" t="n"/>
      <c r="P797" s="19" t="n"/>
      <c r="Q797" s="19" t="n"/>
    </row>
    <row r="798" ht="15.75" customHeight="1" s="545">
      <c r="A798" s="19" t="n"/>
      <c r="B798" s="19" t="n"/>
      <c r="C798" s="19" t="n"/>
      <c r="D798" s="19" t="n"/>
      <c r="E798" s="19" t="n"/>
      <c r="F798" s="19" t="n"/>
      <c r="G798" s="19" t="n"/>
      <c r="H798" s="19" t="n"/>
      <c r="I798" s="19" t="n"/>
      <c r="J798" s="19" t="n"/>
      <c r="K798" s="19" t="n"/>
      <c r="L798" s="19" t="n"/>
      <c r="M798" s="19" t="n"/>
      <c r="N798" s="19" t="n"/>
      <c r="O798" s="19" t="n"/>
      <c r="P798" s="19" t="n"/>
      <c r="Q798" s="19" t="n"/>
    </row>
    <row r="799" ht="15.75" customHeight="1" s="545">
      <c r="A799" s="19" t="n"/>
      <c r="B799" s="19" t="n"/>
      <c r="C799" s="19" t="n"/>
      <c r="D799" s="19" t="n"/>
      <c r="E799" s="19" t="n"/>
      <c r="F799" s="19" t="n"/>
      <c r="G799" s="19" t="n"/>
      <c r="H799" s="19" t="n"/>
      <c r="I799" s="19" t="n"/>
      <c r="J799" s="19" t="n"/>
      <c r="K799" s="19" t="n"/>
      <c r="L799" s="19" t="n"/>
      <c r="M799" s="19" t="n"/>
      <c r="N799" s="19" t="n"/>
      <c r="O799" s="19" t="n"/>
      <c r="P799" s="19" t="n"/>
      <c r="Q799" s="19" t="n"/>
    </row>
    <row r="800" ht="15.75" customHeight="1" s="545">
      <c r="A800" s="19" t="n"/>
      <c r="B800" s="19" t="n"/>
      <c r="C800" s="19" t="n"/>
      <c r="D800" s="19" t="n"/>
      <c r="E800" s="19" t="n"/>
      <c r="F800" s="19" t="n"/>
      <c r="G800" s="19" t="n"/>
      <c r="H800" s="19" t="n"/>
      <c r="I800" s="19" t="n"/>
      <c r="J800" s="19" t="n"/>
      <c r="K800" s="19" t="n"/>
      <c r="L800" s="19" t="n"/>
      <c r="M800" s="19" t="n"/>
      <c r="N800" s="19" t="n"/>
      <c r="O800" s="19" t="n"/>
      <c r="P800" s="19" t="n"/>
      <c r="Q800" s="19" t="n"/>
    </row>
    <row r="801" ht="15.75" customHeight="1" s="545">
      <c r="A801" s="19" t="n"/>
      <c r="B801" s="19" t="n"/>
      <c r="C801" s="19" t="n"/>
      <c r="D801" s="19" t="n"/>
      <c r="E801" s="19" t="n"/>
      <c r="F801" s="19" t="n"/>
      <c r="G801" s="19" t="n"/>
      <c r="H801" s="19" t="n"/>
      <c r="I801" s="19" t="n"/>
      <c r="J801" s="19" t="n"/>
      <c r="K801" s="19" t="n"/>
      <c r="L801" s="19" t="n"/>
      <c r="M801" s="19" t="n"/>
      <c r="N801" s="19" t="n"/>
      <c r="O801" s="19" t="n"/>
      <c r="P801" s="19" t="n"/>
      <c r="Q801" s="19" t="n"/>
    </row>
    <row r="802" ht="15.75" customHeight="1" s="545">
      <c r="A802" s="19" t="n"/>
      <c r="B802" s="19" t="n"/>
      <c r="C802" s="19" t="n"/>
      <c r="D802" s="19" t="n"/>
      <c r="E802" s="19" t="n"/>
      <c r="F802" s="19" t="n"/>
      <c r="G802" s="19" t="n"/>
      <c r="H802" s="19" t="n"/>
      <c r="I802" s="19" t="n"/>
      <c r="J802" s="19" t="n"/>
      <c r="K802" s="19" t="n"/>
      <c r="L802" s="19" t="n"/>
      <c r="M802" s="19" t="n"/>
      <c r="N802" s="19" t="n"/>
      <c r="O802" s="19" t="n"/>
      <c r="P802" s="19" t="n"/>
      <c r="Q802" s="19" t="n"/>
    </row>
    <row r="803" ht="15.75" customHeight="1" s="545">
      <c r="A803" s="19" t="n"/>
      <c r="B803" s="19" t="n"/>
      <c r="C803" s="19" t="n"/>
      <c r="D803" s="19" t="n"/>
      <c r="E803" s="19" t="n"/>
      <c r="F803" s="19" t="n"/>
      <c r="G803" s="19" t="n"/>
      <c r="H803" s="19" t="n"/>
      <c r="I803" s="19" t="n"/>
      <c r="J803" s="19" t="n"/>
      <c r="K803" s="19" t="n"/>
      <c r="L803" s="19" t="n"/>
      <c r="M803" s="19" t="n"/>
      <c r="N803" s="19" t="n"/>
      <c r="O803" s="19" t="n"/>
      <c r="P803" s="19" t="n"/>
      <c r="Q803" s="19" t="n"/>
    </row>
    <row r="804" ht="15.75" customHeight="1" s="545">
      <c r="A804" s="19" t="n"/>
      <c r="B804" s="19" t="n"/>
      <c r="C804" s="19" t="n"/>
      <c r="D804" s="19" t="n"/>
      <c r="E804" s="19" t="n"/>
      <c r="F804" s="19" t="n"/>
      <c r="G804" s="19" t="n"/>
      <c r="H804" s="19" t="n"/>
      <c r="I804" s="19" t="n"/>
      <c r="J804" s="19" t="n"/>
      <c r="K804" s="19" t="n"/>
      <c r="L804" s="19" t="n"/>
      <c r="M804" s="19" t="n"/>
      <c r="N804" s="19" t="n"/>
      <c r="O804" s="19" t="n"/>
      <c r="P804" s="19" t="n"/>
      <c r="Q804" s="19" t="n"/>
    </row>
    <row r="805" ht="15.75" customHeight="1" s="545">
      <c r="A805" s="19" t="n"/>
      <c r="B805" s="19" t="n"/>
      <c r="C805" s="19" t="n"/>
      <c r="D805" s="19" t="n"/>
      <c r="E805" s="19" t="n"/>
      <c r="F805" s="19" t="n"/>
      <c r="G805" s="19" t="n"/>
      <c r="H805" s="19" t="n"/>
      <c r="I805" s="19" t="n"/>
      <c r="J805" s="19" t="n"/>
      <c r="K805" s="19" t="n"/>
      <c r="L805" s="19" t="n"/>
      <c r="M805" s="19" t="n"/>
      <c r="N805" s="19" t="n"/>
      <c r="O805" s="19" t="n"/>
      <c r="P805" s="19" t="n"/>
      <c r="Q805" s="19" t="n"/>
    </row>
    <row r="806" ht="15.75" customHeight="1" s="545">
      <c r="A806" s="19" t="n"/>
      <c r="B806" s="19" t="n"/>
      <c r="C806" s="19" t="n"/>
      <c r="D806" s="19" t="n"/>
      <c r="E806" s="19" t="n"/>
      <c r="F806" s="19" t="n"/>
      <c r="G806" s="19" t="n"/>
      <c r="H806" s="19" t="n"/>
      <c r="I806" s="19" t="n"/>
      <c r="J806" s="19" t="n"/>
      <c r="K806" s="19" t="n"/>
      <c r="L806" s="19" t="n"/>
      <c r="M806" s="19" t="n"/>
      <c r="N806" s="19" t="n"/>
      <c r="O806" s="19" t="n"/>
      <c r="P806" s="19" t="n"/>
      <c r="Q806" s="19" t="n"/>
    </row>
    <row r="807" ht="15.75" customHeight="1" s="545">
      <c r="A807" s="19" t="n"/>
      <c r="B807" s="19" t="n"/>
      <c r="C807" s="19" t="n"/>
      <c r="D807" s="19" t="n"/>
      <c r="E807" s="19" t="n"/>
      <c r="F807" s="19" t="n"/>
      <c r="G807" s="19" t="n"/>
      <c r="H807" s="19" t="n"/>
      <c r="I807" s="19" t="n"/>
      <c r="J807" s="19" t="n"/>
      <c r="K807" s="19" t="n"/>
      <c r="L807" s="19" t="n"/>
      <c r="M807" s="19" t="n"/>
      <c r="N807" s="19" t="n"/>
      <c r="O807" s="19" t="n"/>
      <c r="P807" s="19" t="n"/>
      <c r="Q807" s="19" t="n"/>
    </row>
    <row r="808" ht="15.75" customHeight="1" s="545">
      <c r="A808" s="19" t="n"/>
      <c r="B808" s="19" t="n"/>
      <c r="C808" s="19" t="n"/>
      <c r="D808" s="19" t="n"/>
      <c r="E808" s="19" t="n"/>
      <c r="F808" s="19" t="n"/>
      <c r="G808" s="19" t="n"/>
      <c r="H808" s="19" t="n"/>
      <c r="I808" s="19" t="n"/>
      <c r="J808" s="19" t="n"/>
      <c r="K808" s="19" t="n"/>
      <c r="L808" s="19" t="n"/>
      <c r="M808" s="19" t="n"/>
      <c r="N808" s="19" t="n"/>
      <c r="O808" s="19" t="n"/>
      <c r="P808" s="19" t="n"/>
      <c r="Q808" s="19" t="n"/>
    </row>
    <row r="809" ht="15.75" customHeight="1" s="545">
      <c r="A809" s="19" t="n"/>
      <c r="B809" s="19" t="n"/>
      <c r="C809" s="19" t="n"/>
      <c r="D809" s="19" t="n"/>
      <c r="E809" s="19" t="n"/>
      <c r="F809" s="19" t="n"/>
      <c r="G809" s="19" t="n"/>
      <c r="H809" s="19" t="n"/>
      <c r="I809" s="19" t="n"/>
      <c r="J809" s="19" t="n"/>
      <c r="K809" s="19" t="n"/>
      <c r="L809" s="19" t="n"/>
      <c r="M809" s="19" t="n"/>
      <c r="N809" s="19" t="n"/>
      <c r="O809" s="19" t="n"/>
      <c r="P809" s="19" t="n"/>
      <c r="Q809" s="19" t="n"/>
    </row>
    <row r="810" ht="15.75" customHeight="1" s="545">
      <c r="A810" s="19" t="n"/>
      <c r="B810" s="19" t="n"/>
      <c r="C810" s="19" t="n"/>
      <c r="D810" s="19" t="n"/>
      <c r="E810" s="19" t="n"/>
      <c r="F810" s="19" t="n"/>
      <c r="G810" s="19" t="n"/>
      <c r="H810" s="19" t="n"/>
      <c r="I810" s="19" t="n"/>
      <c r="J810" s="19" t="n"/>
      <c r="K810" s="19" t="n"/>
      <c r="L810" s="19" t="n"/>
      <c r="M810" s="19" t="n"/>
      <c r="N810" s="19" t="n"/>
      <c r="O810" s="19" t="n"/>
      <c r="P810" s="19" t="n"/>
      <c r="Q810" s="19" t="n"/>
    </row>
    <row r="811" ht="15.75" customHeight="1" s="545">
      <c r="A811" s="19" t="n"/>
      <c r="B811" s="19" t="n"/>
      <c r="C811" s="19" t="n"/>
      <c r="D811" s="19" t="n"/>
      <c r="E811" s="19" t="n"/>
      <c r="F811" s="19" t="n"/>
      <c r="G811" s="19" t="n"/>
      <c r="H811" s="19" t="n"/>
      <c r="I811" s="19" t="n"/>
      <c r="J811" s="19" t="n"/>
      <c r="K811" s="19" t="n"/>
      <c r="L811" s="19" t="n"/>
      <c r="M811" s="19" t="n"/>
      <c r="N811" s="19" t="n"/>
      <c r="O811" s="19" t="n"/>
      <c r="P811" s="19" t="n"/>
      <c r="Q811" s="19" t="n"/>
    </row>
    <row r="812" ht="15.75" customHeight="1" s="545">
      <c r="A812" s="19" t="n"/>
      <c r="B812" s="19" t="n"/>
      <c r="C812" s="19" t="n"/>
      <c r="D812" s="19" t="n"/>
      <c r="E812" s="19" t="n"/>
      <c r="F812" s="19" t="n"/>
      <c r="G812" s="19" t="n"/>
      <c r="H812" s="19" t="n"/>
      <c r="I812" s="19" t="n"/>
      <c r="J812" s="19" t="n"/>
      <c r="K812" s="19" t="n"/>
      <c r="L812" s="19" t="n"/>
      <c r="M812" s="19" t="n"/>
      <c r="N812" s="19" t="n"/>
      <c r="O812" s="19" t="n"/>
      <c r="P812" s="19" t="n"/>
      <c r="Q812" s="19" t="n"/>
    </row>
    <row r="813" ht="15.75" customHeight="1" s="545">
      <c r="A813" s="19" t="n"/>
      <c r="B813" s="19" t="n"/>
      <c r="C813" s="19" t="n"/>
      <c r="D813" s="19" t="n"/>
      <c r="E813" s="19" t="n"/>
      <c r="F813" s="19" t="n"/>
      <c r="G813" s="19" t="n"/>
      <c r="H813" s="19" t="n"/>
      <c r="I813" s="19" t="n"/>
      <c r="J813" s="19" t="n"/>
      <c r="K813" s="19" t="n"/>
      <c r="L813" s="19" t="n"/>
      <c r="M813" s="19" t="n"/>
      <c r="N813" s="19" t="n"/>
      <c r="O813" s="19" t="n"/>
      <c r="P813" s="19" t="n"/>
      <c r="Q813" s="19" t="n"/>
    </row>
    <row r="814" ht="15.75" customHeight="1" s="545">
      <c r="A814" s="19" t="n"/>
      <c r="B814" s="19" t="n"/>
      <c r="C814" s="19" t="n"/>
      <c r="D814" s="19" t="n"/>
      <c r="E814" s="19" t="n"/>
      <c r="F814" s="19" t="n"/>
      <c r="G814" s="19" t="n"/>
      <c r="H814" s="19" t="n"/>
      <c r="I814" s="19" t="n"/>
      <c r="J814" s="19" t="n"/>
      <c r="K814" s="19" t="n"/>
      <c r="L814" s="19" t="n"/>
      <c r="M814" s="19" t="n"/>
      <c r="N814" s="19" t="n"/>
      <c r="O814" s="19" t="n"/>
      <c r="P814" s="19" t="n"/>
      <c r="Q814" s="19" t="n"/>
    </row>
    <row r="815" ht="15.75" customHeight="1" s="545">
      <c r="A815" s="19" t="n"/>
      <c r="B815" s="19" t="n"/>
      <c r="C815" s="19" t="n"/>
      <c r="D815" s="19" t="n"/>
      <c r="E815" s="19" t="n"/>
      <c r="F815" s="19" t="n"/>
      <c r="G815" s="19" t="n"/>
      <c r="H815" s="19" t="n"/>
      <c r="I815" s="19" t="n"/>
      <c r="J815" s="19" t="n"/>
      <c r="K815" s="19" t="n"/>
      <c r="L815" s="19" t="n"/>
      <c r="M815" s="19" t="n"/>
      <c r="N815" s="19" t="n"/>
      <c r="O815" s="19" t="n"/>
      <c r="P815" s="19" t="n"/>
      <c r="Q815" s="19" t="n"/>
    </row>
    <row r="816" ht="15.75" customHeight="1" s="545">
      <c r="A816" s="19" t="n"/>
      <c r="B816" s="19" t="n"/>
      <c r="C816" s="19" t="n"/>
      <c r="D816" s="19" t="n"/>
      <c r="E816" s="19" t="n"/>
      <c r="F816" s="19" t="n"/>
      <c r="G816" s="19" t="n"/>
      <c r="H816" s="19" t="n"/>
      <c r="I816" s="19" t="n"/>
      <c r="J816" s="19" t="n"/>
      <c r="K816" s="19" t="n"/>
      <c r="L816" s="19" t="n"/>
      <c r="M816" s="19" t="n"/>
      <c r="N816" s="19" t="n"/>
      <c r="O816" s="19" t="n"/>
      <c r="P816" s="19" t="n"/>
      <c r="Q816" s="19" t="n"/>
    </row>
    <row r="817" ht="15.75" customHeight="1" s="545">
      <c r="A817" s="19" t="n"/>
      <c r="B817" s="19" t="n"/>
      <c r="C817" s="19" t="n"/>
      <c r="D817" s="19" t="n"/>
      <c r="E817" s="19" t="n"/>
      <c r="F817" s="19" t="n"/>
      <c r="G817" s="19" t="n"/>
      <c r="H817" s="19" t="n"/>
      <c r="I817" s="19" t="n"/>
      <c r="J817" s="19" t="n"/>
      <c r="K817" s="19" t="n"/>
      <c r="L817" s="19" t="n"/>
      <c r="M817" s="19" t="n"/>
      <c r="N817" s="19" t="n"/>
      <c r="O817" s="19" t="n"/>
      <c r="P817" s="19" t="n"/>
      <c r="Q817" s="19" t="n"/>
    </row>
    <row r="818" ht="15.75" customHeight="1" s="545">
      <c r="A818" s="19" t="n"/>
      <c r="B818" s="19" t="n"/>
      <c r="C818" s="19" t="n"/>
      <c r="D818" s="19" t="n"/>
      <c r="E818" s="19" t="n"/>
      <c r="F818" s="19" t="n"/>
      <c r="G818" s="19" t="n"/>
      <c r="H818" s="19" t="n"/>
      <c r="I818" s="19" t="n"/>
      <c r="J818" s="19" t="n"/>
      <c r="K818" s="19" t="n"/>
      <c r="L818" s="19" t="n"/>
      <c r="M818" s="19" t="n"/>
      <c r="N818" s="19" t="n"/>
      <c r="O818" s="19" t="n"/>
      <c r="P818" s="19" t="n"/>
      <c r="Q818" s="19" t="n"/>
    </row>
    <row r="819" ht="15.75" customHeight="1" s="545">
      <c r="A819" s="19" t="n"/>
      <c r="B819" s="19" t="n"/>
      <c r="C819" s="19" t="n"/>
      <c r="D819" s="19" t="n"/>
      <c r="E819" s="19" t="n"/>
      <c r="F819" s="19" t="n"/>
      <c r="G819" s="19" t="n"/>
      <c r="H819" s="19" t="n"/>
      <c r="I819" s="19" t="n"/>
      <c r="J819" s="19" t="n"/>
      <c r="K819" s="19" t="n"/>
      <c r="L819" s="19" t="n"/>
      <c r="M819" s="19" t="n"/>
      <c r="N819" s="19" t="n"/>
      <c r="O819" s="19" t="n"/>
      <c r="P819" s="19" t="n"/>
      <c r="Q819" s="19" t="n"/>
    </row>
    <row r="820" ht="15.75" customHeight="1" s="545">
      <c r="A820" s="19" t="n"/>
      <c r="B820" s="19" t="n"/>
      <c r="C820" s="19" t="n"/>
      <c r="D820" s="19" t="n"/>
      <c r="E820" s="19" t="n"/>
      <c r="F820" s="19" t="n"/>
      <c r="G820" s="19" t="n"/>
      <c r="H820" s="19" t="n"/>
      <c r="I820" s="19" t="n"/>
      <c r="J820" s="19" t="n"/>
      <c r="K820" s="19" t="n"/>
      <c r="L820" s="19" t="n"/>
      <c r="M820" s="19" t="n"/>
      <c r="N820" s="19" t="n"/>
      <c r="O820" s="19" t="n"/>
      <c r="P820" s="19" t="n"/>
      <c r="Q820" s="19" t="n"/>
    </row>
    <row r="821" ht="15.75" customHeight="1" s="545">
      <c r="A821" s="19" t="n"/>
      <c r="B821" s="19" t="n"/>
      <c r="C821" s="19" t="n"/>
      <c r="D821" s="19" t="n"/>
      <c r="E821" s="19" t="n"/>
      <c r="F821" s="19" t="n"/>
      <c r="G821" s="19" t="n"/>
      <c r="H821" s="19" t="n"/>
      <c r="I821" s="19" t="n"/>
      <c r="J821" s="19" t="n"/>
      <c r="K821" s="19" t="n"/>
      <c r="L821" s="19" t="n"/>
      <c r="M821" s="19" t="n"/>
      <c r="N821" s="19" t="n"/>
      <c r="O821" s="19" t="n"/>
      <c r="P821" s="19" t="n"/>
      <c r="Q821" s="19" t="n"/>
    </row>
    <row r="822" ht="15.75" customHeight="1" s="545">
      <c r="A822" s="19" t="n"/>
      <c r="B822" s="19" t="n"/>
      <c r="C822" s="19" t="n"/>
      <c r="D822" s="19" t="n"/>
      <c r="E822" s="19" t="n"/>
      <c r="F822" s="19" t="n"/>
      <c r="G822" s="19" t="n"/>
      <c r="H822" s="19" t="n"/>
      <c r="I822" s="19" t="n"/>
      <c r="J822" s="19" t="n"/>
      <c r="K822" s="19" t="n"/>
      <c r="L822" s="19" t="n"/>
      <c r="M822" s="19" t="n"/>
      <c r="N822" s="19" t="n"/>
      <c r="O822" s="19" t="n"/>
      <c r="P822" s="19" t="n"/>
      <c r="Q822" s="19" t="n"/>
    </row>
    <row r="823" ht="15.75" customHeight="1" s="545">
      <c r="A823" s="19" t="n"/>
      <c r="B823" s="19" t="n"/>
      <c r="C823" s="19" t="n"/>
      <c r="D823" s="19" t="n"/>
      <c r="E823" s="19" t="n"/>
      <c r="F823" s="19" t="n"/>
      <c r="G823" s="19" t="n"/>
      <c r="H823" s="19" t="n"/>
      <c r="I823" s="19" t="n"/>
      <c r="J823" s="19" t="n"/>
      <c r="K823" s="19" t="n"/>
      <c r="L823" s="19" t="n"/>
      <c r="M823" s="19" t="n"/>
      <c r="N823" s="19" t="n"/>
      <c r="O823" s="19" t="n"/>
      <c r="P823" s="19" t="n"/>
      <c r="Q823" s="19" t="n"/>
    </row>
    <row r="824" ht="15.75" customHeight="1" s="545">
      <c r="A824" s="19" t="n"/>
      <c r="B824" s="19" t="n"/>
      <c r="C824" s="19" t="n"/>
      <c r="D824" s="19" t="n"/>
      <c r="E824" s="19" t="n"/>
      <c r="F824" s="19" t="n"/>
      <c r="G824" s="19" t="n"/>
      <c r="H824" s="19" t="n"/>
      <c r="I824" s="19" t="n"/>
      <c r="J824" s="19" t="n"/>
      <c r="K824" s="19" t="n"/>
      <c r="L824" s="19" t="n"/>
      <c r="M824" s="19" t="n"/>
      <c r="N824" s="19" t="n"/>
      <c r="O824" s="19" t="n"/>
      <c r="P824" s="19" t="n"/>
      <c r="Q824" s="19" t="n"/>
    </row>
    <row r="825" ht="15.75" customHeight="1" s="545">
      <c r="A825" s="19" t="n"/>
      <c r="B825" s="19" t="n"/>
      <c r="C825" s="19" t="n"/>
      <c r="D825" s="19" t="n"/>
      <c r="E825" s="19" t="n"/>
      <c r="F825" s="19" t="n"/>
      <c r="G825" s="19" t="n"/>
      <c r="H825" s="19" t="n"/>
      <c r="I825" s="19" t="n"/>
      <c r="J825" s="19" t="n"/>
      <c r="K825" s="19" t="n"/>
      <c r="L825" s="19" t="n"/>
      <c r="M825" s="19" t="n"/>
      <c r="N825" s="19" t="n"/>
      <c r="O825" s="19" t="n"/>
      <c r="P825" s="19" t="n"/>
      <c r="Q825" s="19" t="n"/>
    </row>
    <row r="826" ht="15.75" customHeight="1" s="545">
      <c r="A826" s="19" t="n"/>
      <c r="B826" s="19" t="n"/>
      <c r="C826" s="19" t="n"/>
      <c r="D826" s="19" t="n"/>
      <c r="E826" s="19" t="n"/>
      <c r="F826" s="19" t="n"/>
      <c r="G826" s="19" t="n"/>
      <c r="H826" s="19" t="n"/>
      <c r="I826" s="19" t="n"/>
      <c r="J826" s="19" t="n"/>
      <c r="K826" s="19" t="n"/>
      <c r="L826" s="19" t="n"/>
      <c r="M826" s="19" t="n"/>
      <c r="N826" s="19" t="n"/>
      <c r="O826" s="19" t="n"/>
      <c r="P826" s="19" t="n"/>
      <c r="Q826" s="19" t="n"/>
    </row>
    <row r="827" ht="15.75" customHeight="1" s="545">
      <c r="A827" s="19" t="n"/>
      <c r="B827" s="19" t="n"/>
      <c r="C827" s="19" t="n"/>
      <c r="D827" s="19" t="n"/>
      <c r="E827" s="19" t="n"/>
      <c r="F827" s="19" t="n"/>
      <c r="G827" s="19" t="n"/>
      <c r="H827" s="19" t="n"/>
      <c r="I827" s="19" t="n"/>
      <c r="J827" s="19" t="n"/>
      <c r="K827" s="19" t="n"/>
      <c r="L827" s="19" t="n"/>
      <c r="M827" s="19" t="n"/>
      <c r="N827" s="19" t="n"/>
      <c r="O827" s="19" t="n"/>
      <c r="P827" s="19" t="n"/>
      <c r="Q827" s="19" t="n"/>
    </row>
    <row r="828" ht="15.75" customHeight="1" s="545">
      <c r="A828" s="19" t="n"/>
      <c r="B828" s="19" t="n"/>
      <c r="C828" s="19" t="n"/>
      <c r="D828" s="19" t="n"/>
      <c r="E828" s="19" t="n"/>
      <c r="F828" s="19" t="n"/>
      <c r="G828" s="19" t="n"/>
      <c r="H828" s="19" t="n"/>
      <c r="I828" s="19" t="n"/>
      <c r="J828" s="19" t="n"/>
      <c r="K828" s="19" t="n"/>
      <c r="L828" s="19" t="n"/>
      <c r="M828" s="19" t="n"/>
      <c r="N828" s="19" t="n"/>
      <c r="O828" s="19" t="n"/>
      <c r="P828" s="19" t="n"/>
      <c r="Q828" s="19" t="n"/>
    </row>
    <row r="829" ht="15.75" customHeight="1" s="545">
      <c r="A829" s="19" t="n"/>
      <c r="B829" s="19" t="n"/>
      <c r="C829" s="19" t="n"/>
      <c r="D829" s="19" t="n"/>
      <c r="E829" s="19" t="n"/>
      <c r="F829" s="19" t="n"/>
      <c r="G829" s="19" t="n"/>
      <c r="H829" s="19" t="n"/>
      <c r="I829" s="19" t="n"/>
      <c r="J829" s="19" t="n"/>
      <c r="K829" s="19" t="n"/>
      <c r="L829" s="19" t="n"/>
      <c r="M829" s="19" t="n"/>
      <c r="N829" s="19" t="n"/>
      <c r="O829" s="19" t="n"/>
      <c r="P829" s="19" t="n"/>
      <c r="Q829" s="19" t="n"/>
    </row>
    <row r="830" ht="15.75" customHeight="1" s="545">
      <c r="A830" s="19" t="n"/>
      <c r="B830" s="19" t="n"/>
      <c r="C830" s="19" t="n"/>
      <c r="D830" s="19" t="n"/>
      <c r="E830" s="19" t="n"/>
      <c r="F830" s="19" t="n"/>
      <c r="G830" s="19" t="n"/>
      <c r="H830" s="19" t="n"/>
      <c r="I830" s="19" t="n"/>
      <c r="J830" s="19" t="n"/>
      <c r="K830" s="19" t="n"/>
      <c r="L830" s="19" t="n"/>
      <c r="M830" s="19" t="n"/>
      <c r="N830" s="19" t="n"/>
      <c r="O830" s="19" t="n"/>
      <c r="P830" s="19" t="n"/>
      <c r="Q830" s="19" t="n"/>
    </row>
    <row r="831" ht="15.75" customHeight="1" s="545">
      <c r="A831" s="19" t="n"/>
      <c r="B831" s="19" t="n"/>
      <c r="C831" s="19" t="n"/>
      <c r="D831" s="19" t="n"/>
      <c r="E831" s="19" t="n"/>
      <c r="F831" s="19" t="n"/>
      <c r="G831" s="19" t="n"/>
      <c r="H831" s="19" t="n"/>
      <c r="I831" s="19" t="n"/>
      <c r="J831" s="19" t="n"/>
      <c r="K831" s="19" t="n"/>
      <c r="L831" s="19" t="n"/>
      <c r="M831" s="19" t="n"/>
      <c r="N831" s="19" t="n"/>
      <c r="O831" s="19" t="n"/>
      <c r="P831" s="19" t="n"/>
      <c r="Q831" s="19" t="n"/>
    </row>
    <row r="832" ht="15.75" customHeight="1" s="545">
      <c r="A832" s="19" t="n"/>
      <c r="B832" s="19" t="n"/>
      <c r="C832" s="19" t="n"/>
      <c r="D832" s="19" t="n"/>
      <c r="E832" s="19" t="n"/>
      <c r="F832" s="19" t="n"/>
      <c r="G832" s="19" t="n"/>
      <c r="H832" s="19" t="n"/>
      <c r="I832" s="19" t="n"/>
      <c r="J832" s="19" t="n"/>
      <c r="K832" s="19" t="n"/>
      <c r="L832" s="19" t="n"/>
      <c r="M832" s="19" t="n"/>
      <c r="N832" s="19" t="n"/>
      <c r="O832" s="19" t="n"/>
      <c r="P832" s="19" t="n"/>
      <c r="Q832" s="19" t="n"/>
    </row>
    <row r="833" ht="15.75" customHeight="1" s="545">
      <c r="A833" s="19" t="n"/>
      <c r="B833" s="19" t="n"/>
      <c r="C833" s="19" t="n"/>
      <c r="D833" s="19" t="n"/>
      <c r="E833" s="19" t="n"/>
      <c r="F833" s="19" t="n"/>
      <c r="G833" s="19" t="n"/>
      <c r="H833" s="19" t="n"/>
      <c r="I833" s="19" t="n"/>
      <c r="J833" s="19" t="n"/>
      <c r="K833" s="19" t="n"/>
      <c r="L833" s="19" t="n"/>
      <c r="M833" s="19" t="n"/>
      <c r="N833" s="19" t="n"/>
      <c r="O833" s="19" t="n"/>
      <c r="P833" s="19" t="n"/>
      <c r="Q833" s="19" t="n"/>
    </row>
    <row r="834" ht="15.75" customHeight="1" s="545">
      <c r="A834" s="19" t="n"/>
      <c r="B834" s="19" t="n"/>
      <c r="C834" s="19" t="n"/>
      <c r="D834" s="19" t="n"/>
      <c r="E834" s="19" t="n"/>
      <c r="F834" s="19" t="n"/>
      <c r="G834" s="19" t="n"/>
      <c r="H834" s="19" t="n"/>
      <c r="I834" s="19" t="n"/>
      <c r="J834" s="19" t="n"/>
      <c r="K834" s="19" t="n"/>
      <c r="L834" s="19" t="n"/>
      <c r="M834" s="19" t="n"/>
      <c r="N834" s="19" t="n"/>
      <c r="O834" s="19" t="n"/>
      <c r="P834" s="19" t="n"/>
      <c r="Q834" s="19" t="n"/>
    </row>
    <row r="835" ht="15.75" customHeight="1" s="545">
      <c r="A835" s="19" t="n"/>
      <c r="B835" s="19" t="n"/>
      <c r="C835" s="19" t="n"/>
      <c r="D835" s="19" t="n"/>
      <c r="E835" s="19" t="n"/>
      <c r="F835" s="19" t="n"/>
      <c r="G835" s="19" t="n"/>
      <c r="H835" s="19" t="n"/>
      <c r="I835" s="19" t="n"/>
      <c r="J835" s="19" t="n"/>
      <c r="K835" s="19" t="n"/>
      <c r="L835" s="19" t="n"/>
      <c r="M835" s="19" t="n"/>
      <c r="N835" s="19" t="n"/>
      <c r="O835" s="19" t="n"/>
      <c r="P835" s="19" t="n"/>
      <c r="Q835" s="19" t="n"/>
    </row>
    <row r="836" ht="15.75" customHeight="1" s="545">
      <c r="A836" s="19" t="n"/>
      <c r="B836" s="19" t="n"/>
      <c r="C836" s="19" t="n"/>
      <c r="D836" s="19" t="n"/>
      <c r="E836" s="19" t="n"/>
      <c r="F836" s="19" t="n"/>
      <c r="G836" s="19" t="n"/>
      <c r="H836" s="19" t="n"/>
      <c r="I836" s="19" t="n"/>
      <c r="J836" s="19" t="n"/>
      <c r="K836" s="19" t="n"/>
      <c r="L836" s="19" t="n"/>
      <c r="M836" s="19" t="n"/>
      <c r="N836" s="19" t="n"/>
      <c r="O836" s="19" t="n"/>
      <c r="P836" s="19" t="n"/>
      <c r="Q836" s="19" t="n"/>
    </row>
    <row r="837" ht="15.75" customHeight="1" s="545">
      <c r="A837" s="19" t="n"/>
      <c r="B837" s="19" t="n"/>
      <c r="C837" s="19" t="n"/>
      <c r="D837" s="19" t="n"/>
      <c r="E837" s="19" t="n"/>
      <c r="F837" s="19" t="n"/>
      <c r="G837" s="19" t="n"/>
      <c r="H837" s="19" t="n"/>
      <c r="I837" s="19" t="n"/>
      <c r="J837" s="19" t="n"/>
      <c r="K837" s="19" t="n"/>
      <c r="L837" s="19" t="n"/>
      <c r="M837" s="19" t="n"/>
      <c r="N837" s="19" t="n"/>
      <c r="O837" s="19" t="n"/>
      <c r="P837" s="19" t="n"/>
      <c r="Q837" s="19" t="n"/>
    </row>
    <row r="838" ht="15.75" customHeight="1" s="545">
      <c r="A838" s="19" t="n"/>
      <c r="B838" s="19" t="n"/>
      <c r="C838" s="19" t="n"/>
      <c r="D838" s="19" t="n"/>
      <c r="E838" s="19" t="n"/>
      <c r="F838" s="19" t="n"/>
      <c r="G838" s="19" t="n"/>
      <c r="H838" s="19" t="n"/>
      <c r="I838" s="19" t="n"/>
      <c r="J838" s="19" t="n"/>
      <c r="K838" s="19" t="n"/>
      <c r="L838" s="19" t="n"/>
      <c r="M838" s="19" t="n"/>
      <c r="N838" s="19" t="n"/>
      <c r="O838" s="19" t="n"/>
      <c r="P838" s="19" t="n"/>
      <c r="Q838" s="19" t="n"/>
    </row>
    <row r="839" ht="15.75" customHeight="1" s="545">
      <c r="A839" s="19" t="n"/>
      <c r="B839" s="19" t="n"/>
      <c r="C839" s="19" t="n"/>
      <c r="D839" s="19" t="n"/>
      <c r="E839" s="19" t="n"/>
      <c r="F839" s="19" t="n"/>
      <c r="G839" s="19" t="n"/>
      <c r="H839" s="19" t="n"/>
      <c r="I839" s="19" t="n"/>
      <c r="J839" s="19" t="n"/>
      <c r="K839" s="19" t="n"/>
      <c r="L839" s="19" t="n"/>
      <c r="M839" s="19" t="n"/>
      <c r="N839" s="19" t="n"/>
      <c r="O839" s="19" t="n"/>
      <c r="P839" s="19" t="n"/>
      <c r="Q839" s="19" t="n"/>
    </row>
    <row r="840" ht="15.75" customHeight="1" s="545">
      <c r="A840" s="19" t="n"/>
      <c r="B840" s="19" t="n"/>
      <c r="C840" s="19" t="n"/>
      <c r="D840" s="19" t="n"/>
      <c r="E840" s="19" t="n"/>
      <c r="F840" s="19" t="n"/>
      <c r="G840" s="19" t="n"/>
      <c r="H840" s="19" t="n"/>
      <c r="I840" s="19" t="n"/>
      <c r="J840" s="19" t="n"/>
      <c r="K840" s="19" t="n"/>
      <c r="L840" s="19" t="n"/>
      <c r="M840" s="19" t="n"/>
      <c r="N840" s="19" t="n"/>
      <c r="O840" s="19" t="n"/>
      <c r="P840" s="19" t="n"/>
      <c r="Q840" s="19" t="n"/>
    </row>
    <row r="841" ht="15.75" customHeight="1" s="545">
      <c r="A841" s="19" t="n"/>
      <c r="B841" s="19" t="n"/>
      <c r="C841" s="19" t="n"/>
      <c r="D841" s="19" t="n"/>
      <c r="E841" s="19" t="n"/>
      <c r="F841" s="19" t="n"/>
      <c r="G841" s="19" t="n"/>
      <c r="H841" s="19" t="n"/>
      <c r="I841" s="19" t="n"/>
      <c r="J841" s="19" t="n"/>
      <c r="K841" s="19" t="n"/>
      <c r="L841" s="19" t="n"/>
      <c r="M841" s="19" t="n"/>
      <c r="N841" s="19" t="n"/>
      <c r="O841" s="19" t="n"/>
      <c r="P841" s="19" t="n"/>
      <c r="Q841" s="19" t="n"/>
    </row>
    <row r="842" ht="15.75" customHeight="1" s="545">
      <c r="A842" s="19" t="n"/>
      <c r="B842" s="19" t="n"/>
      <c r="C842" s="19" t="n"/>
      <c r="D842" s="19" t="n"/>
      <c r="E842" s="19" t="n"/>
      <c r="F842" s="19" t="n"/>
      <c r="G842" s="19" t="n"/>
      <c r="H842" s="19" t="n"/>
      <c r="I842" s="19" t="n"/>
      <c r="J842" s="19" t="n"/>
      <c r="K842" s="19" t="n"/>
      <c r="L842" s="19" t="n"/>
      <c r="M842" s="19" t="n"/>
      <c r="N842" s="19" t="n"/>
      <c r="O842" s="19" t="n"/>
      <c r="P842" s="19" t="n"/>
      <c r="Q842" s="19" t="n"/>
    </row>
    <row r="843" ht="15.75" customHeight="1" s="545">
      <c r="A843" s="19" t="n"/>
      <c r="B843" s="19" t="n"/>
      <c r="C843" s="19" t="n"/>
      <c r="D843" s="19" t="n"/>
      <c r="E843" s="19" t="n"/>
      <c r="F843" s="19" t="n"/>
      <c r="G843" s="19" t="n"/>
      <c r="H843" s="19" t="n"/>
      <c r="I843" s="19" t="n"/>
      <c r="J843" s="19" t="n"/>
      <c r="K843" s="19" t="n"/>
      <c r="L843" s="19" t="n"/>
      <c r="M843" s="19" t="n"/>
      <c r="N843" s="19" t="n"/>
      <c r="O843" s="19" t="n"/>
      <c r="P843" s="19" t="n"/>
      <c r="Q843" s="19" t="n"/>
    </row>
    <row r="844" ht="15.75" customHeight="1" s="545">
      <c r="A844" s="19" t="n"/>
      <c r="B844" s="19" t="n"/>
      <c r="C844" s="19" t="n"/>
      <c r="D844" s="19" t="n"/>
      <c r="E844" s="19" t="n"/>
      <c r="F844" s="19" t="n"/>
      <c r="G844" s="19" t="n"/>
      <c r="H844" s="19" t="n"/>
      <c r="I844" s="19" t="n"/>
      <c r="J844" s="19" t="n"/>
      <c r="K844" s="19" t="n"/>
      <c r="L844" s="19" t="n"/>
      <c r="M844" s="19" t="n"/>
      <c r="N844" s="19" t="n"/>
      <c r="O844" s="19" t="n"/>
      <c r="P844" s="19" t="n"/>
      <c r="Q844" s="19" t="n"/>
    </row>
    <row r="845" ht="15.75" customHeight="1" s="545">
      <c r="A845" s="19" t="n"/>
      <c r="B845" s="19" t="n"/>
      <c r="C845" s="19" t="n"/>
      <c r="D845" s="19" t="n"/>
      <c r="E845" s="19" t="n"/>
      <c r="F845" s="19" t="n"/>
      <c r="G845" s="19" t="n"/>
      <c r="H845" s="19" t="n"/>
      <c r="I845" s="19" t="n"/>
      <c r="J845" s="19" t="n"/>
      <c r="K845" s="19" t="n"/>
      <c r="L845" s="19" t="n"/>
      <c r="M845" s="19" t="n"/>
      <c r="N845" s="19" t="n"/>
      <c r="O845" s="19" t="n"/>
      <c r="P845" s="19" t="n"/>
      <c r="Q845" s="19" t="n"/>
    </row>
    <row r="846" ht="15.75" customHeight="1" s="545">
      <c r="A846" s="19" t="n"/>
      <c r="B846" s="19" t="n"/>
      <c r="C846" s="19" t="n"/>
      <c r="D846" s="19" t="n"/>
      <c r="E846" s="19" t="n"/>
      <c r="F846" s="19" t="n"/>
      <c r="G846" s="19" t="n"/>
      <c r="H846" s="19" t="n"/>
      <c r="I846" s="19" t="n"/>
      <c r="J846" s="19" t="n"/>
      <c r="K846" s="19" t="n"/>
      <c r="L846" s="19" t="n"/>
      <c r="M846" s="19" t="n"/>
      <c r="N846" s="19" t="n"/>
      <c r="O846" s="19" t="n"/>
      <c r="P846" s="19" t="n"/>
      <c r="Q846" s="19" t="n"/>
    </row>
    <row r="847" ht="15.75" customHeight="1" s="545">
      <c r="A847" s="19" t="n"/>
      <c r="B847" s="19" t="n"/>
      <c r="C847" s="19" t="n"/>
      <c r="D847" s="19" t="n"/>
      <c r="E847" s="19" t="n"/>
      <c r="F847" s="19" t="n"/>
      <c r="G847" s="19" t="n"/>
      <c r="H847" s="19" t="n"/>
      <c r="I847" s="19" t="n"/>
      <c r="J847" s="19" t="n"/>
      <c r="K847" s="19" t="n"/>
      <c r="L847" s="19" t="n"/>
      <c r="M847" s="19" t="n"/>
      <c r="N847" s="19" t="n"/>
      <c r="O847" s="19" t="n"/>
      <c r="P847" s="19" t="n"/>
      <c r="Q847" s="19" t="n"/>
    </row>
    <row r="848" ht="15.75" customHeight="1" s="545">
      <c r="A848" s="19" t="n"/>
      <c r="B848" s="19" t="n"/>
      <c r="C848" s="19" t="n"/>
      <c r="D848" s="19" t="n"/>
      <c r="E848" s="19" t="n"/>
      <c r="F848" s="19" t="n"/>
      <c r="G848" s="19" t="n"/>
      <c r="H848" s="19" t="n"/>
      <c r="I848" s="19" t="n"/>
      <c r="J848" s="19" t="n"/>
      <c r="K848" s="19" t="n"/>
      <c r="L848" s="19" t="n"/>
      <c r="M848" s="19" t="n"/>
      <c r="N848" s="19" t="n"/>
      <c r="O848" s="19" t="n"/>
      <c r="P848" s="19" t="n"/>
      <c r="Q848" s="19" t="n"/>
    </row>
    <row r="849" ht="15.75" customHeight="1" s="545">
      <c r="A849" s="19" t="n"/>
      <c r="B849" s="19" t="n"/>
      <c r="C849" s="19" t="n"/>
      <c r="D849" s="19" t="n"/>
      <c r="E849" s="19" t="n"/>
      <c r="F849" s="19" t="n"/>
      <c r="G849" s="19" t="n"/>
      <c r="H849" s="19" t="n"/>
      <c r="I849" s="19" t="n"/>
      <c r="J849" s="19" t="n"/>
      <c r="K849" s="19" t="n"/>
      <c r="L849" s="19" t="n"/>
      <c r="M849" s="19" t="n"/>
      <c r="N849" s="19" t="n"/>
      <c r="O849" s="19" t="n"/>
      <c r="P849" s="19" t="n"/>
      <c r="Q849" s="19" t="n"/>
    </row>
    <row r="850" ht="15.75" customHeight="1" s="545">
      <c r="A850" s="19" t="n"/>
      <c r="B850" s="19" t="n"/>
      <c r="C850" s="19" t="n"/>
      <c r="D850" s="19" t="n"/>
      <c r="E850" s="19" t="n"/>
      <c r="F850" s="19" t="n"/>
      <c r="G850" s="19" t="n"/>
      <c r="H850" s="19" t="n"/>
      <c r="I850" s="19" t="n"/>
      <c r="J850" s="19" t="n"/>
      <c r="K850" s="19" t="n"/>
      <c r="L850" s="19" t="n"/>
      <c r="M850" s="19" t="n"/>
      <c r="N850" s="19" t="n"/>
      <c r="O850" s="19" t="n"/>
      <c r="P850" s="19" t="n"/>
      <c r="Q850" s="19" t="n"/>
    </row>
    <row r="851" ht="15.75" customHeight="1" s="545">
      <c r="A851" s="19" t="n"/>
      <c r="B851" s="19" t="n"/>
      <c r="C851" s="19" t="n"/>
      <c r="D851" s="19" t="n"/>
      <c r="E851" s="19" t="n"/>
      <c r="F851" s="19" t="n"/>
      <c r="G851" s="19" t="n"/>
      <c r="H851" s="19" t="n"/>
      <c r="I851" s="19" t="n"/>
      <c r="J851" s="19" t="n"/>
      <c r="K851" s="19" t="n"/>
      <c r="L851" s="19" t="n"/>
      <c r="M851" s="19" t="n"/>
      <c r="N851" s="19" t="n"/>
      <c r="O851" s="19" t="n"/>
      <c r="P851" s="19" t="n"/>
      <c r="Q851" s="19" t="n"/>
    </row>
    <row r="852" ht="15.75" customHeight="1" s="545">
      <c r="A852" s="19" t="n"/>
      <c r="B852" s="19" t="n"/>
      <c r="C852" s="19" t="n"/>
      <c r="D852" s="19" t="n"/>
      <c r="E852" s="19" t="n"/>
      <c r="F852" s="19" t="n"/>
      <c r="G852" s="19" t="n"/>
      <c r="H852" s="19" t="n"/>
      <c r="I852" s="19" t="n"/>
      <c r="J852" s="19" t="n"/>
      <c r="K852" s="19" t="n"/>
      <c r="L852" s="19" t="n"/>
      <c r="M852" s="19" t="n"/>
      <c r="N852" s="19" t="n"/>
      <c r="O852" s="19" t="n"/>
      <c r="P852" s="19" t="n"/>
      <c r="Q852" s="19" t="n"/>
    </row>
    <row r="853" ht="15.75" customHeight="1" s="545">
      <c r="A853" s="19" t="n"/>
      <c r="B853" s="19" t="n"/>
      <c r="C853" s="19" t="n"/>
      <c r="D853" s="19" t="n"/>
      <c r="E853" s="19" t="n"/>
      <c r="F853" s="19" t="n"/>
      <c r="G853" s="19" t="n"/>
      <c r="H853" s="19" t="n"/>
      <c r="I853" s="19" t="n"/>
      <c r="J853" s="19" t="n"/>
      <c r="K853" s="19" t="n"/>
      <c r="L853" s="19" t="n"/>
      <c r="M853" s="19" t="n"/>
      <c r="N853" s="19" t="n"/>
      <c r="O853" s="19" t="n"/>
      <c r="P853" s="19" t="n"/>
      <c r="Q853" s="19" t="n"/>
    </row>
    <row r="854" ht="15.75" customHeight="1" s="545">
      <c r="A854" s="19" t="n"/>
      <c r="B854" s="19" t="n"/>
      <c r="C854" s="19" t="n"/>
      <c r="D854" s="19" t="n"/>
      <c r="E854" s="19" t="n"/>
      <c r="F854" s="19" t="n"/>
      <c r="G854" s="19" t="n"/>
      <c r="H854" s="19" t="n"/>
      <c r="I854" s="19" t="n"/>
      <c r="J854" s="19" t="n"/>
      <c r="K854" s="19" t="n"/>
      <c r="L854" s="19" t="n"/>
      <c r="M854" s="19" t="n"/>
      <c r="N854" s="19" t="n"/>
      <c r="O854" s="19" t="n"/>
      <c r="P854" s="19" t="n"/>
      <c r="Q854" s="19" t="n"/>
    </row>
    <row r="855" ht="15.75" customHeight="1" s="545">
      <c r="A855" s="19" t="n"/>
      <c r="B855" s="19" t="n"/>
      <c r="C855" s="19" t="n"/>
      <c r="D855" s="19" t="n"/>
      <c r="E855" s="19" t="n"/>
      <c r="F855" s="19" t="n"/>
      <c r="G855" s="19" t="n"/>
      <c r="H855" s="19" t="n"/>
      <c r="I855" s="19" t="n"/>
      <c r="J855" s="19" t="n"/>
      <c r="K855" s="19" t="n"/>
      <c r="L855" s="19" t="n"/>
      <c r="M855" s="19" t="n"/>
      <c r="N855" s="19" t="n"/>
      <c r="O855" s="19" t="n"/>
      <c r="P855" s="19" t="n"/>
      <c r="Q855" s="19" t="n"/>
    </row>
    <row r="856" ht="15.75" customHeight="1" s="545">
      <c r="A856" s="19" t="n"/>
      <c r="B856" s="19" t="n"/>
      <c r="C856" s="19" t="n"/>
      <c r="D856" s="19" t="n"/>
      <c r="E856" s="19" t="n"/>
      <c r="F856" s="19" t="n"/>
      <c r="G856" s="19" t="n"/>
      <c r="H856" s="19" t="n"/>
      <c r="I856" s="19" t="n"/>
      <c r="J856" s="19" t="n"/>
      <c r="K856" s="19" t="n"/>
      <c r="L856" s="19" t="n"/>
      <c r="M856" s="19" t="n"/>
      <c r="N856" s="19" t="n"/>
      <c r="O856" s="19" t="n"/>
      <c r="P856" s="19" t="n"/>
      <c r="Q856" s="19" t="n"/>
    </row>
    <row r="857" ht="15.75" customHeight="1" s="545">
      <c r="A857" s="19" t="n"/>
      <c r="B857" s="19" t="n"/>
      <c r="C857" s="19" t="n"/>
      <c r="D857" s="19" t="n"/>
      <c r="E857" s="19" t="n"/>
      <c r="F857" s="19" t="n"/>
      <c r="G857" s="19" t="n"/>
      <c r="H857" s="19" t="n"/>
      <c r="I857" s="19" t="n"/>
      <c r="J857" s="19" t="n"/>
      <c r="K857" s="19" t="n"/>
      <c r="L857" s="19" t="n"/>
      <c r="M857" s="19" t="n"/>
      <c r="N857" s="19" t="n"/>
      <c r="O857" s="19" t="n"/>
      <c r="P857" s="19" t="n"/>
      <c r="Q857" s="19" t="n"/>
    </row>
    <row r="858" ht="15.75" customHeight="1" s="545">
      <c r="A858" s="19" t="n"/>
      <c r="B858" s="19" t="n"/>
      <c r="C858" s="19" t="n"/>
      <c r="D858" s="19" t="n"/>
      <c r="E858" s="19" t="n"/>
      <c r="F858" s="19" t="n"/>
      <c r="G858" s="19" t="n"/>
      <c r="H858" s="19" t="n"/>
      <c r="I858" s="19" t="n"/>
      <c r="J858" s="19" t="n"/>
      <c r="K858" s="19" t="n"/>
      <c r="L858" s="19" t="n"/>
      <c r="M858" s="19" t="n"/>
      <c r="N858" s="19" t="n"/>
      <c r="O858" s="19" t="n"/>
      <c r="P858" s="19" t="n"/>
      <c r="Q858" s="19" t="n"/>
    </row>
    <row r="859" ht="15.75" customHeight="1" s="545">
      <c r="A859" s="19" t="n"/>
      <c r="B859" s="19" t="n"/>
      <c r="C859" s="19" t="n"/>
      <c r="D859" s="19" t="n"/>
      <c r="E859" s="19" t="n"/>
      <c r="F859" s="19" t="n"/>
      <c r="G859" s="19" t="n"/>
      <c r="H859" s="19" t="n"/>
      <c r="I859" s="19" t="n"/>
      <c r="J859" s="19" t="n"/>
      <c r="K859" s="19" t="n"/>
      <c r="L859" s="19" t="n"/>
      <c r="M859" s="19" t="n"/>
      <c r="N859" s="19" t="n"/>
      <c r="O859" s="19" t="n"/>
      <c r="P859" s="19" t="n"/>
      <c r="Q859" s="19" t="n"/>
    </row>
    <row r="860" ht="15.75" customHeight="1" s="545">
      <c r="A860" s="19" t="n"/>
      <c r="B860" s="19" t="n"/>
      <c r="C860" s="19" t="n"/>
      <c r="D860" s="19" t="n"/>
      <c r="E860" s="19" t="n"/>
      <c r="F860" s="19" t="n"/>
      <c r="G860" s="19" t="n"/>
      <c r="H860" s="19" t="n"/>
      <c r="I860" s="19" t="n"/>
      <c r="J860" s="19" t="n"/>
      <c r="K860" s="19" t="n"/>
      <c r="L860" s="19" t="n"/>
      <c r="M860" s="19" t="n"/>
      <c r="N860" s="19" t="n"/>
      <c r="O860" s="19" t="n"/>
      <c r="P860" s="19" t="n"/>
      <c r="Q860" s="19" t="n"/>
    </row>
    <row r="861" ht="15.75" customHeight="1" s="545">
      <c r="A861" s="19" t="n"/>
      <c r="B861" s="19" t="n"/>
      <c r="C861" s="19" t="n"/>
      <c r="D861" s="19" t="n"/>
      <c r="E861" s="19" t="n"/>
      <c r="F861" s="19" t="n"/>
      <c r="G861" s="19" t="n"/>
      <c r="H861" s="19" t="n"/>
      <c r="I861" s="19" t="n"/>
      <c r="J861" s="19" t="n"/>
      <c r="K861" s="19" t="n"/>
      <c r="L861" s="19" t="n"/>
      <c r="M861" s="19" t="n"/>
      <c r="N861" s="19" t="n"/>
      <c r="O861" s="19" t="n"/>
      <c r="P861" s="19" t="n"/>
      <c r="Q861" s="19" t="n"/>
    </row>
    <row r="862" ht="15.75" customHeight="1" s="545">
      <c r="A862" s="19" t="n"/>
      <c r="B862" s="19" t="n"/>
      <c r="C862" s="19" t="n"/>
      <c r="D862" s="19" t="n"/>
      <c r="E862" s="19" t="n"/>
      <c r="F862" s="19" t="n"/>
      <c r="G862" s="19" t="n"/>
      <c r="H862" s="19" t="n"/>
      <c r="I862" s="19" t="n"/>
      <c r="J862" s="19" t="n"/>
      <c r="K862" s="19" t="n"/>
      <c r="L862" s="19" t="n"/>
      <c r="M862" s="19" t="n"/>
      <c r="N862" s="19" t="n"/>
      <c r="O862" s="19" t="n"/>
      <c r="P862" s="19" t="n"/>
      <c r="Q862" s="19" t="n"/>
    </row>
    <row r="863" ht="15.75" customHeight="1" s="545">
      <c r="A863" s="19" t="n"/>
      <c r="B863" s="19" t="n"/>
      <c r="C863" s="19" t="n"/>
      <c r="D863" s="19" t="n"/>
      <c r="E863" s="19" t="n"/>
      <c r="F863" s="19" t="n"/>
      <c r="G863" s="19" t="n"/>
      <c r="H863" s="19" t="n"/>
      <c r="I863" s="19" t="n"/>
      <c r="J863" s="19" t="n"/>
      <c r="K863" s="19" t="n"/>
      <c r="L863" s="19" t="n"/>
      <c r="M863" s="19" t="n"/>
      <c r="N863" s="19" t="n"/>
      <c r="O863" s="19" t="n"/>
      <c r="P863" s="19" t="n"/>
      <c r="Q863" s="19" t="n"/>
    </row>
    <row r="864" ht="15.75" customHeight="1" s="545">
      <c r="A864" s="19" t="n"/>
      <c r="B864" s="19" t="n"/>
      <c r="C864" s="19" t="n"/>
      <c r="D864" s="19" t="n"/>
      <c r="E864" s="19" t="n"/>
      <c r="F864" s="19" t="n"/>
      <c r="G864" s="19" t="n"/>
      <c r="H864" s="19" t="n"/>
      <c r="I864" s="19" t="n"/>
      <c r="J864" s="19" t="n"/>
      <c r="K864" s="19" t="n"/>
      <c r="L864" s="19" t="n"/>
      <c r="M864" s="19" t="n"/>
      <c r="N864" s="19" t="n"/>
      <c r="O864" s="19" t="n"/>
      <c r="P864" s="19" t="n"/>
      <c r="Q864" s="19" t="n"/>
    </row>
    <row r="865" ht="15.75" customHeight="1" s="545">
      <c r="A865" s="19" t="n"/>
      <c r="B865" s="19" t="n"/>
      <c r="C865" s="19" t="n"/>
      <c r="D865" s="19" t="n"/>
      <c r="E865" s="19" t="n"/>
      <c r="F865" s="19" t="n"/>
      <c r="G865" s="19" t="n"/>
      <c r="H865" s="19" t="n"/>
      <c r="I865" s="19" t="n"/>
      <c r="J865" s="19" t="n"/>
      <c r="K865" s="19" t="n"/>
      <c r="L865" s="19" t="n"/>
      <c r="M865" s="19" t="n"/>
      <c r="N865" s="19" t="n"/>
      <c r="O865" s="19" t="n"/>
      <c r="P865" s="19" t="n"/>
      <c r="Q865" s="19" t="n"/>
    </row>
    <row r="866" ht="15.75" customHeight="1" s="545">
      <c r="A866" s="19" t="n"/>
      <c r="B866" s="19" t="n"/>
      <c r="C866" s="19" t="n"/>
      <c r="D866" s="19" t="n"/>
      <c r="E866" s="19" t="n"/>
      <c r="F866" s="19" t="n"/>
      <c r="G866" s="19" t="n"/>
      <c r="H866" s="19" t="n"/>
      <c r="I866" s="19" t="n"/>
      <c r="J866" s="19" t="n"/>
      <c r="K866" s="19" t="n"/>
      <c r="L866" s="19" t="n"/>
      <c r="M866" s="19" t="n"/>
      <c r="N866" s="19" t="n"/>
      <c r="O866" s="19" t="n"/>
      <c r="P866" s="19" t="n"/>
      <c r="Q866" s="19" t="n"/>
    </row>
    <row r="867" ht="15.75" customHeight="1" s="545">
      <c r="A867" s="19" t="n"/>
      <c r="B867" s="19" t="n"/>
      <c r="C867" s="19" t="n"/>
      <c r="D867" s="19" t="n"/>
      <c r="E867" s="19" t="n"/>
      <c r="F867" s="19" t="n"/>
      <c r="G867" s="19" t="n"/>
      <c r="H867" s="19" t="n"/>
      <c r="I867" s="19" t="n"/>
      <c r="J867" s="19" t="n"/>
      <c r="K867" s="19" t="n"/>
      <c r="L867" s="19" t="n"/>
      <c r="M867" s="19" t="n"/>
      <c r="N867" s="19" t="n"/>
      <c r="O867" s="19" t="n"/>
      <c r="P867" s="19" t="n"/>
      <c r="Q867" s="19" t="n"/>
    </row>
    <row r="868" ht="15.75" customHeight="1" s="545">
      <c r="A868" s="19" t="n"/>
      <c r="B868" s="19" t="n"/>
      <c r="C868" s="19" t="n"/>
      <c r="D868" s="19" t="n"/>
      <c r="E868" s="19" t="n"/>
      <c r="F868" s="19" t="n"/>
      <c r="G868" s="19" t="n"/>
      <c r="H868" s="19" t="n"/>
      <c r="I868" s="19" t="n"/>
      <c r="J868" s="19" t="n"/>
      <c r="K868" s="19" t="n"/>
      <c r="L868" s="19" t="n"/>
      <c r="M868" s="19" t="n"/>
      <c r="N868" s="19" t="n"/>
      <c r="O868" s="19" t="n"/>
      <c r="P868" s="19" t="n"/>
      <c r="Q868" s="19" t="n"/>
    </row>
    <row r="869" ht="15.75" customHeight="1" s="545">
      <c r="A869" s="19" t="n"/>
      <c r="B869" s="19" t="n"/>
      <c r="C869" s="19" t="n"/>
      <c r="D869" s="19" t="n"/>
      <c r="E869" s="19" t="n"/>
      <c r="F869" s="19" t="n"/>
      <c r="G869" s="19" t="n"/>
      <c r="H869" s="19" t="n"/>
      <c r="I869" s="19" t="n"/>
      <c r="J869" s="19" t="n"/>
      <c r="K869" s="19" t="n"/>
      <c r="L869" s="19" t="n"/>
      <c r="M869" s="19" t="n"/>
      <c r="N869" s="19" t="n"/>
      <c r="O869" s="19" t="n"/>
      <c r="P869" s="19" t="n"/>
      <c r="Q869" s="19" t="n"/>
    </row>
    <row r="870" ht="15.75" customHeight="1" s="545">
      <c r="A870" s="19" t="n"/>
      <c r="B870" s="19" t="n"/>
      <c r="C870" s="19" t="n"/>
      <c r="D870" s="19" t="n"/>
      <c r="E870" s="19" t="n"/>
      <c r="F870" s="19" t="n"/>
      <c r="G870" s="19" t="n"/>
      <c r="H870" s="19" t="n"/>
      <c r="I870" s="19" t="n"/>
      <c r="J870" s="19" t="n"/>
      <c r="K870" s="19" t="n"/>
      <c r="L870" s="19" t="n"/>
      <c r="M870" s="19" t="n"/>
      <c r="N870" s="19" t="n"/>
      <c r="O870" s="19" t="n"/>
      <c r="P870" s="19" t="n"/>
      <c r="Q870" s="19" t="n"/>
    </row>
    <row r="871" ht="15.75" customHeight="1" s="545">
      <c r="A871" s="19" t="n"/>
      <c r="B871" s="19" t="n"/>
      <c r="C871" s="19" t="n"/>
      <c r="D871" s="19" t="n"/>
      <c r="E871" s="19" t="n"/>
      <c r="F871" s="19" t="n"/>
      <c r="G871" s="19" t="n"/>
      <c r="H871" s="19" t="n"/>
      <c r="I871" s="19" t="n"/>
      <c r="J871" s="19" t="n"/>
      <c r="K871" s="19" t="n"/>
      <c r="L871" s="19" t="n"/>
      <c r="M871" s="19" t="n"/>
      <c r="N871" s="19" t="n"/>
      <c r="O871" s="19" t="n"/>
      <c r="P871" s="19" t="n"/>
      <c r="Q871" s="19" t="n"/>
    </row>
    <row r="872" ht="15.75" customHeight="1" s="545">
      <c r="A872" s="19" t="n"/>
      <c r="B872" s="19" t="n"/>
      <c r="C872" s="19" t="n"/>
      <c r="D872" s="19" t="n"/>
      <c r="E872" s="19" t="n"/>
      <c r="F872" s="19" t="n"/>
      <c r="G872" s="19" t="n"/>
      <c r="H872" s="19" t="n"/>
      <c r="I872" s="19" t="n"/>
      <c r="J872" s="19" t="n"/>
      <c r="K872" s="19" t="n"/>
      <c r="L872" s="19" t="n"/>
      <c r="M872" s="19" t="n"/>
      <c r="N872" s="19" t="n"/>
      <c r="O872" s="19" t="n"/>
      <c r="P872" s="19" t="n"/>
      <c r="Q872" s="19" t="n"/>
    </row>
    <row r="873" ht="15.75" customHeight="1" s="545">
      <c r="A873" s="19" t="n"/>
      <c r="B873" s="19" t="n"/>
      <c r="C873" s="19" t="n"/>
      <c r="D873" s="19" t="n"/>
      <c r="E873" s="19" t="n"/>
      <c r="F873" s="19" t="n"/>
      <c r="G873" s="19" t="n"/>
      <c r="H873" s="19" t="n"/>
      <c r="I873" s="19" t="n"/>
      <c r="J873" s="19" t="n"/>
      <c r="K873" s="19" t="n"/>
      <c r="L873" s="19" t="n"/>
      <c r="M873" s="19" t="n"/>
      <c r="N873" s="19" t="n"/>
      <c r="O873" s="19" t="n"/>
      <c r="P873" s="19" t="n"/>
      <c r="Q873" s="19" t="n"/>
    </row>
    <row r="874" ht="15.75" customHeight="1" s="545">
      <c r="A874" s="19" t="n"/>
      <c r="B874" s="19" t="n"/>
      <c r="C874" s="19" t="n"/>
      <c r="D874" s="19" t="n"/>
      <c r="E874" s="19" t="n"/>
      <c r="F874" s="19" t="n"/>
      <c r="G874" s="19" t="n"/>
      <c r="H874" s="19" t="n"/>
      <c r="I874" s="19" t="n"/>
      <c r="J874" s="19" t="n"/>
      <c r="K874" s="19" t="n"/>
      <c r="L874" s="19" t="n"/>
      <c r="M874" s="19" t="n"/>
      <c r="N874" s="19" t="n"/>
      <c r="O874" s="19" t="n"/>
      <c r="P874" s="19" t="n"/>
      <c r="Q874" s="19" t="n"/>
    </row>
    <row r="875" ht="15.75" customHeight="1" s="545">
      <c r="A875" s="19" t="n"/>
      <c r="B875" s="19" t="n"/>
      <c r="C875" s="19" t="n"/>
      <c r="D875" s="19" t="n"/>
      <c r="E875" s="19" t="n"/>
      <c r="F875" s="19" t="n"/>
      <c r="G875" s="19" t="n"/>
      <c r="H875" s="19" t="n"/>
      <c r="I875" s="19" t="n"/>
      <c r="J875" s="19" t="n"/>
      <c r="K875" s="19" t="n"/>
      <c r="L875" s="19" t="n"/>
      <c r="M875" s="19" t="n"/>
      <c r="N875" s="19" t="n"/>
      <c r="O875" s="19" t="n"/>
      <c r="P875" s="19" t="n"/>
      <c r="Q875" s="19" t="n"/>
    </row>
    <row r="876" ht="15.75" customHeight="1" s="545">
      <c r="A876" s="19" t="n"/>
      <c r="B876" s="19" t="n"/>
      <c r="C876" s="19" t="n"/>
      <c r="D876" s="19" t="n"/>
      <c r="E876" s="19" t="n"/>
      <c r="F876" s="19" t="n"/>
      <c r="G876" s="19" t="n"/>
      <c r="H876" s="19" t="n"/>
      <c r="I876" s="19" t="n"/>
      <c r="J876" s="19" t="n"/>
      <c r="K876" s="19" t="n"/>
      <c r="L876" s="19" t="n"/>
      <c r="M876" s="19" t="n"/>
      <c r="N876" s="19" t="n"/>
      <c r="O876" s="19" t="n"/>
      <c r="P876" s="19" t="n"/>
      <c r="Q876" s="19" t="n"/>
    </row>
    <row r="877" ht="15.75" customHeight="1" s="545">
      <c r="A877" s="19" t="n"/>
      <c r="B877" s="19" t="n"/>
      <c r="C877" s="19" t="n"/>
      <c r="D877" s="19" t="n"/>
      <c r="E877" s="19" t="n"/>
      <c r="F877" s="19" t="n"/>
      <c r="G877" s="19" t="n"/>
      <c r="H877" s="19" t="n"/>
      <c r="I877" s="19" t="n"/>
      <c r="J877" s="19" t="n"/>
      <c r="K877" s="19" t="n"/>
      <c r="L877" s="19" t="n"/>
      <c r="M877" s="19" t="n"/>
      <c r="N877" s="19" t="n"/>
      <c r="O877" s="19" t="n"/>
      <c r="P877" s="19" t="n"/>
      <c r="Q877" s="19" t="n"/>
    </row>
    <row r="878" ht="15.75" customHeight="1" s="545">
      <c r="A878" s="19" t="n"/>
      <c r="B878" s="19" t="n"/>
      <c r="C878" s="19" t="n"/>
      <c r="D878" s="19" t="n"/>
      <c r="E878" s="19" t="n"/>
      <c r="F878" s="19" t="n"/>
      <c r="G878" s="19" t="n"/>
      <c r="H878" s="19" t="n"/>
      <c r="I878" s="19" t="n"/>
      <c r="J878" s="19" t="n"/>
      <c r="K878" s="19" t="n"/>
      <c r="L878" s="19" t="n"/>
      <c r="M878" s="19" t="n"/>
      <c r="N878" s="19" t="n"/>
      <c r="O878" s="19" t="n"/>
      <c r="P878" s="19" t="n"/>
      <c r="Q878" s="19" t="n"/>
    </row>
    <row r="879" ht="15.75" customHeight="1" s="545">
      <c r="A879" s="19" t="n"/>
      <c r="B879" s="19" t="n"/>
      <c r="C879" s="19" t="n"/>
      <c r="D879" s="19" t="n"/>
      <c r="E879" s="19" t="n"/>
      <c r="F879" s="19" t="n"/>
      <c r="G879" s="19" t="n"/>
      <c r="H879" s="19" t="n"/>
      <c r="I879" s="19" t="n"/>
      <c r="J879" s="19" t="n"/>
      <c r="K879" s="19" t="n"/>
      <c r="L879" s="19" t="n"/>
      <c r="M879" s="19" t="n"/>
      <c r="N879" s="19" t="n"/>
      <c r="O879" s="19" t="n"/>
      <c r="P879" s="19" t="n"/>
      <c r="Q879" s="19" t="n"/>
    </row>
    <row r="880" ht="15.75" customHeight="1" s="545">
      <c r="A880" s="19" t="n"/>
      <c r="B880" s="19" t="n"/>
      <c r="C880" s="19" t="n"/>
      <c r="D880" s="19" t="n"/>
      <c r="E880" s="19" t="n"/>
      <c r="F880" s="19" t="n"/>
      <c r="G880" s="19" t="n"/>
      <c r="H880" s="19" t="n"/>
      <c r="I880" s="19" t="n"/>
      <c r="J880" s="19" t="n"/>
      <c r="K880" s="19" t="n"/>
      <c r="L880" s="19" t="n"/>
      <c r="M880" s="19" t="n"/>
      <c r="N880" s="19" t="n"/>
      <c r="O880" s="19" t="n"/>
      <c r="P880" s="19" t="n"/>
      <c r="Q880" s="19" t="n"/>
    </row>
    <row r="881" ht="15.75" customHeight="1" s="545">
      <c r="A881" s="19" t="n"/>
      <c r="B881" s="19" t="n"/>
      <c r="C881" s="19" t="n"/>
      <c r="D881" s="19" t="n"/>
      <c r="E881" s="19" t="n"/>
      <c r="F881" s="19" t="n"/>
      <c r="G881" s="19" t="n"/>
      <c r="H881" s="19" t="n"/>
      <c r="I881" s="19" t="n"/>
      <c r="J881" s="19" t="n"/>
      <c r="K881" s="19" t="n"/>
      <c r="L881" s="19" t="n"/>
      <c r="M881" s="19" t="n"/>
      <c r="N881" s="19" t="n"/>
      <c r="O881" s="19" t="n"/>
      <c r="P881" s="19" t="n"/>
      <c r="Q881" s="19" t="n"/>
    </row>
    <row r="882" ht="15.75" customHeight="1" s="545">
      <c r="A882" s="19" t="n"/>
      <c r="B882" s="19" t="n"/>
      <c r="C882" s="19" t="n"/>
      <c r="D882" s="19" t="n"/>
      <c r="E882" s="19" t="n"/>
      <c r="F882" s="19" t="n"/>
      <c r="G882" s="19" t="n"/>
      <c r="H882" s="19" t="n"/>
      <c r="I882" s="19" t="n"/>
      <c r="J882" s="19" t="n"/>
      <c r="K882" s="19" t="n"/>
      <c r="L882" s="19" t="n"/>
      <c r="M882" s="19" t="n"/>
      <c r="N882" s="19" t="n"/>
      <c r="O882" s="19" t="n"/>
      <c r="P882" s="19" t="n"/>
      <c r="Q882" s="19" t="n"/>
    </row>
    <row r="883" ht="15.75" customHeight="1" s="545">
      <c r="A883" s="19" t="n"/>
      <c r="B883" s="19" t="n"/>
      <c r="C883" s="19" t="n"/>
      <c r="D883" s="19" t="n"/>
      <c r="E883" s="19" t="n"/>
      <c r="F883" s="19" t="n"/>
      <c r="G883" s="19" t="n"/>
      <c r="H883" s="19" t="n"/>
      <c r="I883" s="19" t="n"/>
      <c r="J883" s="19" t="n"/>
      <c r="K883" s="19" t="n"/>
      <c r="L883" s="19" t="n"/>
      <c r="M883" s="19" t="n"/>
      <c r="N883" s="19" t="n"/>
      <c r="O883" s="19" t="n"/>
      <c r="P883" s="19" t="n"/>
      <c r="Q883" s="19" t="n"/>
    </row>
    <row r="884" ht="15.75" customHeight="1" s="545">
      <c r="A884" s="19" t="n"/>
      <c r="B884" s="19" t="n"/>
      <c r="C884" s="19" t="n"/>
      <c r="D884" s="19" t="n"/>
      <c r="E884" s="19" t="n"/>
      <c r="F884" s="19" t="n"/>
      <c r="G884" s="19" t="n"/>
      <c r="H884" s="19" t="n"/>
      <c r="I884" s="19" t="n"/>
      <c r="J884" s="19" t="n"/>
      <c r="K884" s="19" t="n"/>
      <c r="L884" s="19" t="n"/>
      <c r="M884" s="19" t="n"/>
      <c r="N884" s="19" t="n"/>
      <c r="O884" s="19" t="n"/>
      <c r="P884" s="19" t="n"/>
      <c r="Q884" s="19" t="n"/>
    </row>
    <row r="885" ht="15.75" customHeight="1" s="545">
      <c r="A885" s="19" t="n"/>
      <c r="B885" s="19" t="n"/>
      <c r="C885" s="19" t="n"/>
      <c r="D885" s="19" t="n"/>
      <c r="E885" s="19" t="n"/>
      <c r="F885" s="19" t="n"/>
      <c r="G885" s="19" t="n"/>
      <c r="H885" s="19" t="n"/>
      <c r="I885" s="19" t="n"/>
      <c r="J885" s="19" t="n"/>
      <c r="K885" s="19" t="n"/>
      <c r="L885" s="19" t="n"/>
      <c r="M885" s="19" t="n"/>
      <c r="N885" s="19" t="n"/>
      <c r="O885" s="19" t="n"/>
      <c r="P885" s="19" t="n"/>
      <c r="Q885" s="19" t="n"/>
    </row>
    <row r="886" ht="15.75" customHeight="1" s="545">
      <c r="A886" s="19" t="n"/>
      <c r="B886" s="19" t="n"/>
      <c r="C886" s="19" t="n"/>
      <c r="D886" s="19" t="n"/>
      <c r="E886" s="19" t="n"/>
      <c r="F886" s="19" t="n"/>
      <c r="G886" s="19" t="n"/>
      <c r="H886" s="19" t="n"/>
      <c r="I886" s="19" t="n"/>
      <c r="J886" s="19" t="n"/>
      <c r="K886" s="19" t="n"/>
      <c r="L886" s="19" t="n"/>
      <c r="M886" s="19" t="n"/>
      <c r="N886" s="19" t="n"/>
      <c r="O886" s="19" t="n"/>
      <c r="P886" s="19" t="n"/>
      <c r="Q886" s="19" t="n"/>
    </row>
    <row r="887" ht="15.75" customHeight="1" s="545">
      <c r="A887" s="19" t="n"/>
      <c r="B887" s="19" t="n"/>
      <c r="C887" s="19" t="n"/>
      <c r="D887" s="19" t="n"/>
      <c r="E887" s="19" t="n"/>
      <c r="F887" s="19" t="n"/>
      <c r="G887" s="19" t="n"/>
      <c r="H887" s="19" t="n"/>
      <c r="I887" s="19" t="n"/>
      <c r="J887" s="19" t="n"/>
      <c r="K887" s="19" t="n"/>
      <c r="L887" s="19" t="n"/>
      <c r="M887" s="19" t="n"/>
      <c r="N887" s="19" t="n"/>
      <c r="O887" s="19" t="n"/>
      <c r="P887" s="19" t="n"/>
      <c r="Q887" s="19" t="n"/>
    </row>
    <row r="888" ht="15.75" customHeight="1" s="545">
      <c r="A888" s="19" t="n"/>
      <c r="B888" s="19" t="n"/>
      <c r="C888" s="19" t="n"/>
      <c r="D888" s="19" t="n"/>
      <c r="E888" s="19" t="n"/>
      <c r="F888" s="19" t="n"/>
      <c r="G888" s="19" t="n"/>
      <c r="H888" s="19" t="n"/>
      <c r="I888" s="19" t="n"/>
      <c r="J888" s="19" t="n"/>
      <c r="K888" s="19" t="n"/>
      <c r="L888" s="19" t="n"/>
      <c r="M888" s="19" t="n"/>
      <c r="N888" s="19" t="n"/>
      <c r="O888" s="19" t="n"/>
      <c r="P888" s="19" t="n"/>
      <c r="Q888" s="19" t="n"/>
    </row>
    <row r="889" ht="15.75" customHeight="1" s="545">
      <c r="A889" s="19" t="n"/>
      <c r="B889" s="19" t="n"/>
      <c r="C889" s="19" t="n"/>
      <c r="D889" s="19" t="n"/>
      <c r="E889" s="19" t="n"/>
      <c r="F889" s="19" t="n"/>
      <c r="G889" s="19" t="n"/>
      <c r="H889" s="19" t="n"/>
      <c r="I889" s="19" t="n"/>
      <c r="J889" s="19" t="n"/>
      <c r="K889" s="19" t="n"/>
      <c r="L889" s="19" t="n"/>
      <c r="M889" s="19" t="n"/>
      <c r="N889" s="19" t="n"/>
      <c r="O889" s="19" t="n"/>
      <c r="P889" s="19" t="n"/>
      <c r="Q889" s="19" t="n"/>
    </row>
    <row r="890" ht="15.75" customHeight="1" s="545">
      <c r="A890" s="19" t="n"/>
      <c r="B890" s="19" t="n"/>
      <c r="C890" s="19" t="n"/>
      <c r="D890" s="19" t="n"/>
      <c r="E890" s="19" t="n"/>
      <c r="F890" s="19" t="n"/>
      <c r="G890" s="19" t="n"/>
      <c r="H890" s="19" t="n"/>
      <c r="I890" s="19" t="n"/>
      <c r="J890" s="19" t="n"/>
      <c r="K890" s="19" t="n"/>
      <c r="L890" s="19" t="n"/>
      <c r="M890" s="19" t="n"/>
      <c r="N890" s="19" t="n"/>
      <c r="O890" s="19" t="n"/>
      <c r="P890" s="19" t="n"/>
      <c r="Q890" s="19" t="n"/>
    </row>
    <row r="891" ht="15.75" customHeight="1" s="545">
      <c r="A891" s="19" t="n"/>
      <c r="B891" s="19" t="n"/>
      <c r="C891" s="19" t="n"/>
      <c r="D891" s="19" t="n"/>
      <c r="E891" s="19" t="n"/>
      <c r="F891" s="19" t="n"/>
      <c r="G891" s="19" t="n"/>
      <c r="H891" s="19" t="n"/>
      <c r="I891" s="19" t="n"/>
      <c r="J891" s="19" t="n"/>
      <c r="K891" s="19" t="n"/>
      <c r="L891" s="19" t="n"/>
      <c r="M891" s="19" t="n"/>
      <c r="N891" s="19" t="n"/>
      <c r="O891" s="19" t="n"/>
      <c r="P891" s="19" t="n"/>
      <c r="Q891" s="19" t="n"/>
    </row>
    <row r="892" ht="15.75" customHeight="1" s="545">
      <c r="A892" s="19" t="n"/>
      <c r="B892" s="19" t="n"/>
      <c r="C892" s="19" t="n"/>
      <c r="D892" s="19" t="n"/>
      <c r="E892" s="19" t="n"/>
      <c r="F892" s="19" t="n"/>
      <c r="G892" s="19" t="n"/>
      <c r="H892" s="19" t="n"/>
      <c r="I892" s="19" t="n"/>
      <c r="J892" s="19" t="n"/>
      <c r="K892" s="19" t="n"/>
      <c r="L892" s="19" t="n"/>
      <c r="M892" s="19" t="n"/>
      <c r="N892" s="19" t="n"/>
      <c r="O892" s="19" t="n"/>
      <c r="P892" s="19" t="n"/>
      <c r="Q892" s="19" t="n"/>
    </row>
    <row r="893" ht="15.75" customHeight="1" s="545">
      <c r="A893" s="19" t="n"/>
      <c r="B893" s="19" t="n"/>
      <c r="C893" s="19" t="n"/>
      <c r="D893" s="19" t="n"/>
      <c r="E893" s="19" t="n"/>
      <c r="F893" s="19" t="n"/>
      <c r="G893" s="19" t="n"/>
      <c r="H893" s="19" t="n"/>
      <c r="I893" s="19" t="n"/>
      <c r="J893" s="19" t="n"/>
      <c r="K893" s="19" t="n"/>
      <c r="L893" s="19" t="n"/>
      <c r="M893" s="19" t="n"/>
      <c r="N893" s="19" t="n"/>
      <c r="O893" s="19" t="n"/>
      <c r="P893" s="19" t="n"/>
      <c r="Q893" s="19" t="n"/>
    </row>
    <row r="894" ht="15.75" customHeight="1" s="545">
      <c r="A894" s="19" t="n"/>
      <c r="B894" s="19" t="n"/>
      <c r="C894" s="19" t="n"/>
      <c r="D894" s="19" t="n"/>
      <c r="E894" s="19" t="n"/>
      <c r="F894" s="19" t="n"/>
      <c r="G894" s="19" t="n"/>
      <c r="H894" s="19" t="n"/>
      <c r="I894" s="19" t="n"/>
      <c r="J894" s="19" t="n"/>
      <c r="K894" s="19" t="n"/>
      <c r="L894" s="19" t="n"/>
      <c r="M894" s="19" t="n"/>
      <c r="N894" s="19" t="n"/>
      <c r="O894" s="19" t="n"/>
      <c r="P894" s="19" t="n"/>
      <c r="Q894" s="19" t="n"/>
    </row>
    <row r="895" ht="15.75" customHeight="1" s="545">
      <c r="A895" s="19" t="n"/>
      <c r="B895" s="19" t="n"/>
      <c r="C895" s="19" t="n"/>
      <c r="D895" s="19" t="n"/>
      <c r="E895" s="19" t="n"/>
      <c r="F895" s="19" t="n"/>
      <c r="G895" s="19" t="n"/>
      <c r="H895" s="19" t="n"/>
      <c r="I895" s="19" t="n"/>
      <c r="J895" s="19" t="n"/>
      <c r="K895" s="19" t="n"/>
      <c r="L895" s="19" t="n"/>
      <c r="M895" s="19" t="n"/>
      <c r="N895" s="19" t="n"/>
      <c r="O895" s="19" t="n"/>
      <c r="P895" s="19" t="n"/>
      <c r="Q895" s="19" t="n"/>
    </row>
    <row r="896" ht="15.75" customHeight="1" s="545">
      <c r="A896" s="19" t="n"/>
      <c r="B896" s="19" t="n"/>
      <c r="C896" s="19" t="n"/>
      <c r="D896" s="19" t="n"/>
      <c r="E896" s="19" t="n"/>
      <c r="F896" s="19" t="n"/>
      <c r="G896" s="19" t="n"/>
      <c r="H896" s="19" t="n"/>
      <c r="I896" s="19" t="n"/>
      <c r="J896" s="19" t="n"/>
      <c r="K896" s="19" t="n"/>
      <c r="L896" s="19" t="n"/>
      <c r="M896" s="19" t="n"/>
      <c r="N896" s="19" t="n"/>
      <c r="O896" s="19" t="n"/>
      <c r="P896" s="19" t="n"/>
      <c r="Q896" s="19" t="n"/>
    </row>
    <row r="897" ht="15.75" customHeight="1" s="545">
      <c r="A897" s="19" t="n"/>
      <c r="B897" s="19" t="n"/>
      <c r="C897" s="19" t="n"/>
      <c r="D897" s="19" t="n"/>
      <c r="E897" s="19" t="n"/>
      <c r="F897" s="19" t="n"/>
      <c r="G897" s="19" t="n"/>
      <c r="H897" s="19" t="n"/>
      <c r="I897" s="19" t="n"/>
      <c r="J897" s="19" t="n"/>
      <c r="K897" s="19" t="n"/>
      <c r="L897" s="19" t="n"/>
      <c r="M897" s="19" t="n"/>
      <c r="N897" s="19" t="n"/>
      <c r="O897" s="19" t="n"/>
      <c r="P897" s="19" t="n"/>
      <c r="Q897" s="19" t="n"/>
    </row>
    <row r="898" ht="15.75" customHeight="1" s="545">
      <c r="A898" s="19" t="n"/>
      <c r="B898" s="19" t="n"/>
      <c r="C898" s="19" t="n"/>
      <c r="D898" s="19" t="n"/>
      <c r="E898" s="19" t="n"/>
      <c r="F898" s="19" t="n"/>
      <c r="G898" s="19" t="n"/>
      <c r="H898" s="19" t="n"/>
      <c r="I898" s="19" t="n"/>
      <c r="J898" s="19" t="n"/>
      <c r="K898" s="19" t="n"/>
      <c r="L898" s="19" t="n"/>
      <c r="M898" s="19" t="n"/>
      <c r="N898" s="19" t="n"/>
      <c r="O898" s="19" t="n"/>
      <c r="P898" s="19" t="n"/>
      <c r="Q898" s="19" t="n"/>
    </row>
    <row r="899" ht="15.75" customHeight="1" s="545">
      <c r="A899" s="19" t="n"/>
      <c r="B899" s="19" t="n"/>
      <c r="C899" s="19" t="n"/>
      <c r="D899" s="19" t="n"/>
      <c r="E899" s="19" t="n"/>
      <c r="F899" s="19" t="n"/>
      <c r="G899" s="19" t="n"/>
      <c r="H899" s="19" t="n"/>
      <c r="I899" s="19" t="n"/>
      <c r="J899" s="19" t="n"/>
      <c r="K899" s="19" t="n"/>
      <c r="L899" s="19" t="n"/>
      <c r="M899" s="19" t="n"/>
      <c r="N899" s="19" t="n"/>
      <c r="O899" s="19" t="n"/>
      <c r="P899" s="19" t="n"/>
      <c r="Q899" s="19" t="n"/>
    </row>
    <row r="900" ht="15.75" customHeight="1" s="545">
      <c r="A900" s="19" t="n"/>
      <c r="B900" s="19" t="n"/>
      <c r="C900" s="19" t="n"/>
      <c r="D900" s="19" t="n"/>
      <c r="E900" s="19" t="n"/>
      <c r="F900" s="19" t="n"/>
      <c r="G900" s="19" t="n"/>
      <c r="H900" s="19" t="n"/>
      <c r="I900" s="19" t="n"/>
      <c r="J900" s="19" t="n"/>
      <c r="K900" s="19" t="n"/>
      <c r="L900" s="19" t="n"/>
      <c r="M900" s="19" t="n"/>
      <c r="N900" s="19" t="n"/>
      <c r="O900" s="19" t="n"/>
      <c r="P900" s="19" t="n"/>
      <c r="Q900" s="19" t="n"/>
    </row>
    <row r="901" ht="15.75" customHeight="1" s="545">
      <c r="A901" s="19" t="n"/>
      <c r="B901" s="19" t="n"/>
      <c r="C901" s="19" t="n"/>
      <c r="D901" s="19" t="n"/>
      <c r="E901" s="19" t="n"/>
      <c r="F901" s="19" t="n"/>
      <c r="G901" s="19" t="n"/>
      <c r="H901" s="19" t="n"/>
      <c r="I901" s="19" t="n"/>
      <c r="J901" s="19" t="n"/>
      <c r="K901" s="19" t="n"/>
      <c r="L901" s="19" t="n"/>
      <c r="M901" s="19" t="n"/>
      <c r="N901" s="19" t="n"/>
      <c r="O901" s="19" t="n"/>
      <c r="P901" s="19" t="n"/>
      <c r="Q901" s="19" t="n"/>
    </row>
    <row r="902" ht="15.75" customHeight="1" s="545">
      <c r="A902" s="19" t="n"/>
      <c r="B902" s="19" t="n"/>
      <c r="C902" s="19" t="n"/>
      <c r="D902" s="19" t="n"/>
      <c r="E902" s="19" t="n"/>
      <c r="F902" s="19" t="n"/>
      <c r="G902" s="19" t="n"/>
      <c r="H902" s="19" t="n"/>
      <c r="I902" s="19" t="n"/>
      <c r="J902" s="19" t="n"/>
      <c r="K902" s="19" t="n"/>
      <c r="L902" s="19" t="n"/>
      <c r="M902" s="19" t="n"/>
      <c r="N902" s="19" t="n"/>
      <c r="O902" s="19" t="n"/>
      <c r="P902" s="19" t="n"/>
      <c r="Q902" s="19" t="n"/>
    </row>
    <row r="903" ht="15.75" customHeight="1" s="545">
      <c r="A903" s="19" t="n"/>
      <c r="B903" s="19" t="n"/>
      <c r="C903" s="19" t="n"/>
      <c r="D903" s="19" t="n"/>
      <c r="E903" s="19" t="n"/>
      <c r="F903" s="19" t="n"/>
      <c r="G903" s="19" t="n"/>
      <c r="H903" s="19" t="n"/>
      <c r="I903" s="19" t="n"/>
      <c r="J903" s="19" t="n"/>
      <c r="K903" s="19" t="n"/>
      <c r="L903" s="19" t="n"/>
      <c r="M903" s="19" t="n"/>
      <c r="N903" s="19" t="n"/>
      <c r="O903" s="19" t="n"/>
      <c r="P903" s="19" t="n"/>
      <c r="Q903" s="19" t="n"/>
    </row>
    <row r="904" ht="15.75" customHeight="1" s="545">
      <c r="A904" s="19" t="n"/>
      <c r="B904" s="19" t="n"/>
      <c r="C904" s="19" t="n"/>
      <c r="D904" s="19" t="n"/>
      <c r="E904" s="19" t="n"/>
      <c r="F904" s="19" t="n"/>
      <c r="G904" s="19" t="n"/>
      <c r="H904" s="19" t="n"/>
      <c r="I904" s="19" t="n"/>
      <c r="J904" s="19" t="n"/>
      <c r="K904" s="19" t="n"/>
      <c r="L904" s="19" t="n"/>
      <c r="M904" s="19" t="n"/>
      <c r="N904" s="19" t="n"/>
      <c r="O904" s="19" t="n"/>
      <c r="P904" s="19" t="n"/>
      <c r="Q904" s="19" t="n"/>
    </row>
    <row r="905" ht="15.75" customHeight="1" s="545">
      <c r="A905" s="19" t="n"/>
      <c r="B905" s="19" t="n"/>
      <c r="C905" s="19" t="n"/>
      <c r="D905" s="19" t="n"/>
      <c r="E905" s="19" t="n"/>
      <c r="F905" s="19" t="n"/>
      <c r="G905" s="19" t="n"/>
      <c r="H905" s="19" t="n"/>
      <c r="I905" s="19" t="n"/>
      <c r="J905" s="19" t="n"/>
      <c r="K905" s="19" t="n"/>
      <c r="L905" s="19" t="n"/>
      <c r="M905" s="19" t="n"/>
      <c r="N905" s="19" t="n"/>
      <c r="O905" s="19" t="n"/>
      <c r="P905" s="19" t="n"/>
      <c r="Q905" s="19" t="n"/>
    </row>
    <row r="906" ht="15.75" customHeight="1" s="545">
      <c r="A906" s="19" t="n"/>
      <c r="B906" s="19" t="n"/>
      <c r="C906" s="19" t="n"/>
      <c r="D906" s="19" t="n"/>
      <c r="E906" s="19" t="n"/>
      <c r="F906" s="19" t="n"/>
      <c r="G906" s="19" t="n"/>
      <c r="H906" s="19" t="n"/>
      <c r="I906" s="19" t="n"/>
      <c r="J906" s="19" t="n"/>
      <c r="K906" s="19" t="n"/>
      <c r="L906" s="19" t="n"/>
      <c r="M906" s="19" t="n"/>
      <c r="N906" s="19" t="n"/>
      <c r="O906" s="19" t="n"/>
      <c r="P906" s="19" t="n"/>
      <c r="Q906" s="19" t="n"/>
    </row>
    <row r="907" ht="15.75" customHeight="1" s="545">
      <c r="A907" s="19" t="n"/>
      <c r="B907" s="19" t="n"/>
      <c r="C907" s="19" t="n"/>
      <c r="D907" s="19" t="n"/>
      <c r="E907" s="19" t="n"/>
      <c r="F907" s="19" t="n"/>
      <c r="G907" s="19" t="n"/>
      <c r="H907" s="19" t="n"/>
      <c r="I907" s="19" t="n"/>
      <c r="J907" s="19" t="n"/>
      <c r="K907" s="19" t="n"/>
      <c r="L907" s="19" t="n"/>
      <c r="M907" s="19" t="n"/>
      <c r="N907" s="19" t="n"/>
      <c r="O907" s="19" t="n"/>
      <c r="P907" s="19" t="n"/>
      <c r="Q907" s="19" t="n"/>
    </row>
    <row r="908" ht="15.75" customHeight="1" s="545">
      <c r="A908" s="19" t="n"/>
      <c r="B908" s="19" t="n"/>
      <c r="C908" s="19" t="n"/>
      <c r="D908" s="19" t="n"/>
      <c r="E908" s="19" t="n"/>
      <c r="F908" s="19" t="n"/>
      <c r="G908" s="19" t="n"/>
      <c r="H908" s="19" t="n"/>
      <c r="I908" s="19" t="n"/>
      <c r="J908" s="19" t="n"/>
      <c r="K908" s="19" t="n"/>
      <c r="L908" s="19" t="n"/>
      <c r="M908" s="19" t="n"/>
      <c r="N908" s="19" t="n"/>
      <c r="O908" s="19" t="n"/>
      <c r="P908" s="19" t="n"/>
      <c r="Q908" s="19" t="n"/>
    </row>
    <row r="909" ht="15.75" customHeight="1" s="545">
      <c r="A909" s="19" t="n"/>
      <c r="B909" s="19" t="n"/>
      <c r="C909" s="19" t="n"/>
      <c r="D909" s="19" t="n"/>
      <c r="E909" s="19" t="n"/>
      <c r="F909" s="19" t="n"/>
      <c r="G909" s="19" t="n"/>
      <c r="H909" s="19" t="n"/>
      <c r="I909" s="19" t="n"/>
      <c r="J909" s="19" t="n"/>
      <c r="K909" s="19" t="n"/>
      <c r="L909" s="19" t="n"/>
      <c r="M909" s="19" t="n"/>
      <c r="N909" s="19" t="n"/>
      <c r="O909" s="19" t="n"/>
      <c r="P909" s="19" t="n"/>
      <c r="Q909" s="19" t="n"/>
    </row>
    <row r="910" ht="15.75" customHeight="1" s="545">
      <c r="A910" s="19" t="n"/>
      <c r="B910" s="19" t="n"/>
      <c r="C910" s="19" t="n"/>
      <c r="D910" s="19" t="n"/>
      <c r="E910" s="19" t="n"/>
      <c r="F910" s="19" t="n"/>
      <c r="G910" s="19" t="n"/>
      <c r="H910" s="19" t="n"/>
      <c r="I910" s="19" t="n"/>
      <c r="J910" s="19" t="n"/>
      <c r="K910" s="19" t="n"/>
      <c r="L910" s="19" t="n"/>
      <c r="M910" s="19" t="n"/>
      <c r="N910" s="19" t="n"/>
      <c r="O910" s="19" t="n"/>
      <c r="P910" s="19" t="n"/>
      <c r="Q910" s="19" t="n"/>
    </row>
    <row r="911" ht="15.75" customHeight="1" s="545">
      <c r="A911" s="19" t="n"/>
      <c r="B911" s="19" t="n"/>
      <c r="C911" s="19" t="n"/>
      <c r="D911" s="19" t="n"/>
      <c r="E911" s="19" t="n"/>
      <c r="F911" s="19" t="n"/>
      <c r="G911" s="19" t="n"/>
      <c r="H911" s="19" t="n"/>
      <c r="I911" s="19" t="n"/>
      <c r="J911" s="19" t="n"/>
      <c r="K911" s="19" t="n"/>
      <c r="L911" s="19" t="n"/>
      <c r="M911" s="19" t="n"/>
      <c r="N911" s="19" t="n"/>
      <c r="O911" s="19" t="n"/>
      <c r="P911" s="19" t="n"/>
      <c r="Q911" s="19" t="n"/>
    </row>
    <row r="912" ht="15.75" customHeight="1" s="545">
      <c r="A912" s="19" t="n"/>
      <c r="B912" s="19" t="n"/>
      <c r="C912" s="19" t="n"/>
      <c r="D912" s="19" t="n"/>
      <c r="E912" s="19" t="n"/>
      <c r="F912" s="19" t="n"/>
      <c r="G912" s="19" t="n"/>
      <c r="H912" s="19" t="n"/>
      <c r="I912" s="19" t="n"/>
      <c r="J912" s="19" t="n"/>
      <c r="K912" s="19" t="n"/>
      <c r="L912" s="19" t="n"/>
      <c r="M912" s="19" t="n"/>
      <c r="N912" s="19" t="n"/>
      <c r="O912" s="19" t="n"/>
      <c r="P912" s="19" t="n"/>
      <c r="Q912" s="19" t="n"/>
    </row>
    <row r="913" ht="15.75" customHeight="1" s="545">
      <c r="A913" s="19" t="n"/>
      <c r="B913" s="19" t="n"/>
      <c r="C913" s="19" t="n"/>
      <c r="D913" s="19" t="n"/>
      <c r="E913" s="19" t="n"/>
      <c r="F913" s="19" t="n"/>
      <c r="G913" s="19" t="n"/>
      <c r="H913" s="19" t="n"/>
      <c r="I913" s="19" t="n"/>
      <c r="J913" s="19" t="n"/>
      <c r="K913" s="19" t="n"/>
      <c r="L913" s="19" t="n"/>
      <c r="M913" s="19" t="n"/>
      <c r="N913" s="19" t="n"/>
      <c r="O913" s="19" t="n"/>
      <c r="P913" s="19" t="n"/>
      <c r="Q913" s="19" t="n"/>
    </row>
    <row r="914" ht="15.75" customHeight="1" s="545">
      <c r="A914" s="19" t="n"/>
      <c r="B914" s="19" t="n"/>
      <c r="C914" s="19" t="n"/>
      <c r="D914" s="19" t="n"/>
      <c r="E914" s="19" t="n"/>
      <c r="F914" s="19" t="n"/>
      <c r="G914" s="19" t="n"/>
      <c r="H914" s="19" t="n"/>
      <c r="I914" s="19" t="n"/>
      <c r="J914" s="19" t="n"/>
      <c r="K914" s="19" t="n"/>
      <c r="L914" s="19" t="n"/>
      <c r="M914" s="19" t="n"/>
      <c r="N914" s="19" t="n"/>
      <c r="O914" s="19" t="n"/>
      <c r="P914" s="19" t="n"/>
      <c r="Q914" s="19" t="n"/>
    </row>
    <row r="915" ht="15.75" customHeight="1" s="545">
      <c r="A915" s="19" t="n"/>
      <c r="B915" s="19" t="n"/>
      <c r="C915" s="19" t="n"/>
      <c r="D915" s="19" t="n"/>
      <c r="E915" s="19" t="n"/>
      <c r="F915" s="19" t="n"/>
      <c r="G915" s="19" t="n"/>
      <c r="H915" s="19" t="n"/>
      <c r="I915" s="19" t="n"/>
      <c r="J915" s="19" t="n"/>
      <c r="K915" s="19" t="n"/>
      <c r="L915" s="19" t="n"/>
      <c r="M915" s="19" t="n"/>
      <c r="N915" s="19" t="n"/>
      <c r="O915" s="19" t="n"/>
      <c r="P915" s="19" t="n"/>
      <c r="Q915" s="19" t="n"/>
    </row>
    <row r="916" ht="15.75" customHeight="1" s="545">
      <c r="A916" s="19" t="n"/>
      <c r="B916" s="19" t="n"/>
      <c r="C916" s="19" t="n"/>
      <c r="D916" s="19" t="n"/>
      <c r="E916" s="19" t="n"/>
      <c r="F916" s="19" t="n"/>
      <c r="G916" s="19" t="n"/>
      <c r="H916" s="19" t="n"/>
      <c r="I916" s="19" t="n"/>
      <c r="J916" s="19" t="n"/>
      <c r="K916" s="19" t="n"/>
      <c r="L916" s="19" t="n"/>
      <c r="M916" s="19" t="n"/>
      <c r="N916" s="19" t="n"/>
      <c r="O916" s="19" t="n"/>
      <c r="P916" s="19" t="n"/>
      <c r="Q916" s="19" t="n"/>
    </row>
    <row r="917" ht="15.75" customHeight="1" s="545">
      <c r="A917" s="19" t="n"/>
      <c r="B917" s="19" t="n"/>
      <c r="C917" s="19" t="n"/>
      <c r="D917" s="19" t="n"/>
      <c r="E917" s="19" t="n"/>
      <c r="F917" s="19" t="n"/>
      <c r="G917" s="19" t="n"/>
      <c r="H917" s="19" t="n"/>
      <c r="I917" s="19" t="n"/>
      <c r="J917" s="19" t="n"/>
      <c r="K917" s="19" t="n"/>
      <c r="L917" s="19" t="n"/>
      <c r="M917" s="19" t="n"/>
      <c r="N917" s="19" t="n"/>
      <c r="O917" s="19" t="n"/>
      <c r="P917" s="19" t="n"/>
      <c r="Q917" s="19" t="n"/>
    </row>
    <row r="918" ht="15.75" customHeight="1" s="545">
      <c r="A918" s="19" t="n"/>
      <c r="B918" s="19" t="n"/>
      <c r="C918" s="19" t="n"/>
      <c r="D918" s="19" t="n"/>
      <c r="E918" s="19" t="n"/>
      <c r="F918" s="19" t="n"/>
      <c r="G918" s="19" t="n"/>
      <c r="H918" s="19" t="n"/>
      <c r="I918" s="19" t="n"/>
      <c r="J918" s="19" t="n"/>
      <c r="K918" s="19" t="n"/>
      <c r="L918" s="19" t="n"/>
      <c r="M918" s="19" t="n"/>
      <c r="N918" s="19" t="n"/>
      <c r="O918" s="19" t="n"/>
      <c r="P918" s="19" t="n"/>
      <c r="Q918" s="19" t="n"/>
    </row>
    <row r="919" ht="15.75" customHeight="1" s="545">
      <c r="A919" s="19" t="n"/>
      <c r="B919" s="19" t="n"/>
      <c r="C919" s="19" t="n"/>
      <c r="D919" s="19" t="n"/>
      <c r="E919" s="19" t="n"/>
      <c r="F919" s="19" t="n"/>
      <c r="G919" s="19" t="n"/>
      <c r="H919" s="19" t="n"/>
      <c r="I919" s="19" t="n"/>
      <c r="J919" s="19" t="n"/>
      <c r="K919" s="19" t="n"/>
      <c r="L919" s="19" t="n"/>
      <c r="M919" s="19" t="n"/>
      <c r="N919" s="19" t="n"/>
      <c r="O919" s="19" t="n"/>
      <c r="P919" s="19" t="n"/>
      <c r="Q919" s="19" t="n"/>
    </row>
    <row r="920" ht="15.75" customHeight="1" s="545">
      <c r="A920" s="19" t="n"/>
      <c r="B920" s="19" t="n"/>
      <c r="C920" s="19" t="n"/>
      <c r="D920" s="19" t="n"/>
      <c r="E920" s="19" t="n"/>
      <c r="F920" s="19" t="n"/>
      <c r="G920" s="19" t="n"/>
      <c r="H920" s="19" t="n"/>
      <c r="I920" s="19" t="n"/>
      <c r="J920" s="19" t="n"/>
      <c r="K920" s="19" t="n"/>
      <c r="L920" s="19" t="n"/>
      <c r="M920" s="19" t="n"/>
      <c r="N920" s="19" t="n"/>
      <c r="O920" s="19" t="n"/>
      <c r="P920" s="19" t="n"/>
      <c r="Q920" s="19" t="n"/>
    </row>
    <row r="921" ht="15.75" customHeight="1" s="545">
      <c r="A921" s="19" t="n"/>
      <c r="B921" s="19" t="n"/>
      <c r="C921" s="19" t="n"/>
      <c r="D921" s="19" t="n"/>
      <c r="E921" s="19" t="n"/>
      <c r="F921" s="19" t="n"/>
      <c r="G921" s="19" t="n"/>
      <c r="H921" s="19" t="n"/>
      <c r="I921" s="19" t="n"/>
      <c r="J921" s="19" t="n"/>
      <c r="K921" s="19" t="n"/>
      <c r="L921" s="19" t="n"/>
      <c r="M921" s="19" t="n"/>
      <c r="N921" s="19" t="n"/>
      <c r="O921" s="19" t="n"/>
      <c r="P921" s="19" t="n"/>
      <c r="Q921" s="19" t="n"/>
    </row>
    <row r="922" ht="15.75" customHeight="1" s="545">
      <c r="A922" s="19" t="n"/>
      <c r="B922" s="19" t="n"/>
      <c r="C922" s="19" t="n"/>
      <c r="D922" s="19" t="n"/>
      <c r="E922" s="19" t="n"/>
      <c r="F922" s="19" t="n"/>
      <c r="G922" s="19" t="n"/>
      <c r="H922" s="19" t="n"/>
      <c r="I922" s="19" t="n"/>
      <c r="J922" s="19" t="n"/>
      <c r="K922" s="19" t="n"/>
      <c r="L922" s="19" t="n"/>
      <c r="M922" s="19" t="n"/>
      <c r="N922" s="19" t="n"/>
      <c r="O922" s="19" t="n"/>
      <c r="P922" s="19" t="n"/>
      <c r="Q922" s="19" t="n"/>
    </row>
    <row r="923" ht="15.75" customHeight="1" s="545">
      <c r="A923" s="19" t="n"/>
      <c r="B923" s="19" t="n"/>
      <c r="C923" s="19" t="n"/>
      <c r="D923" s="19" t="n"/>
      <c r="E923" s="19" t="n"/>
      <c r="F923" s="19" t="n"/>
      <c r="G923" s="19" t="n"/>
      <c r="H923" s="19" t="n"/>
      <c r="I923" s="19" t="n"/>
      <c r="J923" s="19" t="n"/>
      <c r="K923" s="19" t="n"/>
      <c r="L923" s="19" t="n"/>
      <c r="M923" s="19" t="n"/>
      <c r="N923" s="19" t="n"/>
      <c r="O923" s="19" t="n"/>
      <c r="P923" s="19" t="n"/>
      <c r="Q923" s="19" t="n"/>
    </row>
    <row r="924" ht="15.75" customHeight="1" s="545">
      <c r="A924" s="19" t="n"/>
      <c r="B924" s="19" t="n"/>
      <c r="C924" s="19" t="n"/>
      <c r="D924" s="19" t="n"/>
      <c r="E924" s="19" t="n"/>
      <c r="F924" s="19" t="n"/>
      <c r="G924" s="19" t="n"/>
      <c r="H924" s="19" t="n"/>
      <c r="I924" s="19" t="n"/>
      <c r="J924" s="19" t="n"/>
      <c r="K924" s="19" t="n"/>
      <c r="L924" s="19" t="n"/>
      <c r="M924" s="19" t="n"/>
      <c r="N924" s="19" t="n"/>
      <c r="O924" s="19" t="n"/>
      <c r="P924" s="19" t="n"/>
      <c r="Q924" s="19" t="n"/>
    </row>
    <row r="925" ht="15.75" customHeight="1" s="545">
      <c r="A925" s="19" t="n"/>
      <c r="B925" s="19" t="n"/>
      <c r="C925" s="19" t="n"/>
      <c r="D925" s="19" t="n"/>
      <c r="E925" s="19" t="n"/>
      <c r="F925" s="19" t="n"/>
      <c r="G925" s="19" t="n"/>
      <c r="H925" s="19" t="n"/>
      <c r="I925" s="19" t="n"/>
      <c r="J925" s="19" t="n"/>
      <c r="K925" s="19" t="n"/>
      <c r="L925" s="19" t="n"/>
      <c r="M925" s="19" t="n"/>
      <c r="N925" s="19" t="n"/>
      <c r="O925" s="19" t="n"/>
      <c r="P925" s="19" t="n"/>
      <c r="Q925" s="19" t="n"/>
    </row>
    <row r="926" ht="15.75" customHeight="1" s="545">
      <c r="A926" s="19" t="n"/>
      <c r="B926" s="19" t="n"/>
      <c r="C926" s="19" t="n"/>
      <c r="D926" s="19" t="n"/>
      <c r="E926" s="19" t="n"/>
      <c r="F926" s="19" t="n"/>
      <c r="G926" s="19" t="n"/>
      <c r="H926" s="19" t="n"/>
      <c r="I926" s="19" t="n"/>
      <c r="J926" s="19" t="n"/>
      <c r="K926" s="19" t="n"/>
      <c r="L926" s="19" t="n"/>
      <c r="M926" s="19" t="n"/>
      <c r="N926" s="19" t="n"/>
      <c r="O926" s="19" t="n"/>
      <c r="P926" s="19" t="n"/>
      <c r="Q926" s="19" t="n"/>
    </row>
    <row r="927" ht="15.75" customHeight="1" s="545">
      <c r="A927" s="19" t="n"/>
      <c r="B927" s="19" t="n"/>
      <c r="C927" s="19" t="n"/>
      <c r="D927" s="19" t="n"/>
      <c r="E927" s="19" t="n"/>
      <c r="F927" s="19" t="n"/>
      <c r="G927" s="19" t="n"/>
      <c r="H927" s="19" t="n"/>
      <c r="I927" s="19" t="n"/>
      <c r="J927" s="19" t="n"/>
      <c r="K927" s="19" t="n"/>
      <c r="L927" s="19" t="n"/>
      <c r="M927" s="19" t="n"/>
      <c r="N927" s="19" t="n"/>
      <c r="O927" s="19" t="n"/>
      <c r="P927" s="19" t="n"/>
      <c r="Q927" s="19" t="n"/>
    </row>
    <row r="928" ht="15.75" customHeight="1" s="545">
      <c r="A928" s="19" t="n"/>
      <c r="B928" s="19" t="n"/>
      <c r="C928" s="19" t="n"/>
      <c r="D928" s="19" t="n"/>
      <c r="E928" s="19" t="n"/>
      <c r="F928" s="19" t="n"/>
      <c r="G928" s="19" t="n"/>
      <c r="H928" s="19" t="n"/>
      <c r="I928" s="19" t="n"/>
      <c r="J928" s="19" t="n"/>
      <c r="K928" s="19" t="n"/>
      <c r="L928" s="19" t="n"/>
      <c r="M928" s="19" t="n"/>
      <c r="N928" s="19" t="n"/>
      <c r="O928" s="19" t="n"/>
      <c r="P928" s="19" t="n"/>
      <c r="Q928" s="19" t="n"/>
    </row>
    <row r="929" ht="15.75" customHeight="1" s="545">
      <c r="A929" s="19" t="n"/>
      <c r="B929" s="19" t="n"/>
      <c r="C929" s="19" t="n"/>
      <c r="D929" s="19" t="n"/>
      <c r="E929" s="19" t="n"/>
      <c r="F929" s="19" t="n"/>
      <c r="G929" s="19" t="n"/>
      <c r="H929" s="19" t="n"/>
      <c r="I929" s="19" t="n"/>
      <c r="J929" s="19" t="n"/>
      <c r="K929" s="19" t="n"/>
      <c r="L929" s="19" t="n"/>
      <c r="M929" s="19" t="n"/>
      <c r="N929" s="19" t="n"/>
      <c r="O929" s="19" t="n"/>
      <c r="P929" s="19" t="n"/>
      <c r="Q929" s="19" t="n"/>
    </row>
    <row r="930" ht="15.75" customHeight="1" s="545">
      <c r="A930" s="19" t="n"/>
      <c r="B930" s="19" t="n"/>
      <c r="C930" s="19" t="n"/>
      <c r="D930" s="19" t="n"/>
      <c r="E930" s="19" t="n"/>
      <c r="F930" s="19" t="n"/>
      <c r="G930" s="19" t="n"/>
      <c r="H930" s="19" t="n"/>
      <c r="I930" s="19" t="n"/>
      <c r="J930" s="19" t="n"/>
      <c r="K930" s="19" t="n"/>
      <c r="L930" s="19" t="n"/>
      <c r="M930" s="19" t="n"/>
      <c r="N930" s="19" t="n"/>
      <c r="O930" s="19" t="n"/>
      <c r="P930" s="19" t="n"/>
      <c r="Q930" s="19" t="n"/>
    </row>
    <row r="931" ht="15.75" customHeight="1" s="545">
      <c r="A931" s="19" t="n"/>
      <c r="B931" s="19" t="n"/>
      <c r="C931" s="19" t="n"/>
      <c r="D931" s="19" t="n"/>
      <c r="E931" s="19" t="n"/>
      <c r="F931" s="19" t="n"/>
      <c r="G931" s="19" t="n"/>
      <c r="H931" s="19" t="n"/>
      <c r="I931" s="19" t="n"/>
      <c r="J931" s="19" t="n"/>
      <c r="K931" s="19" t="n"/>
      <c r="L931" s="19" t="n"/>
      <c r="M931" s="19" t="n"/>
      <c r="N931" s="19" t="n"/>
      <c r="O931" s="19" t="n"/>
      <c r="P931" s="19" t="n"/>
      <c r="Q931" s="19" t="n"/>
    </row>
    <row r="932" ht="15.75" customHeight="1" s="545">
      <c r="A932" s="19" t="n"/>
      <c r="B932" s="19" t="n"/>
      <c r="C932" s="19" t="n"/>
      <c r="D932" s="19" t="n"/>
      <c r="E932" s="19" t="n"/>
      <c r="F932" s="19" t="n"/>
      <c r="G932" s="19" t="n"/>
      <c r="H932" s="19" t="n"/>
      <c r="I932" s="19" t="n"/>
      <c r="J932" s="19" t="n"/>
      <c r="K932" s="19" t="n"/>
      <c r="L932" s="19" t="n"/>
      <c r="M932" s="19" t="n"/>
      <c r="N932" s="19" t="n"/>
      <c r="O932" s="19" t="n"/>
      <c r="P932" s="19" t="n"/>
      <c r="Q932" s="19" t="n"/>
    </row>
    <row r="933" ht="15.75" customHeight="1" s="545">
      <c r="A933" s="19" t="n"/>
      <c r="B933" s="19" t="n"/>
      <c r="C933" s="19" t="n"/>
      <c r="D933" s="19" t="n"/>
      <c r="E933" s="19" t="n"/>
      <c r="F933" s="19" t="n"/>
      <c r="G933" s="19" t="n"/>
      <c r="H933" s="19" t="n"/>
      <c r="I933" s="19" t="n"/>
      <c r="J933" s="19" t="n"/>
      <c r="K933" s="19" t="n"/>
      <c r="L933" s="19" t="n"/>
      <c r="M933" s="19" t="n"/>
      <c r="N933" s="19" t="n"/>
      <c r="O933" s="19" t="n"/>
      <c r="P933" s="19" t="n"/>
      <c r="Q933" s="19" t="n"/>
    </row>
    <row r="934" ht="15.75" customHeight="1" s="545">
      <c r="A934" s="19" t="n"/>
      <c r="B934" s="19" t="n"/>
      <c r="C934" s="19" t="n"/>
      <c r="D934" s="19" t="n"/>
      <c r="E934" s="19" t="n"/>
      <c r="F934" s="19" t="n"/>
      <c r="G934" s="19" t="n"/>
      <c r="H934" s="19" t="n"/>
      <c r="I934" s="19" t="n"/>
      <c r="J934" s="19" t="n"/>
      <c r="K934" s="19" t="n"/>
      <c r="L934" s="19" t="n"/>
      <c r="M934" s="19" t="n"/>
      <c r="N934" s="19" t="n"/>
      <c r="O934" s="19" t="n"/>
      <c r="P934" s="19" t="n"/>
      <c r="Q934" s="19" t="n"/>
    </row>
    <row r="935" ht="15.75" customHeight="1" s="545">
      <c r="A935" s="19" t="n"/>
      <c r="B935" s="19" t="n"/>
      <c r="C935" s="19" t="n"/>
      <c r="D935" s="19" t="n"/>
      <c r="E935" s="19" t="n"/>
      <c r="F935" s="19" t="n"/>
      <c r="G935" s="19" t="n"/>
      <c r="H935" s="19" t="n"/>
      <c r="I935" s="19" t="n"/>
      <c r="J935" s="19" t="n"/>
      <c r="K935" s="19" t="n"/>
      <c r="L935" s="19" t="n"/>
      <c r="M935" s="19" t="n"/>
      <c r="N935" s="19" t="n"/>
      <c r="O935" s="19" t="n"/>
      <c r="P935" s="19" t="n"/>
      <c r="Q935" s="19" t="n"/>
    </row>
    <row r="936" ht="15.75" customHeight="1" s="545">
      <c r="A936" s="19" t="n"/>
      <c r="B936" s="19" t="n"/>
      <c r="C936" s="19" t="n"/>
      <c r="D936" s="19" t="n"/>
      <c r="E936" s="19" t="n"/>
      <c r="F936" s="19" t="n"/>
      <c r="G936" s="19" t="n"/>
      <c r="H936" s="19" t="n"/>
      <c r="I936" s="19" t="n"/>
      <c r="J936" s="19" t="n"/>
      <c r="K936" s="19" t="n"/>
      <c r="L936" s="19" t="n"/>
      <c r="M936" s="19" t="n"/>
      <c r="N936" s="19" t="n"/>
      <c r="O936" s="19" t="n"/>
      <c r="P936" s="19" t="n"/>
      <c r="Q936" s="19" t="n"/>
    </row>
    <row r="937" ht="15.75" customHeight="1" s="545">
      <c r="A937" s="19" t="n"/>
      <c r="B937" s="19" t="n"/>
      <c r="C937" s="19" t="n"/>
      <c r="D937" s="19" t="n"/>
      <c r="E937" s="19" t="n"/>
      <c r="F937" s="19" t="n"/>
      <c r="G937" s="19" t="n"/>
      <c r="H937" s="19" t="n"/>
      <c r="I937" s="19" t="n"/>
      <c r="J937" s="19" t="n"/>
      <c r="K937" s="19" t="n"/>
      <c r="L937" s="19" t="n"/>
      <c r="M937" s="19" t="n"/>
      <c r="N937" s="19" t="n"/>
      <c r="O937" s="19" t="n"/>
      <c r="P937" s="19" t="n"/>
      <c r="Q937" s="19" t="n"/>
    </row>
    <row r="938" ht="15.75" customHeight="1" s="545">
      <c r="A938" s="19" t="n"/>
      <c r="B938" s="19" t="n"/>
      <c r="C938" s="19" t="n"/>
      <c r="D938" s="19" t="n"/>
      <c r="E938" s="19" t="n"/>
      <c r="F938" s="19" t="n"/>
      <c r="G938" s="19" t="n"/>
      <c r="H938" s="19" t="n"/>
      <c r="I938" s="19" t="n"/>
      <c r="J938" s="19" t="n"/>
      <c r="K938" s="19" t="n"/>
      <c r="L938" s="19" t="n"/>
      <c r="M938" s="19" t="n"/>
      <c r="N938" s="19" t="n"/>
      <c r="O938" s="19" t="n"/>
      <c r="P938" s="19" t="n"/>
      <c r="Q938" s="19" t="n"/>
    </row>
    <row r="939" ht="15.75" customHeight="1" s="545">
      <c r="A939" s="19" t="n"/>
      <c r="B939" s="19" t="n"/>
      <c r="C939" s="19" t="n"/>
      <c r="D939" s="19" t="n"/>
      <c r="E939" s="19" t="n"/>
      <c r="F939" s="19" t="n"/>
      <c r="G939" s="19" t="n"/>
      <c r="H939" s="19" t="n"/>
      <c r="I939" s="19" t="n"/>
      <c r="J939" s="19" t="n"/>
      <c r="K939" s="19" t="n"/>
      <c r="L939" s="19" t="n"/>
      <c r="M939" s="19" t="n"/>
      <c r="N939" s="19" t="n"/>
      <c r="O939" s="19" t="n"/>
      <c r="P939" s="19" t="n"/>
      <c r="Q939" s="19" t="n"/>
    </row>
    <row r="940" ht="15.75" customHeight="1" s="545">
      <c r="A940" s="19" t="n"/>
      <c r="B940" s="19" t="n"/>
      <c r="C940" s="19" t="n"/>
      <c r="D940" s="19" t="n"/>
      <c r="E940" s="19" t="n"/>
      <c r="F940" s="19" t="n"/>
      <c r="G940" s="19" t="n"/>
      <c r="H940" s="19" t="n"/>
      <c r="I940" s="19" t="n"/>
      <c r="J940" s="19" t="n"/>
      <c r="K940" s="19" t="n"/>
      <c r="L940" s="19" t="n"/>
      <c r="M940" s="19" t="n"/>
      <c r="N940" s="19" t="n"/>
      <c r="O940" s="19" t="n"/>
      <c r="P940" s="19" t="n"/>
      <c r="Q940" s="19" t="n"/>
    </row>
    <row r="941" ht="15.75" customHeight="1" s="545">
      <c r="A941" s="19" t="n"/>
      <c r="B941" s="19" t="n"/>
      <c r="C941" s="19" t="n"/>
      <c r="D941" s="19" t="n"/>
      <c r="E941" s="19" t="n"/>
      <c r="F941" s="19" t="n"/>
      <c r="G941" s="19" t="n"/>
      <c r="H941" s="19" t="n"/>
      <c r="I941" s="19" t="n"/>
      <c r="J941" s="19" t="n"/>
      <c r="K941" s="19" t="n"/>
      <c r="L941" s="19" t="n"/>
      <c r="M941" s="19" t="n"/>
      <c r="N941" s="19" t="n"/>
      <c r="O941" s="19" t="n"/>
      <c r="P941" s="19" t="n"/>
      <c r="Q941" s="19" t="n"/>
    </row>
    <row r="942" ht="15.75" customHeight="1" s="545">
      <c r="A942" s="19" t="n"/>
      <c r="B942" s="19" t="n"/>
      <c r="C942" s="19" t="n"/>
      <c r="D942" s="19" t="n"/>
      <c r="E942" s="19" t="n"/>
      <c r="F942" s="19" t="n"/>
      <c r="G942" s="19" t="n"/>
      <c r="H942" s="19" t="n"/>
      <c r="I942" s="19" t="n"/>
      <c r="J942" s="19" t="n"/>
      <c r="K942" s="19" t="n"/>
      <c r="L942" s="19" t="n"/>
      <c r="M942" s="19" t="n"/>
      <c r="N942" s="19" t="n"/>
      <c r="O942" s="19" t="n"/>
      <c r="P942" s="19" t="n"/>
      <c r="Q942" s="19" t="n"/>
    </row>
    <row r="943" ht="15.75" customHeight="1" s="545">
      <c r="A943" s="19" t="n"/>
      <c r="B943" s="19" t="n"/>
      <c r="C943" s="19" t="n"/>
      <c r="D943" s="19" t="n"/>
      <c r="E943" s="19" t="n"/>
      <c r="F943" s="19" t="n"/>
      <c r="G943" s="19" t="n"/>
      <c r="H943" s="19" t="n"/>
      <c r="I943" s="19" t="n"/>
      <c r="J943" s="19" t="n"/>
      <c r="K943" s="19" t="n"/>
      <c r="L943" s="19" t="n"/>
      <c r="M943" s="19" t="n"/>
      <c r="N943" s="19" t="n"/>
      <c r="O943" s="19" t="n"/>
      <c r="P943" s="19" t="n"/>
      <c r="Q943" s="19" t="n"/>
    </row>
    <row r="944" ht="15.75" customHeight="1" s="545">
      <c r="A944" s="19" t="n"/>
      <c r="B944" s="19" t="n"/>
      <c r="C944" s="19" t="n"/>
      <c r="D944" s="19" t="n"/>
      <c r="E944" s="19" t="n"/>
      <c r="F944" s="19" t="n"/>
      <c r="G944" s="19" t="n"/>
      <c r="H944" s="19" t="n"/>
      <c r="I944" s="19" t="n"/>
      <c r="J944" s="19" t="n"/>
      <c r="K944" s="19" t="n"/>
      <c r="L944" s="19" t="n"/>
      <c r="M944" s="19" t="n"/>
      <c r="N944" s="19" t="n"/>
      <c r="O944" s="19" t="n"/>
      <c r="P944" s="19" t="n"/>
      <c r="Q944" s="19" t="n"/>
    </row>
    <row r="945" ht="15.75" customHeight="1" s="545">
      <c r="A945" s="19" t="n"/>
      <c r="B945" s="19" t="n"/>
      <c r="C945" s="19" t="n"/>
      <c r="D945" s="19" t="n"/>
      <c r="E945" s="19" t="n"/>
      <c r="F945" s="19" t="n"/>
      <c r="G945" s="19" t="n"/>
      <c r="H945" s="19" t="n"/>
      <c r="I945" s="19" t="n"/>
      <c r="J945" s="19" t="n"/>
      <c r="K945" s="19" t="n"/>
      <c r="L945" s="19" t="n"/>
      <c r="M945" s="19" t="n"/>
      <c r="N945" s="19" t="n"/>
      <c r="O945" s="19" t="n"/>
      <c r="P945" s="19" t="n"/>
      <c r="Q945" s="19" t="n"/>
    </row>
    <row r="946" ht="15.75" customHeight="1" s="545">
      <c r="A946" s="19" t="n"/>
      <c r="B946" s="19" t="n"/>
      <c r="C946" s="19" t="n"/>
      <c r="D946" s="19" t="n"/>
      <c r="E946" s="19" t="n"/>
      <c r="F946" s="19" t="n"/>
      <c r="G946" s="19" t="n"/>
      <c r="H946" s="19" t="n"/>
      <c r="I946" s="19" t="n"/>
      <c r="J946" s="19" t="n"/>
      <c r="K946" s="19" t="n"/>
      <c r="L946" s="19" t="n"/>
      <c r="M946" s="19" t="n"/>
      <c r="N946" s="19" t="n"/>
      <c r="O946" s="19" t="n"/>
      <c r="P946" s="19" t="n"/>
      <c r="Q946" s="19" t="n"/>
    </row>
    <row r="947" ht="15.75" customHeight="1" s="545">
      <c r="A947" s="19" t="n"/>
      <c r="B947" s="19" t="n"/>
      <c r="C947" s="19" t="n"/>
      <c r="D947" s="19" t="n"/>
      <c r="E947" s="19" t="n"/>
      <c r="F947" s="19" t="n"/>
      <c r="G947" s="19" t="n"/>
      <c r="H947" s="19" t="n"/>
      <c r="I947" s="19" t="n"/>
      <c r="J947" s="19" t="n"/>
      <c r="K947" s="19" t="n"/>
      <c r="L947" s="19" t="n"/>
      <c r="M947" s="19" t="n"/>
      <c r="N947" s="19" t="n"/>
      <c r="O947" s="19" t="n"/>
      <c r="P947" s="19" t="n"/>
      <c r="Q947" s="19" t="n"/>
    </row>
    <row r="948" ht="15.75" customHeight="1" s="545">
      <c r="A948" s="19" t="n"/>
      <c r="B948" s="19" t="n"/>
      <c r="C948" s="19" t="n"/>
      <c r="D948" s="19" t="n"/>
      <c r="E948" s="19" t="n"/>
      <c r="F948" s="19" t="n"/>
      <c r="G948" s="19" t="n"/>
      <c r="H948" s="19" t="n"/>
      <c r="I948" s="19" t="n"/>
      <c r="J948" s="19" t="n"/>
      <c r="K948" s="19" t="n"/>
      <c r="L948" s="19" t="n"/>
      <c r="M948" s="19" t="n"/>
      <c r="N948" s="19" t="n"/>
      <c r="O948" s="19" t="n"/>
      <c r="P948" s="19" t="n"/>
      <c r="Q948" s="19" t="n"/>
    </row>
    <row r="949" ht="15.75" customHeight="1" s="545">
      <c r="A949" s="19" t="n"/>
      <c r="B949" s="19" t="n"/>
      <c r="C949" s="19" t="n"/>
      <c r="D949" s="19" t="n"/>
      <c r="E949" s="19" t="n"/>
      <c r="F949" s="19" t="n"/>
      <c r="G949" s="19" t="n"/>
      <c r="H949" s="19" t="n"/>
      <c r="I949" s="19" t="n"/>
      <c r="J949" s="19" t="n"/>
      <c r="K949" s="19" t="n"/>
      <c r="L949" s="19" t="n"/>
      <c r="M949" s="19" t="n"/>
      <c r="N949" s="19" t="n"/>
      <c r="O949" s="19" t="n"/>
      <c r="P949" s="19" t="n"/>
      <c r="Q949" s="19" t="n"/>
    </row>
    <row r="950" ht="15.75" customHeight="1" s="545">
      <c r="A950" s="19" t="n"/>
      <c r="B950" s="19" t="n"/>
      <c r="C950" s="19" t="n"/>
      <c r="D950" s="19" t="n"/>
      <c r="E950" s="19" t="n"/>
      <c r="F950" s="19" t="n"/>
      <c r="G950" s="19" t="n"/>
      <c r="H950" s="19" t="n"/>
      <c r="I950" s="19" t="n"/>
      <c r="J950" s="19" t="n"/>
      <c r="K950" s="19" t="n"/>
      <c r="L950" s="19" t="n"/>
      <c r="M950" s="19" t="n"/>
      <c r="N950" s="19" t="n"/>
      <c r="O950" s="19" t="n"/>
      <c r="P950" s="19" t="n"/>
      <c r="Q950" s="19" t="n"/>
    </row>
    <row r="951" ht="15.75" customHeight="1" s="545">
      <c r="A951" s="19" t="n"/>
      <c r="B951" s="19" t="n"/>
      <c r="C951" s="19" t="n"/>
      <c r="D951" s="19" t="n"/>
      <c r="E951" s="19" t="n"/>
      <c r="F951" s="19" t="n"/>
      <c r="G951" s="19" t="n"/>
      <c r="H951" s="19" t="n"/>
      <c r="I951" s="19" t="n"/>
      <c r="J951" s="19" t="n"/>
      <c r="K951" s="19" t="n"/>
      <c r="L951" s="19" t="n"/>
      <c r="M951" s="19" t="n"/>
      <c r="N951" s="19" t="n"/>
      <c r="O951" s="19" t="n"/>
      <c r="P951" s="19" t="n"/>
      <c r="Q951" s="19" t="n"/>
    </row>
    <row r="952" ht="15.75" customHeight="1" s="545">
      <c r="A952" s="19" t="n"/>
      <c r="B952" s="19" t="n"/>
      <c r="C952" s="19" t="n"/>
      <c r="D952" s="19" t="n"/>
      <c r="E952" s="19" t="n"/>
      <c r="F952" s="19" t="n"/>
      <c r="G952" s="19" t="n"/>
      <c r="H952" s="19" t="n"/>
      <c r="I952" s="19" t="n"/>
      <c r="J952" s="19" t="n"/>
      <c r="K952" s="19" t="n"/>
      <c r="L952" s="19" t="n"/>
      <c r="M952" s="19" t="n"/>
      <c r="N952" s="19" t="n"/>
      <c r="O952" s="19" t="n"/>
      <c r="P952" s="19" t="n"/>
      <c r="Q952" s="19" t="n"/>
    </row>
    <row r="953" ht="15.75" customHeight="1" s="545">
      <c r="A953" s="19" t="n"/>
      <c r="B953" s="19" t="n"/>
      <c r="C953" s="19" t="n"/>
      <c r="D953" s="19" t="n"/>
      <c r="E953" s="19" t="n"/>
      <c r="F953" s="19" t="n"/>
      <c r="G953" s="19" t="n"/>
      <c r="H953" s="19" t="n"/>
      <c r="I953" s="19" t="n"/>
      <c r="J953" s="19" t="n"/>
      <c r="K953" s="19" t="n"/>
      <c r="L953" s="19" t="n"/>
      <c r="M953" s="19" t="n"/>
      <c r="N953" s="19" t="n"/>
      <c r="O953" s="19" t="n"/>
      <c r="P953" s="19" t="n"/>
      <c r="Q953" s="19" t="n"/>
    </row>
    <row r="954" ht="15.75" customHeight="1" s="545">
      <c r="A954" s="19" t="n"/>
      <c r="B954" s="19" t="n"/>
      <c r="C954" s="19" t="n"/>
      <c r="D954" s="19" t="n"/>
      <c r="E954" s="19" t="n"/>
      <c r="F954" s="19" t="n"/>
      <c r="G954" s="19" t="n"/>
      <c r="H954" s="19" t="n"/>
      <c r="I954" s="19" t="n"/>
      <c r="J954" s="19" t="n"/>
      <c r="K954" s="19" t="n"/>
      <c r="L954" s="19" t="n"/>
      <c r="M954" s="19" t="n"/>
      <c r="N954" s="19" t="n"/>
      <c r="O954" s="19" t="n"/>
      <c r="P954" s="19" t="n"/>
      <c r="Q954" s="19" t="n"/>
    </row>
    <row r="955" ht="15.75" customHeight="1" s="545">
      <c r="A955" s="19" t="n"/>
      <c r="B955" s="19" t="n"/>
      <c r="C955" s="19" t="n"/>
      <c r="D955" s="19" t="n"/>
      <c r="E955" s="19" t="n"/>
      <c r="F955" s="19" t="n"/>
      <c r="G955" s="19" t="n"/>
      <c r="H955" s="19" t="n"/>
      <c r="I955" s="19" t="n"/>
      <c r="J955" s="19" t="n"/>
      <c r="K955" s="19" t="n"/>
      <c r="L955" s="19" t="n"/>
      <c r="M955" s="19" t="n"/>
      <c r="N955" s="19" t="n"/>
      <c r="O955" s="19" t="n"/>
      <c r="P955" s="19" t="n"/>
      <c r="Q955" s="19" t="n"/>
    </row>
    <row r="956" ht="15.75" customHeight="1" s="545">
      <c r="A956" s="19" t="n"/>
      <c r="B956" s="19" t="n"/>
      <c r="C956" s="19" t="n"/>
      <c r="D956" s="19" t="n"/>
      <c r="E956" s="19" t="n"/>
      <c r="F956" s="19" t="n"/>
      <c r="G956" s="19" t="n"/>
      <c r="H956" s="19" t="n"/>
      <c r="I956" s="19" t="n"/>
      <c r="J956" s="19" t="n"/>
      <c r="K956" s="19" t="n"/>
      <c r="L956" s="19" t="n"/>
      <c r="M956" s="19" t="n"/>
      <c r="N956" s="19" t="n"/>
      <c r="O956" s="19" t="n"/>
      <c r="P956" s="19" t="n"/>
      <c r="Q956" s="19" t="n"/>
    </row>
    <row r="957" ht="15.75" customHeight="1" s="545">
      <c r="A957" s="19" t="n"/>
      <c r="B957" s="19" t="n"/>
      <c r="C957" s="19" t="n"/>
      <c r="D957" s="19" t="n"/>
      <c r="E957" s="19" t="n"/>
      <c r="F957" s="19" t="n"/>
      <c r="G957" s="19" t="n"/>
      <c r="H957" s="19" t="n"/>
      <c r="I957" s="19" t="n"/>
      <c r="J957" s="19" t="n"/>
      <c r="K957" s="19" t="n"/>
      <c r="L957" s="19" t="n"/>
      <c r="M957" s="19" t="n"/>
      <c r="N957" s="19" t="n"/>
      <c r="O957" s="19" t="n"/>
      <c r="P957" s="19" t="n"/>
      <c r="Q957" s="19" t="n"/>
    </row>
    <row r="958" ht="15.75" customHeight="1" s="545">
      <c r="A958" s="19" t="n"/>
      <c r="B958" s="19" t="n"/>
      <c r="C958" s="19" t="n"/>
      <c r="D958" s="19" t="n"/>
      <c r="E958" s="19" t="n"/>
      <c r="F958" s="19" t="n"/>
      <c r="G958" s="19" t="n"/>
      <c r="H958" s="19" t="n"/>
      <c r="I958" s="19" t="n"/>
      <c r="J958" s="19" t="n"/>
      <c r="K958" s="19" t="n"/>
      <c r="L958" s="19" t="n"/>
      <c r="M958" s="19" t="n"/>
      <c r="N958" s="19" t="n"/>
      <c r="O958" s="19" t="n"/>
      <c r="P958" s="19" t="n"/>
      <c r="Q958" s="19" t="n"/>
    </row>
    <row r="959" ht="15.75" customHeight="1" s="545">
      <c r="A959" s="19" t="n"/>
      <c r="B959" s="19" t="n"/>
      <c r="C959" s="19" t="n"/>
      <c r="D959" s="19" t="n"/>
      <c r="E959" s="19" t="n"/>
      <c r="F959" s="19" t="n"/>
      <c r="G959" s="19" t="n"/>
      <c r="H959" s="19" t="n"/>
      <c r="I959" s="19" t="n"/>
      <c r="J959" s="19" t="n"/>
      <c r="K959" s="19" t="n"/>
      <c r="L959" s="19" t="n"/>
      <c r="M959" s="19" t="n"/>
      <c r="N959" s="19" t="n"/>
      <c r="O959" s="19" t="n"/>
      <c r="P959" s="19" t="n"/>
      <c r="Q959" s="19" t="n"/>
    </row>
    <row r="960" ht="15.75" customHeight="1" s="545">
      <c r="A960" s="19" t="n"/>
      <c r="B960" s="19" t="n"/>
      <c r="C960" s="19" t="n"/>
      <c r="D960" s="19" t="n"/>
      <c r="E960" s="19" t="n"/>
      <c r="F960" s="19" t="n"/>
      <c r="G960" s="19" t="n"/>
      <c r="H960" s="19" t="n"/>
      <c r="I960" s="19" t="n"/>
      <c r="J960" s="19" t="n"/>
      <c r="K960" s="19" t="n"/>
      <c r="L960" s="19" t="n"/>
      <c r="M960" s="19" t="n"/>
      <c r="N960" s="19" t="n"/>
      <c r="O960" s="19" t="n"/>
      <c r="P960" s="19" t="n"/>
      <c r="Q960" s="19" t="n"/>
    </row>
    <row r="961" ht="15.75" customHeight="1" s="545">
      <c r="A961" s="19" t="n"/>
      <c r="B961" s="19" t="n"/>
      <c r="C961" s="19" t="n"/>
      <c r="D961" s="19" t="n"/>
      <c r="E961" s="19" t="n"/>
      <c r="F961" s="19" t="n"/>
      <c r="G961" s="19" t="n"/>
      <c r="H961" s="19" t="n"/>
      <c r="I961" s="19" t="n"/>
      <c r="J961" s="19" t="n"/>
      <c r="K961" s="19" t="n"/>
      <c r="L961" s="19" t="n"/>
      <c r="M961" s="19" t="n"/>
      <c r="N961" s="19" t="n"/>
      <c r="O961" s="19" t="n"/>
      <c r="P961" s="19" t="n"/>
      <c r="Q961" s="19" t="n"/>
    </row>
    <row r="962" ht="15.75" customHeight="1" s="545">
      <c r="A962" s="19" t="n"/>
      <c r="B962" s="19" t="n"/>
      <c r="C962" s="19" t="n"/>
      <c r="D962" s="19" t="n"/>
      <c r="E962" s="19" t="n"/>
      <c r="F962" s="19" t="n"/>
      <c r="G962" s="19" t="n"/>
      <c r="H962" s="19" t="n"/>
      <c r="I962" s="19" t="n"/>
      <c r="J962" s="19" t="n"/>
      <c r="K962" s="19" t="n"/>
      <c r="L962" s="19" t="n"/>
      <c r="M962" s="19" t="n"/>
      <c r="N962" s="19" t="n"/>
      <c r="O962" s="19" t="n"/>
      <c r="P962" s="19" t="n"/>
      <c r="Q962" s="19" t="n"/>
    </row>
    <row r="963" ht="15.75" customHeight="1" s="545">
      <c r="A963" s="19" t="n"/>
      <c r="B963" s="19" t="n"/>
      <c r="C963" s="19" t="n"/>
      <c r="D963" s="19" t="n"/>
      <c r="E963" s="19" t="n"/>
      <c r="F963" s="19" t="n"/>
      <c r="G963" s="19" t="n"/>
      <c r="H963" s="19" t="n"/>
      <c r="I963" s="19" t="n"/>
      <c r="J963" s="19" t="n"/>
      <c r="K963" s="19" t="n"/>
      <c r="L963" s="19" t="n"/>
      <c r="M963" s="19" t="n"/>
      <c r="N963" s="19" t="n"/>
      <c r="O963" s="19" t="n"/>
      <c r="P963" s="19" t="n"/>
      <c r="Q963" s="19" t="n"/>
    </row>
    <row r="964" ht="15.75" customHeight="1" s="545">
      <c r="A964" s="19" t="n"/>
      <c r="B964" s="19" t="n"/>
      <c r="C964" s="19" t="n"/>
      <c r="D964" s="19" t="n"/>
      <c r="E964" s="19" t="n"/>
      <c r="F964" s="19" t="n"/>
      <c r="G964" s="19" t="n"/>
      <c r="H964" s="19" t="n"/>
      <c r="I964" s="19" t="n"/>
      <c r="J964" s="19" t="n"/>
      <c r="K964" s="19" t="n"/>
      <c r="L964" s="19" t="n"/>
      <c r="M964" s="19" t="n"/>
      <c r="N964" s="19" t="n"/>
      <c r="O964" s="19" t="n"/>
      <c r="P964" s="19" t="n"/>
      <c r="Q964" s="19" t="n"/>
    </row>
    <row r="965" ht="15.75" customHeight="1" s="545">
      <c r="A965" s="19" t="n"/>
      <c r="B965" s="19" t="n"/>
      <c r="C965" s="19" t="n"/>
      <c r="D965" s="19" t="n"/>
      <c r="E965" s="19" t="n"/>
      <c r="F965" s="19" t="n"/>
      <c r="G965" s="19" t="n"/>
      <c r="H965" s="19" t="n"/>
      <c r="I965" s="19" t="n"/>
      <c r="J965" s="19" t="n"/>
      <c r="K965" s="19" t="n"/>
      <c r="L965" s="19" t="n"/>
      <c r="M965" s="19" t="n"/>
      <c r="N965" s="19" t="n"/>
      <c r="O965" s="19" t="n"/>
      <c r="P965" s="19" t="n"/>
      <c r="Q965" s="19" t="n"/>
    </row>
    <row r="966" ht="15.75" customHeight="1" s="545">
      <c r="A966" s="19" t="n"/>
      <c r="B966" s="19" t="n"/>
      <c r="C966" s="19" t="n"/>
      <c r="D966" s="19" t="n"/>
      <c r="E966" s="19" t="n"/>
      <c r="F966" s="19" t="n"/>
      <c r="G966" s="19" t="n"/>
      <c r="H966" s="19" t="n"/>
      <c r="I966" s="19" t="n"/>
      <c r="J966" s="19" t="n"/>
      <c r="K966" s="19" t="n"/>
      <c r="L966" s="19" t="n"/>
      <c r="M966" s="19" t="n"/>
      <c r="N966" s="19" t="n"/>
      <c r="O966" s="19" t="n"/>
      <c r="P966" s="19" t="n"/>
      <c r="Q966" s="19" t="n"/>
    </row>
    <row r="967" ht="15.75" customHeight="1" s="545">
      <c r="A967" s="19" t="n"/>
      <c r="B967" s="19" t="n"/>
      <c r="C967" s="19" t="n"/>
      <c r="D967" s="19" t="n"/>
      <c r="E967" s="19" t="n"/>
      <c r="F967" s="19" t="n"/>
      <c r="G967" s="19" t="n"/>
      <c r="H967" s="19" t="n"/>
      <c r="I967" s="19" t="n"/>
      <c r="J967" s="19" t="n"/>
      <c r="K967" s="19" t="n"/>
      <c r="L967" s="19" t="n"/>
      <c r="M967" s="19" t="n"/>
      <c r="N967" s="19" t="n"/>
      <c r="O967" s="19" t="n"/>
      <c r="P967" s="19" t="n"/>
      <c r="Q967" s="19" t="n"/>
    </row>
    <row r="968" ht="15.75" customHeight="1" s="545">
      <c r="A968" s="19" t="n"/>
      <c r="B968" s="19" t="n"/>
      <c r="C968" s="19" t="n"/>
      <c r="D968" s="19" t="n"/>
      <c r="E968" s="19" t="n"/>
      <c r="F968" s="19" t="n"/>
      <c r="G968" s="19" t="n"/>
      <c r="H968" s="19" t="n"/>
      <c r="I968" s="19" t="n"/>
      <c r="J968" s="19" t="n"/>
      <c r="K968" s="19" t="n"/>
      <c r="L968" s="19" t="n"/>
      <c r="M968" s="19" t="n"/>
      <c r="N968" s="19" t="n"/>
      <c r="O968" s="19" t="n"/>
      <c r="P968" s="19" t="n"/>
      <c r="Q968" s="19" t="n"/>
    </row>
    <row r="969" ht="15.75" customHeight="1" s="545">
      <c r="A969" s="19" t="n"/>
      <c r="B969" s="19" t="n"/>
      <c r="C969" s="19" t="n"/>
      <c r="D969" s="19" t="n"/>
      <c r="E969" s="19" t="n"/>
      <c r="F969" s="19" t="n"/>
      <c r="G969" s="19" t="n"/>
      <c r="H969" s="19" t="n"/>
      <c r="I969" s="19" t="n"/>
      <c r="J969" s="19" t="n"/>
      <c r="K969" s="19" t="n"/>
      <c r="L969" s="19" t="n"/>
      <c r="M969" s="19" t="n"/>
      <c r="N969" s="19" t="n"/>
      <c r="O969" s="19" t="n"/>
      <c r="P969" s="19" t="n"/>
      <c r="Q969" s="19" t="n"/>
    </row>
    <row r="970" ht="15.75" customHeight="1" s="545">
      <c r="A970" s="19" t="n"/>
      <c r="B970" s="19" t="n"/>
      <c r="C970" s="19" t="n"/>
      <c r="D970" s="19" t="n"/>
      <c r="E970" s="19" t="n"/>
      <c r="F970" s="19" t="n"/>
      <c r="G970" s="19" t="n"/>
      <c r="H970" s="19" t="n"/>
      <c r="I970" s="19" t="n"/>
      <c r="J970" s="19" t="n"/>
      <c r="K970" s="19" t="n"/>
      <c r="L970" s="19" t="n"/>
      <c r="M970" s="19" t="n"/>
      <c r="N970" s="19" t="n"/>
      <c r="O970" s="19" t="n"/>
      <c r="P970" s="19" t="n"/>
      <c r="Q970" s="19" t="n"/>
    </row>
    <row r="971" ht="15.75" customHeight="1" s="545">
      <c r="A971" s="19" t="n"/>
      <c r="B971" s="19" t="n"/>
      <c r="C971" s="19" t="n"/>
      <c r="D971" s="19" t="n"/>
      <c r="E971" s="19" t="n"/>
      <c r="F971" s="19" t="n"/>
      <c r="G971" s="19" t="n"/>
      <c r="H971" s="19" t="n"/>
      <c r="I971" s="19" t="n"/>
      <c r="J971" s="19" t="n"/>
      <c r="K971" s="19" t="n"/>
      <c r="L971" s="19" t="n"/>
      <c r="M971" s="19" t="n"/>
      <c r="N971" s="19" t="n"/>
      <c r="O971" s="19" t="n"/>
      <c r="P971" s="19" t="n"/>
      <c r="Q971" s="19" t="n"/>
    </row>
    <row r="972" ht="15.75" customHeight="1" s="545">
      <c r="A972" s="19" t="n"/>
      <c r="B972" s="19" t="n"/>
      <c r="C972" s="19" t="n"/>
      <c r="D972" s="19" t="n"/>
      <c r="E972" s="19" t="n"/>
      <c r="F972" s="19" t="n"/>
      <c r="G972" s="19" t="n"/>
      <c r="H972" s="19" t="n"/>
      <c r="I972" s="19" t="n"/>
      <c r="J972" s="19" t="n"/>
      <c r="K972" s="19" t="n"/>
      <c r="L972" s="19" t="n"/>
      <c r="M972" s="19" t="n"/>
      <c r="N972" s="19" t="n"/>
      <c r="O972" s="19" t="n"/>
      <c r="P972" s="19" t="n"/>
      <c r="Q972" s="19" t="n"/>
    </row>
    <row r="973" ht="15.75" customHeight="1" s="545">
      <c r="A973" s="19" t="n"/>
      <c r="B973" s="19" t="n"/>
      <c r="C973" s="19" t="n"/>
      <c r="D973" s="19" t="n"/>
      <c r="E973" s="19" t="n"/>
      <c r="F973" s="19" t="n"/>
      <c r="G973" s="19" t="n"/>
      <c r="H973" s="19" t="n"/>
      <c r="I973" s="19" t="n"/>
      <c r="J973" s="19" t="n"/>
      <c r="K973" s="19" t="n"/>
      <c r="L973" s="19" t="n"/>
      <c r="M973" s="19" t="n"/>
      <c r="N973" s="19" t="n"/>
      <c r="O973" s="19" t="n"/>
      <c r="P973" s="19" t="n"/>
      <c r="Q973" s="19" t="n"/>
    </row>
    <row r="974" ht="15.75" customHeight="1" s="545">
      <c r="A974" s="19" t="n"/>
      <c r="B974" s="19" t="n"/>
      <c r="C974" s="19" t="n"/>
      <c r="D974" s="19" t="n"/>
      <c r="E974" s="19" t="n"/>
      <c r="F974" s="19" t="n"/>
      <c r="G974" s="19" t="n"/>
      <c r="H974" s="19" t="n"/>
      <c r="I974" s="19" t="n"/>
      <c r="J974" s="19" t="n"/>
      <c r="K974" s="19" t="n"/>
      <c r="L974" s="19" t="n"/>
      <c r="M974" s="19" t="n"/>
      <c r="N974" s="19" t="n"/>
      <c r="O974" s="19" t="n"/>
      <c r="P974" s="19" t="n"/>
      <c r="Q974" s="19" t="n"/>
    </row>
    <row r="975" ht="15.75" customHeight="1" s="545">
      <c r="A975" s="19" t="n"/>
      <c r="B975" s="19" t="n"/>
      <c r="C975" s="19" t="n"/>
      <c r="D975" s="19" t="n"/>
      <c r="E975" s="19" t="n"/>
      <c r="F975" s="19" t="n"/>
      <c r="G975" s="19" t="n"/>
      <c r="H975" s="19" t="n"/>
      <c r="I975" s="19" t="n"/>
      <c r="J975" s="19" t="n"/>
      <c r="K975" s="19" t="n"/>
      <c r="L975" s="19" t="n"/>
      <c r="M975" s="19" t="n"/>
      <c r="N975" s="19" t="n"/>
      <c r="O975" s="19" t="n"/>
      <c r="P975" s="19" t="n"/>
      <c r="Q975" s="19" t="n"/>
    </row>
    <row r="976" ht="15.75" customHeight="1" s="545">
      <c r="A976" s="19" t="n"/>
      <c r="B976" s="19" t="n"/>
      <c r="C976" s="19" t="n"/>
      <c r="D976" s="19" t="n"/>
      <c r="E976" s="19" t="n"/>
      <c r="F976" s="19" t="n"/>
      <c r="G976" s="19" t="n"/>
      <c r="H976" s="19" t="n"/>
      <c r="I976" s="19" t="n"/>
      <c r="J976" s="19" t="n"/>
      <c r="K976" s="19" t="n"/>
      <c r="L976" s="19" t="n"/>
      <c r="M976" s="19" t="n"/>
      <c r="N976" s="19" t="n"/>
      <c r="O976" s="19" t="n"/>
      <c r="P976" s="19" t="n"/>
      <c r="Q976" s="19" t="n"/>
    </row>
    <row r="977" ht="15.75" customHeight="1" s="545">
      <c r="A977" s="19" t="n"/>
      <c r="B977" s="19" t="n"/>
      <c r="C977" s="19" t="n"/>
      <c r="D977" s="19" t="n"/>
      <c r="E977" s="19" t="n"/>
      <c r="F977" s="19" t="n"/>
      <c r="G977" s="19" t="n"/>
      <c r="H977" s="19" t="n"/>
      <c r="I977" s="19" t="n"/>
      <c r="J977" s="19" t="n"/>
      <c r="K977" s="19" t="n"/>
      <c r="L977" s="19" t="n"/>
      <c r="M977" s="19" t="n"/>
      <c r="N977" s="19" t="n"/>
      <c r="O977" s="19" t="n"/>
      <c r="P977" s="19" t="n"/>
      <c r="Q977" s="19" t="n"/>
    </row>
    <row r="978" ht="15.75" customHeight="1" s="545">
      <c r="A978" s="19" t="n"/>
      <c r="B978" s="19" t="n"/>
      <c r="C978" s="19" t="n"/>
      <c r="D978" s="19" t="n"/>
      <c r="E978" s="19" t="n"/>
      <c r="F978" s="19" t="n"/>
      <c r="G978" s="19" t="n"/>
      <c r="H978" s="19" t="n"/>
      <c r="I978" s="19" t="n"/>
      <c r="J978" s="19" t="n"/>
      <c r="K978" s="19" t="n"/>
      <c r="L978" s="19" t="n"/>
      <c r="M978" s="19" t="n"/>
      <c r="N978" s="19" t="n"/>
      <c r="O978" s="19" t="n"/>
      <c r="P978" s="19" t="n"/>
      <c r="Q978" s="19" t="n"/>
    </row>
    <row r="979" ht="15.75" customHeight="1" s="545">
      <c r="A979" s="19" t="n"/>
      <c r="B979" s="19" t="n"/>
      <c r="C979" s="19" t="n"/>
      <c r="D979" s="19" t="n"/>
      <c r="E979" s="19" t="n"/>
      <c r="F979" s="19" t="n"/>
      <c r="G979" s="19" t="n"/>
      <c r="H979" s="19" t="n"/>
      <c r="I979" s="19" t="n"/>
      <c r="J979" s="19" t="n"/>
      <c r="K979" s="19" t="n"/>
      <c r="L979" s="19" t="n"/>
      <c r="M979" s="19" t="n"/>
      <c r="N979" s="19" t="n"/>
      <c r="O979" s="19" t="n"/>
      <c r="P979" s="19" t="n"/>
      <c r="Q979" s="19" t="n"/>
    </row>
    <row r="980" ht="15.75" customHeight="1" s="545">
      <c r="A980" s="19" t="n"/>
      <c r="B980" s="19" t="n"/>
      <c r="C980" s="19" t="n"/>
      <c r="D980" s="19" t="n"/>
      <c r="E980" s="19" t="n"/>
      <c r="F980" s="19" t="n"/>
      <c r="G980" s="19" t="n"/>
      <c r="H980" s="19" t="n"/>
      <c r="I980" s="19" t="n"/>
      <c r="J980" s="19" t="n"/>
      <c r="K980" s="19" t="n"/>
      <c r="L980" s="19" t="n"/>
      <c r="M980" s="19" t="n"/>
      <c r="N980" s="19" t="n"/>
      <c r="O980" s="19" t="n"/>
      <c r="P980" s="19" t="n"/>
      <c r="Q980" s="19" t="n"/>
    </row>
    <row r="981" ht="15.75" customHeight="1" s="545">
      <c r="A981" s="19" t="n"/>
      <c r="B981" s="19" t="n"/>
      <c r="C981" s="19" t="n"/>
      <c r="D981" s="19" t="n"/>
      <c r="E981" s="19" t="n"/>
      <c r="F981" s="19" t="n"/>
      <c r="G981" s="19" t="n"/>
      <c r="H981" s="19" t="n"/>
      <c r="I981" s="19" t="n"/>
      <c r="J981" s="19" t="n"/>
      <c r="K981" s="19" t="n"/>
      <c r="L981" s="19" t="n"/>
      <c r="M981" s="19" t="n"/>
      <c r="N981" s="19" t="n"/>
      <c r="O981" s="19" t="n"/>
      <c r="P981" s="19" t="n"/>
      <c r="Q981" s="19" t="n"/>
    </row>
    <row r="982" ht="15.75" customHeight="1" s="545">
      <c r="A982" s="19" t="n"/>
      <c r="B982" s="19" t="n"/>
      <c r="C982" s="19" t="n"/>
      <c r="D982" s="19" t="n"/>
      <c r="E982" s="19" t="n"/>
      <c r="F982" s="19" t="n"/>
      <c r="G982" s="19" t="n"/>
      <c r="H982" s="19" t="n"/>
      <c r="I982" s="19" t="n"/>
      <c r="J982" s="19" t="n"/>
      <c r="K982" s="19" t="n"/>
      <c r="L982" s="19" t="n"/>
      <c r="M982" s="19" t="n"/>
      <c r="N982" s="19" t="n"/>
      <c r="O982" s="19" t="n"/>
      <c r="P982" s="19" t="n"/>
      <c r="Q982" s="19" t="n"/>
    </row>
    <row r="983" ht="15.75" customHeight="1" s="545">
      <c r="A983" s="19" t="n"/>
      <c r="B983" s="19" t="n"/>
      <c r="C983" s="19" t="n"/>
      <c r="D983" s="19" t="n"/>
      <c r="E983" s="19" t="n"/>
      <c r="F983" s="19" t="n"/>
      <c r="G983" s="19" t="n"/>
      <c r="H983" s="19" t="n"/>
      <c r="I983" s="19" t="n"/>
      <c r="J983" s="19" t="n"/>
      <c r="K983" s="19" t="n"/>
      <c r="L983" s="19" t="n"/>
      <c r="M983" s="19" t="n"/>
      <c r="N983" s="19" t="n"/>
      <c r="O983" s="19" t="n"/>
      <c r="P983" s="19" t="n"/>
      <c r="Q983" s="19" t="n"/>
    </row>
    <row r="984" ht="15.75" customHeight="1" s="545">
      <c r="A984" s="19" t="n"/>
      <c r="B984" s="19" t="n"/>
      <c r="C984" s="19" t="n"/>
      <c r="D984" s="19" t="n"/>
      <c r="E984" s="19" t="n"/>
      <c r="F984" s="19" t="n"/>
      <c r="G984" s="19" t="n"/>
      <c r="H984" s="19" t="n"/>
      <c r="I984" s="19" t="n"/>
      <c r="J984" s="19" t="n"/>
      <c r="K984" s="19" t="n"/>
      <c r="L984" s="19" t="n"/>
      <c r="M984" s="19" t="n"/>
      <c r="N984" s="19" t="n"/>
      <c r="O984" s="19" t="n"/>
      <c r="P984" s="19" t="n"/>
      <c r="Q984" s="19" t="n"/>
    </row>
    <row r="985" ht="15.75" customHeight="1" s="545">
      <c r="A985" s="19" t="n"/>
      <c r="B985" s="19" t="n"/>
      <c r="C985" s="19" t="n"/>
      <c r="D985" s="19" t="n"/>
      <c r="E985" s="19" t="n"/>
      <c r="F985" s="19" t="n"/>
      <c r="G985" s="19" t="n"/>
      <c r="H985" s="19" t="n"/>
      <c r="I985" s="19" t="n"/>
      <c r="J985" s="19" t="n"/>
      <c r="K985" s="19" t="n"/>
      <c r="L985" s="19" t="n"/>
      <c r="M985" s="19" t="n"/>
      <c r="N985" s="19" t="n"/>
      <c r="O985" s="19" t="n"/>
      <c r="P985" s="19" t="n"/>
      <c r="Q985" s="19" t="n"/>
    </row>
    <row r="986" ht="15.75" customHeight="1" s="545">
      <c r="A986" s="19" t="n"/>
      <c r="B986" s="19" t="n"/>
      <c r="C986" s="19" t="n"/>
      <c r="D986" s="19" t="n"/>
      <c r="E986" s="19" t="n"/>
      <c r="F986" s="19" t="n"/>
      <c r="G986" s="19" t="n"/>
      <c r="H986" s="19" t="n"/>
      <c r="I986" s="19" t="n"/>
      <c r="J986" s="19" t="n"/>
      <c r="K986" s="19" t="n"/>
      <c r="L986" s="19" t="n"/>
      <c r="M986" s="19" t="n"/>
      <c r="N986" s="19" t="n"/>
      <c r="O986" s="19" t="n"/>
      <c r="P986" s="19" t="n"/>
      <c r="Q986" s="19" t="n"/>
    </row>
    <row r="987" ht="15.75" customHeight="1" s="545">
      <c r="A987" s="19" t="n"/>
      <c r="B987" s="19" t="n"/>
      <c r="C987" s="19" t="n"/>
      <c r="D987" s="19" t="n"/>
      <c r="E987" s="19" t="n"/>
      <c r="F987" s="19" t="n"/>
      <c r="G987" s="19" t="n"/>
      <c r="H987" s="19" t="n"/>
      <c r="I987" s="19" t="n"/>
      <c r="J987" s="19" t="n"/>
      <c r="K987" s="19" t="n"/>
      <c r="L987" s="19" t="n"/>
      <c r="M987" s="19" t="n"/>
      <c r="N987" s="19" t="n"/>
      <c r="O987" s="19" t="n"/>
      <c r="P987" s="19" t="n"/>
      <c r="Q987" s="19" t="n"/>
    </row>
    <row r="988" ht="15.75" customHeight="1" s="545">
      <c r="A988" s="19" t="n"/>
      <c r="B988" s="19" t="n"/>
      <c r="C988" s="19" t="n"/>
      <c r="D988" s="19" t="n"/>
      <c r="E988" s="19" t="n"/>
      <c r="F988" s="19" t="n"/>
      <c r="G988" s="19" t="n"/>
      <c r="H988" s="19" t="n"/>
      <c r="I988" s="19" t="n"/>
      <c r="J988" s="19" t="n"/>
      <c r="K988" s="19" t="n"/>
      <c r="L988" s="19" t="n"/>
      <c r="M988" s="19" t="n"/>
      <c r="N988" s="19" t="n"/>
      <c r="O988" s="19" t="n"/>
      <c r="P988" s="19" t="n"/>
      <c r="Q988" s="19" t="n"/>
    </row>
    <row r="989" ht="15.75" customHeight="1" s="545">
      <c r="A989" s="19" t="n"/>
      <c r="B989" s="19" t="n"/>
      <c r="C989" s="19" t="n"/>
      <c r="D989" s="19" t="n"/>
      <c r="E989" s="19" t="n"/>
      <c r="F989" s="19" t="n"/>
      <c r="G989" s="19" t="n"/>
      <c r="H989" s="19" t="n"/>
      <c r="I989" s="19" t="n"/>
      <c r="J989" s="19" t="n"/>
      <c r="K989" s="19" t="n"/>
      <c r="L989" s="19" t="n"/>
      <c r="M989" s="19" t="n"/>
      <c r="N989" s="19" t="n"/>
      <c r="O989" s="19" t="n"/>
      <c r="P989" s="19" t="n"/>
      <c r="Q989" s="19" t="n"/>
    </row>
    <row r="990" ht="15.75" customHeight="1" s="545">
      <c r="A990" s="19" t="n"/>
      <c r="B990" s="19" t="n"/>
      <c r="C990" s="19" t="n"/>
      <c r="D990" s="19" t="n"/>
      <c r="E990" s="19" t="n"/>
      <c r="F990" s="19" t="n"/>
      <c r="G990" s="19" t="n"/>
      <c r="H990" s="19" t="n"/>
      <c r="I990" s="19" t="n"/>
      <c r="J990" s="19" t="n"/>
      <c r="K990" s="19" t="n"/>
      <c r="L990" s="19" t="n"/>
      <c r="M990" s="19" t="n"/>
      <c r="N990" s="19" t="n"/>
      <c r="O990" s="19" t="n"/>
      <c r="P990" s="19" t="n"/>
      <c r="Q990" s="19" t="n"/>
    </row>
    <row r="991" ht="15.75" customHeight="1" s="545">
      <c r="A991" s="19" t="n"/>
      <c r="B991" s="19" t="n"/>
      <c r="C991" s="19" t="n"/>
      <c r="D991" s="19" t="n"/>
      <c r="E991" s="19" t="n"/>
      <c r="F991" s="19" t="n"/>
      <c r="G991" s="19" t="n"/>
      <c r="H991" s="19" t="n"/>
      <c r="I991" s="19" t="n"/>
      <c r="J991" s="19" t="n"/>
      <c r="K991" s="19" t="n"/>
      <c r="L991" s="19" t="n"/>
      <c r="M991" s="19" t="n"/>
      <c r="N991" s="19" t="n"/>
      <c r="O991" s="19" t="n"/>
      <c r="P991" s="19" t="n"/>
      <c r="Q991" s="19" t="n"/>
    </row>
    <row r="992" ht="15.75" customHeight="1" s="545">
      <c r="A992" s="19" t="n"/>
      <c r="B992" s="19" t="n"/>
      <c r="C992" s="19" t="n"/>
      <c r="D992" s="19" t="n"/>
      <c r="E992" s="19" t="n"/>
      <c r="F992" s="19" t="n"/>
      <c r="G992" s="19" t="n"/>
      <c r="H992" s="19" t="n"/>
      <c r="I992" s="19" t="n"/>
      <c r="J992" s="19" t="n"/>
      <c r="K992" s="19" t="n"/>
      <c r="L992" s="19" t="n"/>
      <c r="M992" s="19" t="n"/>
      <c r="N992" s="19" t="n"/>
      <c r="O992" s="19" t="n"/>
      <c r="P992" s="19" t="n"/>
      <c r="Q992" s="19" t="n"/>
    </row>
    <row r="993" ht="15.75" customHeight="1" s="545">
      <c r="A993" s="19" t="n"/>
      <c r="B993" s="19" t="n"/>
      <c r="C993" s="19" t="n"/>
      <c r="D993" s="19" t="n"/>
      <c r="E993" s="19" t="n"/>
      <c r="F993" s="19" t="n"/>
      <c r="G993" s="19" t="n"/>
      <c r="H993" s="19" t="n"/>
      <c r="I993" s="19" t="n"/>
      <c r="J993" s="19" t="n"/>
      <c r="K993" s="19" t="n"/>
      <c r="L993" s="19" t="n"/>
      <c r="M993" s="19" t="n"/>
      <c r="N993" s="19" t="n"/>
      <c r="O993" s="19" t="n"/>
      <c r="P993" s="19" t="n"/>
      <c r="Q993" s="19" t="n"/>
    </row>
    <row r="994" ht="15.75" customHeight="1" s="545">
      <c r="A994" s="19" t="n"/>
      <c r="B994" s="19" t="n"/>
      <c r="C994" s="19" t="n"/>
      <c r="D994" s="19" t="n"/>
      <c r="E994" s="19" t="n"/>
      <c r="F994" s="19" t="n"/>
      <c r="G994" s="19" t="n"/>
      <c r="H994" s="19" t="n"/>
      <c r="I994" s="19" t="n"/>
      <c r="J994" s="19" t="n"/>
      <c r="K994" s="19" t="n"/>
      <c r="L994" s="19" t="n"/>
      <c r="M994" s="19" t="n"/>
      <c r="N994" s="19" t="n"/>
      <c r="O994" s="19" t="n"/>
      <c r="P994" s="19" t="n"/>
      <c r="Q994" s="19" t="n"/>
    </row>
    <row r="995" ht="15.75" customHeight="1" s="545">
      <c r="A995" s="19" t="n"/>
      <c r="B995" s="19" t="n"/>
      <c r="C995" s="19" t="n"/>
      <c r="D995" s="19" t="n"/>
      <c r="E995" s="19" t="n"/>
      <c r="F995" s="19" t="n"/>
      <c r="G995" s="19" t="n"/>
      <c r="H995" s="19" t="n"/>
      <c r="I995" s="19" t="n"/>
      <c r="J995" s="19" t="n"/>
      <c r="K995" s="19" t="n"/>
      <c r="L995" s="19" t="n"/>
      <c r="M995" s="19" t="n"/>
      <c r="N995" s="19" t="n"/>
      <c r="O995" s="19" t="n"/>
      <c r="P995" s="19" t="n"/>
      <c r="Q995" s="19" t="n"/>
    </row>
    <row r="996" ht="15.75" customHeight="1" s="545">
      <c r="A996" s="19" t="n"/>
      <c r="B996" s="19" t="n"/>
      <c r="C996" s="19" t="n"/>
      <c r="D996" s="19" t="n"/>
      <c r="E996" s="19" t="n"/>
      <c r="F996" s="19" t="n"/>
      <c r="G996" s="19" t="n"/>
      <c r="H996" s="19" t="n"/>
      <c r="I996" s="19" t="n"/>
      <c r="J996" s="19" t="n"/>
      <c r="K996" s="19" t="n"/>
      <c r="L996" s="19" t="n"/>
      <c r="M996" s="19" t="n"/>
      <c r="N996" s="19" t="n"/>
      <c r="O996" s="19" t="n"/>
      <c r="P996" s="19" t="n"/>
      <c r="Q996" s="19" t="n"/>
    </row>
    <row r="997" ht="15.75" customHeight="1" s="545">
      <c r="A997" s="19" t="n"/>
      <c r="B997" s="19" t="n"/>
      <c r="C997" s="19" t="n"/>
      <c r="D997" s="19" t="n"/>
      <c r="E997" s="19" t="n"/>
      <c r="F997" s="19" t="n"/>
      <c r="G997" s="19" t="n"/>
      <c r="H997" s="19" t="n"/>
      <c r="I997" s="19" t="n"/>
      <c r="J997" s="19" t="n"/>
      <c r="K997" s="19" t="n"/>
      <c r="L997" s="19" t="n"/>
      <c r="M997" s="19" t="n"/>
      <c r="N997" s="19" t="n"/>
      <c r="O997" s="19" t="n"/>
      <c r="P997" s="19" t="n"/>
      <c r="Q997" s="19" t="n"/>
    </row>
    <row r="998" ht="15.75" customHeight="1" s="545">
      <c r="A998" s="19" t="n"/>
      <c r="B998" s="19" t="n"/>
      <c r="C998" s="19" t="n"/>
      <c r="D998" s="19" t="n"/>
      <c r="E998" s="19" t="n"/>
      <c r="F998" s="19" t="n"/>
      <c r="G998" s="19" t="n"/>
      <c r="H998" s="19" t="n"/>
      <c r="I998" s="19" t="n"/>
      <c r="J998" s="19" t="n"/>
      <c r="K998" s="19" t="n"/>
      <c r="L998" s="19" t="n"/>
      <c r="M998" s="19" t="n"/>
      <c r="N998" s="19" t="n"/>
      <c r="O998" s="19" t="n"/>
      <c r="P998" s="19" t="n"/>
      <c r="Q998" s="19" t="n"/>
    </row>
    <row r="999" ht="15.75" customHeight="1" s="545">
      <c r="A999" s="19" t="n"/>
      <c r="B999" s="19" t="n"/>
      <c r="C999" s="19" t="n"/>
      <c r="D999" s="19" t="n"/>
      <c r="E999" s="19" t="n"/>
      <c r="F999" s="19" t="n"/>
      <c r="G999" s="19" t="n"/>
      <c r="H999" s="19" t="n"/>
      <c r="I999" s="19" t="n"/>
      <c r="J999" s="19" t="n"/>
      <c r="K999" s="19" t="n"/>
      <c r="L999" s="19" t="n"/>
      <c r="M999" s="19" t="n"/>
      <c r="N999" s="19" t="n"/>
      <c r="O999" s="19" t="n"/>
      <c r="P999" s="19" t="n"/>
      <c r="Q999" s="19" t="n"/>
    </row>
    <row r="1000" ht="15.75" customHeight="1" s="545">
      <c r="A1000" s="19" t="n"/>
      <c r="B1000" s="19" t="n"/>
      <c r="C1000" s="19" t="n"/>
      <c r="D1000" s="19" t="n"/>
      <c r="E1000" s="19" t="n"/>
      <c r="F1000" s="19" t="n"/>
      <c r="G1000" s="19" t="n"/>
      <c r="H1000" s="19" t="n"/>
      <c r="I1000" s="19" t="n"/>
      <c r="J1000" s="19" t="n"/>
      <c r="K1000" s="19" t="n"/>
      <c r="L1000" s="19" t="n"/>
      <c r="M1000" s="19" t="n"/>
      <c r="N1000" s="19" t="n"/>
      <c r="O1000" s="19" t="n"/>
      <c r="P1000" s="19" t="n"/>
      <c r="Q1000" s="19" t="n"/>
    </row>
  </sheetData>
  <mergeCells count="105">
    <mergeCell ref="P35:P36"/>
    <mergeCell ref="O15:P15"/>
    <mergeCell ref="J28:K28"/>
    <mergeCell ref="J35:K36"/>
    <mergeCell ref="H11:H12"/>
    <mergeCell ref="H9:I9"/>
    <mergeCell ref="P37:P39"/>
    <mergeCell ref="M21:O21"/>
    <mergeCell ref="C13:F13"/>
    <mergeCell ref="I24:K24"/>
    <mergeCell ref="B37:D37"/>
    <mergeCell ref="B2:F2"/>
    <mergeCell ref="I16:J16"/>
    <mergeCell ref="H26:K26"/>
    <mergeCell ref="C15:F15"/>
    <mergeCell ref="O41:P41"/>
    <mergeCell ref="K17:M17"/>
    <mergeCell ref="C7:E7"/>
    <mergeCell ref="M24:O24"/>
    <mergeCell ref="I18:J18"/>
    <mergeCell ref="O16:P16"/>
    <mergeCell ref="I11:J12"/>
    <mergeCell ref="J31:K31"/>
    <mergeCell ref="H37:H38"/>
    <mergeCell ref="K16:M16"/>
    <mergeCell ref="I35:I36"/>
    <mergeCell ref="O17:P17"/>
    <mergeCell ref="J21:K21"/>
    <mergeCell ref="J37:K38"/>
    <mergeCell ref="I13:J13"/>
    <mergeCell ref="J23:K23"/>
    <mergeCell ref="B40:E40"/>
    <mergeCell ref="C17:F17"/>
    <mergeCell ref="D27:F27"/>
    <mergeCell ref="I15:J15"/>
    <mergeCell ref="M31:O31"/>
    <mergeCell ref="B27:C27"/>
    <mergeCell ref="K12:M12"/>
    <mergeCell ref="C19:F19"/>
    <mergeCell ref="M28:O28"/>
    <mergeCell ref="B41:E41"/>
    <mergeCell ref="O11:P12"/>
    <mergeCell ref="K14:M14"/>
    <mergeCell ref="J27:K27"/>
    <mergeCell ref="C14:F14"/>
    <mergeCell ref="M29:O29"/>
    <mergeCell ref="B36:D36"/>
    <mergeCell ref="B10:F10"/>
    <mergeCell ref="H34:K34"/>
    <mergeCell ref="M37:N39"/>
    <mergeCell ref="K18:M18"/>
    <mergeCell ref="M41:N41"/>
    <mergeCell ref="J22:K22"/>
    <mergeCell ref="I17:J17"/>
    <mergeCell ref="H3:I3"/>
    <mergeCell ref="B31:D31"/>
    <mergeCell ref="H5:I5"/>
    <mergeCell ref="M35:N36"/>
    <mergeCell ref="B39:D39"/>
    <mergeCell ref="J29:K29"/>
    <mergeCell ref="H31:I31"/>
    <mergeCell ref="M30:O30"/>
    <mergeCell ref="H40:H41"/>
    <mergeCell ref="C18:F18"/>
    <mergeCell ref="O35:O36"/>
    <mergeCell ref="M34:P34"/>
    <mergeCell ref="I37:I38"/>
    <mergeCell ref="O37:O39"/>
    <mergeCell ref="M40:N40"/>
    <mergeCell ref="H2:I2"/>
    <mergeCell ref="M32:O32"/>
    <mergeCell ref="K13:M13"/>
    <mergeCell ref="C20:F20"/>
    <mergeCell ref="K11:N11"/>
    <mergeCell ref="J25:K25"/>
    <mergeCell ref="C6:E6"/>
    <mergeCell ref="K15:M15"/>
    <mergeCell ref="C12:F12"/>
    <mergeCell ref="D22:F22"/>
    <mergeCell ref="B34:E34"/>
    <mergeCell ref="H35:H36"/>
    <mergeCell ref="J39:K39"/>
    <mergeCell ref="M26:P26"/>
    <mergeCell ref="O18:P18"/>
    <mergeCell ref="H4:I4"/>
    <mergeCell ref="B38:D38"/>
    <mergeCell ref="C35:D35"/>
    <mergeCell ref="D21:E21"/>
    <mergeCell ref="J30:K30"/>
    <mergeCell ref="H6:I6"/>
    <mergeCell ref="M27:O27"/>
    <mergeCell ref="H20:K20"/>
    <mergeCell ref="H7:I7"/>
    <mergeCell ref="J32:K32"/>
    <mergeCell ref="C16:F16"/>
    <mergeCell ref="M20:P20"/>
    <mergeCell ref="I14:J14"/>
    <mergeCell ref="H10:P10"/>
    <mergeCell ref="C5:E5"/>
    <mergeCell ref="O14:P14"/>
    <mergeCell ref="J40:K41"/>
    <mergeCell ref="C11:F11"/>
    <mergeCell ref="B26:F26"/>
    <mergeCell ref="I40:I41"/>
    <mergeCell ref="O13:P13"/>
  </mergeCells>
  <conditionalFormatting sqref="F41">
    <cfRule type="cellIs" priority="4" operator="greaterThanOrEqual" dxfId="3">
      <formula>0</formula>
    </cfRule>
    <cfRule type="cellIs" priority="5" operator="lessThan" dxfId="1">
      <formula>0</formula>
    </cfRule>
  </conditionalFormatting>
  <conditionalFormatting sqref="I13:J19">
    <cfRule type="expression" priority="10" dxfId="10">
      <formula>AND(OR(I13&gt;(1.15*$I$35), I13&lt;(0.85*$I$35)),NOT(ISBLANK(I13)))</formula>
    </cfRule>
  </conditionalFormatting>
  <conditionalFormatting sqref="N12">
    <cfRule type="cellIs" priority="8" operator="greaterThanOrEqual" dxfId="3">
      <formula>0</formula>
    </cfRule>
    <cfRule type="cellIs" priority="9" operator="lessThan" dxfId="1">
      <formula>0</formula>
    </cfRule>
  </conditionalFormatting>
  <conditionalFormatting sqref="O41:P41">
    <cfRule type="colorScale" priority="3">
      <colorScale>
        <cfvo type="formula" val="0"/>
        <cfvo type="formula" val="0.2"/>
        <cfvo type="formula" val="0.4"/>
        <color rgb="FF57BB8A"/>
        <color rgb="FFFFD666"/>
        <color rgb="FFE67C73"/>
      </colorScale>
    </cfRule>
  </conditionalFormatting>
  <conditionalFormatting sqref="P30">
    <cfRule type="cellIs" priority="1" operator="greaterThanOrEqual" dxfId="3">
      <formula>0</formula>
    </cfRule>
    <cfRule type="cellIs" priority="2" operator="lessThan" dxfId="1">
      <formula>0</formula>
    </cfRule>
  </conditionalFormatting>
  <conditionalFormatting sqref="P40">
    <cfRule type="cellIs" priority="6" operator="greaterThanOrEqual" dxfId="5">
      <formula>0</formula>
    </cfRule>
    <cfRule type="cellIs" priority="7" operator="lessThan" dxfId="4">
      <formula>0</formula>
    </cfRule>
  </conditionalFormatting>
  <dataValidations count="4">
    <dataValidation sqref="E35" showDropDown="0" showInputMessage="0" showErrorMessage="1" allowBlank="1" type="list">
      <formula1>"Öl,Elektro,Gas,Pellet,Wärmepumpe"</formula1>
    </dataValidation>
    <dataValidation sqref="E36" showDropDown="1" showInputMessage="0" showErrorMessage="1" allowBlank="1" type="custom">
      <formula1>C35="Zentral"</formula1>
    </dataValidation>
    <dataValidation sqref="E37 E39" showDropDown="0" showInputMessage="0" showErrorMessage="1" allowBlank="1" type="list">
      <formula1>"Ja,Nein"</formula1>
    </dataValidation>
    <dataValidation sqref="C35" showDropDown="0" showInputMessage="0" showErrorMessage="1" allowBlank="1" type="list">
      <formula1>"Zentral,Etagen"</formula1>
    </dataValidation>
  </dataValidations>
  <hyperlinks>
    <hyperlink xmlns:r="http://schemas.openxmlformats.org/officeDocument/2006/relationships" ref="H13" r:id="rId1"/>
    <hyperlink xmlns:r="http://schemas.openxmlformats.org/officeDocument/2006/relationships" ref="H14" r:id="rId2"/>
    <hyperlink xmlns:r="http://schemas.openxmlformats.org/officeDocument/2006/relationships" ref="H15" r:id="rId3"/>
    <hyperlink xmlns:r="http://schemas.openxmlformats.org/officeDocument/2006/relationships" ref="H16" r:id="rId4"/>
    <hyperlink xmlns:r="http://schemas.openxmlformats.org/officeDocument/2006/relationships" ref="B21" r:id="rId5"/>
    <hyperlink xmlns:r="http://schemas.openxmlformats.org/officeDocument/2006/relationships" ref="B23" r:id="rId6"/>
  </hyperlinks>
  <printOptions horizontalCentered="1" verticalCentered="1"/>
  <pageMargins left="0.236111111111111" right="0.236111111111111" top="0.511805555555556" bottom="0.236111111111111" header="0" footer="0"/>
  <pageSetup orientation="landscape" paperSize="9" pageOrder="overThenDown"/>
  <drawing xmlns:r="http://schemas.openxmlformats.org/officeDocument/2006/relationships" r:id="rId7"/>
  <legacyDrawing xmlns:r="http://schemas.openxmlformats.org/officeDocument/2006/relationships" r:id="anysvml"/>
</worksheet>
</file>

<file path=xl/worksheets/sheet3.xml><?xml version="1.0" encoding="utf-8"?>
<worksheet xmlns="http://schemas.openxmlformats.org/spreadsheetml/2006/main">
  <sheetPr>
    <tabColor rgb="FFB4A7D6"/>
    <outlinePr summaryBelow="1" summaryRight="1"/>
    <pageSetUpPr fitToPage="1"/>
  </sheetPr>
  <dimension ref="A1:Z1000"/>
  <sheetViews>
    <sheetView showGridLines="0" workbookViewId="0">
      <pane ySplit="11" topLeftCell="A12" activePane="bottomLeft" state="frozen"/>
      <selection pane="bottomLeft" activeCell="B13" sqref="B13"/>
    </sheetView>
  </sheetViews>
  <sheetFormatPr baseColWidth="10" defaultColWidth="14.4609375" defaultRowHeight="15" customHeight="1"/>
  <cols>
    <col width="4.3046875" customWidth="1" style="545" min="1" max="1"/>
    <col width="16.15234375" customWidth="1" style="545" min="2" max="2"/>
    <col hidden="1" width="4.84375" customWidth="1" style="545" min="3" max="3"/>
    <col hidden="1" width="23.53515625" customWidth="1" style="545" min="4" max="4"/>
    <col width="7.3046875" customWidth="1" style="545" min="5" max="5"/>
    <col width="55.3046875" customWidth="1" style="545" min="6" max="6"/>
    <col hidden="1" width="24.53515625" customWidth="1" style="545" min="7" max="7"/>
    <col hidden="1" width="20.3046875" customWidth="1" style="545" min="8" max="8"/>
    <col width="11.69140625" customWidth="1" style="545" min="9" max="9"/>
    <col width="7.84375" customWidth="1" style="545" min="10" max="10"/>
    <col width="15.4609375" customWidth="1" style="545" min="11" max="11"/>
    <col width="8.69140625" customWidth="1" style="545" min="12" max="12"/>
    <col width="13" customWidth="1" style="545" min="13" max="13"/>
    <col width="13.53515625" customWidth="1" style="545" min="14" max="14"/>
    <col width="15.3046875" customWidth="1" style="545" min="15" max="15"/>
    <col width="16" customWidth="1" style="545" min="16" max="17"/>
    <col width="22.15234375" customWidth="1" style="545" min="18" max="18"/>
  </cols>
  <sheetData>
    <row r="1" ht="17.25" customHeight="1" s="545">
      <c r="A1" s="108" t="n"/>
      <c r="B1" s="108" t="n"/>
      <c r="C1" s="108" t="n"/>
      <c r="D1" s="108" t="n"/>
      <c r="E1" s="108" t="n"/>
      <c r="F1" s="21" t="n"/>
      <c r="G1" s="106" t="n"/>
      <c r="H1" s="106" t="n"/>
      <c r="I1" s="106" t="n"/>
      <c r="J1" s="106" t="n"/>
      <c r="K1" s="106" t="n"/>
      <c r="L1" s="106" t="n"/>
      <c r="M1" s="106" t="n"/>
      <c r="N1" s="106" t="n"/>
      <c r="O1" s="106" t="n"/>
      <c r="P1" s="106" t="n"/>
      <c r="Q1" s="106" t="n"/>
      <c r="R1" s="106" t="n"/>
      <c r="S1" s="106" t="n"/>
      <c r="T1" s="106" t="n"/>
      <c r="U1" s="106" t="n"/>
      <c r="V1" s="106" t="n"/>
      <c r="W1" s="106" t="n"/>
      <c r="X1" s="106" t="n"/>
      <c r="Y1" s="106" t="n"/>
      <c r="Z1" s="106" t="n"/>
    </row>
    <row r="2" ht="17.25" customHeight="1" s="545">
      <c r="A2" s="108" t="n"/>
      <c r="B2" s="633" t="inlineStr">
        <is>
          <t>AUFWERTUNGSKALKULATION</t>
        </is>
      </c>
      <c r="C2" s="574" t="n"/>
      <c r="D2" s="574" t="n"/>
      <c r="E2" s="574" t="n"/>
      <c r="F2" s="574" t="n"/>
      <c r="G2" s="574" t="n"/>
      <c r="H2" s="574" t="n"/>
      <c r="I2" s="574" t="n"/>
      <c r="J2" s="574" t="n"/>
      <c r="K2" s="574" t="n"/>
      <c r="L2" s="574" t="n"/>
      <c r="M2" s="574" t="n"/>
      <c r="N2" s="574" t="n"/>
      <c r="O2" s="574" t="n"/>
      <c r="P2" s="574" t="n"/>
      <c r="Q2" s="19" t="n"/>
      <c r="R2" s="19" t="n"/>
      <c r="S2" s="106" t="n"/>
      <c r="T2" s="106" t="n"/>
      <c r="U2" s="106" t="n"/>
      <c r="V2" s="106" t="n"/>
      <c r="W2" s="106" t="n"/>
      <c r="X2" s="106" t="n"/>
      <c r="Y2" s="106" t="n"/>
      <c r="Z2" s="106" t="n"/>
    </row>
    <row r="3" ht="17.25" customHeight="1" s="545">
      <c r="A3" s="108" t="n"/>
      <c r="B3" s="109" t="n"/>
      <c r="C3" s="109" t="n"/>
      <c r="D3" s="109" t="n"/>
      <c r="E3" s="109" t="n"/>
      <c r="F3" s="99" t="n"/>
      <c r="G3" s="21" t="n"/>
      <c r="H3" s="106" t="n"/>
      <c r="I3" s="106" t="n"/>
      <c r="J3" s="106" t="n"/>
      <c r="K3" s="106" t="n"/>
      <c r="L3" s="106" t="n"/>
      <c r="M3" s="106" t="n"/>
      <c r="N3" s="106" t="n"/>
      <c r="O3" s="106" t="n"/>
      <c r="P3" s="110" t="n"/>
      <c r="Q3" s="110" t="n"/>
      <c r="R3" s="110" t="n"/>
      <c r="S3" s="106" t="n"/>
      <c r="T3" s="106" t="n"/>
      <c r="U3" s="106" t="n"/>
      <c r="V3" s="106" t="n"/>
      <c r="W3" s="106" t="n"/>
      <c r="X3" s="106" t="n"/>
      <c r="Y3" s="106" t="n"/>
      <c r="Z3" s="106" t="n"/>
    </row>
    <row r="4" ht="15" customHeight="1" s="545">
      <c r="A4" s="106" t="n"/>
      <c r="B4" s="637" t="inlineStr">
        <is>
          <t>Anschrift</t>
        </is>
      </c>
      <c r="C4" s="690" t="n"/>
      <c r="D4" s="690" t="n"/>
      <c r="E4" s="689" t="n"/>
      <c r="F4" s="647">
        <f>KALKU!C12</f>
        <v/>
      </c>
      <c r="G4" s="574" t="n"/>
      <c r="H4" s="574" t="n"/>
      <c r="I4" s="562" t="n"/>
      <c r="J4" s="21" t="n"/>
      <c r="K4" s="624">
        <f>"Kalkulierte Reno Kosten inkl. "&amp;TEXT(I6,"0%")&amp;" Puffer (Netto)"</f>
        <v/>
      </c>
      <c r="L4" s="574" t="n"/>
      <c r="M4" s="574" t="n"/>
      <c r="N4" s="562" t="n"/>
      <c r="O4" s="725">
        <f>P106*(1+I6)</f>
        <v/>
      </c>
      <c r="P4" s="726">
        <f>IF(OR(F5=0,F5=""),"",O4/F5)</f>
        <v/>
      </c>
      <c r="Q4" s="106" t="n"/>
      <c r="R4" s="106" t="n"/>
      <c r="S4" s="106" t="n"/>
      <c r="T4" s="106" t="n"/>
      <c r="U4" s="106" t="n"/>
      <c r="V4" s="106" t="n"/>
      <c r="W4" s="106" t="n"/>
      <c r="X4" s="106" t="n"/>
      <c r="Y4" s="106" t="n"/>
      <c r="Z4" s="106" t="n"/>
    </row>
    <row r="5" ht="15" customHeight="1" s="545">
      <c r="A5" s="106" t="n"/>
      <c r="B5" s="637" t="inlineStr">
        <is>
          <t>Wohnfläche</t>
        </is>
      </c>
      <c r="C5" s="690" t="n"/>
      <c r="D5" s="690" t="n"/>
      <c r="E5" s="689" t="n"/>
      <c r="F5" s="111">
        <f>KALKU!C13</f>
        <v/>
      </c>
      <c r="G5" s="112" t="n"/>
      <c r="H5" s="112" t="n"/>
      <c r="I5" s="727" t="n">
        <v>27</v>
      </c>
      <c r="J5" s="21" t="n"/>
      <c r="K5" s="688" t="n"/>
      <c r="L5" s="599" t="n"/>
      <c r="M5" s="599" t="n"/>
      <c r="N5" s="563" t="n"/>
      <c r="O5" s="691" t="n"/>
      <c r="P5" s="691" t="n"/>
      <c r="Q5" s="106" t="n"/>
      <c r="R5" s="106" t="n"/>
      <c r="S5" s="106" t="n"/>
      <c r="T5" s="106" t="n"/>
      <c r="U5" s="106" t="n"/>
      <c r="V5" s="106" t="n"/>
      <c r="W5" s="106" t="n"/>
      <c r="X5" s="106" t="n"/>
      <c r="Y5" s="106" t="n"/>
      <c r="Z5" s="106" t="n"/>
    </row>
    <row r="6" ht="15" customHeight="1" s="545">
      <c r="A6" s="106" t="n"/>
      <c r="B6" s="637" t="inlineStr">
        <is>
          <t>Baujahr</t>
        </is>
      </c>
      <c r="C6" s="690" t="n"/>
      <c r="D6" s="690" t="n"/>
      <c r="E6" s="689" t="n"/>
      <c r="F6" s="114">
        <f>KALKU!C14</f>
        <v/>
      </c>
      <c r="G6" s="112" t="n"/>
      <c r="H6" s="112" t="n"/>
      <c r="I6" s="115" t="n">
        <v>0.1</v>
      </c>
      <c r="J6" s="21" t="n"/>
      <c r="K6" s="624">
        <f>"Kalkulierte Reno Kosten inkl. "&amp;TEXT(I6,"0%")&amp;" Puffer (Brutto)"</f>
        <v/>
      </c>
      <c r="L6" s="574" t="n"/>
      <c r="M6" s="574" t="n"/>
      <c r="N6" s="562" t="n"/>
      <c r="O6" s="728">
        <f>O4*(1+I7)</f>
        <v/>
      </c>
      <c r="P6" s="729">
        <f>IF(OR(F5=0,F5=""),"",O6/F5)</f>
        <v/>
      </c>
      <c r="Q6" s="106" t="n"/>
      <c r="R6" s="106" t="n"/>
      <c r="S6" s="106" t="n"/>
      <c r="T6" s="106" t="n"/>
      <c r="U6" s="106" t="n"/>
      <c r="V6" s="106" t="n"/>
      <c r="W6" s="106" t="n"/>
      <c r="X6" s="106" t="n"/>
      <c r="Y6" s="106" t="n"/>
      <c r="Z6" s="106" t="n"/>
    </row>
    <row r="7" ht="15" customHeight="1" s="545">
      <c r="A7" s="106" t="n"/>
      <c r="B7" s="637" t="inlineStr">
        <is>
          <t>Marge Handwerker</t>
        </is>
      </c>
      <c r="C7" s="690" t="n"/>
      <c r="D7" s="690" t="n"/>
      <c r="E7" s="689" t="n"/>
      <c r="F7" s="116" t="n">
        <v>0.3</v>
      </c>
      <c r="G7" s="112" t="n"/>
      <c r="H7" s="112" t="n"/>
      <c r="I7" s="115" t="n">
        <v>0.19</v>
      </c>
      <c r="J7" s="117" t="n"/>
      <c r="K7" s="688" t="n"/>
      <c r="L7" s="599" t="n"/>
      <c r="M7" s="599" t="n"/>
      <c r="N7" s="563" t="n"/>
      <c r="O7" s="691" t="n"/>
      <c r="P7" s="691" t="n"/>
      <c r="Q7" s="106" t="n"/>
      <c r="R7" s="106" t="n"/>
      <c r="S7" s="106" t="n"/>
      <c r="T7" s="106" t="n"/>
      <c r="U7" s="106" t="n"/>
      <c r="V7" s="106" t="n"/>
      <c r="W7" s="106" t="n"/>
      <c r="X7" s="106" t="n"/>
      <c r="Y7" s="106" t="n"/>
      <c r="Z7" s="106" t="n"/>
    </row>
    <row r="8" ht="15" customHeight="1" s="545">
      <c r="A8" s="118" t="n"/>
      <c r="B8" s="118" t="n"/>
      <c r="C8" s="118" t="n"/>
      <c r="D8" s="118" t="n"/>
      <c r="E8" s="118" t="n"/>
      <c r="F8" s="118" t="n"/>
      <c r="G8" s="730" t="n"/>
      <c r="H8" s="120" t="n"/>
      <c r="I8" s="121" t="n"/>
      <c r="J8" s="106" t="n"/>
      <c r="K8" s="651" t="inlineStr">
        <is>
          <t>Individueller Auf-/Abschlag</t>
        </is>
      </c>
      <c r="L8" s="645" t="n">
        <v>0</v>
      </c>
      <c r="M8" s="644" t="inlineStr">
        <is>
          <t>Meine Reno Kosten =</t>
        </is>
      </c>
      <c r="N8" s="562" t="n"/>
      <c r="O8" s="731">
        <f>O6*(1+L8)</f>
        <v/>
      </c>
      <c r="P8" s="732">
        <f>IF(OR(F5=0,F5=""),"",O8/F5)</f>
        <v/>
      </c>
      <c r="Q8" s="99" t="n"/>
      <c r="R8" s="733">
        <f>SUM(R12:R105)</f>
        <v/>
      </c>
      <c r="S8" s="106" t="n"/>
      <c r="T8" s="106" t="n"/>
      <c r="U8" s="106" t="n"/>
      <c r="V8" s="106" t="n"/>
      <c r="W8" s="106" t="n"/>
      <c r="X8" s="106" t="n"/>
      <c r="Y8" s="106" t="n"/>
      <c r="Z8" s="106" t="n"/>
    </row>
    <row r="9" ht="15" customHeight="1" s="545">
      <c r="A9" s="118" t="n"/>
      <c r="B9" s="118" t="n"/>
      <c r="C9" s="118" t="n"/>
      <c r="D9" s="118" t="n"/>
      <c r="E9" s="118" t="n"/>
      <c r="F9" s="118" t="n"/>
      <c r="G9" s="730" t="n"/>
      <c r="H9" s="120" t="n"/>
      <c r="I9" s="121" t="n"/>
      <c r="J9" s="106" t="n"/>
      <c r="K9" s="688" t="n"/>
      <c r="L9" s="691" t="n"/>
      <c r="M9" s="599" t="n"/>
      <c r="N9" s="563" t="n"/>
      <c r="O9" s="691" t="n"/>
      <c r="P9" s="691" t="n"/>
      <c r="Q9" s="21" t="n"/>
      <c r="R9" s="691" t="n"/>
      <c r="S9" s="106" t="n"/>
      <c r="T9" s="106" t="n"/>
      <c r="U9" s="106" t="n"/>
      <c r="V9" s="106" t="n"/>
      <c r="W9" s="106" t="n"/>
      <c r="X9" s="106" t="n"/>
      <c r="Y9" s="106" t="n"/>
      <c r="Z9" s="106" t="n"/>
    </row>
    <row r="10" ht="19.5" customHeight="1" s="545">
      <c r="A10" s="118" t="n"/>
      <c r="B10" s="118" t="n"/>
      <c r="C10" s="118" t="n"/>
      <c r="D10" s="118" t="n"/>
      <c r="E10" s="118" t="n"/>
      <c r="F10" s="118" t="n"/>
      <c r="G10" s="730" t="n"/>
      <c r="H10" s="120" t="n"/>
      <c r="I10" s="121" t="n"/>
      <c r="J10" s="106" t="n"/>
      <c r="K10" s="106" t="n"/>
      <c r="L10" s="122" t="n"/>
      <c r="M10" s="21" t="n"/>
      <c r="N10" s="21" t="n"/>
      <c r="O10" s="123" t="n"/>
      <c r="P10" s="21" t="n"/>
      <c r="Q10" s="21" t="n"/>
      <c r="R10" s="124" t="inlineStr">
        <is>
          <t>↑</t>
        </is>
      </c>
      <c r="S10" s="106" t="n"/>
      <c r="T10" s="106" t="n"/>
      <c r="U10" s="106" t="n"/>
      <c r="V10" s="106" t="n"/>
      <c r="W10" s="106" t="n"/>
      <c r="X10" s="106" t="n"/>
      <c r="Y10" s="106" t="n"/>
      <c r="Z10" s="106" t="n"/>
    </row>
    <row r="11" ht="29.25" customHeight="1" s="545">
      <c r="A11" s="125" t="n"/>
      <c r="B11" s="126" t="inlineStr">
        <is>
          <t>Gewerk</t>
        </is>
      </c>
      <c r="C11" s="126" t="inlineStr">
        <is>
          <t>Pos.</t>
        </is>
      </c>
      <c r="D11" s="126" t="inlineStr">
        <is>
          <t>Gewerk</t>
        </is>
      </c>
      <c r="E11" s="127" t="inlineStr">
        <is>
          <t>lfd. Nr.</t>
        </is>
      </c>
      <c r="F11" s="128" t="inlineStr">
        <is>
          <t>Maßnahmen</t>
        </is>
      </c>
      <c r="G11" s="129" t="inlineStr">
        <is>
          <t>Anteil Lohn-
kosten in %</t>
        </is>
      </c>
      <c r="H11" s="129" t="inlineStr">
        <is>
          <t>Anteil
Material in %</t>
        </is>
      </c>
      <c r="I11" s="127" t="inlineStr">
        <is>
          <t>Menge</t>
        </is>
      </c>
      <c r="J11" s="127" t="inlineStr">
        <is>
          <t>Einheit</t>
        </is>
      </c>
      <c r="K11" s="129" t="inlineStr">
        <is>
          <t>pschl. EP
netto</t>
        </is>
      </c>
      <c r="L11" s="127" t="inlineStr">
        <is>
          <t>Zeit in h</t>
        </is>
      </c>
      <c r="M11" s="127" t="inlineStr">
        <is>
          <t>Zeit in Tagen</t>
        </is>
      </c>
      <c r="N11" s="127" t="inlineStr">
        <is>
          <t>Lohnkosten</t>
        </is>
      </c>
      <c r="O11" s="127" t="inlineStr">
        <is>
          <t>Materialkosten</t>
        </is>
      </c>
      <c r="P11" s="130" t="inlineStr">
        <is>
          <t>Gesamtkosten (Netto)</t>
        </is>
      </c>
      <c r="Q11" s="130" t="inlineStr">
        <is>
          <t>Summe pro Gewerk (Netto)</t>
        </is>
      </c>
      <c r="R11" s="130" t="inlineStr">
        <is>
          <t>Eingeholte Angebote von Handwerkern</t>
        </is>
      </c>
      <c r="S11" s="548" t="n"/>
      <c r="T11" s="548" t="n"/>
      <c r="U11" s="548" t="n"/>
      <c r="V11" s="548" t="n"/>
      <c r="W11" s="548" t="n"/>
      <c r="X11" s="548" t="n"/>
      <c r="Y11" s="548" t="n"/>
      <c r="Z11" s="548" t="n"/>
    </row>
    <row r="12" ht="15.75" customHeight="1" s="545">
      <c r="A12" s="131" t="n"/>
      <c r="B12" s="132" t="inlineStr">
        <is>
          <t>Entmietung</t>
        </is>
      </c>
      <c r="C12" s="133">
        <f>IF(I12&gt;0,1,"")</f>
        <v/>
      </c>
      <c r="D12" s="134">
        <f>B12</f>
        <v/>
      </c>
      <c r="E12" s="133" t="n">
        <v>1</v>
      </c>
      <c r="F12" s="135" t="inlineStr">
        <is>
          <t>Entmietung (Anwaltskosten, Umzugskosten etc.)</t>
        </is>
      </c>
      <c r="G12" s="136" t="n"/>
      <c r="H12" s="136" t="n"/>
      <c r="I12" s="137" t="n"/>
      <c r="J12" s="138" t="inlineStr">
        <is>
          <t>Stk</t>
        </is>
      </c>
      <c r="K12" s="734" t="n">
        <v>4000</v>
      </c>
      <c r="L12" s="735" t="n">
        <v>0</v>
      </c>
      <c r="M12" s="735" t="n">
        <v>0</v>
      </c>
      <c r="N12" s="736" t="n">
        <v>0</v>
      </c>
      <c r="O12" s="736" t="n">
        <v>0</v>
      </c>
      <c r="P12" s="737">
        <f>I12*K12</f>
        <v/>
      </c>
      <c r="Q12" s="738">
        <f>P12</f>
        <v/>
      </c>
      <c r="R12" s="738" t="n"/>
      <c r="S12" s="106" t="n"/>
      <c r="T12" s="106" t="n"/>
      <c r="U12" s="106" t="n"/>
      <c r="V12" s="106" t="n"/>
      <c r="W12" s="106" t="n"/>
      <c r="X12" s="106" t="n"/>
      <c r="Y12" s="106" t="n"/>
      <c r="Z12" s="106" t="n"/>
    </row>
    <row r="13" ht="23.25" customHeight="1" s="545">
      <c r="A13" s="131" t="n"/>
      <c r="B13" s="646" t="inlineStr">
        <is>
          <t>Entrümpelung
Entsorgung</t>
        </is>
      </c>
      <c r="C13" s="144">
        <f>IF(I13&gt;0,MAX($C$12:C12)+1,"")</f>
        <v/>
      </c>
      <c r="D13" s="145">
        <f>IF(ISBLANK(B13),D12,B13)</f>
        <v/>
      </c>
      <c r="E13" s="144" t="n">
        <v>2</v>
      </c>
      <c r="F13" s="146" t="inlineStr">
        <is>
          <t>Entrümplung (ohne Entsorgungskosten)</t>
        </is>
      </c>
      <c r="G13" s="147" t="n">
        <v>0.8</v>
      </c>
      <c r="H13" s="147" t="n">
        <v>0.2</v>
      </c>
      <c r="I13" s="148" t="n"/>
      <c r="J13" s="146" t="inlineStr">
        <is>
          <t>m²</t>
        </is>
      </c>
      <c r="K13" s="739" t="n">
        <v>40</v>
      </c>
      <c r="L13" s="740">
        <f>(N13/$I$5)/(1+$F$7)</f>
        <v/>
      </c>
      <c r="M13" s="740">
        <f>L13/8</f>
        <v/>
      </c>
      <c r="N13" s="741">
        <f>P13*G13</f>
        <v/>
      </c>
      <c r="O13" s="741">
        <f>P13*H13</f>
        <v/>
      </c>
      <c r="P13" s="742">
        <f>I13*K13</f>
        <v/>
      </c>
      <c r="Q13" s="743">
        <f>SUM(P13:P14)</f>
        <v/>
      </c>
      <c r="R13" s="743" t="n"/>
      <c r="S13" s="106" t="n"/>
      <c r="T13" s="106" t="n"/>
      <c r="U13" s="106" t="n"/>
      <c r="V13" s="106" t="n"/>
      <c r="W13" s="106" t="n"/>
      <c r="X13" s="106" t="n"/>
      <c r="Y13" s="106" t="n"/>
      <c r="Z13" s="106" t="n"/>
    </row>
    <row r="14" ht="23.25" customHeight="1" s="545">
      <c r="A14" s="131" t="n"/>
      <c r="B14" s="643" t="n"/>
      <c r="C14" s="153">
        <f>IF(I14&gt;0,MAX($C$12:C13)+1,"")</f>
        <v/>
      </c>
      <c r="D14" s="154">
        <f>IF(ISBLANK(B14),D13,B14)</f>
        <v/>
      </c>
      <c r="E14" s="153" t="n">
        <v>3</v>
      </c>
      <c r="F14" s="155" t="inlineStr">
        <is>
          <t>Entkernung (Wohn- und Nutzfläche)</t>
        </is>
      </c>
      <c r="G14" s="156" t="n">
        <v>0.9</v>
      </c>
      <c r="H14" s="156" t="n">
        <v>0.1</v>
      </c>
      <c r="I14" s="157" t="n"/>
      <c r="J14" s="155" t="inlineStr">
        <is>
          <t>m² Wfl.</t>
        </is>
      </c>
      <c r="K14" s="744" t="n">
        <v>55</v>
      </c>
      <c r="L14" s="745">
        <f>(N14/$I$5)/(1+$F$7)</f>
        <v/>
      </c>
      <c r="M14" s="745">
        <f>L14/8</f>
        <v/>
      </c>
      <c r="N14" s="746">
        <f>P14*G14</f>
        <v/>
      </c>
      <c r="O14" s="746">
        <f>P14*H14</f>
        <v/>
      </c>
      <c r="P14" s="747">
        <f>I14*K14</f>
        <v/>
      </c>
      <c r="Q14" s="635" t="n"/>
      <c r="R14" s="635" t="n"/>
      <c r="S14" s="106" t="n"/>
      <c r="T14" s="106" t="n"/>
      <c r="U14" s="106" t="n"/>
      <c r="V14" s="106" t="n"/>
      <c r="W14" s="106" t="n"/>
      <c r="X14" s="106" t="n"/>
      <c r="Y14" s="106" t="n"/>
      <c r="Z14" s="106" t="n"/>
    </row>
    <row r="15" ht="15" customHeight="1" s="545">
      <c r="A15" s="162" t="n"/>
      <c r="B15" s="655" t="inlineStr">
        <is>
          <t>Fassade</t>
        </is>
      </c>
      <c r="C15" s="163">
        <f>IF(I15&gt;0,MAX($C$12:C14)+1,"")</f>
        <v/>
      </c>
      <c r="D15" s="164">
        <f>IF(ISBLANK(B15),D14,B15)</f>
        <v/>
      </c>
      <c r="E15" s="163" t="n">
        <v>4</v>
      </c>
      <c r="F15" s="165" t="inlineStr">
        <is>
          <t>Gerüstkosten Auf-/Abbau (Einrüstung der Fassade)</t>
        </is>
      </c>
      <c r="G15" s="166" t="n">
        <v>0.9</v>
      </c>
      <c r="H15" s="166" t="n">
        <v>0.1</v>
      </c>
      <c r="I15" s="167" t="n"/>
      <c r="J15" s="168" t="inlineStr">
        <is>
          <t>m²</t>
        </is>
      </c>
      <c r="K15" s="748" t="n">
        <v>8</v>
      </c>
      <c r="L15" s="749">
        <f>(N15/$I$5)/(1+$F$7)</f>
        <v/>
      </c>
      <c r="M15" s="749">
        <f>L15/8</f>
        <v/>
      </c>
      <c r="N15" s="750">
        <f>P15*G15</f>
        <v/>
      </c>
      <c r="O15" s="750">
        <f>P15*H15</f>
        <v/>
      </c>
      <c r="P15" s="751">
        <f>I15*K15</f>
        <v/>
      </c>
      <c r="Q15" s="752">
        <f>SUM(P15:P22)</f>
        <v/>
      </c>
      <c r="R15" s="752" t="n"/>
      <c r="S15" s="106" t="n"/>
      <c r="T15" s="106" t="n"/>
      <c r="U15" s="106" t="n"/>
      <c r="V15" s="106" t="n"/>
      <c r="W15" s="106" t="n"/>
      <c r="X15" s="106" t="n"/>
      <c r="Y15" s="106" t="n"/>
      <c r="Z15" s="106" t="n"/>
    </row>
    <row r="16" ht="15" customHeight="1" s="545">
      <c r="A16" s="162" t="n"/>
      <c r="B16" s="629" t="n"/>
      <c r="C16" s="173">
        <f>IF(I16&gt;0,MAX($C$12:C15)+1,"")</f>
        <v/>
      </c>
      <c r="D16" s="174">
        <f>IF(ISBLANK(B16),D15,B16)</f>
        <v/>
      </c>
      <c r="E16" s="173" t="n">
        <v>5</v>
      </c>
      <c r="F16" s="175" t="inlineStr">
        <is>
          <t>Fassade reinigen</t>
        </is>
      </c>
      <c r="G16" s="176" t="n"/>
      <c r="H16" s="176" t="n"/>
      <c r="I16" s="177" t="n"/>
      <c r="J16" s="178" t="inlineStr">
        <is>
          <t>m²</t>
        </is>
      </c>
      <c r="K16" s="753" t="n">
        <v>2.5</v>
      </c>
      <c r="L16" s="754">
        <f>(N16/$I$5)/(1+$F$7)</f>
        <v/>
      </c>
      <c r="M16" s="754">
        <f>L16/8</f>
        <v/>
      </c>
      <c r="N16" s="755">
        <f>P16*G16</f>
        <v/>
      </c>
      <c r="O16" s="755">
        <f>P16*H16</f>
        <v/>
      </c>
      <c r="P16" s="756">
        <f>I16*K16</f>
        <v/>
      </c>
      <c r="Q16" s="626" t="n"/>
      <c r="R16" s="626" t="n"/>
      <c r="S16" s="106" t="n"/>
      <c r="T16" s="106" t="n"/>
      <c r="U16" s="106" t="n"/>
      <c r="V16" s="106" t="n"/>
      <c r="W16" s="106" t="n"/>
      <c r="X16" s="106" t="n"/>
      <c r="Y16" s="106" t="n"/>
      <c r="Z16" s="106" t="n"/>
    </row>
    <row r="17" ht="15" customHeight="1" s="545">
      <c r="A17" s="162" t="n"/>
      <c r="B17" s="629" t="n"/>
      <c r="C17" s="173">
        <f>IF(I17&gt;0,MAX($C$12:C16)+1,"")</f>
        <v/>
      </c>
      <c r="D17" s="174">
        <f>IF(ISBLANK(B17),D16,B17)</f>
        <v/>
      </c>
      <c r="E17" s="173" t="n">
        <v>6</v>
      </c>
      <c r="F17" s="175" t="inlineStr">
        <is>
          <t>Sockel Fassade aufarbeiten</t>
        </is>
      </c>
      <c r="G17" s="176" t="n"/>
      <c r="H17" s="176" t="n"/>
      <c r="I17" s="177" t="n"/>
      <c r="J17" s="178" t="inlineStr">
        <is>
          <t>m²</t>
        </is>
      </c>
      <c r="K17" s="753" t="n">
        <v>15</v>
      </c>
      <c r="L17" s="754">
        <f>(N17/$I$5)/(1+$F$7)</f>
        <v/>
      </c>
      <c r="M17" s="754">
        <f>L17/8</f>
        <v/>
      </c>
      <c r="N17" s="755">
        <f>P17*G17</f>
        <v/>
      </c>
      <c r="O17" s="755">
        <f>P17*H17</f>
        <v/>
      </c>
      <c r="P17" s="756">
        <f>I17*K17</f>
        <v/>
      </c>
      <c r="Q17" s="626" t="n"/>
      <c r="R17" s="626" t="n"/>
      <c r="S17" s="106" t="n"/>
      <c r="T17" s="106" t="n"/>
      <c r="U17" s="106" t="n"/>
      <c r="V17" s="106" t="n"/>
      <c r="W17" s="106" t="n"/>
      <c r="X17" s="106" t="n"/>
      <c r="Y17" s="106" t="n"/>
      <c r="Z17" s="106" t="n"/>
    </row>
    <row r="18" ht="15" customHeight="1" s="545">
      <c r="A18" s="162" t="n"/>
      <c r="B18" s="629" t="n"/>
      <c r="C18" s="173">
        <f>IF(I18&gt;0,MAX($C$12:C17)+1,"")</f>
        <v/>
      </c>
      <c r="D18" s="174">
        <f>IF(ISBLANK(B18),D17,B18)</f>
        <v/>
      </c>
      <c r="E18" s="173" t="n">
        <v>7</v>
      </c>
      <c r="F18" s="175" t="inlineStr">
        <is>
          <t>Dämmung WDVS (16mm)</t>
        </is>
      </c>
      <c r="G18" s="183" t="n"/>
      <c r="H18" s="183" t="n"/>
      <c r="I18" s="177" t="n"/>
      <c r="J18" s="178" t="inlineStr">
        <is>
          <t>m²</t>
        </is>
      </c>
      <c r="K18" s="753" t="n">
        <v>45</v>
      </c>
      <c r="L18" s="754">
        <f>(N18/$I$5)/(1+$F$7)</f>
        <v/>
      </c>
      <c r="M18" s="754">
        <f>L18/8</f>
        <v/>
      </c>
      <c r="N18" s="755">
        <f>P18*G18</f>
        <v/>
      </c>
      <c r="O18" s="755">
        <f>P18*H18</f>
        <v/>
      </c>
      <c r="P18" s="756">
        <f>I18*K18</f>
        <v/>
      </c>
      <c r="Q18" s="626" t="n"/>
      <c r="R18" s="626" t="n"/>
      <c r="S18" s="106" t="n"/>
      <c r="T18" s="106" t="n"/>
      <c r="U18" s="106" t="n"/>
      <c r="V18" s="106" t="n"/>
      <c r="W18" s="106" t="n"/>
      <c r="X18" s="106" t="n"/>
      <c r="Y18" s="106" t="n"/>
      <c r="Z18" s="106" t="n"/>
    </row>
    <row r="19" ht="15" customHeight="1" s="545">
      <c r="A19" s="162" t="n"/>
      <c r="B19" s="629" t="n"/>
      <c r="C19" s="173">
        <f>IF(I19&gt;0,MAX($C$12:C18)+1,"")</f>
        <v/>
      </c>
      <c r="D19" s="174">
        <f>IF(ISBLANK(B19),D18,B19)</f>
        <v/>
      </c>
      <c r="E19" s="173" t="n">
        <v>8</v>
      </c>
      <c r="F19" s="175" t="inlineStr">
        <is>
          <t>Gewebespachtel</t>
        </is>
      </c>
      <c r="G19" s="183" t="n"/>
      <c r="H19" s="183" t="n"/>
      <c r="I19" s="177" t="n"/>
      <c r="J19" s="178" t="inlineStr">
        <is>
          <t>m²</t>
        </is>
      </c>
      <c r="K19" s="753" t="n">
        <v>20</v>
      </c>
      <c r="L19" s="754">
        <f>(N19/$I$5)/(1+$F$7)</f>
        <v/>
      </c>
      <c r="M19" s="754">
        <f>L19/8</f>
        <v/>
      </c>
      <c r="N19" s="755">
        <f>P19*G19</f>
        <v/>
      </c>
      <c r="O19" s="755">
        <f>P19*H19</f>
        <v/>
      </c>
      <c r="P19" s="756">
        <f>I19*K19</f>
        <v/>
      </c>
      <c r="Q19" s="626" t="n"/>
      <c r="R19" s="626" t="n"/>
      <c r="S19" s="106" t="n"/>
      <c r="T19" s="106" t="n"/>
      <c r="U19" s="106" t="n"/>
      <c r="V19" s="106" t="n"/>
      <c r="W19" s="106" t="n"/>
      <c r="X19" s="106" t="n"/>
      <c r="Y19" s="106" t="n"/>
      <c r="Z19" s="106" t="n"/>
    </row>
    <row r="20" ht="15" customHeight="1" s="545">
      <c r="A20" s="162" t="n"/>
      <c r="B20" s="629" t="n"/>
      <c r="C20" s="173">
        <f>IF(I20&gt;0,MAX($C$12:C19)+1,"")</f>
        <v/>
      </c>
      <c r="D20" s="174">
        <f>IF(ISBLANK(B20),D19,B20)</f>
        <v/>
      </c>
      <c r="E20" s="173" t="n">
        <v>9</v>
      </c>
      <c r="F20" s="175" t="inlineStr">
        <is>
          <t>Fassade verputzen</t>
        </is>
      </c>
      <c r="G20" s="183" t="n">
        <v>0.7</v>
      </c>
      <c r="H20" s="183" t="n">
        <v>0.3</v>
      </c>
      <c r="I20" s="177" t="n"/>
      <c r="J20" s="178" t="inlineStr">
        <is>
          <t>m²</t>
        </is>
      </c>
      <c r="K20" s="753" t="n">
        <v>20</v>
      </c>
      <c r="L20" s="754">
        <f>(N20/$I$5)/(1+$F$7)</f>
        <v/>
      </c>
      <c r="M20" s="754">
        <f>L20/8</f>
        <v/>
      </c>
      <c r="N20" s="755">
        <f>P20*G20</f>
        <v/>
      </c>
      <c r="O20" s="755">
        <f>P20*H20</f>
        <v/>
      </c>
      <c r="P20" s="756">
        <f>I20*K20</f>
        <v/>
      </c>
      <c r="Q20" s="626" t="n"/>
      <c r="R20" s="626" t="n"/>
      <c r="S20" s="106" t="n"/>
      <c r="T20" s="106" t="n"/>
      <c r="U20" s="106" t="n"/>
      <c r="V20" s="106" t="n"/>
      <c r="W20" s="106" t="n"/>
      <c r="X20" s="106" t="n"/>
      <c r="Y20" s="106" t="n"/>
      <c r="Z20" s="106" t="n"/>
    </row>
    <row r="21" ht="15" customHeight="1" s="545">
      <c r="A21" s="162" t="n"/>
      <c r="B21" s="629" t="n"/>
      <c r="C21" s="184">
        <f>IF(I21&gt;0,MAX($C$12:C20)+1,"")</f>
        <v/>
      </c>
      <c r="D21" s="174">
        <f>IF(ISBLANK(B21),D20,B21)</f>
        <v/>
      </c>
      <c r="E21" s="184" t="n">
        <v>10</v>
      </c>
      <c r="F21" s="185" t="inlineStr">
        <is>
          <t xml:space="preserve">Fenster ausspitzen </t>
        </is>
      </c>
      <c r="G21" s="186" t="n"/>
      <c r="H21" s="186" t="n"/>
      <c r="I21" s="187" t="n"/>
      <c r="J21" s="188" t="inlineStr">
        <is>
          <t>Stk</t>
        </is>
      </c>
      <c r="K21" s="757" t="n">
        <v>25</v>
      </c>
      <c r="L21" s="754">
        <f>(N21/$I$5)/(1+$F$7)</f>
        <v/>
      </c>
      <c r="M21" s="754">
        <f>L21/8</f>
        <v/>
      </c>
      <c r="N21" s="755">
        <f>P21*G21</f>
        <v/>
      </c>
      <c r="O21" s="755">
        <f>P21*H21</f>
        <v/>
      </c>
      <c r="P21" s="756">
        <f>I21*K21</f>
        <v/>
      </c>
      <c r="Q21" s="626" t="n"/>
      <c r="R21" s="626" t="n"/>
      <c r="S21" s="106" t="n"/>
      <c r="T21" s="106" t="n"/>
      <c r="U21" s="106" t="n"/>
      <c r="V21" s="106" t="n"/>
      <c r="W21" s="106" t="n"/>
      <c r="X21" s="106" t="n"/>
      <c r="Y21" s="106" t="n"/>
      <c r="Z21" s="106" t="n"/>
    </row>
    <row r="22" ht="15" customHeight="1" s="545">
      <c r="A22" s="162" t="n"/>
      <c r="B22" s="643" t="n"/>
      <c r="C22" s="190">
        <f>IF(I22&gt;0,MAX($C$12:C21)+1,"")</f>
        <v/>
      </c>
      <c r="D22" s="191">
        <f>IF(ISBLANK(B22),D20,B22)</f>
        <v/>
      </c>
      <c r="E22" s="190" t="n">
        <v>11</v>
      </c>
      <c r="F22" s="192" t="inlineStr">
        <is>
          <t>Fassade neu streichen (zweifach)</t>
        </is>
      </c>
      <c r="G22" s="193" t="n">
        <v>0.75</v>
      </c>
      <c r="H22" s="193" t="n">
        <v>0.25</v>
      </c>
      <c r="I22" s="194" t="n"/>
      <c r="J22" s="195" t="inlineStr">
        <is>
          <t>m²</t>
        </is>
      </c>
      <c r="K22" s="758" t="n">
        <v>12.5</v>
      </c>
      <c r="L22" s="759">
        <f>(N22/$I$5)/(1+$F$7)</f>
        <v/>
      </c>
      <c r="M22" s="759">
        <f>L22/8</f>
        <v/>
      </c>
      <c r="N22" s="760">
        <f>P22*G22</f>
        <v/>
      </c>
      <c r="O22" s="760">
        <f>P22*H22</f>
        <v/>
      </c>
      <c r="P22" s="761">
        <f>I22*K22</f>
        <v/>
      </c>
      <c r="Q22" s="635" t="n"/>
      <c r="R22" s="635" t="n"/>
      <c r="S22" s="106" t="n"/>
      <c r="T22" s="106" t="n"/>
      <c r="U22" s="106" t="n"/>
      <c r="V22" s="106" t="n"/>
      <c r="W22" s="106" t="n"/>
      <c r="X22" s="106" t="n"/>
      <c r="Y22" s="106" t="n"/>
      <c r="Z22" s="106" t="n"/>
    </row>
    <row r="23" ht="15" customHeight="1" s="545">
      <c r="A23" s="162" t="n"/>
      <c r="B23" s="652" t="inlineStr">
        <is>
          <t>Dach</t>
        </is>
      </c>
      <c r="C23" s="200">
        <f>IF(I23&gt;0,MAX($C$12:C22)+1,"")</f>
        <v/>
      </c>
      <c r="D23" s="201">
        <f>IF(ISBLANK(B23),D22,B23)</f>
        <v/>
      </c>
      <c r="E23" s="200" t="n">
        <v>12</v>
      </c>
      <c r="F23" s="202" t="inlineStr">
        <is>
          <t>Dachreinigung</t>
        </is>
      </c>
      <c r="G23" s="203" t="n">
        <v>0.8</v>
      </c>
      <c r="H23" s="203" t="n">
        <v>0.2</v>
      </c>
      <c r="I23" s="167" t="n"/>
      <c r="J23" s="204" t="inlineStr">
        <is>
          <t>m²</t>
        </is>
      </c>
      <c r="K23" s="762" t="n">
        <v>5</v>
      </c>
      <c r="L23" s="763">
        <f>(N23/$I$5)/(1+$F$7)</f>
        <v/>
      </c>
      <c r="M23" s="763">
        <f>L23/8</f>
        <v/>
      </c>
      <c r="N23" s="764">
        <f>P23*G23</f>
        <v/>
      </c>
      <c r="O23" s="764">
        <f>P23*H23</f>
        <v/>
      </c>
      <c r="P23" s="765">
        <f>I23*K23</f>
        <v/>
      </c>
      <c r="Q23" s="766">
        <f>SUM(P23:P27)</f>
        <v/>
      </c>
      <c r="R23" s="766" t="n"/>
      <c r="S23" s="106" t="n"/>
      <c r="T23" s="106" t="n"/>
      <c r="U23" s="106" t="n"/>
      <c r="V23" s="106" t="n"/>
      <c r="W23" s="106" t="n"/>
      <c r="X23" s="106" t="n"/>
      <c r="Y23" s="106" t="n"/>
      <c r="Z23" s="106" t="n"/>
    </row>
    <row r="24" ht="15.75" customHeight="1" s="545">
      <c r="A24" s="162" t="n"/>
      <c r="B24" s="629" t="n"/>
      <c r="C24" s="209">
        <f>IF(I24&gt;0,MAX($C$12:C23)+1,"")</f>
        <v/>
      </c>
      <c r="D24" s="210">
        <f>IF(ISBLANK(B24),D22,B24)</f>
        <v/>
      </c>
      <c r="E24" s="209" t="n">
        <v>13</v>
      </c>
      <c r="F24" s="211" t="inlineStr">
        <is>
          <t>Dachbeschichtung / Versiegelung (zweifach)</t>
        </is>
      </c>
      <c r="G24" s="212" t="n"/>
      <c r="H24" s="212" t="n"/>
      <c r="I24" s="213" t="n"/>
      <c r="J24" s="214" t="inlineStr">
        <is>
          <t>m²</t>
        </is>
      </c>
      <c r="K24" s="767" t="n">
        <v>25</v>
      </c>
      <c r="L24" s="768">
        <f>(N24/$I$5)/(1+$F$7)</f>
        <v/>
      </c>
      <c r="M24" s="768">
        <f>L24/8</f>
        <v/>
      </c>
      <c r="N24" s="769">
        <f>P24*G24</f>
        <v/>
      </c>
      <c r="O24" s="769">
        <f>P24*H24</f>
        <v/>
      </c>
      <c r="P24" s="770">
        <f>I24*K24</f>
        <v/>
      </c>
      <c r="Q24" s="626" t="n"/>
      <c r="R24" s="626" t="n"/>
      <c r="S24" s="106" t="n"/>
      <c r="T24" s="106" t="n"/>
      <c r="U24" s="106" t="n"/>
      <c r="V24" s="106" t="n"/>
      <c r="W24" s="106" t="n"/>
      <c r="X24" s="106" t="n"/>
      <c r="Y24" s="106" t="n"/>
      <c r="Z24" s="106" t="n"/>
    </row>
    <row r="25" ht="15.75" customHeight="1" s="545">
      <c r="A25" s="162" t="n"/>
      <c r="B25" s="629" t="n"/>
      <c r="C25" s="219">
        <f>IF(I25&gt;0,MAX($C$12:C24)+1,"")</f>
        <v/>
      </c>
      <c r="D25" s="210">
        <f>IF(ISBLANK(B25),D23,B25)</f>
        <v/>
      </c>
      <c r="E25" s="219" t="n">
        <v>14</v>
      </c>
      <c r="F25" s="220" t="inlineStr">
        <is>
          <t>Dach neu decken</t>
        </is>
      </c>
      <c r="G25" s="221" t="n">
        <v>0.8</v>
      </c>
      <c r="H25" s="221" t="n">
        <v>0.2</v>
      </c>
      <c r="I25" s="177" t="n"/>
      <c r="J25" s="214" t="inlineStr">
        <is>
          <t>m²</t>
        </is>
      </c>
      <c r="K25" s="767" t="n">
        <v>95</v>
      </c>
      <c r="L25" s="768">
        <f>(N25/$I$5)/(1+$F$7)</f>
        <v/>
      </c>
      <c r="M25" s="768">
        <f>L25/8</f>
        <v/>
      </c>
      <c r="N25" s="769">
        <f>P25*G25</f>
        <v/>
      </c>
      <c r="O25" s="769">
        <f>P25*H25</f>
        <v/>
      </c>
      <c r="P25" s="770">
        <f>I25*K25</f>
        <v/>
      </c>
      <c r="Q25" s="626" t="n"/>
      <c r="R25" s="626" t="n"/>
      <c r="S25" s="106" t="n"/>
      <c r="T25" s="106" t="n"/>
      <c r="U25" s="106" t="n"/>
      <c r="V25" s="106" t="n"/>
      <c r="W25" s="106" t="n"/>
      <c r="X25" s="106" t="n"/>
      <c r="Y25" s="106" t="n"/>
      <c r="Z25" s="106" t="n"/>
    </row>
    <row r="26" ht="15" customHeight="1" s="545">
      <c r="A26" s="162" t="n"/>
      <c r="B26" s="629" t="n"/>
      <c r="C26" s="219">
        <f>IF(I26&gt;0,MAX($C$12:C25)+1,"")</f>
        <v/>
      </c>
      <c r="D26" s="222">
        <f>IF(ISBLANK(B26),D25,B26)</f>
        <v/>
      </c>
      <c r="E26" s="219" t="n">
        <v>15</v>
      </c>
      <c r="F26" s="220" t="inlineStr">
        <is>
          <t>Dachrinne &amp; Fallrohre erneuern</t>
        </is>
      </c>
      <c r="G26" s="221" t="n">
        <v>0.8</v>
      </c>
      <c r="H26" s="221" t="n">
        <v>0.2</v>
      </c>
      <c r="I26" s="177" t="n"/>
      <c r="J26" s="214" t="inlineStr">
        <is>
          <t>lfd.m</t>
        </is>
      </c>
      <c r="K26" s="767" t="n">
        <v>50</v>
      </c>
      <c r="L26" s="768">
        <f>(N26/$I$5)/(1+$F$7)</f>
        <v/>
      </c>
      <c r="M26" s="768">
        <f>L26/8</f>
        <v/>
      </c>
      <c r="N26" s="769">
        <f>P26*G26</f>
        <v/>
      </c>
      <c r="O26" s="769">
        <f>P26*H26</f>
        <v/>
      </c>
      <c r="P26" s="770">
        <f>I26*K26</f>
        <v/>
      </c>
      <c r="Q26" s="626" t="n"/>
      <c r="R26" s="626" t="n"/>
      <c r="S26" s="106" t="n"/>
      <c r="T26" s="106" t="n"/>
      <c r="U26" s="106" t="n"/>
      <c r="V26" s="106" t="n"/>
      <c r="W26" s="106" t="n"/>
      <c r="X26" s="106" t="n"/>
      <c r="Y26" s="106" t="n"/>
      <c r="Z26" s="106" t="n"/>
    </row>
    <row r="27" ht="15.75" customHeight="1" s="545">
      <c r="A27" s="162" t="n"/>
      <c r="B27" s="643" t="n"/>
      <c r="C27" s="223">
        <f>IF(I27&gt;0,MAX($C$12:C26)+1,"")</f>
        <v/>
      </c>
      <c r="D27" s="224">
        <f>IF(ISBLANK(B27),D26,B27)</f>
        <v/>
      </c>
      <c r="E27" s="223" t="n">
        <v>16</v>
      </c>
      <c r="F27" s="225" t="inlineStr">
        <is>
          <t>Dachdämmung (inkl. Dampfsperre)</t>
        </is>
      </c>
      <c r="G27" s="226" t="n">
        <v>0.6</v>
      </c>
      <c r="H27" s="226" t="n">
        <v>0.4</v>
      </c>
      <c r="I27" s="194" t="n"/>
      <c r="J27" s="227" t="inlineStr">
        <is>
          <t>m²</t>
        </is>
      </c>
      <c r="K27" s="771" t="n">
        <v>90</v>
      </c>
      <c r="L27" s="772">
        <f>(N27/$I$5)/(1+$F$7)</f>
        <v/>
      </c>
      <c r="M27" s="772">
        <f>L27/8</f>
        <v/>
      </c>
      <c r="N27" s="773">
        <f>P27*G27</f>
        <v/>
      </c>
      <c r="O27" s="773">
        <f>P27*H27</f>
        <v/>
      </c>
      <c r="P27" s="774">
        <f>I27*K27</f>
        <v/>
      </c>
      <c r="Q27" s="635" t="n"/>
      <c r="R27" s="635" t="n"/>
      <c r="S27" s="106" t="n"/>
      <c r="T27" s="106" t="n"/>
      <c r="U27" s="106" t="n"/>
      <c r="V27" s="106" t="n"/>
      <c r="W27" s="106" t="n"/>
      <c r="X27" s="106" t="n"/>
      <c r="Y27" s="106" t="n"/>
      <c r="Z27" s="106" t="n"/>
    </row>
    <row r="28" ht="15.75" customHeight="1" s="545">
      <c r="A28" s="162" t="n"/>
      <c r="B28" s="628" t="inlineStr">
        <is>
          <t>Wände und Decken</t>
        </is>
      </c>
      <c r="C28" s="232">
        <f>IF(I28&gt;0,MAX($C$12:C27)+1,"")</f>
        <v/>
      </c>
      <c r="D28" s="233">
        <f>IF(ISBLANK(B28),D27,B28)</f>
        <v/>
      </c>
      <c r="E28" s="232" t="n">
        <v>17</v>
      </c>
      <c r="F28" s="234" t="inlineStr">
        <is>
          <t>Wände und Decken neu tapezieren und streichen</t>
        </is>
      </c>
      <c r="G28" s="235" t="n">
        <v>0.8</v>
      </c>
      <c r="H28" s="235" t="n">
        <v>0.2</v>
      </c>
      <c r="I28" s="213" t="n"/>
      <c r="J28" s="234" t="inlineStr">
        <is>
          <t>m² Wfl.</t>
        </is>
      </c>
      <c r="K28" s="775">
        <f>18</f>
        <v/>
      </c>
      <c r="L28" s="776">
        <f>(N28/$I$5)/(1+$F$7)</f>
        <v/>
      </c>
      <c r="M28" s="776">
        <f>L28/8</f>
        <v/>
      </c>
      <c r="N28" s="777">
        <f>P28*G28</f>
        <v/>
      </c>
      <c r="O28" s="777">
        <f>P28*H28</f>
        <v/>
      </c>
      <c r="P28" s="778">
        <f>I28*K28</f>
        <v/>
      </c>
      <c r="Q28" s="779">
        <f>SUM(P28:P33)</f>
        <v/>
      </c>
      <c r="R28" s="779" t="n"/>
      <c r="S28" s="106" t="n"/>
      <c r="T28" s="106" t="n"/>
      <c r="U28" s="106" t="n"/>
      <c r="V28" s="106" t="n"/>
      <c r="W28" s="106" t="n"/>
      <c r="X28" s="106" t="n"/>
      <c r="Y28" s="106" t="n"/>
      <c r="Z28" s="106" t="n"/>
    </row>
    <row r="29" ht="15.75" customHeight="1" s="545">
      <c r="A29" s="162" t="n"/>
      <c r="B29" s="629" t="n"/>
      <c r="C29" s="173">
        <f>IF(I29&gt;0,MAX($C$12:C28)+1,"")</f>
        <v/>
      </c>
      <c r="D29" s="174">
        <f>IF(ISBLANK(B29),D28,B29)</f>
        <v/>
      </c>
      <c r="E29" s="173" t="n">
        <v>18</v>
      </c>
      <c r="F29" s="178" t="inlineStr">
        <is>
          <t>Wände verputzen</t>
        </is>
      </c>
      <c r="G29" s="183" t="n">
        <v>0.7</v>
      </c>
      <c r="H29" s="183" t="n">
        <v>0.3</v>
      </c>
      <c r="I29" s="177" t="n"/>
      <c r="J29" s="178" t="inlineStr">
        <is>
          <t>m² Wfl.</t>
        </is>
      </c>
      <c r="K29" s="753" t="n">
        <v>17</v>
      </c>
      <c r="L29" s="754">
        <f>(N29/$I$5)/(1+$F$7)</f>
        <v/>
      </c>
      <c r="M29" s="754">
        <f>L29/8</f>
        <v/>
      </c>
      <c r="N29" s="755">
        <f>P29*G29</f>
        <v/>
      </c>
      <c r="O29" s="755">
        <f>P29*H29</f>
        <v/>
      </c>
      <c r="P29" s="756">
        <f>I29*K29</f>
        <v/>
      </c>
      <c r="Q29" s="626" t="n"/>
      <c r="R29" s="626" t="n"/>
      <c r="S29" s="106" t="n"/>
      <c r="T29" s="106" t="n"/>
      <c r="U29" s="106" t="n"/>
      <c r="V29" s="106" t="n"/>
      <c r="W29" s="106" t="n"/>
      <c r="X29" s="106" t="n"/>
      <c r="Y29" s="106" t="n"/>
      <c r="Z29" s="106" t="n"/>
    </row>
    <row r="30" ht="15" customHeight="1" s="545">
      <c r="A30" s="162" t="n"/>
      <c r="B30" s="629" t="n"/>
      <c r="C30" s="173">
        <f>IF(I30&gt;0,MAX($C$12:C29)+1,"")</f>
        <v/>
      </c>
      <c r="D30" s="174">
        <f>IF(ISBLANK(B30),D29,B30)</f>
        <v/>
      </c>
      <c r="E30" s="173" t="n">
        <v>19</v>
      </c>
      <c r="F30" s="240" t="inlineStr">
        <is>
          <t xml:space="preserve">Wand einziehen (Trockenbau)  </t>
        </is>
      </c>
      <c r="G30" s="183" t="n">
        <v>0.7</v>
      </c>
      <c r="H30" s="183" t="n">
        <v>0.3</v>
      </c>
      <c r="I30" s="177" t="n"/>
      <c r="J30" s="178" t="inlineStr">
        <is>
          <t>m²</t>
        </is>
      </c>
      <c r="K30" s="753" t="n">
        <v>60</v>
      </c>
      <c r="L30" s="754">
        <f>(N30/$I$5)/(1+$F$7)</f>
        <v/>
      </c>
      <c r="M30" s="754">
        <f>L30/8</f>
        <v/>
      </c>
      <c r="N30" s="755">
        <f>P30*G30</f>
        <v/>
      </c>
      <c r="O30" s="755">
        <f>P30*H30</f>
        <v/>
      </c>
      <c r="P30" s="756">
        <f>I30*K30</f>
        <v/>
      </c>
      <c r="Q30" s="626" t="n"/>
      <c r="R30" s="626" t="n"/>
      <c r="S30" s="106" t="n"/>
      <c r="T30" s="106" t="n"/>
      <c r="U30" s="106" t="n"/>
      <c r="V30" s="106" t="n"/>
      <c r="W30" s="106" t="n"/>
      <c r="X30" s="106" t="n"/>
      <c r="Y30" s="106" t="n"/>
      <c r="Z30" s="106" t="n"/>
    </row>
    <row r="31" ht="15" customHeight="1" s="545">
      <c r="A31" s="162" t="n"/>
      <c r="B31" s="629" t="n"/>
      <c r="C31" s="173">
        <f>IF(I31&gt;0,MAX($C$12:C30)+1,"")</f>
        <v/>
      </c>
      <c r="D31" s="174">
        <f>IF(ISBLANK(B31),D30,B31)</f>
        <v/>
      </c>
      <c r="E31" s="173" t="n">
        <v>20</v>
      </c>
      <c r="F31" s="240" t="inlineStr">
        <is>
          <t xml:space="preserve">Decke abhängen (Trockenbau) </t>
        </is>
      </c>
      <c r="G31" s="183" t="n">
        <v>0.7</v>
      </c>
      <c r="H31" s="183" t="n">
        <v>0.3</v>
      </c>
      <c r="I31" s="177" t="n"/>
      <c r="J31" s="178" t="inlineStr">
        <is>
          <t>m²</t>
        </is>
      </c>
      <c r="K31" s="753" t="n">
        <v>44</v>
      </c>
      <c r="L31" s="754">
        <f>(N31/$I$5)/(1+$F$7)</f>
        <v/>
      </c>
      <c r="M31" s="754">
        <f>L31/8</f>
        <v/>
      </c>
      <c r="N31" s="755">
        <f>P31*G31</f>
        <v/>
      </c>
      <c r="O31" s="755">
        <f>P31*H31</f>
        <v/>
      </c>
      <c r="P31" s="756">
        <f>I31*K31</f>
        <v/>
      </c>
      <c r="Q31" s="626" t="n"/>
      <c r="R31" s="626" t="n"/>
      <c r="S31" s="106" t="n"/>
      <c r="T31" s="106" t="n"/>
      <c r="U31" s="106" t="n"/>
      <c r="V31" s="106" t="n"/>
      <c r="W31" s="106" t="n"/>
      <c r="X31" s="106" t="n"/>
      <c r="Y31" s="106" t="n"/>
      <c r="Z31" s="106" t="n"/>
    </row>
    <row r="32" ht="15" customHeight="1" s="545">
      <c r="A32" s="162" t="n"/>
      <c r="B32" s="629" t="n"/>
      <c r="C32" s="173">
        <f>IF(I32&gt;0,MAX($C$12:C31)+1,"")</f>
        <v/>
      </c>
      <c r="D32" s="174">
        <f>IF(ISBLANK(B32),D31,B32)</f>
        <v/>
      </c>
      <c r="E32" s="173" t="n">
        <v>21</v>
      </c>
      <c r="F32" s="240" t="inlineStr">
        <is>
          <t>Tapete entfernen</t>
        </is>
      </c>
      <c r="G32" s="183" t="n">
        <v>0.95</v>
      </c>
      <c r="H32" s="183" t="n">
        <v>0.05</v>
      </c>
      <c r="I32" s="177" t="n"/>
      <c r="J32" s="178" t="inlineStr">
        <is>
          <t>m² Wfl.</t>
        </is>
      </c>
      <c r="K32" s="753" t="n">
        <v>7</v>
      </c>
      <c r="L32" s="754">
        <f>(N32/$I$5)/(1+$F$7)</f>
        <v/>
      </c>
      <c r="M32" s="754">
        <f>L32/8</f>
        <v/>
      </c>
      <c r="N32" s="755">
        <f>P32*G32</f>
        <v/>
      </c>
      <c r="O32" s="755">
        <f>P32*H32</f>
        <v/>
      </c>
      <c r="P32" s="756">
        <f>I32*K32</f>
        <v/>
      </c>
      <c r="Q32" s="626" t="n"/>
      <c r="R32" s="626" t="n"/>
      <c r="S32" s="106" t="n"/>
      <c r="T32" s="106" t="n"/>
      <c r="U32" s="106" t="n"/>
      <c r="V32" s="106" t="n"/>
      <c r="W32" s="106" t="n"/>
      <c r="X32" s="106" t="n"/>
      <c r="Y32" s="106" t="n"/>
      <c r="Z32" s="106" t="n"/>
    </row>
    <row r="33" ht="15" customHeight="1" s="545">
      <c r="A33" s="162" t="n"/>
      <c r="B33" s="630" t="n"/>
      <c r="C33" s="184">
        <f>IF(I33&gt;0,MAX($C$12:C32)+1,"")</f>
        <v/>
      </c>
      <c r="D33" s="241">
        <f>IF(ISBLANK(B33),D32,B33)</f>
        <v/>
      </c>
      <c r="E33" s="184" t="n">
        <v>22</v>
      </c>
      <c r="F33" s="185" t="inlineStr">
        <is>
          <t>Wände und Decken streichen</t>
        </is>
      </c>
      <c r="G33" s="186" t="n">
        <v>0.8</v>
      </c>
      <c r="H33" s="186" t="n">
        <v>0.2</v>
      </c>
      <c r="I33" s="187" t="n"/>
      <c r="J33" s="188" t="inlineStr">
        <is>
          <t>m² Wfl.</t>
        </is>
      </c>
      <c r="K33" s="757" t="n">
        <v>8.949999999999999</v>
      </c>
      <c r="L33" s="780">
        <f>(N33/$I$5)/(1+$F$7)</f>
        <v/>
      </c>
      <c r="M33" s="780">
        <f>L33/8</f>
        <v/>
      </c>
      <c r="N33" s="781">
        <f>P33*G33</f>
        <v/>
      </c>
      <c r="O33" s="781">
        <f>P33*H33</f>
        <v/>
      </c>
      <c r="P33" s="782">
        <f>I33*K33</f>
        <v/>
      </c>
      <c r="Q33" s="627" t="n"/>
      <c r="R33" s="627" t="n"/>
      <c r="S33" s="106" t="n"/>
      <c r="T33" s="106" t="n"/>
      <c r="U33" s="106" t="n"/>
      <c r="V33" s="106" t="n"/>
      <c r="W33" s="106" t="n"/>
      <c r="X33" s="106" t="n"/>
      <c r="Y33" s="106" t="n"/>
      <c r="Z33" s="106" t="n"/>
    </row>
    <row r="34" ht="15" customHeight="1" s="545">
      <c r="A34" s="162" t="n"/>
      <c r="B34" s="652" t="inlineStr">
        <is>
          <t>Fussböden</t>
        </is>
      </c>
      <c r="C34" s="200">
        <f>IF(I34&gt;0,MAX($C$12:C33)+1,"")</f>
        <v/>
      </c>
      <c r="D34" s="201">
        <f>IF(ISBLANK(B34),D33,B34)</f>
        <v/>
      </c>
      <c r="E34" s="200" t="n">
        <v>23</v>
      </c>
      <c r="F34" s="245" t="inlineStr">
        <is>
          <t>Alten Bodenbelag entfernen</t>
        </is>
      </c>
      <c r="G34" s="203" t="n">
        <v>0.9</v>
      </c>
      <c r="H34" s="203" t="n">
        <v>0.1</v>
      </c>
      <c r="I34" s="167" t="n"/>
      <c r="J34" s="204" t="inlineStr">
        <is>
          <t>m²</t>
        </is>
      </c>
      <c r="K34" s="762" t="n">
        <v>5.2</v>
      </c>
      <c r="L34" s="763">
        <f>(N34/$I$5)/(1+$F$7)</f>
        <v/>
      </c>
      <c r="M34" s="763">
        <f>L34/8</f>
        <v/>
      </c>
      <c r="N34" s="764">
        <f>P34*G34</f>
        <v/>
      </c>
      <c r="O34" s="764">
        <f>P34*H34</f>
        <v/>
      </c>
      <c r="P34" s="765">
        <f>I34*K34</f>
        <v/>
      </c>
      <c r="Q34" s="766">
        <f>SUM(P34:P39)</f>
        <v/>
      </c>
      <c r="R34" s="766" t="n"/>
      <c r="S34" s="106" t="n"/>
      <c r="T34" s="106" t="n"/>
      <c r="U34" s="106" t="n"/>
      <c r="V34" s="106" t="n"/>
      <c r="W34" s="106" t="n"/>
      <c r="X34" s="106" t="n"/>
      <c r="Y34" s="106" t="n"/>
      <c r="Z34" s="106" t="n"/>
    </row>
    <row r="35" ht="15.75" customHeight="1" s="545">
      <c r="A35" s="162" t="n"/>
      <c r="B35" s="629" t="n"/>
      <c r="C35" s="219">
        <f>IF(I35&gt;0,MAX($C$12:C34)+1,"")</f>
        <v/>
      </c>
      <c r="D35" s="210">
        <f>IF(ISBLANK(B35),D34,B35)</f>
        <v/>
      </c>
      <c r="E35" s="219" t="n">
        <v>24</v>
      </c>
      <c r="F35" s="214" t="inlineStr">
        <is>
          <t>Balkonfußboden beschichten</t>
        </is>
      </c>
      <c r="G35" s="221" t="n">
        <v>0.8</v>
      </c>
      <c r="H35" s="221" t="n">
        <v>0.2</v>
      </c>
      <c r="I35" s="177" t="n"/>
      <c r="J35" s="214" t="inlineStr">
        <is>
          <t>Stk</t>
        </is>
      </c>
      <c r="K35" s="767" t="n">
        <v>350</v>
      </c>
      <c r="L35" s="768">
        <f>(N35/$I$5)/(1+$F$7)</f>
        <v/>
      </c>
      <c r="M35" s="768">
        <f>L35/8</f>
        <v/>
      </c>
      <c r="N35" s="769">
        <f>P35*G35</f>
        <v/>
      </c>
      <c r="O35" s="769">
        <f>P35*H35</f>
        <v/>
      </c>
      <c r="P35" s="770">
        <f>I35*K35</f>
        <v/>
      </c>
      <c r="Q35" s="626" t="n"/>
      <c r="R35" s="626" t="n"/>
      <c r="S35" s="106" t="n"/>
      <c r="T35" s="106" t="n"/>
      <c r="U35" s="106" t="n"/>
      <c r="V35" s="106" t="n"/>
      <c r="W35" s="106" t="n"/>
      <c r="X35" s="106" t="n"/>
      <c r="Y35" s="106" t="n"/>
      <c r="Z35" s="106" t="n"/>
    </row>
    <row r="36" ht="15.75" customHeight="1" s="545">
      <c r="A36" s="162" t="n"/>
      <c r="B36" s="629" t="n"/>
      <c r="C36" s="219">
        <f>IF(I36&gt;0,MAX($C$12:C35)+1,"")</f>
        <v/>
      </c>
      <c r="D36" s="210">
        <f>IF(ISBLANK(B36),D35,B36)</f>
        <v/>
      </c>
      <c r="E36" s="219" t="n">
        <v>25</v>
      </c>
      <c r="F36" s="220" t="inlineStr">
        <is>
          <t>Sockelleisten erneuern pauschal pro Raum</t>
        </is>
      </c>
      <c r="G36" s="221" t="n">
        <v>0.8</v>
      </c>
      <c r="H36" s="221" t="n">
        <v>0.2</v>
      </c>
      <c r="I36" s="177" t="n"/>
      <c r="J36" s="214" t="inlineStr">
        <is>
          <t>Raum</t>
        </is>
      </c>
      <c r="K36" s="767" t="n">
        <v>78</v>
      </c>
      <c r="L36" s="768">
        <f>(N36/$I$5)/(1+$F$7)</f>
        <v/>
      </c>
      <c r="M36" s="768">
        <f>L36/8</f>
        <v/>
      </c>
      <c r="N36" s="769">
        <f>P36*G36</f>
        <v/>
      </c>
      <c r="O36" s="769">
        <f>P36*H36</f>
        <v/>
      </c>
      <c r="P36" s="770">
        <f>I36*K36</f>
        <v/>
      </c>
      <c r="Q36" s="626" t="n"/>
      <c r="R36" s="626" t="n"/>
      <c r="S36" s="106" t="n"/>
      <c r="T36" s="106" t="n"/>
      <c r="U36" s="106" t="n"/>
      <c r="V36" s="106" t="n"/>
      <c r="W36" s="106" t="n"/>
      <c r="X36" s="106" t="n"/>
      <c r="Y36" s="106" t="n"/>
      <c r="Z36" s="106" t="n"/>
    </row>
    <row r="37" ht="15" customHeight="1" s="545">
      <c r="A37" s="162" t="n"/>
      <c r="B37" s="629" t="n"/>
      <c r="C37" s="219">
        <f>IF(I37&gt;0,MAX($C$12:C36)+1,"")</f>
        <v/>
      </c>
      <c r="D37" s="222">
        <f>IF(ISBLANK(B37),D36,B37)</f>
        <v/>
      </c>
      <c r="E37" s="219" t="n">
        <v>26</v>
      </c>
      <c r="F37" s="220" t="inlineStr">
        <is>
          <t>Laminat / Vinyl verlegen</t>
        </is>
      </c>
      <c r="G37" s="221" t="n">
        <v>0.6</v>
      </c>
      <c r="H37" s="221" t="n">
        <v>0.4</v>
      </c>
      <c r="I37" s="177" t="n"/>
      <c r="J37" s="214" t="inlineStr">
        <is>
          <t>m² Wfl.</t>
        </is>
      </c>
      <c r="K37" s="767" t="n">
        <v>38</v>
      </c>
      <c r="L37" s="768">
        <f>(N37/$I$5)/(1+$F$7)</f>
        <v/>
      </c>
      <c r="M37" s="768">
        <f>L37/8</f>
        <v/>
      </c>
      <c r="N37" s="769">
        <f>P37*G37</f>
        <v/>
      </c>
      <c r="O37" s="769">
        <f>P37*H37</f>
        <v/>
      </c>
      <c r="P37" s="770">
        <f>I37*K37</f>
        <v/>
      </c>
      <c r="Q37" s="626" t="n"/>
      <c r="R37" s="626" t="n"/>
      <c r="S37" s="106" t="n"/>
      <c r="T37" s="106" t="n"/>
      <c r="U37" s="106" t="n"/>
      <c r="V37" s="106" t="n"/>
      <c r="W37" s="106" t="n"/>
      <c r="X37" s="106" t="n"/>
      <c r="Y37" s="106" t="n"/>
      <c r="Z37" s="106" t="n"/>
    </row>
    <row r="38" ht="15" customHeight="1" s="545">
      <c r="A38" s="162" t="n"/>
      <c r="B38" s="629" t="n"/>
      <c r="C38" s="219">
        <f>IF(I38&gt;0,MAX($C$12:C37)+1,"")</f>
        <v/>
      </c>
      <c r="D38" s="210">
        <f>IF(ISBLANK(B38),D37,B38)</f>
        <v/>
      </c>
      <c r="E38" s="219" t="n">
        <v>27</v>
      </c>
      <c r="F38" s="220" t="inlineStr">
        <is>
          <t>Laminat / Vinyl verlegen (mit Trittschalldämmung)</t>
        </is>
      </c>
      <c r="G38" s="221" t="n">
        <v>0.6</v>
      </c>
      <c r="H38" s="221" t="n">
        <v>0.4</v>
      </c>
      <c r="I38" s="177" t="n"/>
      <c r="J38" s="214" t="inlineStr">
        <is>
          <t>m² Wfl.</t>
        </is>
      </c>
      <c r="K38" s="767" t="n">
        <v>50</v>
      </c>
      <c r="L38" s="768">
        <f>(N38/$I$5)/(1+$F$7)</f>
        <v/>
      </c>
      <c r="M38" s="768">
        <f>L38/8</f>
        <v/>
      </c>
      <c r="N38" s="769">
        <f>P38*G38</f>
        <v/>
      </c>
      <c r="O38" s="769">
        <f>P38*H38</f>
        <v/>
      </c>
      <c r="P38" s="770">
        <f>I38*K38</f>
        <v/>
      </c>
      <c r="Q38" s="626" t="n"/>
      <c r="R38" s="626" t="n"/>
      <c r="S38" s="106" t="n"/>
      <c r="T38" s="106" t="n"/>
      <c r="U38" s="106" t="n"/>
      <c r="V38" s="106" t="n"/>
      <c r="W38" s="106" t="n"/>
      <c r="X38" s="106" t="n"/>
      <c r="Y38" s="106" t="n"/>
      <c r="Z38" s="106" t="n"/>
    </row>
    <row r="39" ht="15" customHeight="1" s="545">
      <c r="A39" s="162" t="n"/>
      <c r="B39" s="643" t="n"/>
      <c r="C39" s="223">
        <f>IF(I39&gt;0,MAX($C$12:C38)+1,"")</f>
        <v/>
      </c>
      <c r="D39" s="224">
        <f>IF(ISBLANK(B39),D38,B39)</f>
        <v/>
      </c>
      <c r="E39" s="223" t="n">
        <v>28</v>
      </c>
      <c r="F39" s="225" t="inlineStr">
        <is>
          <t>Parkett schleifen und lackieren</t>
        </is>
      </c>
      <c r="G39" s="226" t="n">
        <v>0.7</v>
      </c>
      <c r="H39" s="226" t="n">
        <v>0.3</v>
      </c>
      <c r="I39" s="194" t="n"/>
      <c r="J39" s="227" t="inlineStr">
        <is>
          <t>m² Wfl.</t>
        </is>
      </c>
      <c r="K39" s="771" t="n">
        <v>80</v>
      </c>
      <c r="L39" s="772">
        <f>(N39/$I$5)/(1+$F$7)</f>
        <v/>
      </c>
      <c r="M39" s="772">
        <f>L39/8</f>
        <v/>
      </c>
      <c r="N39" s="773">
        <f>P39*G39</f>
        <v/>
      </c>
      <c r="O39" s="773">
        <f>P39*H39</f>
        <v/>
      </c>
      <c r="P39" s="774">
        <f>I39*K39</f>
        <v/>
      </c>
      <c r="Q39" s="635" t="n"/>
      <c r="R39" s="635" t="n"/>
      <c r="S39" s="106" t="n"/>
      <c r="T39" s="106" t="n"/>
      <c r="U39" s="106" t="n"/>
      <c r="V39" s="106" t="n"/>
      <c r="W39" s="106" t="n"/>
      <c r="X39" s="106" t="n"/>
      <c r="Y39" s="106" t="n"/>
      <c r="Z39" s="106" t="n"/>
    </row>
    <row r="40" ht="15" customHeight="1" s="545">
      <c r="A40" s="162" t="n"/>
      <c r="B40" s="628" t="inlineStr">
        <is>
          <t>Fenster und Türen</t>
        </is>
      </c>
      <c r="C40" s="232">
        <f>IF(I40&gt;0,MAX($C$12:C39)+1,"")</f>
        <v/>
      </c>
      <c r="D40" s="233">
        <f>IF(ISBLANK(B40),D39,B40)</f>
        <v/>
      </c>
      <c r="E40" s="232" t="n">
        <v>29</v>
      </c>
      <c r="F40" s="246" t="inlineStr">
        <is>
          <t>Geländer entrosten und streichen</t>
        </is>
      </c>
      <c r="G40" s="235" t="n">
        <v>0.85</v>
      </c>
      <c r="H40" s="235" t="n">
        <v>0.15</v>
      </c>
      <c r="I40" s="213" t="n"/>
      <c r="J40" s="234" t="inlineStr">
        <is>
          <t>lfd.m</t>
        </is>
      </c>
      <c r="K40" s="775" t="n">
        <v>45</v>
      </c>
      <c r="L40" s="776">
        <f>(N40/$I$5)/(1+$F$7)</f>
        <v/>
      </c>
      <c r="M40" s="776">
        <f>L40/8</f>
        <v/>
      </c>
      <c r="N40" s="777">
        <f>P40*G40</f>
        <v/>
      </c>
      <c r="O40" s="777">
        <f>P40*H40</f>
        <v/>
      </c>
      <c r="P40" s="778">
        <f>I40*K40</f>
        <v/>
      </c>
      <c r="Q40" s="779">
        <f>SUM(P40:P54)</f>
        <v/>
      </c>
      <c r="R40" s="779" t="n"/>
      <c r="S40" s="106" t="n"/>
      <c r="T40" s="106" t="n"/>
      <c r="U40" s="106" t="n"/>
      <c r="V40" s="106" t="n"/>
      <c r="W40" s="106" t="n"/>
      <c r="X40" s="106" t="n"/>
      <c r="Y40" s="106" t="n"/>
      <c r="Z40" s="106" t="n"/>
    </row>
    <row r="41" ht="15" customHeight="1" s="545">
      <c r="A41" s="162" t="n"/>
      <c r="B41" s="629" t="n"/>
      <c r="C41" s="173">
        <f>IF(I41&gt;0,MAX($C$12:C40)+1,"")</f>
        <v/>
      </c>
      <c r="D41" s="174">
        <f>IF(ISBLANK(B41),D40,B41)</f>
        <v/>
      </c>
      <c r="E41" s="173" t="n">
        <v>30</v>
      </c>
      <c r="F41" s="240" t="inlineStr">
        <is>
          <t>Holzfenster lackieren</t>
        </is>
      </c>
      <c r="G41" s="183" t="n">
        <v>0.8</v>
      </c>
      <c r="H41" s="183" t="n">
        <v>0.2</v>
      </c>
      <c r="I41" s="177" t="n"/>
      <c r="J41" s="178" t="inlineStr">
        <is>
          <t>Stk</t>
        </is>
      </c>
      <c r="K41" s="753" t="n">
        <v>120</v>
      </c>
      <c r="L41" s="754">
        <f>(N41/$I$5)/(1+$F$7)</f>
        <v/>
      </c>
      <c r="M41" s="754">
        <f>L41/8</f>
        <v/>
      </c>
      <c r="N41" s="755">
        <f>P41*G41</f>
        <v/>
      </c>
      <c r="O41" s="755">
        <f>P41*H41</f>
        <v/>
      </c>
      <c r="P41" s="756">
        <f>I41*K41</f>
        <v/>
      </c>
      <c r="Q41" s="626" t="n"/>
      <c r="R41" s="626" t="n"/>
      <c r="S41" s="106" t="n"/>
      <c r="T41" s="106" t="n"/>
      <c r="U41" s="106" t="n"/>
      <c r="V41" s="106" t="n"/>
      <c r="W41" s="106" t="n"/>
      <c r="X41" s="106" t="n"/>
      <c r="Y41" s="106" t="n"/>
      <c r="Z41" s="106" t="n"/>
    </row>
    <row r="42" ht="15" customHeight="1" s="545">
      <c r="A42" s="162" t="n"/>
      <c r="B42" s="629" t="n"/>
      <c r="C42" s="173">
        <f>IF(I42&gt;0,MAX($C$12:C41)+1,"")</f>
        <v/>
      </c>
      <c r="D42" s="174">
        <f>IF(ISBLANK(B42),D41,B42)</f>
        <v/>
      </c>
      <c r="E42" s="173" t="n">
        <v>31</v>
      </c>
      <c r="F42" s="240" t="inlineStr">
        <is>
          <t>Tür und Zarge lackieren</t>
        </is>
      </c>
      <c r="G42" s="183" t="n">
        <v>0.7</v>
      </c>
      <c r="H42" s="183" t="n">
        <v>0.3</v>
      </c>
      <c r="I42" s="177" t="n"/>
      <c r="J42" s="178" t="inlineStr">
        <is>
          <t>Stk</t>
        </is>
      </c>
      <c r="K42" s="753" t="n">
        <v>180</v>
      </c>
      <c r="L42" s="754">
        <f>(N42/$I$5)/(1+$F$7)</f>
        <v/>
      </c>
      <c r="M42" s="754">
        <f>L42/8</f>
        <v/>
      </c>
      <c r="N42" s="755">
        <f>P42*G42</f>
        <v/>
      </c>
      <c r="O42" s="755">
        <f>P42*H42</f>
        <v/>
      </c>
      <c r="P42" s="756">
        <f>I42*K42</f>
        <v/>
      </c>
      <c r="Q42" s="626" t="n"/>
      <c r="R42" s="626" t="n"/>
      <c r="S42" s="106" t="n"/>
      <c r="T42" s="106" t="n"/>
      <c r="U42" s="106" t="n"/>
      <c r="V42" s="106" t="n"/>
      <c r="W42" s="106" t="n"/>
      <c r="X42" s="106" t="n"/>
      <c r="Y42" s="106" t="n"/>
      <c r="Z42" s="106" t="n"/>
    </row>
    <row r="43" ht="15" customHeight="1" s="545">
      <c r="A43" s="162" t="n"/>
      <c r="B43" s="629" t="n"/>
      <c r="C43" s="173">
        <f>IF(I43&gt;0,MAX($C$12:C42)+1,"")</f>
        <v/>
      </c>
      <c r="D43" s="174">
        <f>IF(ISBLANK(B43),D42,B43)</f>
        <v/>
      </c>
      <c r="E43" s="173" t="n">
        <v>32</v>
      </c>
      <c r="F43" s="240" t="inlineStr">
        <is>
          <t>Zarge lackieren</t>
        </is>
      </c>
      <c r="G43" s="183" t="n">
        <v>0.7</v>
      </c>
      <c r="H43" s="183" t="n">
        <v>0.3</v>
      </c>
      <c r="I43" s="177" t="n"/>
      <c r="J43" s="178" t="inlineStr">
        <is>
          <t>Stk</t>
        </is>
      </c>
      <c r="K43" s="753" t="n">
        <v>80</v>
      </c>
      <c r="L43" s="754">
        <f>(N43/$I$5)/(1+$F$7)</f>
        <v/>
      </c>
      <c r="M43" s="754">
        <f>L43/8</f>
        <v/>
      </c>
      <c r="N43" s="755">
        <f>P43*G43</f>
        <v/>
      </c>
      <c r="O43" s="755">
        <f>P43*H43</f>
        <v/>
      </c>
      <c r="P43" s="756">
        <f>I43*K43</f>
        <v/>
      </c>
      <c r="Q43" s="626" t="n"/>
      <c r="R43" s="626" t="n"/>
      <c r="S43" s="106" t="n"/>
      <c r="T43" s="106" t="n"/>
      <c r="U43" s="106" t="n"/>
      <c r="V43" s="106" t="n"/>
      <c r="W43" s="106" t="n"/>
      <c r="X43" s="106" t="n"/>
      <c r="Y43" s="106" t="n"/>
      <c r="Z43" s="106" t="n"/>
    </row>
    <row r="44" ht="15" customHeight="1" s="545">
      <c r="A44" s="162" t="n"/>
      <c r="B44" s="629" t="n"/>
      <c r="C44" s="173">
        <f>IF(I44&gt;0,MAX($C$12:C43)+1,"")</f>
        <v/>
      </c>
      <c r="D44" s="174">
        <f>IF(ISBLANK(B44),D43,B44)</f>
        <v/>
      </c>
      <c r="E44" s="173" t="n">
        <v>33</v>
      </c>
      <c r="F44" s="240" t="inlineStr">
        <is>
          <t>Innentür mit Türzarge erneuern</t>
        </is>
      </c>
      <c r="G44" s="183" t="n">
        <v>0.2</v>
      </c>
      <c r="H44" s="183" t="n">
        <v>0.8</v>
      </c>
      <c r="I44" s="177" t="n"/>
      <c r="J44" s="178" t="inlineStr">
        <is>
          <t>Stk</t>
        </is>
      </c>
      <c r="K44" s="753" t="n">
        <v>280</v>
      </c>
      <c r="L44" s="754">
        <f>(N44/$I$5)/(1+$F$7)</f>
        <v/>
      </c>
      <c r="M44" s="754">
        <f>L44/8</f>
        <v/>
      </c>
      <c r="N44" s="755">
        <f>P44*G44</f>
        <v/>
      </c>
      <c r="O44" s="755">
        <f>P44*H44</f>
        <v/>
      </c>
      <c r="P44" s="756">
        <f>I44*K44</f>
        <v/>
      </c>
      <c r="Q44" s="626" t="n"/>
      <c r="R44" s="626" t="n"/>
      <c r="S44" s="106" t="n"/>
      <c r="T44" s="106" t="n"/>
      <c r="U44" s="106" t="n"/>
      <c r="V44" s="106" t="n"/>
      <c r="W44" s="106" t="n"/>
      <c r="X44" s="106" t="n"/>
      <c r="Y44" s="106" t="n"/>
      <c r="Z44" s="106" t="n"/>
    </row>
    <row r="45" ht="15.75" customHeight="1" s="545">
      <c r="A45" s="162" t="n"/>
      <c r="B45" s="629" t="n"/>
      <c r="C45" s="173">
        <f>IF(I45&gt;0,MAX($C$12:C44)+1,"")</f>
        <v/>
      </c>
      <c r="D45" s="174">
        <f>IF(ISBLANK(B45),D44,B45)</f>
        <v/>
      </c>
      <c r="E45" s="173" t="n">
        <v>34</v>
      </c>
      <c r="F45" s="175" t="inlineStr">
        <is>
          <t>Innentürblatt erneuern</t>
        </is>
      </c>
      <c r="G45" s="183" t="n">
        <v>0.1</v>
      </c>
      <c r="H45" s="183" t="n">
        <v>0.9</v>
      </c>
      <c r="I45" s="177" t="n"/>
      <c r="J45" s="178" t="inlineStr">
        <is>
          <t>Stk</t>
        </is>
      </c>
      <c r="K45" s="753" t="n">
        <v>140</v>
      </c>
      <c r="L45" s="754">
        <f>(N45/$I$5)/(1+$F$7)</f>
        <v/>
      </c>
      <c r="M45" s="754">
        <f>L45/8</f>
        <v/>
      </c>
      <c r="N45" s="755">
        <f>P45*G45</f>
        <v/>
      </c>
      <c r="O45" s="755">
        <f>P45*H45</f>
        <v/>
      </c>
      <c r="P45" s="756">
        <f>I45*K45</f>
        <v/>
      </c>
      <c r="Q45" s="626" t="n"/>
      <c r="R45" s="626" t="n"/>
      <c r="S45" s="106" t="n"/>
      <c r="T45" s="106" t="n"/>
      <c r="U45" s="106" t="n"/>
      <c r="V45" s="106" t="n"/>
      <c r="W45" s="106" t="n"/>
      <c r="X45" s="106" t="n"/>
      <c r="Y45" s="106" t="n"/>
      <c r="Z45" s="106" t="n"/>
    </row>
    <row r="46" ht="15" customHeight="1" s="545">
      <c r="A46" s="162" t="n"/>
      <c r="B46" s="629" t="n"/>
      <c r="C46" s="173">
        <f>IF(I46&gt;0,MAX($C$12:C45)+1,"")</f>
        <v/>
      </c>
      <c r="D46" s="174">
        <f>IF(ISBLANK(B46),D45,B46)</f>
        <v/>
      </c>
      <c r="E46" s="173" t="n">
        <v>35</v>
      </c>
      <c r="F46" s="240" t="inlineStr">
        <is>
          <t>Türbeschläge Innentür erneuern</t>
        </is>
      </c>
      <c r="G46" s="183" t="n">
        <v>0.2</v>
      </c>
      <c r="H46" s="183" t="n">
        <v>0.8</v>
      </c>
      <c r="I46" s="177" t="n"/>
      <c r="J46" s="178" t="inlineStr">
        <is>
          <t>Stk</t>
        </is>
      </c>
      <c r="K46" s="753" t="n">
        <v>35</v>
      </c>
      <c r="L46" s="754">
        <f>(N46/$I$5)/(1+$F$7)</f>
        <v/>
      </c>
      <c r="M46" s="754">
        <f>L46/8</f>
        <v/>
      </c>
      <c r="N46" s="755">
        <f>P46*G46</f>
        <v/>
      </c>
      <c r="O46" s="755">
        <f>P46*H46</f>
        <v/>
      </c>
      <c r="P46" s="756">
        <f>I46*K46</f>
        <v/>
      </c>
      <c r="Q46" s="626" t="n"/>
      <c r="R46" s="626" t="n"/>
      <c r="S46" s="106" t="n"/>
      <c r="T46" s="106" t="n"/>
      <c r="U46" s="106" t="n"/>
      <c r="V46" s="106" t="n"/>
      <c r="W46" s="106" t="n"/>
      <c r="X46" s="106" t="n"/>
      <c r="Y46" s="106" t="n"/>
      <c r="Z46" s="106" t="n"/>
    </row>
    <row r="47" ht="15" customHeight="1" s="545">
      <c r="A47" s="162" t="n"/>
      <c r="B47" s="629" t="n"/>
      <c r="C47" s="173">
        <f>IF(I47&gt;0,MAX($C$12:C46)+1,"")</f>
        <v/>
      </c>
      <c r="D47" s="174">
        <f>IF(ISBLANK(B47),D46,B47)</f>
        <v/>
      </c>
      <c r="E47" s="173" t="n">
        <v>36</v>
      </c>
      <c r="F47" s="175" t="inlineStr">
        <is>
          <t>Wohnungstür erneuern</t>
        </is>
      </c>
      <c r="G47" s="183" t="n">
        <v>0.3</v>
      </c>
      <c r="H47" s="183" t="n">
        <v>0.7</v>
      </c>
      <c r="I47" s="177" t="n"/>
      <c r="J47" s="178" t="inlineStr">
        <is>
          <t>Stk</t>
        </is>
      </c>
      <c r="K47" s="753" t="n">
        <v>1400</v>
      </c>
      <c r="L47" s="754">
        <f>(N47/$I$5)/(1+$F$7)</f>
        <v/>
      </c>
      <c r="M47" s="754">
        <f>L47/8</f>
        <v/>
      </c>
      <c r="N47" s="755">
        <f>P47*G47</f>
        <v/>
      </c>
      <c r="O47" s="755">
        <f>P47*H47</f>
        <v/>
      </c>
      <c r="P47" s="756">
        <f>I47*K47</f>
        <v/>
      </c>
      <c r="Q47" s="626" t="n"/>
      <c r="R47" s="626" t="n"/>
      <c r="S47" s="106" t="n"/>
      <c r="T47" s="106" t="n"/>
      <c r="U47" s="106" t="n"/>
      <c r="V47" s="106" t="n"/>
      <c r="W47" s="106" t="n"/>
      <c r="X47" s="106" t="n"/>
      <c r="Y47" s="106" t="n"/>
      <c r="Z47" s="106" t="n"/>
    </row>
    <row r="48" ht="15" customHeight="1" s="545">
      <c r="A48" s="162" t="n"/>
      <c r="B48" s="629" t="n"/>
      <c r="C48" s="173">
        <f>IF(I48&gt;0,MAX($C$12:C47)+1,"")</f>
        <v/>
      </c>
      <c r="D48" s="174">
        <f>IF(ISBLANK(B48),D47,B48)</f>
        <v/>
      </c>
      <c r="E48" s="173" t="n">
        <v>37</v>
      </c>
      <c r="F48" s="175" t="inlineStr">
        <is>
          <t>Hauseingangstür erneuern</t>
        </is>
      </c>
      <c r="G48" s="183" t="n">
        <v>0.25</v>
      </c>
      <c r="H48" s="183" t="n">
        <v>0.75</v>
      </c>
      <c r="I48" s="177" t="n"/>
      <c r="J48" s="178" t="inlineStr">
        <is>
          <t>Stk</t>
        </is>
      </c>
      <c r="K48" s="753" t="n">
        <v>2750</v>
      </c>
      <c r="L48" s="754">
        <f>(N48/$I$5)/(1+$F$7)</f>
        <v/>
      </c>
      <c r="M48" s="754">
        <f>L48/8</f>
        <v/>
      </c>
      <c r="N48" s="755">
        <f>P48*G48</f>
        <v/>
      </c>
      <c r="O48" s="755">
        <f>P48*H48</f>
        <v/>
      </c>
      <c r="P48" s="756">
        <f>I48*K48</f>
        <v/>
      </c>
      <c r="Q48" s="626" t="n"/>
      <c r="R48" s="626" t="n"/>
      <c r="S48" s="106" t="n"/>
      <c r="T48" s="106" t="n"/>
      <c r="U48" s="106" t="n"/>
      <c r="V48" s="106" t="n"/>
      <c r="W48" s="106" t="n"/>
      <c r="X48" s="106" t="n"/>
      <c r="Y48" s="106" t="n"/>
      <c r="Z48" s="106" t="n"/>
    </row>
    <row r="49" ht="15.75" customHeight="1" s="545">
      <c r="A49" s="162" t="n"/>
      <c r="B49" s="629" t="n"/>
      <c r="C49" s="173">
        <f>IF(I49&gt;0,MAX($C$12:C48)+1,"")</f>
        <v/>
      </c>
      <c r="D49" s="174">
        <f>IF(ISBLANK(B49),D48,B49)</f>
        <v/>
      </c>
      <c r="E49" s="173" t="n">
        <v>38</v>
      </c>
      <c r="F49" s="175" t="inlineStr">
        <is>
          <t>Fenster einstellen</t>
        </is>
      </c>
      <c r="G49" s="183" t="n">
        <v>1</v>
      </c>
      <c r="H49" s="183" t="n">
        <v>0</v>
      </c>
      <c r="I49" s="177" t="n"/>
      <c r="J49" s="178" t="inlineStr">
        <is>
          <t>Stk</t>
        </is>
      </c>
      <c r="K49" s="753" t="n">
        <v>15</v>
      </c>
      <c r="L49" s="754">
        <f>(N49/$I$5)/(1+$F$7)</f>
        <v/>
      </c>
      <c r="M49" s="754">
        <f>L49/8</f>
        <v/>
      </c>
      <c r="N49" s="755">
        <f>P49*G49</f>
        <v/>
      </c>
      <c r="O49" s="755">
        <f>P49*H49</f>
        <v/>
      </c>
      <c r="P49" s="756">
        <f>I49*K49</f>
        <v/>
      </c>
      <c r="Q49" s="626" t="n"/>
      <c r="R49" s="626" t="n"/>
      <c r="S49" s="106" t="n"/>
      <c r="T49" s="106" t="n"/>
      <c r="U49" s="106" t="n"/>
      <c r="V49" s="106" t="n"/>
      <c r="W49" s="106" t="n"/>
      <c r="X49" s="106" t="n"/>
      <c r="Y49" s="106" t="n"/>
      <c r="Z49" s="106" t="n"/>
    </row>
    <row r="50" ht="15" customHeight="1" s="545">
      <c r="A50" s="162" t="n"/>
      <c r="B50" s="629" t="n"/>
      <c r="C50" s="173">
        <f>IF(I50&gt;0,MAX($C$12:C49)+1,"")</f>
        <v/>
      </c>
      <c r="D50" s="247">
        <f>IF(ISBLANK(B50),D49,B50)</f>
        <v/>
      </c>
      <c r="E50" s="173" t="n">
        <v>39</v>
      </c>
      <c r="F50" s="240" t="inlineStr">
        <is>
          <t>Fenster erneuern (komplett)</t>
        </is>
      </c>
      <c r="G50" s="183" t="n">
        <v>0.5</v>
      </c>
      <c r="H50" s="183" t="n">
        <v>0.5</v>
      </c>
      <c r="I50" s="177" t="n"/>
      <c r="J50" s="178" t="inlineStr">
        <is>
          <t>Stk</t>
        </is>
      </c>
      <c r="K50" s="753" t="n">
        <v>800</v>
      </c>
      <c r="L50" s="754">
        <f>(N50/$I$5)/(1+$F$7)</f>
        <v/>
      </c>
      <c r="M50" s="754">
        <f>L50/8</f>
        <v/>
      </c>
      <c r="N50" s="755">
        <f>P50*G50</f>
        <v/>
      </c>
      <c r="O50" s="755">
        <f>P50*H50</f>
        <v/>
      </c>
      <c r="P50" s="756">
        <f>I50*K50</f>
        <v/>
      </c>
      <c r="Q50" s="626" t="n"/>
      <c r="R50" s="626" t="n"/>
      <c r="S50" s="106" t="n"/>
      <c r="T50" s="106" t="n"/>
      <c r="U50" s="106" t="n"/>
      <c r="V50" s="106" t="n"/>
      <c r="W50" s="106" t="n"/>
      <c r="X50" s="106" t="n"/>
      <c r="Y50" s="106" t="n"/>
      <c r="Z50" s="106" t="n"/>
    </row>
    <row r="51" ht="15" customHeight="1" s="545">
      <c r="A51" s="162" t="n"/>
      <c r="B51" s="629" t="n"/>
      <c r="C51" s="173">
        <f>IF(I51&gt;0,MAX($C$12:C50)+1,"")</f>
        <v/>
      </c>
      <c r="D51" s="174">
        <f>IF(ISBLANK(B51),D50,B51)</f>
        <v/>
      </c>
      <c r="E51" s="173" t="n">
        <v>40</v>
      </c>
      <c r="F51" s="240" t="inlineStr">
        <is>
          <t>Balkontür erneuern</t>
        </is>
      </c>
      <c r="G51" s="183" t="n">
        <v>0.2</v>
      </c>
      <c r="H51" s="183" t="n">
        <v>0.8</v>
      </c>
      <c r="I51" s="177" t="n"/>
      <c r="J51" s="178" t="inlineStr">
        <is>
          <t>Stk.</t>
        </is>
      </c>
      <c r="K51" s="753" t="n">
        <v>900</v>
      </c>
      <c r="L51" s="754">
        <f>(N51/$I$5)/(1+$F$7)</f>
        <v/>
      </c>
      <c r="M51" s="754">
        <f>L51/8</f>
        <v/>
      </c>
      <c r="N51" s="755">
        <f>P51*G51</f>
        <v/>
      </c>
      <c r="O51" s="755">
        <f>P51*H51</f>
        <v/>
      </c>
      <c r="P51" s="756">
        <f>I51*K51</f>
        <v/>
      </c>
      <c r="Q51" s="626" t="n"/>
      <c r="R51" s="626" t="n"/>
      <c r="S51" s="106" t="n"/>
      <c r="T51" s="106" t="n"/>
      <c r="U51" s="106" t="n"/>
      <c r="V51" s="106" t="n"/>
      <c r="W51" s="106" t="n"/>
      <c r="X51" s="106" t="n"/>
      <c r="Y51" s="106" t="n"/>
      <c r="Z51" s="106" t="n"/>
    </row>
    <row r="52" ht="15" customHeight="1" s="545">
      <c r="A52" s="162" t="n"/>
      <c r="B52" s="629" t="n"/>
      <c r="C52" s="173">
        <f>IF(I52&gt;0,MAX($C$12:C51)+1,"")</f>
        <v/>
      </c>
      <c r="D52" s="174">
        <f>IF(ISBLANK(B52),D51,B52)</f>
        <v/>
      </c>
      <c r="E52" s="173" t="n">
        <v>41</v>
      </c>
      <c r="F52" s="240" t="inlineStr">
        <is>
          <t>Fensterbänke</t>
        </is>
      </c>
      <c r="G52" s="183" t="n">
        <v>0.35</v>
      </c>
      <c r="H52" s="183" t="n">
        <v>0.65</v>
      </c>
      <c r="I52" s="177" t="n"/>
      <c r="J52" s="178" t="inlineStr">
        <is>
          <t>Stk</t>
        </is>
      </c>
      <c r="K52" s="753" t="n">
        <v>75</v>
      </c>
      <c r="L52" s="754">
        <f>(N52/$I$5)/(1+$F$7)</f>
        <v/>
      </c>
      <c r="M52" s="754">
        <f>L52/8</f>
        <v/>
      </c>
      <c r="N52" s="755">
        <f>P52*G52</f>
        <v/>
      </c>
      <c r="O52" s="755">
        <f>P52*H52</f>
        <v/>
      </c>
      <c r="P52" s="756">
        <f>I52*K52</f>
        <v/>
      </c>
      <c r="Q52" s="626" t="n"/>
      <c r="R52" s="626" t="n"/>
      <c r="S52" s="106" t="n"/>
      <c r="T52" s="106" t="n"/>
      <c r="U52" s="106" t="n"/>
      <c r="V52" s="106" t="n"/>
      <c r="W52" s="106" t="n"/>
      <c r="X52" s="106" t="n"/>
      <c r="Y52" s="106" t="n"/>
      <c r="Z52" s="106" t="n"/>
    </row>
    <row r="53" ht="15" customHeight="1" s="545">
      <c r="A53" s="162" t="n"/>
      <c r="B53" s="629" t="n"/>
      <c r="C53" s="173">
        <f>IF(I53&gt;0,MAX($C$12:C52)+1,"")</f>
        <v/>
      </c>
      <c r="D53" s="174">
        <f>IF(ISBLANK(B53),D52,B53)</f>
        <v/>
      </c>
      <c r="E53" s="173" t="n">
        <v>42</v>
      </c>
      <c r="F53" s="240" t="inlineStr">
        <is>
          <t>Rolladen/ Jalousie überarbeiten</t>
        </is>
      </c>
      <c r="G53" s="183" t="n">
        <v>1</v>
      </c>
      <c r="H53" s="183" t="n">
        <v>0</v>
      </c>
      <c r="I53" s="177" t="n"/>
      <c r="J53" s="178" t="inlineStr">
        <is>
          <t>Stk</t>
        </is>
      </c>
      <c r="K53" s="753" t="n">
        <v>155</v>
      </c>
      <c r="L53" s="754">
        <f>(N53/$I$5)/(1+$F$7)</f>
        <v/>
      </c>
      <c r="M53" s="754">
        <f>L53/8</f>
        <v/>
      </c>
      <c r="N53" s="755">
        <f>P53*G53</f>
        <v/>
      </c>
      <c r="O53" s="755">
        <f>P53*H53</f>
        <v/>
      </c>
      <c r="P53" s="756">
        <f>I53*K53</f>
        <v/>
      </c>
      <c r="Q53" s="626" t="n"/>
      <c r="R53" s="626" t="n"/>
      <c r="S53" s="106" t="n"/>
      <c r="T53" s="106" t="n"/>
      <c r="U53" s="106" t="n"/>
      <c r="V53" s="106" t="n"/>
      <c r="W53" s="106" t="n"/>
      <c r="X53" s="106" t="n"/>
      <c r="Y53" s="106" t="n"/>
      <c r="Z53" s="106" t="n"/>
    </row>
    <row r="54" ht="15" customHeight="1" s="545">
      <c r="A54" s="162" t="n"/>
      <c r="B54" s="630" t="n"/>
      <c r="C54" s="184">
        <f>IF(I54&gt;0,MAX($C$12:C53)+1,"")</f>
        <v/>
      </c>
      <c r="D54" s="241">
        <f>IF(ISBLANK(B54),D53,B54)</f>
        <v/>
      </c>
      <c r="E54" s="184" t="n">
        <v>43</v>
      </c>
      <c r="F54" s="185" t="inlineStr">
        <is>
          <t>Dachflächenfenster erneuern</t>
        </is>
      </c>
      <c r="G54" s="186" t="n">
        <v>0.3</v>
      </c>
      <c r="H54" s="186" t="n">
        <v>0.7</v>
      </c>
      <c r="I54" s="187" t="n"/>
      <c r="J54" s="188" t="inlineStr">
        <is>
          <t>Stk</t>
        </is>
      </c>
      <c r="K54" s="757" t="n">
        <v>1000</v>
      </c>
      <c r="L54" s="780">
        <f>(N54/$I$5)/(1+$F$7)</f>
        <v/>
      </c>
      <c r="M54" s="780">
        <f>L54/8</f>
        <v/>
      </c>
      <c r="N54" s="781">
        <f>P54*G54</f>
        <v/>
      </c>
      <c r="O54" s="781">
        <f>P54*H54</f>
        <v/>
      </c>
      <c r="P54" s="782">
        <f>I54*K54</f>
        <v/>
      </c>
      <c r="Q54" s="627" t="n"/>
      <c r="R54" s="627" t="n"/>
      <c r="S54" s="106" t="n"/>
      <c r="T54" s="106" t="n"/>
      <c r="U54" s="106" t="n"/>
      <c r="V54" s="106" t="n"/>
      <c r="W54" s="106" t="n"/>
      <c r="X54" s="106" t="n"/>
      <c r="Y54" s="106" t="n"/>
      <c r="Z54" s="106" t="n"/>
    </row>
    <row r="55" ht="15.75" customHeight="1" s="545">
      <c r="A55" s="162" t="n"/>
      <c r="B55" s="646" t="inlineStr">
        <is>
          <t>Fliesen</t>
        </is>
      </c>
      <c r="C55" s="144">
        <f>IF(I55&gt;0,MAX($C$12:C54)+1,"")</f>
        <v/>
      </c>
      <c r="D55" s="248">
        <f>IF(ISBLANK(B55),D54,B55)</f>
        <v/>
      </c>
      <c r="E55" s="144" t="n">
        <v>44</v>
      </c>
      <c r="F55" s="249" t="inlineStr">
        <is>
          <t>Fliesenspiegel Küche lackieren</t>
        </is>
      </c>
      <c r="G55" s="147" t="n">
        <v>0.7</v>
      </c>
      <c r="H55" s="147" t="n">
        <v>0.3</v>
      </c>
      <c r="I55" s="148" t="n"/>
      <c r="J55" s="146" t="inlineStr">
        <is>
          <t>psch</t>
        </is>
      </c>
      <c r="K55" s="739" t="n">
        <v>120</v>
      </c>
      <c r="L55" s="740">
        <f>(N55/$I$5)/(1+$F$7)</f>
        <v/>
      </c>
      <c r="M55" s="740">
        <f>L55/8</f>
        <v/>
      </c>
      <c r="N55" s="741">
        <f>P55*G55</f>
        <v/>
      </c>
      <c r="O55" s="741">
        <f>P55*H55</f>
        <v/>
      </c>
      <c r="P55" s="742">
        <f>I55*K55</f>
        <v/>
      </c>
      <c r="Q55" s="743">
        <f>SUM(P55:P60)</f>
        <v/>
      </c>
      <c r="R55" s="743" t="n"/>
      <c r="S55" s="106" t="n"/>
      <c r="T55" s="106" t="n"/>
      <c r="U55" s="106" t="n"/>
      <c r="V55" s="106" t="n"/>
      <c r="W55" s="106" t="n"/>
      <c r="X55" s="106" t="n"/>
      <c r="Y55" s="106" t="n"/>
      <c r="Z55" s="106" t="n"/>
    </row>
    <row r="56" ht="15.75" customHeight="1" s="545">
      <c r="A56" s="162" t="n"/>
      <c r="B56" s="629" t="n"/>
      <c r="C56" s="250">
        <f>IF(I56&gt;0,MAX($C$12:C55)+1,"")</f>
        <v/>
      </c>
      <c r="D56" s="251">
        <f>IF(ISBLANK(B56),D55,B56)</f>
        <v/>
      </c>
      <c r="E56" s="250" t="n">
        <v>45</v>
      </c>
      <c r="F56" s="252" t="inlineStr">
        <is>
          <t>Wandfliesen erneuern</t>
        </is>
      </c>
      <c r="G56" s="253" t="n">
        <v>0.75</v>
      </c>
      <c r="H56" s="253" t="n">
        <v>0.25</v>
      </c>
      <c r="I56" s="254" t="n"/>
      <c r="J56" s="669" t="inlineStr">
        <is>
          <t>m²</t>
        </is>
      </c>
      <c r="K56" s="783" t="n">
        <v>70</v>
      </c>
      <c r="L56" s="784">
        <f>(N56/$I$5)/(1+$F$7)</f>
        <v/>
      </c>
      <c r="M56" s="784">
        <f>L56/8</f>
        <v/>
      </c>
      <c r="N56" s="785">
        <f>P56*G56</f>
        <v/>
      </c>
      <c r="O56" s="785">
        <f>P56*H56</f>
        <v/>
      </c>
      <c r="P56" s="786">
        <f>I56*K56</f>
        <v/>
      </c>
      <c r="Q56" s="626" t="n"/>
      <c r="R56" s="626" t="n"/>
      <c r="S56" s="106" t="n"/>
      <c r="T56" s="106" t="n"/>
      <c r="U56" s="106" t="n"/>
      <c r="V56" s="106" t="n"/>
      <c r="W56" s="106" t="n"/>
      <c r="X56" s="106" t="n"/>
      <c r="Y56" s="106" t="n"/>
      <c r="Z56" s="106" t="n"/>
    </row>
    <row r="57" ht="15" customHeight="1" s="545">
      <c r="A57" s="162" t="n"/>
      <c r="B57" s="629" t="n"/>
      <c r="C57" s="250">
        <f>IF(I57&gt;0,MAX($C$12:C56)+1,"")</f>
        <v/>
      </c>
      <c r="D57" s="260">
        <f>IF(ISBLANK(B57),D56,B57)</f>
        <v/>
      </c>
      <c r="E57" s="250" t="n">
        <v>46</v>
      </c>
      <c r="F57" s="252" t="inlineStr">
        <is>
          <t>Bodenfliesen erneuern</t>
        </is>
      </c>
      <c r="G57" s="253" t="n">
        <v>0.75</v>
      </c>
      <c r="H57" s="253" t="n">
        <v>0.25</v>
      </c>
      <c r="I57" s="254" t="n"/>
      <c r="J57" s="669" t="inlineStr">
        <is>
          <t>m²</t>
        </is>
      </c>
      <c r="K57" s="783" t="n">
        <v>80</v>
      </c>
      <c r="L57" s="784">
        <f>(N57/$I$5)/(1+$F$7)</f>
        <v/>
      </c>
      <c r="M57" s="784">
        <f>L57/8</f>
        <v/>
      </c>
      <c r="N57" s="785">
        <f>P57*G57</f>
        <v/>
      </c>
      <c r="O57" s="785">
        <f>P57*H57</f>
        <v/>
      </c>
      <c r="P57" s="786">
        <f>I57*K57</f>
        <v/>
      </c>
      <c r="Q57" s="626" t="n"/>
      <c r="R57" s="626" t="n"/>
      <c r="S57" s="106" t="n"/>
      <c r="T57" s="106" t="n"/>
      <c r="U57" s="106" t="n"/>
      <c r="V57" s="106" t="n"/>
      <c r="W57" s="106" t="n"/>
      <c r="X57" s="106" t="n"/>
      <c r="Y57" s="106" t="n"/>
      <c r="Z57" s="106" t="n"/>
    </row>
    <row r="58" ht="15.75" customHeight="1" s="545">
      <c r="A58" s="162" t="n"/>
      <c r="B58" s="629" t="n"/>
      <c r="C58" s="250">
        <f>IF(I58&gt;0,MAX($C$12:C57)+1,"")</f>
        <v/>
      </c>
      <c r="D58" s="260">
        <f>IF(ISBLANK(B58),D57,B58)</f>
        <v/>
      </c>
      <c r="E58" s="250" t="n">
        <v>47</v>
      </c>
      <c r="F58" s="252" t="inlineStr">
        <is>
          <t>Fliesenspiegel in Küche erneuern</t>
        </is>
      </c>
      <c r="G58" s="253" t="n">
        <v>0.75</v>
      </c>
      <c r="H58" s="253" t="n">
        <v>0.25</v>
      </c>
      <c r="I58" s="254" t="n"/>
      <c r="J58" s="669" t="inlineStr">
        <is>
          <t>psch</t>
        </is>
      </c>
      <c r="K58" s="783" t="n">
        <v>250</v>
      </c>
      <c r="L58" s="784">
        <f>(N58/$I$5)/(1+$F$7)</f>
        <v/>
      </c>
      <c r="M58" s="784">
        <f>L58/8</f>
        <v/>
      </c>
      <c r="N58" s="785">
        <f>P58*G58</f>
        <v/>
      </c>
      <c r="O58" s="785">
        <f>P58*H58</f>
        <v/>
      </c>
      <c r="P58" s="786">
        <f>I58*K58</f>
        <v/>
      </c>
      <c r="Q58" s="626" t="n"/>
      <c r="R58" s="626" t="n"/>
      <c r="S58" s="106" t="n"/>
      <c r="T58" s="106" t="n"/>
      <c r="U58" s="106" t="n"/>
      <c r="V58" s="106" t="n"/>
      <c r="W58" s="106" t="n"/>
      <c r="X58" s="106" t="n"/>
      <c r="Y58" s="106" t="n"/>
      <c r="Z58" s="106" t="n"/>
    </row>
    <row r="59" ht="15.75" customHeight="1" s="545">
      <c r="A59" s="162" t="n"/>
      <c r="B59" s="629" t="n"/>
      <c r="C59" s="250">
        <f>IF(I59&gt;0,MAX($C$12:C58)+1,"")</f>
        <v/>
      </c>
      <c r="D59" s="260">
        <f>IF(ISBLANK(B59),D58,B59)</f>
        <v/>
      </c>
      <c r="E59" s="250" t="n">
        <v>48</v>
      </c>
      <c r="F59" s="252" t="inlineStr">
        <is>
          <t>Silikonfugen im Bad erneuern</t>
        </is>
      </c>
      <c r="G59" s="253" t="n">
        <v>0.9</v>
      </c>
      <c r="H59" s="253" t="n">
        <v>0.1</v>
      </c>
      <c r="I59" s="254" t="n"/>
      <c r="J59" s="669" t="inlineStr">
        <is>
          <t>psch</t>
        </is>
      </c>
      <c r="K59" s="783" t="n">
        <v>250</v>
      </c>
      <c r="L59" s="784">
        <f>(N59/$I$5)/(1+$F$7)</f>
        <v/>
      </c>
      <c r="M59" s="784">
        <f>L59/8</f>
        <v/>
      </c>
      <c r="N59" s="785">
        <f>P59*G59</f>
        <v/>
      </c>
      <c r="O59" s="785">
        <f>P59*H59</f>
        <v/>
      </c>
      <c r="P59" s="786">
        <f>I59*K59</f>
        <v/>
      </c>
      <c r="Q59" s="626" t="n"/>
      <c r="R59" s="626" t="n"/>
      <c r="S59" s="106" t="n"/>
      <c r="T59" s="106" t="n"/>
      <c r="U59" s="106" t="n"/>
      <c r="V59" s="106" t="n"/>
      <c r="W59" s="106" t="n"/>
      <c r="X59" s="106" t="n"/>
      <c r="Y59" s="106" t="n"/>
      <c r="Z59" s="106" t="n"/>
    </row>
    <row r="60" ht="15.75" customHeight="1" s="545">
      <c r="A60" s="162" t="n"/>
      <c r="B60" s="643" t="n"/>
      <c r="C60" s="153">
        <f>IF(I60&gt;0,MAX($C$12:C59)+1,"")</f>
        <v/>
      </c>
      <c r="D60" s="154">
        <f>IF(ISBLANK(B60),D59,B60)</f>
        <v/>
      </c>
      <c r="E60" s="153" t="n">
        <v>49</v>
      </c>
      <c r="F60" s="261" t="inlineStr">
        <is>
          <t>Wandfliesen lackieren Bad</t>
        </is>
      </c>
      <c r="G60" s="156" t="n">
        <v>0.8</v>
      </c>
      <c r="H60" s="156" t="n">
        <v>0.2</v>
      </c>
      <c r="I60" s="157" t="n"/>
      <c r="J60" s="155" t="inlineStr">
        <is>
          <t>psch</t>
        </is>
      </c>
      <c r="K60" s="744" t="n">
        <v>450</v>
      </c>
      <c r="L60" s="745">
        <f>(N60/$I$5)/(1+$F$7)</f>
        <v/>
      </c>
      <c r="M60" s="745">
        <f>L60/8</f>
        <v/>
      </c>
      <c r="N60" s="746">
        <f>P60*G60</f>
        <v/>
      </c>
      <c r="O60" s="746">
        <f>P60*H60</f>
        <v/>
      </c>
      <c r="P60" s="747">
        <f>I60*K60</f>
        <v/>
      </c>
      <c r="Q60" s="635" t="n"/>
      <c r="R60" s="635" t="n"/>
      <c r="S60" s="106" t="n"/>
      <c r="T60" s="106" t="n"/>
      <c r="U60" s="106" t="n"/>
      <c r="V60" s="106" t="n"/>
      <c r="W60" s="106" t="n"/>
      <c r="X60" s="106" t="n"/>
      <c r="Y60" s="106" t="n"/>
      <c r="Z60" s="106" t="n"/>
    </row>
    <row r="61" ht="15.75" customHeight="1" s="545">
      <c r="A61" s="162" t="n"/>
      <c r="B61" s="628" t="inlineStr">
        <is>
          <t>Elektro</t>
        </is>
      </c>
      <c r="C61" s="232">
        <f>IF(I61&gt;0,MAX($C$12:C60)+1,"")</f>
        <v/>
      </c>
      <c r="D61" s="233">
        <f>IF(ISBLANK(B61),D60,B61)</f>
        <v/>
      </c>
      <c r="E61" s="232" t="n">
        <v>50</v>
      </c>
      <c r="F61" s="246" t="inlineStr">
        <is>
          <t>E-Check in Wohnung</t>
        </is>
      </c>
      <c r="G61" s="235" t="n">
        <v>0.95</v>
      </c>
      <c r="H61" s="235" t="n">
        <v>0.05</v>
      </c>
      <c r="I61" s="213" t="n"/>
      <c r="J61" s="234" t="inlineStr">
        <is>
          <t>Stk</t>
        </is>
      </c>
      <c r="K61" s="775" t="n">
        <v>500</v>
      </c>
      <c r="L61" s="776">
        <f>(N61/$I$5)/(1+$F$7)</f>
        <v/>
      </c>
      <c r="M61" s="776">
        <f>L61/8</f>
        <v/>
      </c>
      <c r="N61" s="777">
        <f>P61*G61</f>
        <v/>
      </c>
      <c r="O61" s="777">
        <f>P61*H61</f>
        <v/>
      </c>
      <c r="P61" s="778">
        <f>I61*K61</f>
        <v/>
      </c>
      <c r="Q61" s="779">
        <f>SUM(P61:P69)</f>
        <v/>
      </c>
      <c r="R61" s="787" t="n"/>
      <c r="S61" s="106" t="n"/>
      <c r="T61" s="106" t="n"/>
      <c r="U61" s="106" t="n"/>
      <c r="V61" s="106" t="n"/>
      <c r="W61" s="106" t="n"/>
      <c r="X61" s="106" t="n"/>
      <c r="Y61" s="106" t="n"/>
      <c r="Z61" s="106" t="n"/>
    </row>
    <row r="62" ht="15.75" customHeight="1" s="545">
      <c r="A62" s="162" t="n"/>
      <c r="B62" s="629" t="n"/>
      <c r="C62" s="173">
        <f>IF(I62&gt;0,MAX($C$12:C61)+1,"")</f>
        <v/>
      </c>
      <c r="D62" s="174">
        <f>IF(ISBLANK(B62),D61,B62)</f>
        <v/>
      </c>
      <c r="E62" s="173" t="n">
        <v>51</v>
      </c>
      <c r="F62" s="175" t="inlineStr">
        <is>
          <t>Taster und Steckdosen austauschen</t>
        </is>
      </c>
      <c r="G62" s="183" t="n">
        <v>0.65</v>
      </c>
      <c r="H62" s="183" t="n">
        <v>0.35</v>
      </c>
      <c r="I62" s="177" t="n"/>
      <c r="J62" s="178" t="inlineStr">
        <is>
          <t>Stk</t>
        </is>
      </c>
      <c r="K62" s="753" t="n">
        <v>30</v>
      </c>
      <c r="L62" s="754">
        <f>(N62/$I$5)/(1+$F$7)</f>
        <v/>
      </c>
      <c r="M62" s="754">
        <f>L62/8</f>
        <v/>
      </c>
      <c r="N62" s="755">
        <f>P62*G62</f>
        <v/>
      </c>
      <c r="O62" s="755">
        <f>P62*H62</f>
        <v/>
      </c>
      <c r="P62" s="756">
        <f>I62*K62</f>
        <v/>
      </c>
      <c r="Q62" s="626" t="n"/>
      <c r="R62" s="626" t="n"/>
      <c r="S62" s="106" t="n"/>
      <c r="T62" s="106" t="n"/>
      <c r="U62" s="106" t="n"/>
      <c r="V62" s="106" t="n"/>
      <c r="W62" s="106" t="n"/>
      <c r="X62" s="106" t="n"/>
      <c r="Y62" s="106" t="n"/>
      <c r="Z62" s="106" t="n"/>
    </row>
    <row r="63" ht="15" customHeight="1" s="545">
      <c r="A63" s="162" t="n"/>
      <c r="B63" s="629" t="n"/>
      <c r="C63" s="173">
        <f>IF(I63&gt;0,MAX($C$12:C62)+1,"")</f>
        <v/>
      </c>
      <c r="D63" s="174">
        <f>IF(ISBLANK(B63),D62,B63)</f>
        <v/>
      </c>
      <c r="E63" s="173" t="n">
        <v>52</v>
      </c>
      <c r="F63" s="175" t="inlineStr">
        <is>
          <t>LED-Spots</t>
        </is>
      </c>
      <c r="G63" s="183" t="n">
        <v>0.5</v>
      </c>
      <c r="H63" s="183" t="n">
        <v>0.5</v>
      </c>
      <c r="I63" s="177" t="n"/>
      <c r="J63" s="178" t="inlineStr">
        <is>
          <t>Stk</t>
        </is>
      </c>
      <c r="K63" s="753" t="n">
        <v>30</v>
      </c>
      <c r="L63" s="754">
        <f>(N63/$I$5)/(1+$F$7)</f>
        <v/>
      </c>
      <c r="M63" s="754">
        <f>L63/8</f>
        <v/>
      </c>
      <c r="N63" s="755">
        <f>P63*G63</f>
        <v/>
      </c>
      <c r="O63" s="755">
        <f>P63*H63</f>
        <v/>
      </c>
      <c r="P63" s="756">
        <f>I63*K63</f>
        <v/>
      </c>
      <c r="Q63" s="626" t="n"/>
      <c r="R63" s="626" t="n"/>
      <c r="S63" s="106" t="n"/>
      <c r="T63" s="106" t="n"/>
      <c r="U63" s="106" t="n"/>
      <c r="V63" s="106" t="n"/>
      <c r="W63" s="106" t="n"/>
      <c r="X63" s="106" t="n"/>
      <c r="Y63" s="106" t="n"/>
      <c r="Z63" s="106" t="n"/>
    </row>
    <row r="64" ht="15" customHeight="1" s="545">
      <c r="A64" s="162" t="n"/>
      <c r="B64" s="629" t="n"/>
      <c r="C64" s="173">
        <f>IF(I64&gt;0,MAX($C$12:C63)+1,"")</f>
        <v/>
      </c>
      <c r="D64" s="174">
        <f>IF(ISBLANK(B64),D63,B64)</f>
        <v/>
      </c>
      <c r="E64" s="173" t="n">
        <v>53</v>
      </c>
      <c r="F64" s="175" t="inlineStr">
        <is>
          <t>Nachrüstung FI-Schutzschalter</t>
        </is>
      </c>
      <c r="G64" s="183" t="n">
        <v>0.85</v>
      </c>
      <c r="H64" s="183" t="n">
        <v>0.15</v>
      </c>
      <c r="I64" s="177" t="n"/>
      <c r="J64" s="178" t="inlineStr">
        <is>
          <t>Stk</t>
        </is>
      </c>
      <c r="K64" s="753" t="n">
        <v>500</v>
      </c>
      <c r="L64" s="754">
        <f>(N64/$I$5)/(1+$F$7)</f>
        <v/>
      </c>
      <c r="M64" s="754">
        <f>L64/8</f>
        <v/>
      </c>
      <c r="N64" s="755">
        <f>P64*G64</f>
        <v/>
      </c>
      <c r="O64" s="755">
        <f>P64*H64</f>
        <v/>
      </c>
      <c r="P64" s="756">
        <f>I64*K64</f>
        <v/>
      </c>
      <c r="Q64" s="626" t="n"/>
      <c r="R64" s="626" t="n"/>
      <c r="S64" s="106" t="n"/>
      <c r="T64" s="106" t="n"/>
      <c r="U64" s="106" t="n"/>
      <c r="V64" s="106" t="n"/>
      <c r="W64" s="106" t="n"/>
      <c r="X64" s="106" t="n"/>
      <c r="Y64" s="106" t="n"/>
      <c r="Z64" s="106" t="n"/>
    </row>
    <row r="65" ht="15.75" customHeight="1" s="545">
      <c r="A65" s="162" t="n"/>
      <c r="B65" s="629" t="n"/>
      <c r="C65" s="173">
        <f>IF(I65&gt;0,MAX($C$12:C64)+1,"")</f>
        <v/>
      </c>
      <c r="D65" s="174">
        <f>IF(ISBLANK(B65),D64,B65)</f>
        <v/>
      </c>
      <c r="E65" s="173" t="n">
        <v>54</v>
      </c>
      <c r="F65" s="175" t="inlineStr">
        <is>
          <t xml:space="preserve">Sprechanlage </t>
        </is>
      </c>
      <c r="G65" s="176" t="n"/>
      <c r="H65" s="176" t="n"/>
      <c r="I65" s="177" t="n"/>
      <c r="J65" s="178" t="inlineStr">
        <is>
          <t>Stk</t>
        </is>
      </c>
      <c r="K65" s="753" t="n">
        <v>300</v>
      </c>
      <c r="L65" s="754">
        <f>(N65/$I$5)/(1+$F$7)</f>
        <v/>
      </c>
      <c r="M65" s="754">
        <f>L65/8</f>
        <v/>
      </c>
      <c r="N65" s="755">
        <f>P65*G65</f>
        <v/>
      </c>
      <c r="O65" s="755">
        <f>P65*H65</f>
        <v/>
      </c>
      <c r="P65" s="756">
        <f>I65*K65</f>
        <v/>
      </c>
      <c r="Q65" s="626" t="n"/>
      <c r="R65" s="626" t="n"/>
      <c r="S65" s="106" t="n"/>
      <c r="T65" s="106" t="n"/>
      <c r="U65" s="106" t="n"/>
      <c r="V65" s="106" t="n"/>
      <c r="W65" s="106" t="n"/>
      <c r="X65" s="106" t="n"/>
      <c r="Y65" s="106" t="n"/>
      <c r="Z65" s="106" t="n"/>
    </row>
    <row r="66" ht="15.75" customHeight="1" s="545">
      <c r="A66" s="162" t="n"/>
      <c r="B66" s="629" t="n"/>
      <c r="C66" s="173">
        <f>IF(I66&gt;0,MAX($C$12:C65)+1,"")</f>
        <v/>
      </c>
      <c r="D66" s="174">
        <f>IF(ISBLANK(B66),D65,B66)</f>
        <v/>
      </c>
      <c r="E66" s="173" t="n">
        <v>55</v>
      </c>
      <c r="F66" s="175" t="inlineStr">
        <is>
          <t>Lampen erneuern (Treppenhaus, Keller, Hof, Eingang)</t>
        </is>
      </c>
      <c r="G66" s="263" t="n">
        <v>0.5</v>
      </c>
      <c r="H66" s="263" t="n">
        <v>0.5</v>
      </c>
      <c r="I66" s="177" t="n"/>
      <c r="J66" s="178" t="inlineStr">
        <is>
          <t>Stk</t>
        </is>
      </c>
      <c r="K66" s="753" t="n">
        <v>50</v>
      </c>
      <c r="L66" s="754">
        <f>(N66/$I$5)/(1+$F$7)</f>
        <v/>
      </c>
      <c r="M66" s="754">
        <f>L66/8</f>
        <v/>
      </c>
      <c r="N66" s="755">
        <f>P66*G66</f>
        <v/>
      </c>
      <c r="O66" s="755">
        <f>P66*H66</f>
        <v/>
      </c>
      <c r="P66" s="756">
        <f>I66*K66</f>
        <v/>
      </c>
      <c r="Q66" s="626" t="n"/>
      <c r="R66" s="626" t="n"/>
      <c r="S66" s="106" t="n"/>
      <c r="T66" s="106" t="n"/>
      <c r="U66" s="106" t="n"/>
      <c r="V66" s="106" t="n"/>
      <c r="W66" s="106" t="n"/>
      <c r="X66" s="106" t="n"/>
      <c r="Y66" s="106" t="n"/>
      <c r="Z66" s="106" t="n"/>
    </row>
    <row r="67" ht="15" customHeight="1" s="545">
      <c r="A67" s="162" t="n"/>
      <c r="B67" s="629" t="n"/>
      <c r="C67" s="173">
        <f>IF(I67&gt;0,MAX($C$12:C66)+1,"")</f>
        <v/>
      </c>
      <c r="D67" s="174">
        <f>IF(ISBLANK(B67),D66,B67)</f>
        <v/>
      </c>
      <c r="E67" s="173" t="n">
        <v>56</v>
      </c>
      <c r="F67" s="175" t="inlineStr">
        <is>
          <t>Unterverteilung Wohnung komplett erneuern</t>
        </is>
      </c>
      <c r="G67" s="183" t="n">
        <v>0.65</v>
      </c>
      <c r="H67" s="183" t="n">
        <v>0.35</v>
      </c>
      <c r="I67" s="177" t="n"/>
      <c r="J67" s="178" t="inlineStr">
        <is>
          <t>Stk</t>
        </is>
      </c>
      <c r="K67" s="753" t="n">
        <v>600</v>
      </c>
      <c r="L67" s="754">
        <f>(N67/$I$5)/(1+$F$7)</f>
        <v/>
      </c>
      <c r="M67" s="754">
        <f>L67/8</f>
        <v/>
      </c>
      <c r="N67" s="755">
        <f>P67*G67</f>
        <v/>
      </c>
      <c r="O67" s="755">
        <f>P67*H67</f>
        <v/>
      </c>
      <c r="P67" s="756">
        <f>I67*K67</f>
        <v/>
      </c>
      <c r="Q67" s="626" t="n"/>
      <c r="R67" s="626" t="n"/>
      <c r="S67" s="106" t="n"/>
      <c r="T67" s="106" t="n"/>
      <c r="U67" s="106" t="n"/>
      <c r="V67" s="106" t="n"/>
      <c r="W67" s="106" t="n"/>
      <c r="X67" s="106" t="n"/>
      <c r="Y67" s="106" t="n"/>
      <c r="Z67" s="106" t="n"/>
    </row>
    <row r="68" ht="15.75" customHeight="1" s="545">
      <c r="A68" s="162" t="n"/>
      <c r="B68" s="629" t="n"/>
      <c r="C68" s="184">
        <f>IF(I68&gt;0,MAX($C$12:C67)+1,"")</f>
        <v/>
      </c>
      <c r="D68" s="174">
        <f>IF(ISBLANK(B68),D67,B68)</f>
        <v/>
      </c>
      <c r="E68" s="184" t="n">
        <v>57</v>
      </c>
      <c r="F68" s="188" t="inlineStr">
        <is>
          <t>Neuer Zählerschrank für MFH</t>
        </is>
      </c>
      <c r="G68" s="186" t="n"/>
      <c r="H68" s="186" t="n"/>
      <c r="I68" s="187" t="n"/>
      <c r="J68" s="188" t="inlineStr">
        <is>
          <t>WE</t>
        </is>
      </c>
      <c r="K68" s="757" t="n">
        <v>1000</v>
      </c>
      <c r="L68" s="754">
        <f>(N68/$I$5)/(1+$F$7)</f>
        <v/>
      </c>
      <c r="M68" s="754">
        <f>L68/8</f>
        <v/>
      </c>
      <c r="N68" s="755">
        <f>P68*G68</f>
        <v/>
      </c>
      <c r="O68" s="755">
        <f>P68*H68</f>
        <v/>
      </c>
      <c r="P68" s="756">
        <f>I68*K68</f>
        <v/>
      </c>
      <c r="Q68" s="626" t="n"/>
      <c r="R68" s="626" t="n"/>
      <c r="S68" s="106" t="n"/>
      <c r="T68" s="106" t="n"/>
      <c r="U68" s="106" t="n"/>
      <c r="V68" s="106" t="n"/>
      <c r="W68" s="106" t="n"/>
      <c r="X68" s="106" t="n"/>
      <c r="Y68" s="106" t="n"/>
      <c r="Z68" s="106" t="n"/>
    </row>
    <row r="69" ht="15.75" customHeight="1" s="545">
      <c r="A69" s="162" t="n"/>
      <c r="B69" s="630" t="n"/>
      <c r="C69" s="184">
        <f>IF(I69&gt;0,MAX($C$12:C68)+1,"")</f>
        <v/>
      </c>
      <c r="D69" s="241">
        <f>IF(ISBLANK(B69),D67,B69)</f>
        <v/>
      </c>
      <c r="E69" s="184" t="n">
        <v>58</v>
      </c>
      <c r="F69" s="188" t="inlineStr">
        <is>
          <t>Elektroinstallation neu pro qm Wohnfläche</t>
        </is>
      </c>
      <c r="G69" s="186" t="n">
        <v>0.65</v>
      </c>
      <c r="H69" s="186" t="n">
        <v>0.35</v>
      </c>
      <c r="I69" s="187" t="n"/>
      <c r="J69" s="188" t="inlineStr">
        <is>
          <t>m²</t>
        </is>
      </c>
      <c r="K69" s="757" t="n">
        <v>80</v>
      </c>
      <c r="L69" s="780">
        <f>(N69/$I$5)/(1+$F$7)</f>
        <v/>
      </c>
      <c r="M69" s="780">
        <f>L69/8</f>
        <v/>
      </c>
      <c r="N69" s="781">
        <f>P69*G69</f>
        <v/>
      </c>
      <c r="O69" s="781">
        <f>P69*H69</f>
        <v/>
      </c>
      <c r="P69" s="782">
        <f>I69*K69</f>
        <v/>
      </c>
      <c r="Q69" s="627" t="n"/>
      <c r="R69" s="627" t="n"/>
      <c r="S69" s="106" t="n"/>
      <c r="T69" s="106" t="n"/>
      <c r="U69" s="106" t="n"/>
      <c r="V69" s="106" t="n"/>
      <c r="W69" s="106" t="n"/>
      <c r="X69" s="106" t="n"/>
      <c r="Y69" s="106" t="n"/>
      <c r="Z69" s="106" t="n"/>
    </row>
    <row r="70" ht="15.75" customHeight="1" s="545">
      <c r="A70" s="162" t="n"/>
      <c r="B70" s="652" t="inlineStr">
        <is>
          <t>Heizung / Heizkörper</t>
        </is>
      </c>
      <c r="C70" s="200">
        <f>IF(I70&gt;0,MAX($C$12:C69)+1,"")</f>
        <v/>
      </c>
      <c r="D70" s="201">
        <f>IF(ISBLANK(B70),D69,B70)</f>
        <v/>
      </c>
      <c r="E70" s="200" t="n">
        <v>59</v>
      </c>
      <c r="F70" s="202" t="inlineStr">
        <is>
          <t>Heizkörper lackieren</t>
        </is>
      </c>
      <c r="G70" s="203" t="n">
        <v>0.75</v>
      </c>
      <c r="H70" s="203" t="n">
        <v>0.25</v>
      </c>
      <c r="I70" s="167" t="n"/>
      <c r="J70" s="204" t="inlineStr">
        <is>
          <t>Stk</t>
        </is>
      </c>
      <c r="K70" s="762" t="n">
        <v>65</v>
      </c>
      <c r="L70" s="763">
        <f>(N70/$I$5)/(1+$F$7)</f>
        <v/>
      </c>
      <c r="M70" s="763">
        <f>L70/8</f>
        <v/>
      </c>
      <c r="N70" s="764">
        <f>P70*G70</f>
        <v/>
      </c>
      <c r="O70" s="764">
        <f>P70*H70</f>
        <v/>
      </c>
      <c r="P70" s="765">
        <f>I70*K70</f>
        <v/>
      </c>
      <c r="Q70" s="766">
        <f>SUM(P70:P83)</f>
        <v/>
      </c>
      <c r="R70" s="743" t="n"/>
      <c r="S70" s="106" t="n"/>
      <c r="T70" s="106" t="n"/>
      <c r="U70" s="106" t="n"/>
      <c r="V70" s="106" t="n"/>
      <c r="W70" s="106" t="n"/>
      <c r="X70" s="106" t="n"/>
      <c r="Y70" s="106" t="n"/>
      <c r="Z70" s="106" t="n"/>
    </row>
    <row r="71" ht="15.75" customHeight="1" s="545">
      <c r="A71" s="162" t="n"/>
      <c r="B71" s="629" t="n"/>
      <c r="C71" s="219">
        <f>IF(I71&gt;0,MAX($C$12:C70)+1,"")</f>
        <v/>
      </c>
      <c r="D71" s="210">
        <f>IF(ISBLANK(B71),D70,B71)</f>
        <v/>
      </c>
      <c r="E71" s="219" t="n">
        <v>60</v>
      </c>
      <c r="F71" s="220" t="inlineStr">
        <is>
          <t>Thermostatkopfwechsel</t>
        </is>
      </c>
      <c r="G71" s="221" t="n">
        <v>0.3</v>
      </c>
      <c r="H71" s="221" t="n">
        <v>0.7</v>
      </c>
      <c r="I71" s="177" t="n"/>
      <c r="J71" s="214" t="inlineStr">
        <is>
          <t>Stk</t>
        </is>
      </c>
      <c r="K71" s="767" t="n">
        <v>40</v>
      </c>
      <c r="L71" s="768">
        <f>(N71/$I$5)/(1+$F$7)</f>
        <v/>
      </c>
      <c r="M71" s="768">
        <f>L71/8</f>
        <v/>
      </c>
      <c r="N71" s="769">
        <f>P71*G71</f>
        <v/>
      </c>
      <c r="O71" s="769">
        <f>P71*H71</f>
        <v/>
      </c>
      <c r="P71" s="770">
        <f>I71*K71</f>
        <v/>
      </c>
      <c r="Q71" s="626" t="n"/>
      <c r="R71" s="626" t="n"/>
      <c r="S71" s="106" t="n"/>
      <c r="T71" s="106" t="n"/>
      <c r="U71" s="106" t="n"/>
      <c r="V71" s="106" t="n"/>
      <c r="W71" s="106" t="n"/>
      <c r="X71" s="106" t="n"/>
      <c r="Y71" s="106" t="n"/>
      <c r="Z71" s="106" t="n"/>
    </row>
    <row r="72" ht="15.75" customHeight="1" s="545">
      <c r="A72" s="162" t="n"/>
      <c r="B72" s="629" t="n"/>
      <c r="C72" s="219">
        <f>IF(I72&gt;0,MAX($C$12:C71)+1,"")</f>
        <v/>
      </c>
      <c r="D72" s="222">
        <f>IF(ISBLANK(B72),D71,B72)</f>
        <v/>
      </c>
      <c r="E72" s="219" t="n">
        <v>61</v>
      </c>
      <c r="F72" s="220" t="inlineStr">
        <is>
          <t>Heizkörper überprüfen in Wohnung</t>
        </is>
      </c>
      <c r="G72" s="221" t="n">
        <v>1</v>
      </c>
      <c r="H72" s="221" t="n">
        <v>0</v>
      </c>
      <c r="I72" s="177" t="n"/>
      <c r="J72" s="214" t="inlineStr">
        <is>
          <t>Stk</t>
        </is>
      </c>
      <c r="K72" s="767" t="n">
        <v>145</v>
      </c>
      <c r="L72" s="768">
        <f>(N72/$I$5)/(1+$F$7)</f>
        <v/>
      </c>
      <c r="M72" s="768">
        <f>L72/8</f>
        <v/>
      </c>
      <c r="N72" s="769">
        <f>P72*G72</f>
        <v/>
      </c>
      <c r="O72" s="769">
        <f>P72*H72</f>
        <v/>
      </c>
      <c r="P72" s="770">
        <f>I72*K72</f>
        <v/>
      </c>
      <c r="Q72" s="626" t="n"/>
      <c r="R72" s="626" t="n"/>
      <c r="S72" s="106" t="n"/>
      <c r="T72" s="106" t="n"/>
      <c r="U72" s="106" t="n"/>
      <c r="V72" s="106" t="n"/>
      <c r="W72" s="106" t="n"/>
      <c r="X72" s="106" t="n"/>
      <c r="Y72" s="106" t="n"/>
      <c r="Z72" s="106" t="n"/>
    </row>
    <row r="73" ht="15.75" customHeight="1" s="545">
      <c r="A73" s="162" t="n"/>
      <c r="B73" s="629" t="n"/>
      <c r="C73" s="219">
        <f>IF(I73&gt;0,MAX($C$12:C72)+1,"")</f>
        <v/>
      </c>
      <c r="D73" s="210">
        <f>IF(ISBLANK(B73),D72,B73)</f>
        <v/>
      </c>
      <c r="E73" s="219" t="n">
        <v>62</v>
      </c>
      <c r="F73" s="220" t="inlineStr">
        <is>
          <t>Heizkörper mit Thermostat erneuern</t>
        </is>
      </c>
      <c r="G73" s="221" t="n">
        <v>0</v>
      </c>
      <c r="H73" s="221" t="n">
        <v>1</v>
      </c>
      <c r="I73" s="177" t="n"/>
      <c r="J73" s="214" t="inlineStr">
        <is>
          <t>Stk</t>
        </is>
      </c>
      <c r="K73" s="767" t="n">
        <v>240</v>
      </c>
      <c r="L73" s="768">
        <f>(N73/$I$5)/(1+$F$7)</f>
        <v/>
      </c>
      <c r="M73" s="768">
        <f>L73/8</f>
        <v/>
      </c>
      <c r="N73" s="769">
        <f>P73*G73</f>
        <v/>
      </c>
      <c r="O73" s="769">
        <f>P73*H73</f>
        <v/>
      </c>
      <c r="P73" s="770">
        <f>I73*K73</f>
        <v/>
      </c>
      <c r="Q73" s="626" t="n"/>
      <c r="R73" s="626" t="n"/>
      <c r="S73" s="106" t="n"/>
      <c r="T73" s="106" t="n"/>
      <c r="U73" s="106" t="n"/>
      <c r="V73" s="106" t="n"/>
      <c r="W73" s="106" t="n"/>
      <c r="X73" s="106" t="n"/>
      <c r="Y73" s="106" t="n"/>
      <c r="Z73" s="106" t="n"/>
    </row>
    <row r="74" ht="15.75" customHeight="1" s="545">
      <c r="A74" s="162" t="n"/>
      <c r="B74" s="629" t="n"/>
      <c r="C74" s="219">
        <f>IF(I74&gt;0,MAX($C$12:C73)+1,"")</f>
        <v/>
      </c>
      <c r="D74" s="210">
        <f>IF(ISBLANK(B74),D73,B74)</f>
        <v/>
      </c>
      <c r="E74" s="219" t="n">
        <v>63</v>
      </c>
      <c r="F74" s="220" t="inlineStr">
        <is>
          <t>Elekrodurchlauferhitzer erneuern</t>
        </is>
      </c>
      <c r="G74" s="221" t="n">
        <v>0.3</v>
      </c>
      <c r="H74" s="221" t="n">
        <v>0.7</v>
      </c>
      <c r="I74" s="177" t="n"/>
      <c r="J74" s="214" t="inlineStr">
        <is>
          <t>Stk</t>
        </is>
      </c>
      <c r="K74" s="767" t="n">
        <v>750</v>
      </c>
      <c r="L74" s="768">
        <f>(N74/$I$5)/(1+$F$7)</f>
        <v/>
      </c>
      <c r="M74" s="768">
        <f>L74/8</f>
        <v/>
      </c>
      <c r="N74" s="769">
        <f>P74*G74</f>
        <v/>
      </c>
      <c r="O74" s="769">
        <f>P74*H74</f>
        <v/>
      </c>
      <c r="P74" s="770">
        <f>I74*K74</f>
        <v/>
      </c>
      <c r="Q74" s="626" t="n"/>
      <c r="R74" s="626" t="n"/>
      <c r="S74" s="106" t="n"/>
      <c r="T74" s="106" t="n"/>
      <c r="U74" s="106" t="n"/>
      <c r="V74" s="106" t="n"/>
      <c r="W74" s="106" t="n"/>
      <c r="X74" s="106" t="n"/>
      <c r="Y74" s="106" t="n"/>
      <c r="Z74" s="106" t="n"/>
    </row>
    <row r="75" ht="15.75" customHeight="1" s="545">
      <c r="A75" s="162" t="n"/>
      <c r="B75" s="629" t="n"/>
      <c r="C75" s="219">
        <f>IF(I75&gt;0,MAX($C$12:C74)+1,"")</f>
        <v/>
      </c>
      <c r="D75" s="210">
        <f>IF(ISBLANK(B75),D74,B75)</f>
        <v/>
      </c>
      <c r="E75" s="219" t="n">
        <v>64</v>
      </c>
      <c r="F75" s="214" t="inlineStr">
        <is>
          <t>Heizleitungen erneuern pro qm Wfl.</t>
        </is>
      </c>
      <c r="G75" s="221" t="n">
        <v>0.7</v>
      </c>
      <c r="H75" s="221" t="n">
        <v>0.3</v>
      </c>
      <c r="I75" s="177" t="n"/>
      <c r="J75" s="214" t="inlineStr">
        <is>
          <t>m²</t>
        </is>
      </c>
      <c r="K75" s="767" t="n">
        <v>40</v>
      </c>
      <c r="L75" s="768">
        <f>(N75/$I$5)/(1+$F$7)</f>
        <v/>
      </c>
      <c r="M75" s="768">
        <f>L75/8</f>
        <v/>
      </c>
      <c r="N75" s="769">
        <f>P75*G75</f>
        <v/>
      </c>
      <c r="O75" s="769">
        <f>P75*H75</f>
        <v/>
      </c>
      <c r="P75" s="770">
        <f>I75*K75</f>
        <v/>
      </c>
      <c r="Q75" s="626" t="n"/>
      <c r="R75" s="626" t="n"/>
      <c r="S75" s="106" t="n"/>
      <c r="T75" s="106" t="n"/>
      <c r="U75" s="106" t="n"/>
      <c r="V75" s="106" t="n"/>
      <c r="W75" s="106" t="n"/>
      <c r="X75" s="106" t="n"/>
      <c r="Y75" s="106" t="n"/>
      <c r="Z75" s="106" t="n"/>
    </row>
    <row r="76" ht="15.75" customHeight="1" s="545">
      <c r="A76" s="162" t="n"/>
      <c r="B76" s="629" t="n"/>
      <c r="C76" s="219">
        <f>IF(I76&gt;0,MAX($C$12:C75)+1,"")</f>
        <v/>
      </c>
      <c r="D76" s="210">
        <f>IF(ISBLANK(B76),D75,B76)</f>
        <v/>
      </c>
      <c r="E76" s="219" t="n">
        <v>65</v>
      </c>
      <c r="F76" s="214" t="inlineStr">
        <is>
          <t>Badlüfter tauschen</t>
        </is>
      </c>
      <c r="G76" s="221" t="n">
        <v>0.35</v>
      </c>
      <c r="H76" s="221" t="n">
        <v>0.65</v>
      </c>
      <c r="I76" s="177" t="n"/>
      <c r="J76" s="214" t="inlineStr">
        <is>
          <t>Stk</t>
        </is>
      </c>
      <c r="K76" s="767" t="n">
        <v>105</v>
      </c>
      <c r="L76" s="768">
        <f>(N76/$I$5)/(1+$F$7)</f>
        <v/>
      </c>
      <c r="M76" s="768">
        <f>L76/8</f>
        <v/>
      </c>
      <c r="N76" s="769">
        <f>P76*G76</f>
        <v/>
      </c>
      <c r="O76" s="769">
        <f>P76*H76</f>
        <v/>
      </c>
      <c r="P76" s="770">
        <f>I76*K76</f>
        <v/>
      </c>
      <c r="Q76" s="626" t="n"/>
      <c r="R76" s="626" t="n"/>
      <c r="S76" s="106" t="n"/>
      <c r="T76" s="106" t="n"/>
      <c r="U76" s="106" t="n"/>
      <c r="V76" s="106" t="n"/>
      <c r="W76" s="106" t="n"/>
      <c r="X76" s="106" t="n"/>
      <c r="Y76" s="106" t="n"/>
      <c r="Z76" s="106" t="n"/>
    </row>
    <row r="77" ht="15.75" customHeight="1" s="545">
      <c r="A77" s="162" t="n"/>
      <c r="B77" s="629" t="n"/>
      <c r="C77" s="219">
        <f>IF(I77&gt;0,MAX($C$12:C76)+1,"")</f>
        <v/>
      </c>
      <c r="D77" s="210">
        <f>IF(ISBLANK(B77),D76,B77)</f>
        <v/>
      </c>
      <c r="E77" s="219" t="n">
        <v>66</v>
      </c>
      <c r="F77" s="264" t="inlineStr">
        <is>
          <t>Pelletheizung einbauen (ohne Leitungen &amp; Heizkörper)</t>
        </is>
      </c>
      <c r="G77" s="221" t="n"/>
      <c r="H77" s="221" t="n"/>
      <c r="I77" s="177" t="n"/>
      <c r="J77" s="214" t="inlineStr">
        <is>
          <t>WE</t>
        </is>
      </c>
      <c r="K77" s="767" t="n">
        <v>6500</v>
      </c>
      <c r="L77" s="768">
        <f>(N77/$I$5)/(1+$F$7)</f>
        <v/>
      </c>
      <c r="M77" s="768">
        <f>L77/8</f>
        <v/>
      </c>
      <c r="N77" s="769">
        <f>P77*G77</f>
        <v/>
      </c>
      <c r="O77" s="769">
        <f>P77*H77</f>
        <v/>
      </c>
      <c r="P77" s="770">
        <f>I77*K77</f>
        <v/>
      </c>
      <c r="Q77" s="626" t="n"/>
      <c r="R77" s="626" t="n"/>
      <c r="S77" s="106" t="n"/>
      <c r="T77" s="106" t="n"/>
      <c r="U77" s="106" t="n"/>
      <c r="V77" s="106" t="n"/>
      <c r="W77" s="106" t="n"/>
      <c r="X77" s="106" t="n"/>
      <c r="Y77" s="106" t="n"/>
      <c r="Z77" s="106" t="n"/>
    </row>
    <row r="78" ht="15.75" customHeight="1" s="545">
      <c r="A78" s="162" t="n"/>
      <c r="B78" s="629" t="n"/>
      <c r="C78" s="219">
        <f>IF(I78&gt;0,MAX($C$12:C77)+1,"")</f>
        <v/>
      </c>
      <c r="D78" s="210">
        <f>IF(ISBLANK(B78),D77,B78)</f>
        <v/>
      </c>
      <c r="E78" s="219" t="n">
        <v>67</v>
      </c>
      <c r="F78" s="264" t="inlineStr">
        <is>
          <t>Gaszentralheizung erneuern</t>
        </is>
      </c>
      <c r="G78" s="221" t="n"/>
      <c r="H78" s="221" t="n"/>
      <c r="I78" s="177" t="n"/>
      <c r="J78" s="214" t="inlineStr">
        <is>
          <t>WE</t>
        </is>
      </c>
      <c r="K78" s="767" t="n"/>
      <c r="L78" s="768" t="n"/>
      <c r="M78" s="768" t="n"/>
      <c r="N78" s="769" t="n"/>
      <c r="O78" s="769" t="n"/>
      <c r="P78" s="770" t="n"/>
      <c r="Q78" s="626" t="n"/>
      <c r="R78" s="626" t="n"/>
      <c r="S78" s="106" t="n"/>
      <c r="T78" s="106" t="n"/>
      <c r="U78" s="106" t="n"/>
      <c r="V78" s="106" t="n"/>
      <c r="W78" s="106" t="n"/>
      <c r="X78" s="106" t="n"/>
      <c r="Y78" s="106" t="n"/>
      <c r="Z78" s="106" t="n"/>
    </row>
    <row r="79" ht="15.75" customHeight="1" s="545">
      <c r="A79" s="162" t="n"/>
      <c r="B79" s="629" t="n"/>
      <c r="C79" s="219">
        <f>IF(I79&gt;0,MAX($C$12:C78)+1,"")</f>
        <v/>
      </c>
      <c r="D79" s="210">
        <f>IF(ISBLANK(B79),D78,B79)</f>
        <v/>
      </c>
      <c r="E79" s="219" t="n">
        <v>68</v>
      </c>
      <c r="F79" s="264" t="inlineStr">
        <is>
          <t>Luft-Wärmepumpe erneuern</t>
        </is>
      </c>
      <c r="G79" s="221" t="n"/>
      <c r="H79" s="221" t="n"/>
      <c r="I79" s="177" t="n"/>
      <c r="J79" s="214" t="inlineStr">
        <is>
          <t>WE</t>
        </is>
      </c>
      <c r="K79" s="767" t="n"/>
      <c r="L79" s="768" t="n"/>
      <c r="M79" s="768" t="n"/>
      <c r="N79" s="769" t="n"/>
      <c r="O79" s="769" t="n"/>
      <c r="P79" s="770" t="n"/>
      <c r="Q79" s="626" t="n"/>
      <c r="R79" s="626" t="n"/>
      <c r="S79" s="106" t="n"/>
      <c r="T79" s="106" t="n"/>
      <c r="U79" s="106" t="n"/>
      <c r="V79" s="106" t="n"/>
      <c r="W79" s="106" t="n"/>
      <c r="X79" s="106" t="n"/>
      <c r="Y79" s="106" t="n"/>
      <c r="Z79" s="106" t="n"/>
    </row>
    <row r="80" ht="15.75" customHeight="1" s="545">
      <c r="A80" s="162" t="n"/>
      <c r="B80" s="629" t="n"/>
      <c r="C80" s="219">
        <f>IF(I80&gt;0,MAX($C$12:C79)+1,"")</f>
        <v/>
      </c>
      <c r="D80" s="210">
        <f>IF(ISBLANK(B80),D76,B80)</f>
        <v/>
      </c>
      <c r="E80" s="219" t="n">
        <v>69</v>
      </c>
      <c r="F80" s="264" t="inlineStr">
        <is>
          <t>Elektroheizung - Einbau Stromleitungen</t>
        </is>
      </c>
      <c r="G80" s="221" t="n">
        <v>0.4</v>
      </c>
      <c r="H80" s="221" t="n">
        <v>0.6</v>
      </c>
      <c r="I80" s="177" t="n"/>
      <c r="J80" s="214" t="inlineStr">
        <is>
          <t>m²</t>
        </is>
      </c>
      <c r="K80" s="767" t="n">
        <v>10</v>
      </c>
      <c r="L80" s="768">
        <f>(N80/$I$5)/(1+$F$7)</f>
        <v/>
      </c>
      <c r="M80" s="768">
        <f>L80/8</f>
        <v/>
      </c>
      <c r="N80" s="769">
        <f>P80*G80</f>
        <v/>
      </c>
      <c r="O80" s="769">
        <f>P80*H80</f>
        <v/>
      </c>
      <c r="P80" s="770">
        <f>I80*K80</f>
        <v/>
      </c>
      <c r="Q80" s="626" t="n"/>
      <c r="R80" s="626" t="n"/>
      <c r="S80" s="106" t="n"/>
      <c r="T80" s="106" t="n"/>
      <c r="U80" s="106" t="n"/>
      <c r="V80" s="106" t="n"/>
      <c r="W80" s="106" t="n"/>
      <c r="X80" s="106" t="n"/>
      <c r="Y80" s="106" t="n"/>
      <c r="Z80" s="106" t="n"/>
    </row>
    <row r="81" ht="15.75" customHeight="1" s="545">
      <c r="A81" s="265" t="n"/>
      <c r="B81" s="629" t="n"/>
      <c r="C81" s="219">
        <f>IF(I81&gt;0,MAX($C$12:C80)+1,"")</f>
        <v/>
      </c>
      <c r="D81" s="222">
        <f>IF(ISBLANK(B81),D80,B81)</f>
        <v/>
      </c>
      <c r="E81" s="219" t="n">
        <v>70</v>
      </c>
      <c r="F81" s="214" t="inlineStr">
        <is>
          <t>Elektroheizung</t>
        </is>
      </c>
      <c r="G81" s="221" t="n">
        <v>0.4</v>
      </c>
      <c r="H81" s="221" t="n">
        <v>0.6</v>
      </c>
      <c r="I81" s="177" t="n"/>
      <c r="J81" s="214" t="inlineStr">
        <is>
          <t>m²</t>
        </is>
      </c>
      <c r="K81" s="767" t="n">
        <v>30</v>
      </c>
      <c r="L81" s="768">
        <f>(N81/$I$5)/(1+$F$7)</f>
        <v/>
      </c>
      <c r="M81" s="768">
        <f>L81/8</f>
        <v/>
      </c>
      <c r="N81" s="769">
        <f>P81*G81</f>
        <v/>
      </c>
      <c r="O81" s="769">
        <f>P81*H81</f>
        <v/>
      </c>
      <c r="P81" s="770">
        <f>I81*K81</f>
        <v/>
      </c>
      <c r="Q81" s="626" t="n"/>
      <c r="R81" s="626" t="n"/>
      <c r="S81" s="106" t="n"/>
      <c r="T81" s="106" t="n"/>
      <c r="U81" s="106" t="n"/>
      <c r="V81" s="106" t="n"/>
      <c r="W81" s="106" t="n"/>
      <c r="X81" s="106" t="n"/>
      <c r="Y81" s="106" t="n"/>
      <c r="Z81" s="106" t="n"/>
    </row>
    <row r="82" ht="15" customHeight="1" s="545">
      <c r="A82" s="162" t="n"/>
      <c r="B82" s="629" t="n"/>
      <c r="C82" s="219">
        <f>IF(I82&gt;0,MAX($C$12:C81)+1,"")</f>
        <v/>
      </c>
      <c r="D82" s="210">
        <f>IF(ISBLANK(B82),D81,B82)</f>
        <v/>
      </c>
      <c r="E82" s="219" t="n">
        <v>71</v>
      </c>
      <c r="F82" s="264" t="inlineStr">
        <is>
          <t>Gastherme überprüfen</t>
        </is>
      </c>
      <c r="G82" s="221" t="n">
        <v>1</v>
      </c>
      <c r="H82" s="221" t="n">
        <v>0</v>
      </c>
      <c r="I82" s="177" t="n"/>
      <c r="J82" s="214" t="inlineStr">
        <is>
          <t>Stk</t>
        </is>
      </c>
      <c r="K82" s="767" t="n">
        <v>200</v>
      </c>
      <c r="L82" s="768">
        <f>(N82/$I$5)/(1+$F$7)</f>
        <v/>
      </c>
      <c r="M82" s="768">
        <f>L82/8</f>
        <v/>
      </c>
      <c r="N82" s="769">
        <f>P82*G82</f>
        <v/>
      </c>
      <c r="O82" s="769">
        <f>P82*H82</f>
        <v/>
      </c>
      <c r="P82" s="770">
        <f>I82*K82</f>
        <v/>
      </c>
      <c r="Q82" s="626" t="n"/>
      <c r="R82" s="626" t="n"/>
      <c r="S82" s="106" t="n"/>
      <c r="T82" s="106" t="n"/>
      <c r="U82" s="106" t="n"/>
      <c r="V82" s="106" t="n"/>
      <c r="W82" s="106" t="n"/>
      <c r="X82" s="106" t="n"/>
      <c r="Y82" s="106" t="n"/>
      <c r="Z82" s="106" t="n"/>
    </row>
    <row r="83" ht="15" customHeight="1" s="545">
      <c r="A83" s="162" t="n"/>
      <c r="B83" s="643" t="n"/>
      <c r="C83" s="223">
        <f>IF(I83&gt;0,MAX($C$12:C82)+1,"")</f>
        <v/>
      </c>
      <c r="D83" s="224">
        <f>IF(ISBLANK(B83),D82,B83)</f>
        <v/>
      </c>
      <c r="E83" s="223" t="n">
        <v>72</v>
      </c>
      <c r="F83" s="225" t="inlineStr">
        <is>
          <t>Gastherme erneuern</t>
        </is>
      </c>
      <c r="G83" s="226" t="n">
        <v>0.4</v>
      </c>
      <c r="H83" s="226" t="n">
        <v>0.6</v>
      </c>
      <c r="I83" s="194" t="n"/>
      <c r="J83" s="227" t="inlineStr">
        <is>
          <t>Stk</t>
        </is>
      </c>
      <c r="K83" s="771" t="n">
        <v>4750</v>
      </c>
      <c r="L83" s="772">
        <f>(N83/$I$5)/(1+$F$7)</f>
        <v/>
      </c>
      <c r="M83" s="772">
        <f>L83/8</f>
        <v/>
      </c>
      <c r="N83" s="773">
        <f>P83*G83</f>
        <v/>
      </c>
      <c r="O83" s="773">
        <f>P83*H83</f>
        <v/>
      </c>
      <c r="P83" s="774">
        <f>I83*K83</f>
        <v/>
      </c>
      <c r="Q83" s="635" t="n"/>
      <c r="R83" s="635" t="n"/>
      <c r="S83" s="106" t="n"/>
      <c r="T83" s="106" t="n"/>
      <c r="U83" s="106" t="n"/>
      <c r="V83" s="106" t="n"/>
      <c r="W83" s="106" t="n"/>
      <c r="X83" s="106" t="n"/>
      <c r="Y83" s="106" t="n"/>
      <c r="Z83" s="106" t="n"/>
    </row>
    <row r="84" ht="15" customHeight="1" s="545">
      <c r="A84" s="162" t="n"/>
      <c r="B84" s="650" t="inlineStr">
        <is>
          <t>Bad / Sanitär</t>
        </is>
      </c>
      <c r="C84" s="267">
        <f>IF(I84&gt;0,MAX($C$12:C83)+1,"")</f>
        <v/>
      </c>
      <c r="D84" s="268">
        <f>IF(ISBLANK(B84),D83,B84)</f>
        <v/>
      </c>
      <c r="E84" s="267" t="n">
        <v>73</v>
      </c>
      <c r="F84" s="269" t="inlineStr">
        <is>
          <t>Badewanne erneuern</t>
        </is>
      </c>
      <c r="G84" s="270" t="n">
        <v>0.4</v>
      </c>
      <c r="H84" s="270" t="n">
        <v>0.6</v>
      </c>
      <c r="I84" s="271" t="n"/>
      <c r="J84" s="272" t="inlineStr">
        <is>
          <t>Stk.</t>
        </is>
      </c>
      <c r="K84" s="788" t="n">
        <v>800</v>
      </c>
      <c r="L84" s="789">
        <f>(N84/$I$5)/(1+$F$7)</f>
        <v/>
      </c>
      <c r="M84" s="789">
        <f>L84/8</f>
        <v/>
      </c>
      <c r="N84" s="790">
        <f>P84*G84</f>
        <v/>
      </c>
      <c r="O84" s="790">
        <f>P84*H84</f>
        <v/>
      </c>
      <c r="P84" s="791">
        <f>I84*K84</f>
        <v/>
      </c>
      <c r="Q84" s="787">
        <f>SUM(P84:P96)</f>
        <v/>
      </c>
      <c r="R84" s="787" t="n"/>
      <c r="S84" s="106" t="n"/>
      <c r="T84" s="106" t="n"/>
      <c r="U84" s="106" t="n"/>
      <c r="V84" s="106" t="n"/>
      <c r="W84" s="106" t="n"/>
      <c r="X84" s="106" t="n"/>
      <c r="Y84" s="106" t="n"/>
      <c r="Z84" s="106" t="n"/>
    </row>
    <row r="85" ht="15.75" customHeight="1" s="545">
      <c r="A85" s="162" t="n"/>
      <c r="B85" s="629" t="n"/>
      <c r="C85" s="277">
        <f>IF(I85&gt;0,MAX($C$12:C84)+1,"")</f>
        <v/>
      </c>
      <c r="D85" s="278">
        <f>IF(ISBLANK(B85),D84,B85)</f>
        <v/>
      </c>
      <c r="E85" s="277" t="n">
        <v>74</v>
      </c>
      <c r="F85" s="279" t="inlineStr">
        <is>
          <t>Armatur Badewanne inkl. Duschstange erneuern</t>
        </is>
      </c>
      <c r="G85" s="280" t="n">
        <v>0.4</v>
      </c>
      <c r="H85" s="280" t="n">
        <v>0.6</v>
      </c>
      <c r="I85" s="254" t="n"/>
      <c r="J85" s="281" t="inlineStr">
        <is>
          <t>Stk.</t>
        </is>
      </c>
      <c r="K85" s="792" t="n">
        <v>250</v>
      </c>
      <c r="L85" s="793">
        <f>(N85/$I$5)/(1+$F$7)</f>
        <v/>
      </c>
      <c r="M85" s="793">
        <f>L85/8</f>
        <v/>
      </c>
      <c r="N85" s="794">
        <f>P85*G85</f>
        <v/>
      </c>
      <c r="O85" s="794">
        <f>P85*H85</f>
        <v/>
      </c>
      <c r="P85" s="795">
        <f>I85*K85</f>
        <v/>
      </c>
      <c r="Q85" s="626" t="n"/>
      <c r="R85" s="626" t="n"/>
      <c r="S85" s="106" t="n"/>
      <c r="T85" s="106" t="n"/>
      <c r="U85" s="106" t="n"/>
      <c r="V85" s="106" t="n"/>
      <c r="W85" s="106" t="n"/>
      <c r="X85" s="106" t="n"/>
      <c r="Y85" s="106" t="n"/>
      <c r="Z85" s="106" t="n"/>
    </row>
    <row r="86" ht="15.75" customHeight="1" s="545">
      <c r="A86" s="162" t="n"/>
      <c r="B86" s="629" t="n"/>
      <c r="C86" s="277">
        <f>IF(I86&gt;0,MAX($C$12:C85)+1,"")</f>
        <v/>
      </c>
      <c r="D86" s="278">
        <f>IF(ISBLANK(B86),D85,B86)</f>
        <v/>
      </c>
      <c r="E86" s="277" t="n">
        <v>75</v>
      </c>
      <c r="F86" s="279" t="inlineStr">
        <is>
          <t>Duschwanne erneuern</t>
        </is>
      </c>
      <c r="G86" s="280" t="n">
        <v>0.4</v>
      </c>
      <c r="H86" s="280" t="n">
        <v>0.6</v>
      </c>
      <c r="I86" s="254" t="n"/>
      <c r="J86" s="281" t="inlineStr">
        <is>
          <t>Stk.</t>
        </is>
      </c>
      <c r="K86" s="792" t="n">
        <v>600</v>
      </c>
      <c r="L86" s="793">
        <f>(N86/$I$5)/(1+$F$7)</f>
        <v/>
      </c>
      <c r="M86" s="793">
        <f>L86/8</f>
        <v/>
      </c>
      <c r="N86" s="794">
        <f>P86*G86</f>
        <v/>
      </c>
      <c r="O86" s="794">
        <f>P86*H86</f>
        <v/>
      </c>
      <c r="P86" s="795">
        <f>I86*K86</f>
        <v/>
      </c>
      <c r="Q86" s="626" t="n"/>
      <c r="R86" s="626" t="n"/>
      <c r="S86" s="106" t="n"/>
      <c r="T86" s="106" t="n"/>
      <c r="U86" s="106" t="n"/>
      <c r="V86" s="106" t="n"/>
      <c r="W86" s="106" t="n"/>
      <c r="X86" s="106" t="n"/>
      <c r="Y86" s="106" t="n"/>
      <c r="Z86" s="106" t="n"/>
    </row>
    <row r="87" ht="15.75" customHeight="1" s="545">
      <c r="A87" s="162" t="n"/>
      <c r="B87" s="629" t="n"/>
      <c r="C87" s="277">
        <f>IF(I87&gt;0,MAX($C$12:C86)+1,"")</f>
        <v/>
      </c>
      <c r="D87" s="286">
        <f>IF(ISBLANK(B87),D86,B87)</f>
        <v/>
      </c>
      <c r="E87" s="277" t="n">
        <v>76</v>
      </c>
      <c r="F87" s="279" t="inlineStr">
        <is>
          <t>Handbrause mit Schlauch erneuern</t>
        </is>
      </c>
      <c r="G87" s="280" t="n">
        <v>0.3</v>
      </c>
      <c r="H87" s="280" t="n">
        <v>0.7</v>
      </c>
      <c r="I87" s="254" t="n"/>
      <c r="J87" s="281" t="inlineStr">
        <is>
          <t>Stk.</t>
        </is>
      </c>
      <c r="K87" s="792" t="n">
        <v>70</v>
      </c>
      <c r="L87" s="793">
        <f>(N87/$I$5)/(1+$F$7)</f>
        <v/>
      </c>
      <c r="M87" s="793">
        <f>L87/8</f>
        <v/>
      </c>
      <c r="N87" s="794">
        <f>P87*G87</f>
        <v/>
      </c>
      <c r="O87" s="794">
        <f>P87*H87</f>
        <v/>
      </c>
      <c r="P87" s="795">
        <f>I87*K87</f>
        <v/>
      </c>
      <c r="Q87" s="626" t="n"/>
      <c r="R87" s="626" t="n"/>
      <c r="S87" s="106" t="n"/>
      <c r="T87" s="106" t="n"/>
      <c r="U87" s="106" t="n"/>
      <c r="V87" s="106" t="n"/>
      <c r="W87" s="106" t="n"/>
      <c r="X87" s="106" t="n"/>
      <c r="Y87" s="106" t="n"/>
      <c r="Z87" s="106" t="n"/>
    </row>
    <row r="88" ht="15.75" customHeight="1" s="545">
      <c r="A88" s="162" t="n"/>
      <c r="B88" s="629" t="n"/>
      <c r="C88" s="277">
        <f>IF(I88&gt;0,MAX($C$12:C87)+1,"")</f>
        <v/>
      </c>
      <c r="D88" s="286">
        <f>IF(ISBLANK(B88),D87,B88)</f>
        <v/>
      </c>
      <c r="E88" s="277" t="n">
        <v>77</v>
      </c>
      <c r="F88" s="279" t="inlineStr">
        <is>
          <t>Waschbecken erneuern</t>
        </is>
      </c>
      <c r="G88" s="280" t="n">
        <v>0.6</v>
      </c>
      <c r="H88" s="280" t="n">
        <v>0.4</v>
      </c>
      <c r="I88" s="254" t="n"/>
      <c r="J88" s="281" t="inlineStr">
        <is>
          <t>Stk.</t>
        </is>
      </c>
      <c r="K88" s="792" t="n">
        <v>280</v>
      </c>
      <c r="L88" s="796">
        <f>(N88/$I$5)/(1+$F$7)</f>
        <v/>
      </c>
      <c r="M88" s="796">
        <f>L88/8</f>
        <v/>
      </c>
      <c r="N88" s="797">
        <f>P88*G88</f>
        <v/>
      </c>
      <c r="O88" s="797">
        <f>P88*H88</f>
        <v/>
      </c>
      <c r="P88" s="798">
        <f>I88*K88</f>
        <v/>
      </c>
      <c r="Q88" s="626" t="n"/>
      <c r="R88" s="626" t="n"/>
      <c r="S88" s="106" t="n"/>
      <c r="T88" s="106" t="n"/>
      <c r="U88" s="106" t="n"/>
      <c r="V88" s="106" t="n"/>
      <c r="W88" s="106" t="n"/>
      <c r="X88" s="106" t="n"/>
      <c r="Y88" s="106" t="n"/>
      <c r="Z88" s="106" t="n"/>
    </row>
    <row r="89" ht="15.75" customHeight="1" s="545">
      <c r="A89" s="290" t="n"/>
      <c r="B89" s="629" t="n"/>
      <c r="C89" s="277">
        <f>IF(I89&gt;0,MAX($C$12:C88)+1,"")</f>
        <v/>
      </c>
      <c r="D89" s="286">
        <f>IF(ISBLANK(B89),D88,B89)</f>
        <v/>
      </c>
      <c r="E89" s="277" t="n">
        <v>78</v>
      </c>
      <c r="F89" s="279" t="inlineStr">
        <is>
          <t>Armatur Waschbecken erneuern</t>
        </is>
      </c>
      <c r="G89" s="280" t="n">
        <v>0.4</v>
      </c>
      <c r="H89" s="280" t="n">
        <v>0.6</v>
      </c>
      <c r="I89" s="254" t="n"/>
      <c r="J89" s="281" t="inlineStr">
        <is>
          <t>Stk.</t>
        </is>
      </c>
      <c r="K89" s="792" t="n">
        <v>120</v>
      </c>
      <c r="L89" s="793">
        <f>(N89/$I$5)/(1+$F$7)</f>
        <v/>
      </c>
      <c r="M89" s="793">
        <f>L89/8</f>
        <v/>
      </c>
      <c r="N89" s="794">
        <f>P89*G89</f>
        <v/>
      </c>
      <c r="O89" s="794">
        <f>P89*H89</f>
        <v/>
      </c>
      <c r="P89" s="795">
        <f>I89*K89</f>
        <v/>
      </c>
      <c r="Q89" s="626" t="n"/>
      <c r="R89" s="626" t="n"/>
      <c r="S89" s="106" t="n"/>
      <c r="T89" s="106" t="n"/>
      <c r="U89" s="106" t="n"/>
      <c r="V89" s="106" t="n"/>
      <c r="W89" s="106" t="n"/>
      <c r="X89" s="106" t="n"/>
      <c r="Y89" s="106" t="n"/>
      <c r="Z89" s="106" t="n"/>
    </row>
    <row r="90" ht="15" customHeight="1" s="545">
      <c r="A90" s="290" t="n"/>
      <c r="B90" s="629" t="n"/>
      <c r="C90" s="277">
        <f>IF(I90&gt;0,MAX($C$12:C89)+1,"")</f>
        <v/>
      </c>
      <c r="D90" s="286">
        <f>IF(ISBLANK(B90),D89,B90)</f>
        <v/>
      </c>
      <c r="E90" s="277" t="n">
        <v>79</v>
      </c>
      <c r="F90" s="279" t="inlineStr">
        <is>
          <t>WC erneuern</t>
        </is>
      </c>
      <c r="G90" s="280" t="n">
        <v>0.4</v>
      </c>
      <c r="H90" s="280" t="n">
        <v>0.6</v>
      </c>
      <c r="I90" s="254" t="n"/>
      <c r="J90" s="281" t="inlineStr">
        <is>
          <t>Stk.</t>
        </is>
      </c>
      <c r="K90" s="792" t="n">
        <v>220</v>
      </c>
      <c r="L90" s="793">
        <f>(N90/$I$5)/(1+$F$7)</f>
        <v/>
      </c>
      <c r="M90" s="793">
        <f>L90/8</f>
        <v/>
      </c>
      <c r="N90" s="794">
        <f>P90*G90</f>
        <v/>
      </c>
      <c r="O90" s="794">
        <f>P90*H90</f>
        <v/>
      </c>
      <c r="P90" s="795">
        <f>I90*K90</f>
        <v/>
      </c>
      <c r="Q90" s="626" t="n"/>
      <c r="R90" s="626" t="n"/>
      <c r="S90" s="106" t="n"/>
      <c r="T90" s="106" t="n"/>
      <c r="U90" s="106" t="n"/>
      <c r="V90" s="106" t="n"/>
      <c r="W90" s="106" t="n"/>
      <c r="X90" s="106" t="n"/>
      <c r="Y90" s="106" t="n"/>
      <c r="Z90" s="106" t="n"/>
    </row>
    <row r="91" ht="15.75" customHeight="1" s="545">
      <c r="A91" s="290" t="n"/>
      <c r="B91" s="629" t="n"/>
      <c r="C91" s="277">
        <f>IF(I91&gt;0,MAX($C$12:C90)+1,"")</f>
        <v/>
      </c>
      <c r="D91" s="278">
        <f>IF(ISBLANK(B91),D90,B91)</f>
        <v/>
      </c>
      <c r="E91" s="277" t="n">
        <v>80</v>
      </c>
      <c r="F91" s="279" t="inlineStr">
        <is>
          <t>WC Sitz + Deckel erneuern</t>
        </is>
      </c>
      <c r="G91" s="280" t="n">
        <v>0.2</v>
      </c>
      <c r="H91" s="280" t="n">
        <v>0.8</v>
      </c>
      <c r="I91" s="254" t="n"/>
      <c r="J91" s="281" t="inlineStr">
        <is>
          <t>Stk.</t>
        </is>
      </c>
      <c r="K91" s="792" t="n">
        <v>60</v>
      </c>
      <c r="L91" s="793">
        <f>(N91/$I$5)/(1+$F$7)</f>
        <v/>
      </c>
      <c r="M91" s="793">
        <f>L91/8</f>
        <v/>
      </c>
      <c r="N91" s="794">
        <f>P91*G91</f>
        <v/>
      </c>
      <c r="O91" s="794">
        <f>P91*H91</f>
        <v/>
      </c>
      <c r="P91" s="795">
        <f>I91*K91</f>
        <v/>
      </c>
      <c r="Q91" s="626" t="n"/>
      <c r="R91" s="626" t="n"/>
      <c r="S91" s="106" t="n"/>
      <c r="T91" s="106" t="n"/>
      <c r="U91" s="106" t="n"/>
      <c r="V91" s="106" t="n"/>
      <c r="W91" s="106" t="n"/>
      <c r="X91" s="106" t="n"/>
      <c r="Y91" s="106" t="n"/>
      <c r="Z91" s="106" t="n"/>
    </row>
    <row r="92" ht="15.75" customHeight="1" s="545">
      <c r="A92" s="290" t="n"/>
      <c r="B92" s="629" t="n"/>
      <c r="C92" s="277">
        <f>IF(I92&gt;0,MAX($C$12:C91)+1,"")</f>
        <v/>
      </c>
      <c r="D92" s="278">
        <f>IF(ISBLANK(B92),D91,B92)</f>
        <v/>
      </c>
      <c r="E92" s="277" t="n">
        <v>81</v>
      </c>
      <c r="F92" s="279" t="inlineStr">
        <is>
          <t>WC Spülkasten erneuern</t>
        </is>
      </c>
      <c r="G92" s="280" t="n">
        <v>0.3</v>
      </c>
      <c r="H92" s="280" t="n">
        <v>0.7</v>
      </c>
      <c r="I92" s="254" t="n"/>
      <c r="J92" s="281" t="inlineStr">
        <is>
          <t>Stk.</t>
        </is>
      </c>
      <c r="K92" s="792" t="n">
        <v>100</v>
      </c>
      <c r="L92" s="793">
        <f>(N92/$I$5)/(1+$F$7)</f>
        <v/>
      </c>
      <c r="M92" s="793">
        <f>L92/8</f>
        <v/>
      </c>
      <c r="N92" s="794">
        <f>P92*G92</f>
        <v/>
      </c>
      <c r="O92" s="794">
        <f>P92*H92</f>
        <v/>
      </c>
      <c r="P92" s="795">
        <f>I92*K92</f>
        <v/>
      </c>
      <c r="Q92" s="626" t="n"/>
      <c r="R92" s="626" t="n"/>
      <c r="S92" s="106" t="n"/>
      <c r="T92" s="106" t="n"/>
      <c r="U92" s="106" t="n"/>
      <c r="V92" s="106" t="n"/>
      <c r="W92" s="106" t="n"/>
      <c r="X92" s="106" t="n"/>
      <c r="Y92" s="106" t="n"/>
      <c r="Z92" s="106" t="n"/>
    </row>
    <row r="93" ht="15.75" customHeight="1" s="545">
      <c r="A93" s="290" t="n"/>
      <c r="B93" s="629" t="n"/>
      <c r="C93" s="277">
        <f>IF(I93&gt;0,MAX($C$12:C92)+1,"")</f>
        <v/>
      </c>
      <c r="D93" s="278">
        <f>IF(ISBLANK(B93),D92,B93)</f>
        <v/>
      </c>
      <c r="E93" s="277" t="n">
        <v>82</v>
      </c>
      <c r="F93" s="279" t="inlineStr">
        <is>
          <t>Bad Komplettsanierung ohne Leitungen</t>
        </is>
      </c>
      <c r="G93" s="280" t="n">
        <v>0.7</v>
      </c>
      <c r="H93" s="280" t="n">
        <v>0.3</v>
      </c>
      <c r="I93" s="254" t="n"/>
      <c r="J93" s="281" t="inlineStr">
        <is>
          <t>m² Wfl.</t>
        </is>
      </c>
      <c r="K93" s="792" t="n">
        <v>750</v>
      </c>
      <c r="L93" s="793">
        <f>(N93/$I$5)/(1+$F$7)</f>
        <v/>
      </c>
      <c r="M93" s="793">
        <f>L93/8</f>
        <v/>
      </c>
      <c r="N93" s="794">
        <f>P93*G93</f>
        <v/>
      </c>
      <c r="O93" s="794">
        <f>P93*H93</f>
        <v/>
      </c>
      <c r="P93" s="795">
        <f>I93*K93</f>
        <v/>
      </c>
      <c r="Q93" s="626" t="n"/>
      <c r="R93" s="626" t="n"/>
      <c r="S93" s="106" t="n"/>
      <c r="T93" s="106" t="n"/>
      <c r="U93" s="106" t="n"/>
      <c r="V93" s="106" t="n"/>
      <c r="W93" s="106" t="n"/>
      <c r="X93" s="106" t="n"/>
      <c r="Y93" s="106" t="n"/>
      <c r="Z93" s="106" t="n"/>
    </row>
    <row r="94" ht="15.75" customHeight="1" s="545">
      <c r="A94" s="291" t="n"/>
      <c r="B94" s="629" t="n"/>
      <c r="C94" s="277">
        <f>IF(I94&gt;0,MAX($C$12:C93)+1,"")</f>
        <v/>
      </c>
      <c r="D94" s="278">
        <f>IF(ISBLANK(B94),D93,B94)</f>
        <v/>
      </c>
      <c r="E94" s="277" t="n">
        <v>83</v>
      </c>
      <c r="F94" s="279" t="inlineStr">
        <is>
          <t xml:space="preserve">Wasserleitungen erneuern </t>
        </is>
      </c>
      <c r="G94" s="280" t="n">
        <v>0.7</v>
      </c>
      <c r="H94" s="280" t="n">
        <v>0.3</v>
      </c>
      <c r="I94" s="254" t="n"/>
      <c r="J94" s="292" t="inlineStr">
        <is>
          <t>m²</t>
        </is>
      </c>
      <c r="K94" s="792" t="n">
        <v>70</v>
      </c>
      <c r="L94" s="793">
        <f>(N94/$I$5)/(1+$F$7)</f>
        <v/>
      </c>
      <c r="M94" s="793">
        <f>L94/8</f>
        <v/>
      </c>
      <c r="N94" s="794">
        <f>P94*G94</f>
        <v/>
      </c>
      <c r="O94" s="794">
        <f>P94*H94</f>
        <v/>
      </c>
      <c r="P94" s="795">
        <f>I94*K94</f>
        <v/>
      </c>
      <c r="Q94" s="626" t="n"/>
      <c r="R94" s="626" t="n"/>
      <c r="S94" s="293" t="n"/>
      <c r="T94" s="293" t="n"/>
      <c r="U94" s="293" t="n"/>
      <c r="V94" s="293" t="n"/>
      <c r="W94" s="293" t="n"/>
      <c r="X94" s="293" t="n"/>
      <c r="Y94" s="293" t="n"/>
      <c r="Z94" s="293" t="n"/>
    </row>
    <row r="95" ht="15.75" customHeight="1" s="545">
      <c r="A95" s="106" t="n"/>
      <c r="B95" s="629" t="n"/>
      <c r="C95" s="277">
        <f>IF(I95&gt;0,MAX($C$12:C94)+1,"")</f>
        <v/>
      </c>
      <c r="D95" s="278">
        <f>IF(ISBLANK(B95),D94,B95)</f>
        <v/>
      </c>
      <c r="E95" s="277" t="n">
        <v>84</v>
      </c>
      <c r="F95" s="279" t="inlineStr">
        <is>
          <t>Wasserzähler einbauen</t>
        </is>
      </c>
      <c r="G95" s="280" t="n">
        <v>0.4</v>
      </c>
      <c r="H95" s="280" t="n">
        <v>0.6</v>
      </c>
      <c r="I95" s="254" t="n"/>
      <c r="J95" s="281" t="inlineStr">
        <is>
          <t>Stk.</t>
        </is>
      </c>
      <c r="K95" s="792" t="n">
        <v>350</v>
      </c>
      <c r="L95" s="793">
        <f>(N95/$I$5)/(1+$F$7)</f>
        <v/>
      </c>
      <c r="M95" s="793">
        <f>L95/8</f>
        <v/>
      </c>
      <c r="N95" s="794">
        <f>P95*G95</f>
        <v/>
      </c>
      <c r="O95" s="794">
        <f>P95*H95</f>
        <v/>
      </c>
      <c r="P95" s="795">
        <f>I95*K95</f>
        <v/>
      </c>
      <c r="Q95" s="626" t="n"/>
      <c r="R95" s="626" t="n"/>
      <c r="S95" s="106" t="n"/>
      <c r="T95" s="106" t="n"/>
      <c r="U95" s="106" t="n"/>
      <c r="V95" s="106" t="n"/>
      <c r="W95" s="106" t="n"/>
      <c r="X95" s="106" t="n"/>
      <c r="Y95" s="106" t="n"/>
      <c r="Z95" s="106" t="n"/>
    </row>
    <row r="96" ht="15.75" customHeight="1" s="545">
      <c r="A96" s="106" t="n"/>
      <c r="B96" s="630" t="n"/>
      <c r="C96" s="294">
        <f>IF(I96&gt;0,MAX($C$12:C95)+1,"")</f>
        <v/>
      </c>
      <c r="D96" s="295">
        <f>IF(ISBLANK(B96),D95,B96)</f>
        <v/>
      </c>
      <c r="E96" s="294" t="n">
        <v>85</v>
      </c>
      <c r="F96" s="296" t="inlineStr">
        <is>
          <t>Waschmaschienen Anschluss herstellen</t>
        </is>
      </c>
      <c r="G96" s="297" t="n">
        <v>0.8</v>
      </c>
      <c r="H96" s="297" t="n">
        <v>0.2</v>
      </c>
      <c r="I96" s="298" t="n"/>
      <c r="J96" s="299" t="inlineStr">
        <is>
          <t>Stk</t>
        </is>
      </c>
      <c r="K96" s="799" t="n">
        <v>300</v>
      </c>
      <c r="L96" s="800">
        <f>(N96/$I$5)/(1+$F$7)</f>
        <v/>
      </c>
      <c r="M96" s="800">
        <f>L96/8</f>
        <v/>
      </c>
      <c r="N96" s="801">
        <f>P96*G96</f>
        <v/>
      </c>
      <c r="O96" s="801">
        <f>P96*H96</f>
        <v/>
      </c>
      <c r="P96" s="802">
        <f>I96*K96</f>
        <v/>
      </c>
      <c r="Q96" s="627" t="n"/>
      <c r="R96" s="627" t="n"/>
      <c r="S96" s="106" t="n"/>
      <c r="T96" s="106" t="n"/>
      <c r="U96" s="106" t="n"/>
      <c r="V96" s="106" t="n"/>
      <c r="W96" s="106" t="n"/>
      <c r="X96" s="106" t="n"/>
      <c r="Y96" s="106" t="n"/>
      <c r="Z96" s="106" t="n"/>
    </row>
    <row r="97" ht="15.75" customHeight="1" s="545">
      <c r="A97" s="106" t="n"/>
      <c r="B97" s="646" t="inlineStr">
        <is>
          <t>Außenanlage</t>
        </is>
      </c>
      <c r="C97" s="144">
        <f>IF(I97&gt;0,MAX($C$12:C96)+1,"")</f>
        <v/>
      </c>
      <c r="D97" s="248">
        <f>IF(ISBLANK(B97),D96,B97)</f>
        <v/>
      </c>
      <c r="E97" s="144" t="n">
        <v>86</v>
      </c>
      <c r="F97" s="249" t="inlineStr">
        <is>
          <t xml:space="preserve">Gartenarbeiten </t>
        </is>
      </c>
      <c r="G97" s="147" t="n">
        <v>0.85</v>
      </c>
      <c r="H97" s="147" t="n">
        <v>0.15</v>
      </c>
      <c r="I97" s="148" t="n"/>
      <c r="J97" s="146" t="inlineStr">
        <is>
          <t>Std</t>
        </is>
      </c>
      <c r="K97" s="739" t="n">
        <v>35</v>
      </c>
      <c r="L97" s="740">
        <f>(N97/$I$5)/(1+$F$7)</f>
        <v/>
      </c>
      <c r="M97" s="740">
        <f>L97/8</f>
        <v/>
      </c>
      <c r="N97" s="741">
        <f>P97*G97</f>
        <v/>
      </c>
      <c r="O97" s="741">
        <f>P97*H97</f>
        <v/>
      </c>
      <c r="P97" s="742">
        <f>I97*K97</f>
        <v/>
      </c>
      <c r="Q97" s="743">
        <f>SUM(P97:P99)</f>
        <v/>
      </c>
      <c r="R97" s="743" t="n"/>
      <c r="S97" s="106" t="n"/>
      <c r="T97" s="106" t="n"/>
      <c r="U97" s="106" t="n"/>
      <c r="V97" s="106" t="n"/>
      <c r="W97" s="106" t="n"/>
      <c r="X97" s="106" t="n"/>
      <c r="Y97" s="106" t="n"/>
      <c r="Z97" s="106" t="n"/>
    </row>
    <row r="98" ht="15.75" customHeight="1" s="545">
      <c r="A98" s="106" t="n"/>
      <c r="B98" s="629" t="n"/>
      <c r="C98" s="250">
        <f>IF(I98&gt;0,MAX($C$12:C97)+1,"")</f>
        <v/>
      </c>
      <c r="D98" s="260">
        <f>IF(ISBLANK(B98),D97,B98)</f>
        <v/>
      </c>
      <c r="E98" s="250" t="n">
        <v>87</v>
      </c>
      <c r="F98" s="252" t="inlineStr">
        <is>
          <t>Asphalt / Betondecke abbrechen und entsorgen</t>
        </is>
      </c>
      <c r="G98" s="304" t="n"/>
      <c r="H98" s="304" t="n"/>
      <c r="I98" s="254" t="n"/>
      <c r="J98" s="669" t="inlineStr">
        <is>
          <t>m²</t>
        </is>
      </c>
      <c r="K98" s="783" t="n">
        <v>25</v>
      </c>
      <c r="L98" s="784">
        <f>(N98/$I$5)/(1+$F$7)</f>
        <v/>
      </c>
      <c r="M98" s="784">
        <f>L98/8</f>
        <v/>
      </c>
      <c r="N98" s="785">
        <f>P98*G98</f>
        <v/>
      </c>
      <c r="O98" s="785">
        <f>P98*H98</f>
        <v/>
      </c>
      <c r="P98" s="786">
        <f>I98*K98</f>
        <v/>
      </c>
      <c r="Q98" s="626" t="n"/>
      <c r="R98" s="626" t="n"/>
      <c r="S98" s="106" t="n"/>
      <c r="T98" s="106" t="n"/>
      <c r="U98" s="106" t="n"/>
      <c r="V98" s="106" t="n"/>
      <c r="W98" s="106" t="n"/>
      <c r="X98" s="106" t="n"/>
      <c r="Y98" s="106" t="n"/>
      <c r="Z98" s="106" t="n"/>
    </row>
    <row r="99" ht="15.75" customHeight="1" s="545">
      <c r="A99" s="106" t="n"/>
      <c r="B99" s="643" t="n"/>
      <c r="C99" s="153">
        <f>IF(I99&gt;0,MAX($C$12:C98)+1,"")</f>
        <v/>
      </c>
      <c r="D99" s="154">
        <f>IF(ISBLANK(B99),D98,B99)</f>
        <v/>
      </c>
      <c r="E99" s="153" t="n">
        <v>88</v>
      </c>
      <c r="F99" s="261" t="inlineStr">
        <is>
          <t>Hof pflastern (inkl. Steine)</t>
        </is>
      </c>
      <c r="G99" s="305" t="n"/>
      <c r="H99" s="305" t="n"/>
      <c r="I99" s="157" t="n"/>
      <c r="J99" s="155" t="inlineStr">
        <is>
          <t>m²</t>
        </is>
      </c>
      <c r="K99" s="744" t="n">
        <v>80</v>
      </c>
      <c r="L99" s="745">
        <f>(N99/$I$5)/(1+$F$7)</f>
        <v/>
      </c>
      <c r="M99" s="745">
        <f>L99/8</f>
        <v/>
      </c>
      <c r="N99" s="746">
        <f>P99*G99</f>
        <v/>
      </c>
      <c r="O99" s="746">
        <f>P99*H99</f>
        <v/>
      </c>
      <c r="P99" s="747">
        <f>I99*K99</f>
        <v/>
      </c>
      <c r="Q99" s="635" t="n"/>
      <c r="R99" s="635" t="n"/>
      <c r="S99" s="106" t="n"/>
      <c r="T99" s="106" t="n"/>
      <c r="U99" s="106" t="n"/>
      <c r="V99" s="106" t="n"/>
      <c r="W99" s="106" t="n"/>
      <c r="X99" s="106" t="n"/>
      <c r="Y99" s="106" t="n"/>
      <c r="Z99" s="106" t="n"/>
    </row>
    <row r="100" ht="15.75" customHeight="1" s="545">
      <c r="A100" s="106" t="n"/>
      <c r="B100" s="266" t="inlineStr">
        <is>
          <t>Reinigung</t>
        </is>
      </c>
      <c r="C100" s="306">
        <f>IF(I100&gt;0,MAX($C$12:C99)+1,"")</f>
        <v/>
      </c>
      <c r="D100" s="307">
        <f>IF(ISBLANK(B100),D99,B100)</f>
        <v/>
      </c>
      <c r="E100" s="306" t="n">
        <v>89</v>
      </c>
      <c r="F100" s="308" t="inlineStr">
        <is>
          <t>Grundreinigung Wohnung / Bauendreinigung</t>
        </is>
      </c>
      <c r="G100" s="309" t="n">
        <v>1</v>
      </c>
      <c r="H100" s="309" t="n">
        <v>0</v>
      </c>
      <c r="I100" s="310" t="n"/>
      <c r="J100" s="311" t="inlineStr">
        <is>
          <t>Stk</t>
        </is>
      </c>
      <c r="K100" s="803" t="n">
        <v>500</v>
      </c>
      <c r="L100" s="804">
        <f>(N100/$I$5)/(1+$F$7)</f>
        <v/>
      </c>
      <c r="M100" s="804">
        <f>L100/8</f>
        <v/>
      </c>
      <c r="N100" s="805">
        <f>P100*G100</f>
        <v/>
      </c>
      <c r="O100" s="805">
        <f>P100*H100</f>
        <v/>
      </c>
      <c r="P100" s="806">
        <f>I100*K100</f>
        <v/>
      </c>
      <c r="Q100" s="807">
        <f>P100</f>
        <v/>
      </c>
      <c r="R100" s="807" t="n"/>
      <c r="S100" s="106" t="n"/>
      <c r="T100" s="106" t="n"/>
      <c r="U100" s="106" t="n"/>
      <c r="V100" s="106" t="n"/>
      <c r="W100" s="106" t="n"/>
      <c r="X100" s="106" t="n"/>
      <c r="Y100" s="106" t="n"/>
      <c r="Z100" s="106" t="n"/>
    </row>
    <row r="101" ht="15.75" customHeight="1" s="545">
      <c r="A101" s="106" t="n"/>
      <c r="B101" s="646" t="inlineStr">
        <is>
          <t>Home Staging</t>
        </is>
      </c>
      <c r="C101" s="317">
        <f>IF(I101&gt;0,MAX($C$12:C100)+1,"")</f>
        <v/>
      </c>
      <c r="D101" s="318">
        <f>IF(ISBLANK(B101),D100,B101)</f>
        <v/>
      </c>
      <c r="E101" s="317" t="n">
        <v>90</v>
      </c>
      <c r="F101" s="319" t="inlineStr">
        <is>
          <t>Home Staging (Beispieleinrichtung für den Verkauf)</t>
        </is>
      </c>
      <c r="G101" s="320" t="n"/>
      <c r="H101" s="320" t="n"/>
      <c r="I101" s="137" t="n"/>
      <c r="J101" s="321" t="inlineStr">
        <is>
          <t>m²</t>
        </is>
      </c>
      <c r="K101" s="808" t="n">
        <v>50</v>
      </c>
      <c r="L101" s="809">
        <f>(N101/$I$5)/(1+$F$7)</f>
        <v/>
      </c>
      <c r="M101" s="809">
        <f>L101/8</f>
        <v/>
      </c>
      <c r="N101" s="810">
        <f>P101*G101</f>
        <v/>
      </c>
      <c r="O101" s="810">
        <f>P101*H101</f>
        <v/>
      </c>
      <c r="P101" s="811">
        <f>I101*K101</f>
        <v/>
      </c>
      <c r="Q101" s="743">
        <f>P101</f>
        <v/>
      </c>
      <c r="R101" s="743" t="n"/>
      <c r="S101" s="106" t="n"/>
      <c r="T101" s="106" t="n"/>
      <c r="U101" s="106" t="n"/>
      <c r="V101" s="106" t="n"/>
      <c r="W101" s="106" t="n"/>
      <c r="X101" s="106" t="n"/>
      <c r="Y101" s="106" t="n"/>
      <c r="Z101" s="106" t="n"/>
    </row>
    <row r="102" ht="15.75" customHeight="1" s="545">
      <c r="A102" s="106" t="n"/>
      <c r="B102" s="642" t="inlineStr">
        <is>
          <t>Sonstiges</t>
        </is>
      </c>
      <c r="C102" s="267">
        <f>IF(I102&gt;0,MAX($C$12:C101)+1,"")</f>
        <v/>
      </c>
      <c r="D102" s="268">
        <f>IF(ISBLANK(B102),D101,B102)</f>
        <v/>
      </c>
      <c r="E102" s="267" t="n">
        <v>91</v>
      </c>
      <c r="F102" s="269" t="inlineStr">
        <is>
          <t>Einbauküche (inkl. Montage)</t>
        </is>
      </c>
      <c r="G102" s="270" t="n">
        <v>0.5</v>
      </c>
      <c r="H102" s="270" t="n">
        <v>0.5</v>
      </c>
      <c r="I102" s="271" t="n"/>
      <c r="J102" s="272" t="inlineStr">
        <is>
          <t>Stk</t>
        </is>
      </c>
      <c r="K102" s="788" t="n">
        <v>3000</v>
      </c>
      <c r="L102" s="789">
        <f>(N102/$I$5)/(1+$F$7)</f>
        <v/>
      </c>
      <c r="M102" s="789">
        <f>L102/8</f>
        <v/>
      </c>
      <c r="N102" s="790">
        <f>P102*G102</f>
        <v/>
      </c>
      <c r="O102" s="790">
        <f>P102*H102</f>
        <v/>
      </c>
      <c r="P102" s="791">
        <f>I102*K102</f>
        <v/>
      </c>
      <c r="Q102" s="812">
        <f>SUM(P102:P105)</f>
        <v/>
      </c>
      <c r="R102" s="812" t="n"/>
      <c r="S102" s="106" t="n"/>
      <c r="T102" s="106" t="n"/>
      <c r="U102" s="106" t="n"/>
      <c r="V102" s="106" t="n"/>
      <c r="W102" s="106" t="n"/>
      <c r="X102" s="106" t="n"/>
      <c r="Y102" s="106" t="n"/>
      <c r="Z102" s="106" t="n"/>
    </row>
    <row r="103" ht="15.75" customHeight="1" s="545">
      <c r="A103" s="106" t="n"/>
      <c r="B103" s="629" t="n"/>
      <c r="C103" s="277">
        <f>IF(I103&gt;0,MAX($C$12:C102)+1,"")</f>
        <v/>
      </c>
      <c r="D103" s="278">
        <f>IF(ISBLANK(B103),D102,B103)</f>
        <v/>
      </c>
      <c r="E103" s="277" t="n">
        <v>92</v>
      </c>
      <c r="F103" s="279" t="inlineStr">
        <is>
          <t>Scheune abreißen (inkl. Entsorgung)</t>
        </is>
      </c>
      <c r="G103" s="280" t="n">
        <v>0.5</v>
      </c>
      <c r="H103" s="280" t="n">
        <v>0.5</v>
      </c>
      <c r="I103" s="254" t="n"/>
      <c r="J103" s="281" t="inlineStr">
        <is>
          <t>psch</t>
        </is>
      </c>
      <c r="K103" s="792" t="n">
        <v>10000</v>
      </c>
      <c r="L103" s="793">
        <f>(N103/$I$5)/(1+$F$7)</f>
        <v/>
      </c>
      <c r="M103" s="793">
        <f>L103/8</f>
        <v/>
      </c>
      <c r="N103" s="794">
        <f>P103*G103</f>
        <v/>
      </c>
      <c r="O103" s="794">
        <f>P103*H103</f>
        <v/>
      </c>
      <c r="P103" s="795">
        <f>I103*K103</f>
        <v/>
      </c>
      <c r="Q103" s="626" t="n"/>
      <c r="R103" s="626" t="n"/>
      <c r="S103" s="106" t="n"/>
      <c r="T103" s="106" t="n"/>
      <c r="U103" s="106" t="n"/>
      <c r="V103" s="106" t="n"/>
      <c r="W103" s="106" t="n"/>
      <c r="X103" s="106" t="n"/>
      <c r="Y103" s="106" t="n"/>
      <c r="Z103" s="106" t="n"/>
    </row>
    <row r="104" ht="15.75" customHeight="1" s="545">
      <c r="A104" s="106" t="n"/>
      <c r="B104" s="629" t="n"/>
      <c r="C104" s="277">
        <f>IF(I104&gt;0,MAX($C$12:C103)+1,"")</f>
        <v/>
      </c>
      <c r="D104" s="278">
        <f>IF(ISBLANK(B104),D103,B104)</f>
        <v/>
      </c>
      <c r="E104" s="277" t="n">
        <v>93</v>
      </c>
      <c r="F104" s="279" t="inlineStr">
        <is>
          <t>WEG Aufteilung</t>
        </is>
      </c>
      <c r="G104" s="280" t="n">
        <v>0.5</v>
      </c>
      <c r="H104" s="280" t="n">
        <v>0.5</v>
      </c>
      <c r="I104" s="254" t="n"/>
      <c r="J104" s="281" t="inlineStr">
        <is>
          <t>psch</t>
        </is>
      </c>
      <c r="K104" s="792" t="n">
        <v>12000</v>
      </c>
      <c r="L104" s="793">
        <f>(N104/$I$5)/(1+$F$7)</f>
        <v/>
      </c>
      <c r="M104" s="793">
        <f>L104/8</f>
        <v/>
      </c>
      <c r="N104" s="794">
        <f>P104*G104</f>
        <v/>
      </c>
      <c r="O104" s="794">
        <f>P104*H104</f>
        <v/>
      </c>
      <c r="P104" s="795">
        <f>I104*K104</f>
        <v/>
      </c>
      <c r="Q104" s="626" t="n"/>
      <c r="R104" s="626" t="n"/>
      <c r="S104" s="106" t="n"/>
      <c r="T104" s="106" t="n"/>
      <c r="U104" s="106" t="n"/>
      <c r="V104" s="106" t="n"/>
      <c r="W104" s="106" t="n"/>
      <c r="X104" s="106" t="n"/>
      <c r="Y104" s="106" t="n"/>
      <c r="Z104" s="106" t="n"/>
    </row>
    <row r="105" ht="15.75" customHeight="1" s="545">
      <c r="A105" s="106" t="n"/>
      <c r="B105" s="643" t="n"/>
      <c r="C105" s="327">
        <f>IF(I105&gt;0,MAX($C$12:C104)+1,"")</f>
        <v/>
      </c>
      <c r="D105" s="328">
        <f>IF(ISBLANK(B105),D104,B105)</f>
        <v/>
      </c>
      <c r="E105" s="327" t="n">
        <v>94</v>
      </c>
      <c r="F105" s="329" t="inlineStr">
        <is>
          <t>RND</t>
        </is>
      </c>
      <c r="G105" s="330" t="n">
        <v>0.5</v>
      </c>
      <c r="H105" s="330" t="n">
        <v>0.5</v>
      </c>
      <c r="I105" s="157" t="n"/>
      <c r="J105" s="331" t="inlineStr">
        <is>
          <t>psch</t>
        </is>
      </c>
      <c r="K105" s="813" t="n">
        <v>600</v>
      </c>
      <c r="L105" s="814">
        <f>(N105/$I$5)/(1+$F$7)</f>
        <v/>
      </c>
      <c r="M105" s="814">
        <f>L105/8</f>
        <v/>
      </c>
      <c r="N105" s="815">
        <f>P105*G105</f>
        <v/>
      </c>
      <c r="O105" s="815">
        <f>P105*H105</f>
        <v/>
      </c>
      <c r="P105" s="816">
        <f>I105*K105</f>
        <v/>
      </c>
      <c r="Q105" s="635" t="n"/>
      <c r="R105" s="635" t="n"/>
      <c r="S105" s="106" t="n"/>
      <c r="T105" s="106" t="n"/>
      <c r="U105" s="106" t="n"/>
      <c r="V105" s="106" t="n"/>
      <c r="W105" s="106" t="n"/>
      <c r="X105" s="106" t="n"/>
      <c r="Y105" s="106" t="n"/>
      <c r="Z105" s="106" t="n"/>
    </row>
    <row r="106" hidden="1" ht="15.75" customHeight="1" s="545">
      <c r="A106" s="548" t="n"/>
      <c r="B106" s="817" t="inlineStr">
        <is>
          <t>Gesamtsumme =</t>
        </is>
      </c>
      <c r="C106" s="632" t="n"/>
      <c r="D106" s="632" t="n"/>
      <c r="E106" s="632" t="n"/>
      <c r="F106" s="632" t="n"/>
      <c r="G106" s="632" t="n"/>
      <c r="H106" s="632" t="n"/>
      <c r="I106" s="632" t="n"/>
      <c r="J106" s="336" t="n"/>
      <c r="K106" s="336" t="n"/>
      <c r="L106" s="336" t="n"/>
      <c r="M106" s="336" t="n"/>
      <c r="N106" s="818" t="n"/>
      <c r="O106" s="818" t="n"/>
      <c r="P106" s="819">
        <f>SUM(P12:P105)</f>
        <v/>
      </c>
      <c r="Q106" s="819">
        <f>SUM(Q13:Q105)</f>
        <v/>
      </c>
      <c r="R106" s="819">
        <f>SUM(R13:R105)</f>
        <v/>
      </c>
      <c r="S106" s="548" t="n"/>
      <c r="T106" s="548" t="n"/>
      <c r="U106" s="548" t="n"/>
      <c r="V106" s="548" t="n"/>
      <c r="W106" s="548" t="n"/>
      <c r="X106" s="548" t="n"/>
      <c r="Y106" s="548" t="n"/>
      <c r="Z106" s="548" t="n"/>
    </row>
    <row r="107" ht="15.75" customHeight="1" s="545">
      <c r="A107" s="106" t="n"/>
      <c r="B107" s="106" t="n"/>
      <c r="C107" s="106" t="n"/>
      <c r="D107" s="106" t="n"/>
      <c r="E107" s="106" t="n"/>
      <c r="F107" s="106" t="n"/>
      <c r="G107" s="106" t="n"/>
      <c r="H107" s="106" t="n"/>
      <c r="I107" s="106" t="n"/>
      <c r="J107" s="106" t="n"/>
      <c r="K107" s="106" t="n"/>
      <c r="L107" s="106" t="n"/>
      <c r="M107" s="106" t="n"/>
      <c r="N107" s="106" t="n"/>
      <c r="O107" s="106" t="n"/>
      <c r="P107" s="106" t="n"/>
      <c r="Q107" s="106" t="n"/>
      <c r="R107" s="106" t="n"/>
      <c r="S107" s="106" t="n"/>
      <c r="T107" s="106" t="n"/>
      <c r="U107" s="106" t="n"/>
      <c r="V107" s="106" t="n"/>
      <c r="W107" s="106" t="n"/>
      <c r="X107" s="106" t="n"/>
      <c r="Y107" s="106" t="n"/>
      <c r="Z107" s="106" t="n"/>
    </row>
    <row r="108" ht="15.75" customHeight="1" s="545">
      <c r="A108" s="106" t="n"/>
      <c r="B108" s="106" t="n"/>
      <c r="C108" s="106" t="n"/>
      <c r="D108" s="106" t="n"/>
      <c r="E108" s="106" t="n"/>
      <c r="F108" s="106" t="n"/>
      <c r="G108" s="106" t="n"/>
      <c r="H108" s="106" t="n"/>
      <c r="I108" s="106" t="n"/>
      <c r="J108" s="106" t="n"/>
      <c r="K108" s="106" t="n"/>
      <c r="L108" s="106" t="n"/>
      <c r="M108" s="106" t="n"/>
      <c r="N108" s="106" t="n"/>
      <c r="O108" s="106" t="n"/>
      <c r="P108" s="106" t="n"/>
      <c r="Q108" s="106" t="n"/>
      <c r="R108" s="106" t="n"/>
      <c r="S108" s="106" t="n"/>
      <c r="T108" s="106" t="n"/>
      <c r="U108" s="106" t="n"/>
      <c r="V108" s="106" t="n"/>
      <c r="W108" s="106" t="n"/>
      <c r="X108" s="106" t="n"/>
      <c r="Y108" s="106" t="n"/>
      <c r="Z108" s="106" t="n"/>
    </row>
    <row r="109" ht="15.75" customHeight="1" s="545">
      <c r="A109" s="106" t="n"/>
      <c r="B109" s="106" t="n"/>
      <c r="C109" s="106" t="n"/>
      <c r="D109" s="106" t="n"/>
      <c r="E109" s="106" t="n"/>
      <c r="F109" s="106" t="n"/>
      <c r="G109" s="106" t="n"/>
      <c r="H109" s="106" t="n"/>
      <c r="I109" s="106" t="n"/>
      <c r="J109" s="106" t="n"/>
      <c r="K109" s="106" t="n"/>
      <c r="L109" s="106" t="n"/>
      <c r="M109" s="106" t="n"/>
      <c r="N109" s="106" t="n"/>
      <c r="O109" s="106" t="n"/>
      <c r="P109" s="106" t="n"/>
      <c r="Q109" s="106" t="n"/>
      <c r="R109" s="106" t="n"/>
      <c r="S109" s="106" t="n"/>
      <c r="T109" s="106" t="n"/>
      <c r="U109" s="106" t="n"/>
      <c r="V109" s="106" t="n"/>
      <c r="W109" s="106" t="n"/>
      <c r="X109" s="106" t="n"/>
      <c r="Y109" s="106" t="n"/>
      <c r="Z109" s="106" t="n"/>
    </row>
    <row r="110" ht="15.75" customHeight="1" s="545">
      <c r="A110" s="106" t="n"/>
      <c r="B110" s="106" t="n"/>
      <c r="C110" s="106" t="n"/>
      <c r="D110" s="106" t="n"/>
      <c r="E110" s="106" t="n"/>
      <c r="F110" s="106" t="n"/>
      <c r="G110" s="106" t="n"/>
      <c r="H110" s="106" t="n"/>
      <c r="I110" s="106" t="n"/>
      <c r="J110" s="106" t="n"/>
      <c r="K110" s="106" t="n"/>
      <c r="L110" s="106" t="n"/>
      <c r="M110" s="106" t="n"/>
      <c r="N110" s="106" t="n"/>
      <c r="O110" s="106" t="n"/>
      <c r="P110" s="106" t="n"/>
      <c r="Q110" s="106" t="n"/>
      <c r="R110" s="106" t="n"/>
      <c r="S110" s="106" t="n"/>
      <c r="T110" s="106" t="n"/>
      <c r="U110" s="106" t="n"/>
      <c r="V110" s="106" t="n"/>
      <c r="W110" s="106" t="n"/>
      <c r="X110" s="106" t="n"/>
      <c r="Y110" s="106" t="n"/>
      <c r="Z110" s="106" t="n"/>
    </row>
    <row r="111" ht="15.75" customHeight="1" s="545">
      <c r="A111" s="106" t="n"/>
      <c r="B111" s="106" t="n"/>
      <c r="C111" s="106" t="n"/>
      <c r="D111" s="106" t="n"/>
      <c r="E111" s="106" t="n"/>
      <c r="F111" s="106" t="n"/>
      <c r="G111" s="106" t="n"/>
      <c r="H111" s="106" t="n"/>
      <c r="I111" s="106" t="n"/>
      <c r="J111" s="106" t="n"/>
      <c r="K111" s="106" t="n"/>
      <c r="L111" s="106" t="n"/>
      <c r="M111" s="106" t="n"/>
      <c r="N111" s="106" t="n"/>
      <c r="O111" s="106" t="n"/>
      <c r="P111" s="106" t="n"/>
      <c r="Q111" s="106" t="n"/>
      <c r="R111" s="106" t="n"/>
      <c r="S111" s="106" t="n"/>
      <c r="T111" s="106" t="n"/>
      <c r="U111" s="106" t="n"/>
      <c r="V111" s="106" t="n"/>
      <c r="W111" s="106" t="n"/>
      <c r="X111" s="106" t="n"/>
      <c r="Y111" s="106" t="n"/>
      <c r="Z111" s="106" t="n"/>
    </row>
    <row r="112" ht="15.75" customHeight="1" s="545">
      <c r="A112" s="106" t="n"/>
      <c r="B112" s="106" t="n"/>
      <c r="C112" s="106" t="n"/>
      <c r="D112" s="106" t="n"/>
      <c r="E112" s="106" t="n"/>
      <c r="F112" s="106" t="n"/>
      <c r="G112" s="106" t="n"/>
      <c r="H112" s="106" t="n"/>
      <c r="I112" s="106" t="n"/>
      <c r="J112" s="106" t="n"/>
      <c r="K112" s="106" t="n"/>
      <c r="L112" s="106" t="n"/>
      <c r="M112" s="106" t="n"/>
      <c r="N112" s="106" t="n"/>
      <c r="O112" s="106" t="n"/>
      <c r="P112" s="106" t="n"/>
      <c r="Q112" s="106" t="n"/>
      <c r="R112" s="106" t="n"/>
      <c r="S112" s="106" t="n"/>
      <c r="T112" s="106" t="n"/>
      <c r="U112" s="106" t="n"/>
      <c r="V112" s="106" t="n"/>
      <c r="W112" s="106" t="n"/>
      <c r="X112" s="106" t="n"/>
      <c r="Y112" s="106" t="n"/>
      <c r="Z112" s="106" t="n"/>
    </row>
    <row r="113" ht="15.75" customHeight="1" s="545">
      <c r="A113" s="106" t="n"/>
      <c r="B113" s="106" t="n"/>
      <c r="C113" s="106" t="n"/>
      <c r="D113" s="106" t="n"/>
      <c r="E113" s="106" t="n"/>
      <c r="F113" s="106" t="n"/>
      <c r="G113" s="106" t="n"/>
      <c r="H113" s="106" t="n"/>
      <c r="I113" s="106" t="n"/>
      <c r="J113" s="106" t="n"/>
      <c r="K113" s="106" t="n"/>
      <c r="L113" s="106" t="n"/>
      <c r="M113" s="106" t="n"/>
      <c r="N113" s="106" t="n"/>
      <c r="O113" s="106" t="n"/>
      <c r="P113" s="106" t="n"/>
      <c r="Q113" s="106" t="n"/>
      <c r="R113" s="106" t="n"/>
      <c r="S113" s="106" t="n"/>
      <c r="T113" s="106" t="n"/>
      <c r="U113" s="106" t="n"/>
      <c r="V113" s="106" t="n"/>
      <c r="W113" s="106" t="n"/>
      <c r="X113" s="106" t="n"/>
      <c r="Y113" s="106" t="n"/>
      <c r="Z113" s="106" t="n"/>
    </row>
    <row r="114" ht="15.75" customHeight="1" s="545">
      <c r="A114" s="106" t="n"/>
      <c r="B114" s="106" t="n"/>
      <c r="C114" s="106" t="n"/>
      <c r="D114" s="106" t="n"/>
      <c r="E114" s="106" t="n"/>
      <c r="F114" s="106" t="n"/>
      <c r="G114" s="106" t="n"/>
      <c r="H114" s="106" t="n"/>
      <c r="I114" s="106" t="n"/>
      <c r="J114" s="106" t="n"/>
      <c r="K114" s="106" t="n"/>
      <c r="L114" s="106" t="n"/>
      <c r="M114" s="106" t="n"/>
      <c r="N114" s="106" t="n"/>
      <c r="O114" s="106" t="n"/>
      <c r="P114" s="106" t="n"/>
      <c r="Q114" s="106" t="n"/>
      <c r="R114" s="106" t="n"/>
      <c r="S114" s="106" t="n"/>
      <c r="T114" s="106" t="n"/>
      <c r="U114" s="106" t="n"/>
      <c r="V114" s="106" t="n"/>
      <c r="W114" s="106" t="n"/>
      <c r="X114" s="106" t="n"/>
      <c r="Y114" s="106" t="n"/>
      <c r="Z114" s="106" t="n"/>
    </row>
    <row r="115" ht="15.75" customHeight="1" s="545">
      <c r="A115" s="106" t="n"/>
      <c r="B115" s="106" t="n"/>
      <c r="C115" s="106" t="n"/>
      <c r="D115" s="106" t="n"/>
      <c r="E115" s="106" t="n"/>
      <c r="F115" s="106" t="n"/>
      <c r="G115" s="106" t="n"/>
      <c r="H115" s="106" t="n"/>
      <c r="I115" s="106" t="n"/>
      <c r="J115" s="106" t="n"/>
      <c r="K115" s="106" t="n"/>
      <c r="L115" s="106" t="n"/>
      <c r="M115" s="106" t="n"/>
      <c r="N115" s="106" t="n"/>
      <c r="O115" s="106" t="n"/>
      <c r="P115" s="106" t="n"/>
      <c r="Q115" s="106" t="n"/>
      <c r="R115" s="106" t="n"/>
      <c r="S115" s="106" t="n"/>
      <c r="T115" s="106" t="n"/>
      <c r="U115" s="106" t="n"/>
      <c r="V115" s="106" t="n"/>
      <c r="W115" s="106" t="n"/>
      <c r="X115" s="106" t="n"/>
      <c r="Y115" s="106" t="n"/>
      <c r="Z115" s="106" t="n"/>
    </row>
    <row r="116" ht="15.75" customHeight="1" s="545">
      <c r="A116" s="106" t="n"/>
      <c r="B116" s="106" t="n"/>
      <c r="C116" s="106" t="n"/>
      <c r="D116" s="106" t="n"/>
      <c r="E116" s="106" t="n"/>
      <c r="F116" s="106" t="n"/>
      <c r="G116" s="106" t="n"/>
      <c r="H116" s="106" t="n"/>
      <c r="I116" s="106" t="n"/>
      <c r="J116" s="106" t="n"/>
      <c r="K116" s="106" t="n"/>
      <c r="L116" s="106" t="n"/>
      <c r="M116" s="106" t="n"/>
      <c r="N116" s="106" t="n"/>
      <c r="O116" s="106" t="n"/>
      <c r="P116" s="106" t="n"/>
      <c r="Q116" s="106" t="n"/>
      <c r="R116" s="106" t="n"/>
      <c r="S116" s="106" t="n"/>
      <c r="T116" s="106" t="n"/>
      <c r="U116" s="106" t="n"/>
      <c r="V116" s="106" t="n"/>
      <c r="W116" s="106" t="n"/>
      <c r="X116" s="106" t="n"/>
      <c r="Y116" s="106" t="n"/>
      <c r="Z116" s="106" t="n"/>
    </row>
    <row r="117" ht="15.75" customHeight="1" s="545">
      <c r="A117" s="106" t="n"/>
      <c r="B117" s="106" t="n"/>
      <c r="C117" s="106" t="n"/>
      <c r="D117" s="106" t="n"/>
      <c r="E117" s="106" t="n"/>
      <c r="F117" s="106" t="n"/>
      <c r="G117" s="106" t="n"/>
      <c r="H117" s="106" t="n"/>
      <c r="I117" s="106" t="n"/>
      <c r="J117" s="106" t="n"/>
      <c r="K117" s="106" t="n"/>
      <c r="L117" s="106" t="n"/>
      <c r="M117" s="106" t="n"/>
      <c r="N117" s="106" t="n"/>
      <c r="O117" s="106" t="n"/>
      <c r="P117" s="106" t="n"/>
      <c r="Q117" s="106" t="n"/>
      <c r="R117" s="106" t="n"/>
      <c r="S117" s="106" t="n"/>
      <c r="T117" s="106" t="n"/>
      <c r="U117" s="106" t="n"/>
      <c r="V117" s="106" t="n"/>
      <c r="W117" s="106" t="n"/>
      <c r="X117" s="106" t="n"/>
      <c r="Y117" s="106" t="n"/>
      <c r="Z117" s="106" t="n"/>
    </row>
    <row r="118" ht="15.75" customHeight="1" s="545">
      <c r="A118" s="106" t="n"/>
      <c r="B118" s="106" t="n"/>
      <c r="C118" s="106" t="n"/>
      <c r="D118" s="106" t="n"/>
      <c r="E118" s="106" t="n"/>
      <c r="F118" s="106" t="n"/>
      <c r="G118" s="106" t="n"/>
      <c r="H118" s="106" t="n"/>
      <c r="I118" s="106" t="n"/>
      <c r="J118" s="106" t="n"/>
      <c r="K118" s="106" t="n"/>
      <c r="L118" s="106" t="n"/>
      <c r="M118" s="106" t="n"/>
      <c r="N118" s="106" t="n"/>
      <c r="O118" s="106" t="n"/>
      <c r="P118" s="106" t="n"/>
      <c r="Q118" s="106" t="n"/>
      <c r="R118" s="106" t="n"/>
      <c r="S118" s="106" t="n"/>
      <c r="T118" s="106" t="n"/>
      <c r="U118" s="106" t="n"/>
      <c r="V118" s="106" t="n"/>
      <c r="W118" s="106" t="n"/>
      <c r="X118" s="106" t="n"/>
      <c r="Y118" s="106" t="n"/>
      <c r="Z118" s="106" t="n"/>
    </row>
    <row r="119" ht="15.75" customHeight="1" s="545">
      <c r="A119" s="106" t="n"/>
      <c r="B119" s="106" t="n"/>
      <c r="C119" s="106" t="n"/>
      <c r="D119" s="106" t="n"/>
      <c r="E119" s="106" t="n"/>
      <c r="F119" s="106" t="n"/>
      <c r="G119" s="106" t="n"/>
      <c r="H119" s="106" t="n"/>
      <c r="I119" s="106" t="n"/>
      <c r="J119" s="106" t="n"/>
      <c r="K119" s="106" t="n"/>
      <c r="L119" s="106" t="n"/>
      <c r="M119" s="106" t="n"/>
      <c r="N119" s="106" t="n"/>
      <c r="O119" s="106" t="n"/>
      <c r="P119" s="106" t="n"/>
      <c r="Q119" s="106" t="n"/>
      <c r="R119" s="106" t="n"/>
      <c r="S119" s="106" t="n"/>
      <c r="T119" s="106" t="n"/>
      <c r="U119" s="106" t="n"/>
      <c r="V119" s="106" t="n"/>
      <c r="W119" s="106" t="n"/>
      <c r="X119" s="106" t="n"/>
      <c r="Y119" s="106" t="n"/>
      <c r="Z119" s="106" t="n"/>
    </row>
    <row r="120" ht="15.75" customHeight="1" s="545">
      <c r="A120" s="106" t="n"/>
      <c r="B120" s="106" t="n"/>
      <c r="C120" s="106" t="n"/>
      <c r="D120" s="106" t="n"/>
      <c r="E120" s="106" t="n"/>
      <c r="F120" s="106" t="n"/>
      <c r="G120" s="106" t="n"/>
      <c r="H120" s="106" t="n"/>
      <c r="I120" s="106" t="n"/>
      <c r="J120" s="106" t="n"/>
      <c r="K120" s="106" t="n"/>
      <c r="L120" s="106" t="n"/>
      <c r="M120" s="106" t="n"/>
      <c r="N120" s="106" t="n"/>
      <c r="O120" s="106" t="n"/>
      <c r="P120" s="106" t="n"/>
      <c r="Q120" s="106" t="n"/>
      <c r="R120" s="106" t="n"/>
      <c r="S120" s="106" t="n"/>
      <c r="T120" s="106" t="n"/>
      <c r="U120" s="106" t="n"/>
      <c r="V120" s="106" t="n"/>
      <c r="W120" s="106" t="n"/>
      <c r="X120" s="106" t="n"/>
      <c r="Y120" s="106" t="n"/>
      <c r="Z120" s="106" t="n"/>
    </row>
    <row r="121" ht="15.75" customHeight="1" s="545">
      <c r="A121" s="106" t="n"/>
      <c r="B121" s="106" t="n"/>
      <c r="C121" s="106" t="n"/>
      <c r="D121" s="106" t="n"/>
      <c r="E121" s="106" t="n"/>
      <c r="F121" s="106" t="n"/>
      <c r="G121" s="106" t="n"/>
      <c r="H121" s="106" t="n"/>
      <c r="I121" s="106" t="n"/>
      <c r="J121" s="106" t="n"/>
      <c r="K121" s="106" t="n"/>
      <c r="L121" s="106" t="n"/>
      <c r="M121" s="106" t="n"/>
      <c r="N121" s="106" t="n"/>
      <c r="O121" s="106" t="n"/>
      <c r="P121" s="106" t="n"/>
      <c r="Q121" s="106" t="n"/>
      <c r="R121" s="106" t="n"/>
      <c r="S121" s="106" t="n"/>
      <c r="T121" s="106" t="n"/>
      <c r="U121" s="106" t="n"/>
      <c r="V121" s="106" t="n"/>
      <c r="W121" s="106" t="n"/>
      <c r="X121" s="106" t="n"/>
      <c r="Y121" s="106" t="n"/>
      <c r="Z121" s="106" t="n"/>
    </row>
    <row r="122" ht="15.75" customHeight="1" s="545">
      <c r="A122" s="106" t="n"/>
      <c r="B122" s="106" t="n"/>
      <c r="C122" s="106" t="n"/>
      <c r="D122" s="106" t="n"/>
      <c r="E122" s="106" t="n"/>
      <c r="F122" s="106" t="n"/>
      <c r="G122" s="106" t="n"/>
      <c r="H122" s="106" t="n"/>
      <c r="I122" s="106" t="n"/>
      <c r="J122" s="106" t="n"/>
      <c r="K122" s="106" t="n"/>
      <c r="L122" s="106" t="n"/>
      <c r="M122" s="106" t="n"/>
      <c r="N122" s="106" t="n"/>
      <c r="O122" s="106" t="n"/>
      <c r="P122" s="106" t="n"/>
      <c r="Q122" s="106" t="n"/>
      <c r="R122" s="106" t="n"/>
      <c r="S122" s="106" t="n"/>
      <c r="T122" s="106" t="n"/>
      <c r="U122" s="106" t="n"/>
      <c r="V122" s="106" t="n"/>
      <c r="W122" s="106" t="n"/>
      <c r="X122" s="106" t="n"/>
      <c r="Y122" s="106" t="n"/>
      <c r="Z122" s="106" t="n"/>
    </row>
    <row r="123" ht="15.75" customHeight="1" s="545">
      <c r="A123" s="106" t="n"/>
      <c r="B123" s="106" t="n"/>
      <c r="C123" s="106" t="n"/>
      <c r="D123" s="106" t="n"/>
      <c r="E123" s="106" t="n"/>
      <c r="F123" s="106" t="n"/>
      <c r="G123" s="106" t="n"/>
      <c r="H123" s="106" t="n"/>
      <c r="I123" s="106" t="n"/>
      <c r="J123" s="106" t="n"/>
      <c r="K123" s="106" t="n"/>
      <c r="L123" s="106" t="n"/>
      <c r="M123" s="106" t="n"/>
      <c r="N123" s="106" t="n"/>
      <c r="O123" s="106" t="n"/>
      <c r="P123" s="106" t="n"/>
      <c r="Q123" s="106" t="n"/>
      <c r="R123" s="106" t="n"/>
      <c r="S123" s="106" t="n"/>
      <c r="T123" s="106" t="n"/>
      <c r="U123" s="106" t="n"/>
      <c r="V123" s="106" t="n"/>
      <c r="W123" s="106" t="n"/>
      <c r="X123" s="106" t="n"/>
      <c r="Y123" s="106" t="n"/>
      <c r="Z123" s="106" t="n"/>
    </row>
    <row r="124" ht="15.75" customHeight="1" s="545">
      <c r="A124" s="106" t="n"/>
      <c r="B124" s="106" t="n"/>
      <c r="C124" s="106" t="n"/>
      <c r="D124" s="106" t="n"/>
      <c r="E124" s="106" t="n"/>
      <c r="F124" s="106" t="n"/>
      <c r="G124" s="106" t="n"/>
      <c r="H124" s="106" t="n"/>
      <c r="I124" s="106" t="n"/>
      <c r="J124" s="106" t="n"/>
      <c r="K124" s="106" t="n"/>
      <c r="L124" s="106" t="n"/>
      <c r="M124" s="106" t="n"/>
      <c r="N124" s="106" t="n"/>
      <c r="O124" s="106" t="n"/>
      <c r="P124" s="106" t="n"/>
      <c r="Q124" s="106" t="n"/>
      <c r="R124" s="106" t="n"/>
      <c r="S124" s="106" t="n"/>
      <c r="T124" s="106" t="n"/>
      <c r="U124" s="106" t="n"/>
      <c r="V124" s="106" t="n"/>
      <c r="W124" s="106" t="n"/>
      <c r="X124" s="106" t="n"/>
      <c r="Y124" s="106" t="n"/>
      <c r="Z124" s="106" t="n"/>
    </row>
    <row r="125" ht="15.75" customHeight="1" s="545">
      <c r="A125" s="106" t="n"/>
      <c r="B125" s="106" t="n"/>
      <c r="C125" s="106" t="n"/>
      <c r="D125" s="106" t="n"/>
      <c r="E125" s="106" t="n"/>
      <c r="F125" s="106" t="n"/>
      <c r="G125" s="106" t="n"/>
      <c r="H125" s="106" t="n"/>
      <c r="I125" s="106" t="n"/>
      <c r="J125" s="106" t="n"/>
      <c r="K125" s="106" t="n"/>
      <c r="L125" s="106" t="n"/>
      <c r="M125" s="106" t="n"/>
      <c r="N125" s="106" t="n"/>
      <c r="O125" s="106" t="n"/>
      <c r="P125" s="106" t="n"/>
      <c r="Q125" s="106" t="n"/>
      <c r="R125" s="106" t="n"/>
      <c r="S125" s="106" t="n"/>
      <c r="T125" s="106" t="n"/>
      <c r="U125" s="106" t="n"/>
      <c r="V125" s="106" t="n"/>
      <c r="W125" s="106" t="n"/>
      <c r="X125" s="106" t="n"/>
      <c r="Y125" s="106" t="n"/>
      <c r="Z125" s="106" t="n"/>
    </row>
    <row r="126" ht="15.75" customHeight="1" s="545">
      <c r="A126" s="106" t="n"/>
      <c r="B126" s="106" t="n"/>
      <c r="C126" s="106" t="n"/>
      <c r="D126" s="106" t="n"/>
      <c r="E126" s="106" t="n"/>
      <c r="F126" s="106" t="n"/>
      <c r="G126" s="106" t="n"/>
      <c r="H126" s="106" t="n"/>
      <c r="I126" s="106" t="n"/>
      <c r="J126" s="106" t="n"/>
      <c r="K126" s="106" t="n"/>
      <c r="L126" s="106" t="n"/>
      <c r="M126" s="106" t="n"/>
      <c r="N126" s="106" t="n"/>
      <c r="O126" s="106" t="n"/>
      <c r="P126" s="106" t="n"/>
      <c r="Q126" s="106" t="n"/>
      <c r="R126" s="106" t="n"/>
      <c r="S126" s="106" t="n"/>
      <c r="T126" s="106" t="n"/>
      <c r="U126" s="106" t="n"/>
      <c r="V126" s="106" t="n"/>
      <c r="W126" s="106" t="n"/>
      <c r="X126" s="106" t="n"/>
      <c r="Y126" s="106" t="n"/>
      <c r="Z126" s="106" t="n"/>
    </row>
    <row r="127" ht="15.75" customHeight="1" s="545">
      <c r="A127" s="106" t="n"/>
      <c r="B127" s="106" t="n"/>
      <c r="C127" s="106" t="n"/>
      <c r="D127" s="106" t="n"/>
      <c r="E127" s="106" t="n"/>
      <c r="F127" s="106" t="n"/>
      <c r="G127" s="106" t="n"/>
      <c r="H127" s="106" t="n"/>
      <c r="I127" s="106" t="n"/>
      <c r="J127" s="106" t="n"/>
      <c r="K127" s="106" t="n"/>
      <c r="L127" s="106" t="n"/>
      <c r="M127" s="106" t="n"/>
      <c r="N127" s="106" t="n"/>
      <c r="O127" s="106" t="n"/>
      <c r="P127" s="106" t="n"/>
      <c r="Q127" s="106" t="n"/>
      <c r="R127" s="106" t="n"/>
      <c r="S127" s="106" t="n"/>
      <c r="T127" s="106" t="n"/>
      <c r="U127" s="106" t="n"/>
      <c r="V127" s="106" t="n"/>
      <c r="W127" s="106" t="n"/>
      <c r="X127" s="106" t="n"/>
      <c r="Y127" s="106" t="n"/>
      <c r="Z127" s="106" t="n"/>
    </row>
    <row r="128" ht="15.75" customHeight="1" s="545">
      <c r="A128" s="106" t="n"/>
      <c r="B128" s="106" t="n"/>
      <c r="C128" s="106" t="n"/>
      <c r="D128" s="106" t="n"/>
      <c r="E128" s="106" t="n"/>
      <c r="F128" s="106" t="n"/>
      <c r="G128" s="106" t="n"/>
      <c r="H128" s="106" t="n"/>
      <c r="I128" s="106" t="n"/>
      <c r="J128" s="106" t="n"/>
      <c r="K128" s="106" t="n"/>
      <c r="L128" s="106" t="n"/>
      <c r="M128" s="106" t="n"/>
      <c r="N128" s="106" t="n"/>
      <c r="O128" s="106" t="n"/>
      <c r="P128" s="106" t="n"/>
      <c r="Q128" s="106" t="n"/>
      <c r="R128" s="106" t="n"/>
      <c r="S128" s="106" t="n"/>
      <c r="T128" s="106" t="n"/>
      <c r="U128" s="106" t="n"/>
      <c r="V128" s="106" t="n"/>
      <c r="W128" s="106" t="n"/>
      <c r="X128" s="106" t="n"/>
      <c r="Y128" s="106" t="n"/>
      <c r="Z128" s="106" t="n"/>
    </row>
    <row r="129" ht="15.75" customHeight="1" s="545">
      <c r="A129" s="106" t="n"/>
      <c r="B129" s="106" t="n"/>
      <c r="C129" s="106" t="n"/>
      <c r="D129" s="106" t="n"/>
      <c r="E129" s="106" t="n"/>
      <c r="F129" s="106" t="n"/>
      <c r="G129" s="106" t="n"/>
      <c r="H129" s="106" t="n"/>
      <c r="I129" s="106" t="n"/>
      <c r="J129" s="106" t="n"/>
      <c r="K129" s="106" t="n"/>
      <c r="L129" s="106" t="n"/>
      <c r="M129" s="106" t="n"/>
      <c r="N129" s="106" t="n"/>
      <c r="O129" s="106" t="n"/>
      <c r="P129" s="106" t="n"/>
      <c r="Q129" s="106" t="n"/>
      <c r="R129" s="106" t="n"/>
      <c r="S129" s="106" t="n"/>
      <c r="T129" s="106" t="n"/>
      <c r="U129" s="106" t="n"/>
      <c r="V129" s="106" t="n"/>
      <c r="W129" s="106" t="n"/>
      <c r="X129" s="106" t="n"/>
      <c r="Y129" s="106" t="n"/>
      <c r="Z129" s="106" t="n"/>
    </row>
    <row r="130" ht="15.75" customHeight="1" s="545">
      <c r="A130" s="106" t="n"/>
      <c r="B130" s="106" t="n"/>
      <c r="C130" s="106" t="n"/>
      <c r="D130" s="106" t="n"/>
      <c r="E130" s="106" t="n"/>
      <c r="F130" s="106" t="n"/>
      <c r="G130" s="106" t="n"/>
      <c r="H130" s="106" t="n"/>
      <c r="I130" s="106" t="n"/>
      <c r="J130" s="106" t="n"/>
      <c r="K130" s="106" t="n"/>
      <c r="L130" s="106" t="n"/>
      <c r="M130" s="106" t="n"/>
      <c r="N130" s="106" t="n"/>
      <c r="O130" s="106" t="n"/>
      <c r="P130" s="106" t="n"/>
      <c r="Q130" s="106" t="n"/>
      <c r="R130" s="106" t="n"/>
      <c r="S130" s="106" t="n"/>
      <c r="T130" s="106" t="n"/>
      <c r="U130" s="106" t="n"/>
      <c r="V130" s="106" t="n"/>
      <c r="W130" s="106" t="n"/>
      <c r="X130" s="106" t="n"/>
      <c r="Y130" s="106" t="n"/>
      <c r="Z130" s="106" t="n"/>
    </row>
    <row r="131" ht="15.75" customHeight="1" s="545">
      <c r="A131" s="106" t="n"/>
      <c r="B131" s="106" t="n"/>
      <c r="C131" s="106" t="n"/>
      <c r="D131" s="106" t="n"/>
      <c r="E131" s="106" t="n"/>
      <c r="F131" s="106" t="n"/>
      <c r="G131" s="106" t="n"/>
      <c r="H131" s="106" t="n"/>
      <c r="I131" s="106" t="n"/>
      <c r="J131" s="106" t="n"/>
      <c r="K131" s="106" t="n"/>
      <c r="L131" s="106" t="n"/>
      <c r="M131" s="106" t="n"/>
      <c r="N131" s="106" t="n"/>
      <c r="O131" s="106" t="n"/>
      <c r="P131" s="106" t="n"/>
      <c r="Q131" s="106" t="n"/>
      <c r="R131" s="106" t="n"/>
      <c r="S131" s="106" t="n"/>
      <c r="T131" s="106" t="n"/>
      <c r="U131" s="106" t="n"/>
      <c r="V131" s="106" t="n"/>
      <c r="W131" s="106" t="n"/>
      <c r="X131" s="106" t="n"/>
      <c r="Y131" s="106" t="n"/>
      <c r="Z131" s="106" t="n"/>
    </row>
    <row r="132" ht="15.75" customHeight="1" s="545">
      <c r="A132" s="106" t="n"/>
      <c r="B132" s="106" t="n"/>
      <c r="C132" s="106" t="n"/>
      <c r="D132" s="106" t="n"/>
      <c r="E132" s="106" t="n"/>
      <c r="F132" s="106" t="n"/>
      <c r="G132" s="106" t="n"/>
      <c r="H132" s="106" t="n"/>
      <c r="I132" s="106" t="n"/>
      <c r="J132" s="106" t="n"/>
      <c r="K132" s="106" t="n"/>
      <c r="L132" s="106" t="n"/>
      <c r="M132" s="106" t="n"/>
      <c r="N132" s="106" t="n"/>
      <c r="O132" s="106" t="n"/>
      <c r="P132" s="106" t="n"/>
      <c r="Q132" s="106" t="n"/>
      <c r="R132" s="106" t="n"/>
      <c r="S132" s="106" t="n"/>
      <c r="T132" s="106" t="n"/>
      <c r="U132" s="106" t="n"/>
      <c r="V132" s="106" t="n"/>
      <c r="W132" s="106" t="n"/>
      <c r="X132" s="106" t="n"/>
      <c r="Y132" s="106" t="n"/>
      <c r="Z132" s="106" t="n"/>
    </row>
    <row r="133" ht="15.75" customHeight="1" s="545">
      <c r="A133" s="106" t="n"/>
      <c r="B133" s="106" t="n"/>
      <c r="C133" s="106" t="n"/>
      <c r="D133" s="106" t="n"/>
      <c r="E133" s="106" t="n"/>
      <c r="F133" s="106" t="n"/>
      <c r="G133" s="106" t="n"/>
      <c r="H133" s="106" t="n"/>
      <c r="I133" s="106" t="n"/>
      <c r="J133" s="106" t="n"/>
      <c r="K133" s="106" t="n"/>
      <c r="L133" s="106" t="n"/>
      <c r="M133" s="106" t="n"/>
      <c r="N133" s="106" t="n"/>
      <c r="O133" s="106" t="n"/>
      <c r="P133" s="106" t="n"/>
      <c r="Q133" s="106" t="n"/>
      <c r="R133" s="106" t="n"/>
      <c r="S133" s="106" t="n"/>
      <c r="T133" s="106" t="n"/>
      <c r="U133" s="106" t="n"/>
      <c r="V133" s="106" t="n"/>
      <c r="W133" s="106" t="n"/>
      <c r="X133" s="106" t="n"/>
      <c r="Y133" s="106" t="n"/>
      <c r="Z133" s="106" t="n"/>
    </row>
    <row r="134" ht="15.75" customHeight="1" s="545">
      <c r="A134" s="106" t="n"/>
      <c r="B134" s="106" t="n"/>
      <c r="C134" s="106" t="n"/>
      <c r="D134" s="106" t="n"/>
      <c r="E134" s="106" t="n"/>
      <c r="F134" s="106" t="n"/>
      <c r="G134" s="106" t="n"/>
      <c r="H134" s="106" t="n"/>
      <c r="I134" s="106" t="n"/>
      <c r="J134" s="106" t="n"/>
      <c r="K134" s="106" t="n"/>
      <c r="L134" s="106" t="n"/>
      <c r="M134" s="106" t="n"/>
      <c r="N134" s="106" t="n"/>
      <c r="O134" s="106" t="n"/>
      <c r="P134" s="106" t="n"/>
      <c r="Q134" s="106" t="n"/>
      <c r="R134" s="106" t="n"/>
      <c r="S134" s="106" t="n"/>
      <c r="T134" s="106" t="n"/>
      <c r="U134" s="106" t="n"/>
      <c r="V134" s="106" t="n"/>
      <c r="W134" s="106" t="n"/>
      <c r="X134" s="106" t="n"/>
      <c r="Y134" s="106" t="n"/>
      <c r="Z134" s="106" t="n"/>
    </row>
    <row r="135" ht="15.75" customHeight="1" s="545">
      <c r="A135" s="106" t="n"/>
      <c r="B135" s="106" t="n"/>
      <c r="C135" s="106" t="n"/>
      <c r="D135" s="106" t="n"/>
      <c r="E135" s="106" t="n"/>
      <c r="F135" s="106" t="n"/>
      <c r="G135" s="106" t="n"/>
      <c r="H135" s="106" t="n"/>
      <c r="I135" s="106" t="n"/>
      <c r="J135" s="106" t="n"/>
      <c r="K135" s="106" t="n"/>
      <c r="L135" s="106" t="n"/>
      <c r="M135" s="106" t="n"/>
      <c r="N135" s="106" t="n"/>
      <c r="O135" s="106" t="n"/>
      <c r="P135" s="106" t="n"/>
      <c r="Q135" s="106" t="n"/>
      <c r="R135" s="106" t="n"/>
      <c r="S135" s="106" t="n"/>
      <c r="T135" s="106" t="n"/>
      <c r="U135" s="106" t="n"/>
      <c r="V135" s="106" t="n"/>
      <c r="W135" s="106" t="n"/>
      <c r="X135" s="106" t="n"/>
      <c r="Y135" s="106" t="n"/>
      <c r="Z135" s="106" t="n"/>
    </row>
    <row r="136" ht="15.75" customHeight="1" s="545">
      <c r="A136" s="106" t="n"/>
      <c r="B136" s="106" t="n"/>
      <c r="C136" s="106" t="n"/>
      <c r="D136" s="106" t="n"/>
      <c r="E136" s="106" t="n"/>
      <c r="F136" s="106" t="n"/>
      <c r="G136" s="106" t="n"/>
      <c r="H136" s="106" t="n"/>
      <c r="I136" s="106" t="n"/>
      <c r="J136" s="106" t="n"/>
      <c r="K136" s="106" t="n"/>
      <c r="L136" s="106" t="n"/>
      <c r="M136" s="106" t="n"/>
      <c r="N136" s="106" t="n"/>
      <c r="O136" s="106" t="n"/>
      <c r="P136" s="106" t="n"/>
      <c r="Q136" s="106" t="n"/>
      <c r="R136" s="106" t="n"/>
      <c r="S136" s="106" t="n"/>
      <c r="T136" s="106" t="n"/>
      <c r="U136" s="106" t="n"/>
      <c r="V136" s="106" t="n"/>
      <c r="W136" s="106" t="n"/>
      <c r="X136" s="106" t="n"/>
      <c r="Y136" s="106" t="n"/>
      <c r="Z136" s="106" t="n"/>
    </row>
    <row r="137" ht="15.75" customHeight="1" s="545">
      <c r="A137" s="106" t="n"/>
      <c r="B137" s="106" t="n"/>
      <c r="C137" s="106" t="n"/>
      <c r="D137" s="106" t="n"/>
      <c r="E137" s="106" t="n"/>
      <c r="F137" s="106" t="n"/>
      <c r="G137" s="106" t="n"/>
      <c r="H137" s="106" t="n"/>
      <c r="I137" s="106" t="n"/>
      <c r="J137" s="106" t="n"/>
      <c r="K137" s="106" t="n"/>
      <c r="L137" s="106" t="n"/>
      <c r="M137" s="106" t="n"/>
      <c r="N137" s="106" t="n"/>
      <c r="O137" s="106" t="n"/>
      <c r="P137" s="106" t="n"/>
      <c r="Q137" s="106" t="n"/>
      <c r="R137" s="106" t="n"/>
      <c r="S137" s="106" t="n"/>
      <c r="T137" s="106" t="n"/>
      <c r="U137" s="106" t="n"/>
      <c r="V137" s="106" t="n"/>
      <c r="W137" s="106" t="n"/>
      <c r="X137" s="106" t="n"/>
      <c r="Y137" s="106" t="n"/>
      <c r="Z137" s="106" t="n"/>
    </row>
    <row r="138" ht="15.75" customHeight="1" s="545">
      <c r="A138" s="106" t="n"/>
      <c r="B138" s="106" t="n"/>
      <c r="C138" s="106" t="n"/>
      <c r="D138" s="106" t="n"/>
      <c r="E138" s="106" t="n"/>
      <c r="F138" s="106" t="n"/>
      <c r="G138" s="106" t="n"/>
      <c r="H138" s="106" t="n"/>
      <c r="I138" s="106" t="n"/>
      <c r="J138" s="106" t="n"/>
      <c r="K138" s="106" t="n"/>
      <c r="L138" s="106" t="n"/>
      <c r="M138" s="106" t="n"/>
      <c r="N138" s="106" t="n"/>
      <c r="O138" s="106" t="n"/>
      <c r="P138" s="106" t="n"/>
      <c r="Q138" s="106" t="n"/>
      <c r="R138" s="106" t="n"/>
      <c r="S138" s="106" t="n"/>
      <c r="T138" s="106" t="n"/>
      <c r="U138" s="106" t="n"/>
      <c r="V138" s="106" t="n"/>
      <c r="W138" s="106" t="n"/>
      <c r="X138" s="106" t="n"/>
      <c r="Y138" s="106" t="n"/>
      <c r="Z138" s="106" t="n"/>
    </row>
    <row r="139" ht="15.75" customHeight="1" s="545">
      <c r="A139" s="106" t="n"/>
      <c r="B139" s="106" t="n"/>
      <c r="C139" s="106" t="n"/>
      <c r="D139" s="106" t="n"/>
      <c r="E139" s="106" t="n"/>
      <c r="F139" s="106" t="n"/>
      <c r="G139" s="106" t="n"/>
      <c r="H139" s="106" t="n"/>
      <c r="I139" s="106" t="n"/>
      <c r="J139" s="106" t="n"/>
      <c r="K139" s="106" t="n"/>
      <c r="L139" s="106" t="n"/>
      <c r="M139" s="106" t="n"/>
      <c r="N139" s="106" t="n"/>
      <c r="O139" s="106" t="n"/>
      <c r="P139" s="106" t="n"/>
      <c r="Q139" s="106" t="n"/>
      <c r="R139" s="106" t="n"/>
      <c r="S139" s="106" t="n"/>
      <c r="T139" s="106" t="n"/>
      <c r="U139" s="106" t="n"/>
      <c r="V139" s="106" t="n"/>
      <c r="W139" s="106" t="n"/>
      <c r="X139" s="106" t="n"/>
      <c r="Y139" s="106" t="n"/>
      <c r="Z139" s="106" t="n"/>
    </row>
    <row r="140" ht="15.75" customHeight="1" s="545">
      <c r="A140" s="106" t="n"/>
      <c r="B140" s="106" t="n"/>
      <c r="C140" s="106" t="n"/>
      <c r="D140" s="106" t="n"/>
      <c r="E140" s="106" t="n"/>
      <c r="F140" s="106" t="n"/>
      <c r="G140" s="106" t="n"/>
      <c r="H140" s="106" t="n"/>
      <c r="I140" s="106" t="n"/>
      <c r="J140" s="106" t="n"/>
      <c r="K140" s="106" t="n"/>
      <c r="L140" s="106" t="n"/>
      <c r="M140" s="106" t="n"/>
      <c r="N140" s="106" t="n"/>
      <c r="O140" s="106" t="n"/>
      <c r="P140" s="106" t="n"/>
      <c r="Q140" s="106" t="n"/>
      <c r="R140" s="106" t="n"/>
      <c r="S140" s="106" t="n"/>
      <c r="T140" s="106" t="n"/>
      <c r="U140" s="106" t="n"/>
      <c r="V140" s="106" t="n"/>
      <c r="W140" s="106" t="n"/>
      <c r="X140" s="106" t="n"/>
      <c r="Y140" s="106" t="n"/>
      <c r="Z140" s="106" t="n"/>
    </row>
    <row r="141" ht="15.75" customHeight="1" s="545">
      <c r="A141" s="106" t="n"/>
      <c r="B141" s="106" t="n"/>
      <c r="C141" s="106" t="n"/>
      <c r="D141" s="106" t="n"/>
      <c r="E141" s="106" t="n"/>
      <c r="F141" s="106" t="n"/>
      <c r="G141" s="106" t="n"/>
      <c r="H141" s="106" t="n"/>
      <c r="I141" s="106" t="n"/>
      <c r="J141" s="106" t="n"/>
      <c r="K141" s="106" t="n"/>
      <c r="L141" s="106" t="n"/>
      <c r="M141" s="106" t="n"/>
      <c r="N141" s="106" t="n"/>
      <c r="O141" s="106" t="n"/>
      <c r="P141" s="106" t="n"/>
      <c r="Q141" s="106" t="n"/>
      <c r="R141" s="106" t="n"/>
      <c r="S141" s="106" t="n"/>
      <c r="T141" s="106" t="n"/>
      <c r="U141" s="106" t="n"/>
      <c r="V141" s="106" t="n"/>
      <c r="W141" s="106" t="n"/>
      <c r="X141" s="106" t="n"/>
      <c r="Y141" s="106" t="n"/>
      <c r="Z141" s="106" t="n"/>
    </row>
    <row r="142" ht="15.75" customHeight="1" s="545">
      <c r="A142" s="106" t="n"/>
      <c r="B142" s="106" t="n"/>
      <c r="C142" s="106" t="n"/>
      <c r="D142" s="106" t="n"/>
      <c r="E142" s="106" t="n"/>
      <c r="F142" s="106" t="n"/>
      <c r="G142" s="106" t="n"/>
      <c r="H142" s="106" t="n"/>
      <c r="I142" s="106" t="n"/>
      <c r="J142" s="106" t="n"/>
      <c r="K142" s="106" t="n"/>
      <c r="L142" s="106" t="n"/>
      <c r="M142" s="106" t="n"/>
      <c r="N142" s="106" t="n"/>
      <c r="O142" s="106" t="n"/>
      <c r="P142" s="106" t="n"/>
      <c r="Q142" s="106" t="n"/>
      <c r="R142" s="106" t="n"/>
      <c r="S142" s="106" t="n"/>
      <c r="T142" s="106" t="n"/>
      <c r="U142" s="106" t="n"/>
      <c r="V142" s="106" t="n"/>
      <c r="W142" s="106" t="n"/>
      <c r="X142" s="106" t="n"/>
      <c r="Y142" s="106" t="n"/>
      <c r="Z142" s="106" t="n"/>
    </row>
    <row r="143" ht="15.75" customHeight="1" s="545">
      <c r="A143" s="106" t="n"/>
      <c r="B143" s="106" t="n"/>
      <c r="C143" s="106" t="n"/>
      <c r="D143" s="106" t="n"/>
      <c r="E143" s="106" t="n"/>
      <c r="F143" s="106" t="n"/>
      <c r="G143" s="106" t="n"/>
      <c r="H143" s="106" t="n"/>
      <c r="I143" s="106" t="n"/>
      <c r="J143" s="106" t="n"/>
      <c r="K143" s="106" t="n"/>
      <c r="L143" s="106" t="n"/>
      <c r="M143" s="106" t="n"/>
      <c r="N143" s="106" t="n"/>
      <c r="O143" s="106" t="n"/>
      <c r="P143" s="106" t="n"/>
      <c r="Q143" s="106" t="n"/>
      <c r="R143" s="106" t="n"/>
      <c r="S143" s="106" t="n"/>
      <c r="T143" s="106" t="n"/>
      <c r="U143" s="106" t="n"/>
      <c r="V143" s="106" t="n"/>
      <c r="W143" s="106" t="n"/>
      <c r="X143" s="106" t="n"/>
      <c r="Y143" s="106" t="n"/>
      <c r="Z143" s="106" t="n"/>
    </row>
    <row r="144" ht="15.75" customHeight="1" s="545">
      <c r="A144" s="106" t="n"/>
      <c r="B144" s="106" t="n"/>
      <c r="C144" s="106" t="n"/>
      <c r="D144" s="106" t="n"/>
      <c r="E144" s="106" t="n"/>
      <c r="F144" s="106" t="n"/>
      <c r="G144" s="106" t="n"/>
      <c r="H144" s="106" t="n"/>
      <c r="I144" s="106" t="n"/>
      <c r="J144" s="106" t="n"/>
      <c r="K144" s="106" t="n"/>
      <c r="L144" s="106" t="n"/>
      <c r="M144" s="106" t="n"/>
      <c r="N144" s="106" t="n"/>
      <c r="O144" s="106" t="n"/>
      <c r="P144" s="106" t="n"/>
      <c r="Q144" s="106" t="n"/>
      <c r="R144" s="106" t="n"/>
      <c r="S144" s="106" t="n"/>
      <c r="T144" s="106" t="n"/>
      <c r="U144" s="106" t="n"/>
      <c r="V144" s="106" t="n"/>
      <c r="W144" s="106" t="n"/>
      <c r="X144" s="106" t="n"/>
      <c r="Y144" s="106" t="n"/>
      <c r="Z144" s="106" t="n"/>
    </row>
    <row r="145" ht="15.75" customHeight="1" s="545">
      <c r="A145" s="106" t="n"/>
      <c r="B145" s="106" t="n"/>
      <c r="C145" s="106" t="n"/>
      <c r="D145" s="106" t="n"/>
      <c r="E145" s="106" t="n"/>
      <c r="F145" s="106" t="n"/>
      <c r="G145" s="106" t="n"/>
      <c r="H145" s="106" t="n"/>
      <c r="I145" s="106" t="n"/>
      <c r="J145" s="106" t="n"/>
      <c r="K145" s="106" t="n"/>
      <c r="L145" s="106" t="n"/>
      <c r="M145" s="106" t="n"/>
      <c r="N145" s="106" t="n"/>
      <c r="O145" s="106" t="n"/>
      <c r="P145" s="106" t="n"/>
      <c r="Q145" s="106" t="n"/>
      <c r="R145" s="106" t="n"/>
      <c r="S145" s="106" t="n"/>
      <c r="T145" s="106" t="n"/>
      <c r="U145" s="106" t="n"/>
      <c r="V145" s="106" t="n"/>
      <c r="W145" s="106" t="n"/>
      <c r="X145" s="106" t="n"/>
      <c r="Y145" s="106" t="n"/>
      <c r="Z145" s="106" t="n"/>
    </row>
    <row r="146" ht="15.75" customHeight="1" s="545">
      <c r="A146" s="106" t="n"/>
      <c r="B146" s="106" t="n"/>
      <c r="C146" s="106" t="n"/>
      <c r="D146" s="106" t="n"/>
      <c r="E146" s="106" t="n"/>
      <c r="F146" s="106" t="n"/>
      <c r="G146" s="106" t="n"/>
      <c r="H146" s="106" t="n"/>
      <c r="I146" s="106" t="n"/>
      <c r="J146" s="106" t="n"/>
      <c r="K146" s="106" t="n"/>
      <c r="L146" s="106" t="n"/>
      <c r="M146" s="106" t="n"/>
      <c r="N146" s="106" t="n"/>
      <c r="O146" s="106" t="n"/>
      <c r="P146" s="106" t="n"/>
      <c r="Q146" s="106" t="n"/>
      <c r="R146" s="106" t="n"/>
      <c r="S146" s="106" t="n"/>
      <c r="T146" s="106" t="n"/>
      <c r="U146" s="106" t="n"/>
      <c r="V146" s="106" t="n"/>
      <c r="W146" s="106" t="n"/>
      <c r="X146" s="106" t="n"/>
      <c r="Y146" s="106" t="n"/>
      <c r="Z146" s="106" t="n"/>
    </row>
    <row r="147" ht="15.75" customHeight="1" s="545">
      <c r="A147" s="106" t="n"/>
      <c r="B147" s="106" t="n"/>
      <c r="C147" s="106" t="n"/>
      <c r="D147" s="106" t="n"/>
      <c r="E147" s="106" t="n"/>
      <c r="F147" s="106" t="n"/>
      <c r="G147" s="106" t="n"/>
      <c r="H147" s="106" t="n"/>
      <c r="I147" s="106" t="n"/>
      <c r="J147" s="106" t="n"/>
      <c r="K147" s="106" t="n"/>
      <c r="L147" s="106" t="n"/>
      <c r="M147" s="106" t="n"/>
      <c r="N147" s="106" t="n"/>
      <c r="O147" s="106" t="n"/>
      <c r="P147" s="106" t="n"/>
      <c r="Q147" s="106" t="n"/>
      <c r="R147" s="106" t="n"/>
      <c r="S147" s="106" t="n"/>
      <c r="T147" s="106" t="n"/>
      <c r="U147" s="106" t="n"/>
      <c r="V147" s="106" t="n"/>
      <c r="W147" s="106" t="n"/>
      <c r="X147" s="106" t="n"/>
      <c r="Y147" s="106" t="n"/>
      <c r="Z147" s="106" t="n"/>
    </row>
    <row r="148" ht="15.75" customHeight="1" s="545">
      <c r="A148" s="106" t="n"/>
      <c r="B148" s="106" t="n"/>
      <c r="C148" s="106" t="n"/>
      <c r="D148" s="106" t="n"/>
      <c r="E148" s="106" t="n"/>
      <c r="F148" s="106" t="n"/>
      <c r="G148" s="106" t="n"/>
      <c r="H148" s="106" t="n"/>
      <c r="I148" s="106" t="n"/>
      <c r="J148" s="106" t="n"/>
      <c r="K148" s="106" t="n"/>
      <c r="L148" s="106" t="n"/>
      <c r="M148" s="106" t="n"/>
      <c r="N148" s="106" t="n"/>
      <c r="O148" s="106" t="n"/>
      <c r="P148" s="106" t="n"/>
      <c r="Q148" s="106" t="n"/>
      <c r="R148" s="106" t="n"/>
      <c r="S148" s="106" t="n"/>
      <c r="T148" s="106" t="n"/>
      <c r="U148" s="106" t="n"/>
      <c r="V148" s="106" t="n"/>
      <c r="W148" s="106" t="n"/>
      <c r="X148" s="106" t="n"/>
      <c r="Y148" s="106" t="n"/>
      <c r="Z148" s="106" t="n"/>
    </row>
    <row r="149" ht="15.75" customHeight="1" s="545">
      <c r="A149" s="106" t="n"/>
      <c r="B149" s="106" t="n"/>
      <c r="C149" s="106" t="n"/>
      <c r="D149" s="106" t="n"/>
      <c r="E149" s="106" t="n"/>
      <c r="F149" s="106" t="n"/>
      <c r="G149" s="106" t="n"/>
      <c r="H149" s="106" t="n"/>
      <c r="I149" s="106" t="n"/>
      <c r="J149" s="106" t="n"/>
      <c r="K149" s="106" t="n"/>
      <c r="L149" s="106" t="n"/>
      <c r="M149" s="106" t="n"/>
      <c r="N149" s="106" t="n"/>
      <c r="O149" s="106" t="n"/>
      <c r="P149" s="106" t="n"/>
      <c r="Q149" s="106" t="n"/>
      <c r="R149" s="106" t="n"/>
      <c r="S149" s="106" t="n"/>
      <c r="T149" s="106" t="n"/>
      <c r="U149" s="106" t="n"/>
      <c r="V149" s="106" t="n"/>
      <c r="W149" s="106" t="n"/>
      <c r="X149" s="106" t="n"/>
      <c r="Y149" s="106" t="n"/>
      <c r="Z149" s="106" t="n"/>
    </row>
    <row r="150" ht="15.75" customHeight="1" s="545">
      <c r="A150" s="106" t="n"/>
      <c r="B150" s="106" t="n"/>
      <c r="C150" s="106" t="n"/>
      <c r="D150" s="106" t="n"/>
      <c r="E150" s="106" t="n"/>
      <c r="F150" s="106" t="n"/>
      <c r="G150" s="106" t="n"/>
      <c r="H150" s="106" t="n"/>
      <c r="I150" s="106" t="n"/>
      <c r="J150" s="106" t="n"/>
      <c r="K150" s="106" t="n"/>
      <c r="L150" s="106" t="n"/>
      <c r="M150" s="106" t="n"/>
      <c r="N150" s="106" t="n"/>
      <c r="O150" s="106" t="n"/>
      <c r="P150" s="106" t="n"/>
      <c r="Q150" s="106" t="n"/>
      <c r="R150" s="106" t="n"/>
      <c r="S150" s="106" t="n"/>
      <c r="T150" s="106" t="n"/>
      <c r="U150" s="106" t="n"/>
      <c r="V150" s="106" t="n"/>
      <c r="W150" s="106" t="n"/>
      <c r="X150" s="106" t="n"/>
      <c r="Y150" s="106" t="n"/>
      <c r="Z150" s="106" t="n"/>
    </row>
    <row r="151" ht="15.75" customHeight="1" s="545">
      <c r="A151" s="106" t="n"/>
      <c r="B151" s="106" t="n"/>
      <c r="C151" s="106" t="n"/>
      <c r="D151" s="106" t="n"/>
      <c r="E151" s="106" t="n"/>
      <c r="F151" s="106" t="n"/>
      <c r="G151" s="106" t="n"/>
      <c r="H151" s="106" t="n"/>
      <c r="I151" s="106" t="n"/>
      <c r="J151" s="106" t="n"/>
      <c r="K151" s="106" t="n"/>
      <c r="L151" s="106" t="n"/>
      <c r="M151" s="106" t="n"/>
      <c r="N151" s="106" t="n"/>
      <c r="O151" s="106" t="n"/>
      <c r="P151" s="106" t="n"/>
      <c r="Q151" s="106" t="n"/>
      <c r="R151" s="106" t="n"/>
      <c r="S151" s="106" t="n"/>
      <c r="T151" s="106" t="n"/>
      <c r="U151" s="106" t="n"/>
      <c r="V151" s="106" t="n"/>
      <c r="W151" s="106" t="n"/>
      <c r="X151" s="106" t="n"/>
      <c r="Y151" s="106" t="n"/>
      <c r="Z151" s="106" t="n"/>
    </row>
    <row r="152" ht="15.75" customHeight="1" s="545">
      <c r="A152" s="106" t="n"/>
      <c r="B152" s="106" t="n"/>
      <c r="C152" s="106" t="n"/>
      <c r="D152" s="106" t="n"/>
      <c r="E152" s="106" t="n"/>
      <c r="F152" s="106" t="n"/>
      <c r="G152" s="106" t="n"/>
      <c r="H152" s="106" t="n"/>
      <c r="I152" s="106" t="n"/>
      <c r="J152" s="106" t="n"/>
      <c r="K152" s="106" t="n"/>
      <c r="L152" s="106" t="n"/>
      <c r="M152" s="106" t="n"/>
      <c r="N152" s="106" t="n"/>
      <c r="O152" s="106" t="n"/>
      <c r="P152" s="106" t="n"/>
      <c r="Q152" s="106" t="n"/>
      <c r="R152" s="106" t="n"/>
      <c r="S152" s="106" t="n"/>
      <c r="T152" s="106" t="n"/>
      <c r="U152" s="106" t="n"/>
      <c r="V152" s="106" t="n"/>
      <c r="W152" s="106" t="n"/>
      <c r="X152" s="106" t="n"/>
      <c r="Y152" s="106" t="n"/>
      <c r="Z152" s="106" t="n"/>
    </row>
    <row r="153" ht="15.75" customHeight="1" s="545">
      <c r="A153" s="106" t="n"/>
      <c r="B153" s="106" t="n"/>
      <c r="C153" s="106" t="n"/>
      <c r="D153" s="106" t="n"/>
      <c r="E153" s="106" t="n"/>
      <c r="F153" s="106" t="n"/>
      <c r="G153" s="106" t="n"/>
      <c r="H153" s="106" t="n"/>
      <c r="I153" s="106" t="n"/>
      <c r="J153" s="106" t="n"/>
      <c r="K153" s="106" t="n"/>
      <c r="L153" s="106" t="n"/>
      <c r="M153" s="106" t="n"/>
      <c r="N153" s="106" t="n"/>
      <c r="O153" s="106" t="n"/>
      <c r="P153" s="106" t="n"/>
      <c r="Q153" s="106" t="n"/>
      <c r="R153" s="106" t="n"/>
      <c r="S153" s="106" t="n"/>
      <c r="T153" s="106" t="n"/>
      <c r="U153" s="106" t="n"/>
      <c r="V153" s="106" t="n"/>
      <c r="W153" s="106" t="n"/>
      <c r="X153" s="106" t="n"/>
      <c r="Y153" s="106" t="n"/>
      <c r="Z153" s="106" t="n"/>
    </row>
    <row r="154" ht="15.75" customHeight="1" s="545">
      <c r="A154" s="106" t="n"/>
      <c r="B154" s="106" t="n"/>
      <c r="C154" s="106" t="n"/>
      <c r="D154" s="106" t="n"/>
      <c r="E154" s="106" t="n"/>
      <c r="F154" s="106" t="n"/>
      <c r="G154" s="106" t="n"/>
      <c r="H154" s="106" t="n"/>
      <c r="I154" s="106" t="n"/>
      <c r="J154" s="106" t="n"/>
      <c r="K154" s="106" t="n"/>
      <c r="L154" s="106" t="n"/>
      <c r="M154" s="106" t="n"/>
      <c r="N154" s="106" t="n"/>
      <c r="O154" s="106" t="n"/>
      <c r="P154" s="106" t="n"/>
      <c r="Q154" s="106" t="n"/>
      <c r="R154" s="106" t="n"/>
      <c r="S154" s="106" t="n"/>
      <c r="T154" s="106" t="n"/>
      <c r="U154" s="106" t="n"/>
      <c r="V154" s="106" t="n"/>
      <c r="W154" s="106" t="n"/>
      <c r="X154" s="106" t="n"/>
      <c r="Y154" s="106" t="n"/>
      <c r="Z154" s="106" t="n"/>
    </row>
    <row r="155" ht="15.75" customHeight="1" s="545">
      <c r="A155" s="106" t="n"/>
      <c r="B155" s="106" t="n"/>
      <c r="C155" s="106" t="n"/>
      <c r="D155" s="106" t="n"/>
      <c r="E155" s="106" t="n"/>
      <c r="F155" s="106" t="n"/>
      <c r="G155" s="106" t="n"/>
      <c r="H155" s="106" t="n"/>
      <c r="I155" s="106" t="n"/>
      <c r="J155" s="106" t="n"/>
      <c r="K155" s="106" t="n"/>
      <c r="L155" s="106" t="n"/>
      <c r="M155" s="106" t="n"/>
      <c r="N155" s="106" t="n"/>
      <c r="O155" s="106" t="n"/>
      <c r="P155" s="106" t="n"/>
      <c r="Q155" s="106" t="n"/>
      <c r="R155" s="106" t="n"/>
      <c r="S155" s="106" t="n"/>
      <c r="T155" s="106" t="n"/>
      <c r="U155" s="106" t="n"/>
      <c r="V155" s="106" t="n"/>
      <c r="W155" s="106" t="n"/>
      <c r="X155" s="106" t="n"/>
      <c r="Y155" s="106" t="n"/>
      <c r="Z155" s="106" t="n"/>
    </row>
    <row r="156" ht="15.75" customHeight="1" s="545">
      <c r="A156" s="106" t="n"/>
      <c r="B156" s="106" t="n"/>
      <c r="C156" s="106" t="n"/>
      <c r="D156" s="106" t="n"/>
      <c r="E156" s="106" t="n"/>
      <c r="F156" s="106" t="n"/>
      <c r="G156" s="106" t="n"/>
      <c r="H156" s="106" t="n"/>
      <c r="I156" s="106" t="n"/>
      <c r="J156" s="106" t="n"/>
      <c r="K156" s="106" t="n"/>
      <c r="L156" s="106" t="n"/>
      <c r="M156" s="106" t="n"/>
      <c r="N156" s="106" t="n"/>
      <c r="O156" s="106" t="n"/>
      <c r="P156" s="106" t="n"/>
      <c r="Q156" s="106" t="n"/>
      <c r="R156" s="106" t="n"/>
      <c r="S156" s="106" t="n"/>
      <c r="T156" s="106" t="n"/>
      <c r="U156" s="106" t="n"/>
      <c r="V156" s="106" t="n"/>
      <c r="W156" s="106" t="n"/>
      <c r="X156" s="106" t="n"/>
      <c r="Y156" s="106" t="n"/>
      <c r="Z156" s="106" t="n"/>
    </row>
    <row r="157" ht="15.75" customHeight="1" s="545">
      <c r="A157" s="106" t="n"/>
      <c r="B157" s="106" t="n"/>
      <c r="C157" s="106" t="n"/>
      <c r="D157" s="106" t="n"/>
      <c r="E157" s="106" t="n"/>
      <c r="F157" s="106" t="n"/>
      <c r="G157" s="106" t="n"/>
      <c r="H157" s="106" t="n"/>
      <c r="I157" s="106" t="n"/>
      <c r="J157" s="106" t="n"/>
      <c r="K157" s="106" t="n"/>
      <c r="L157" s="106" t="n"/>
      <c r="M157" s="106" t="n"/>
      <c r="N157" s="106" t="n"/>
      <c r="O157" s="106" t="n"/>
      <c r="P157" s="106" t="n"/>
      <c r="Q157" s="106" t="n"/>
      <c r="R157" s="106" t="n"/>
      <c r="S157" s="106" t="n"/>
      <c r="T157" s="106" t="n"/>
      <c r="U157" s="106" t="n"/>
      <c r="V157" s="106" t="n"/>
      <c r="W157" s="106" t="n"/>
      <c r="X157" s="106" t="n"/>
      <c r="Y157" s="106" t="n"/>
      <c r="Z157" s="106" t="n"/>
    </row>
    <row r="158" ht="15.75" customHeight="1" s="545">
      <c r="A158" s="106" t="n"/>
      <c r="B158" s="106" t="n"/>
      <c r="C158" s="106" t="n"/>
      <c r="D158" s="106" t="n"/>
      <c r="E158" s="106" t="n"/>
      <c r="F158" s="106" t="n"/>
      <c r="G158" s="106" t="n"/>
      <c r="H158" s="106" t="n"/>
      <c r="I158" s="106" t="n"/>
      <c r="J158" s="106" t="n"/>
      <c r="K158" s="106" t="n"/>
      <c r="L158" s="106" t="n"/>
      <c r="M158" s="106" t="n"/>
      <c r="N158" s="106" t="n"/>
      <c r="O158" s="106" t="n"/>
      <c r="P158" s="106" t="n"/>
      <c r="Q158" s="106" t="n"/>
      <c r="R158" s="106" t="n"/>
      <c r="S158" s="106" t="n"/>
      <c r="T158" s="106" t="n"/>
      <c r="U158" s="106" t="n"/>
      <c r="V158" s="106" t="n"/>
      <c r="W158" s="106" t="n"/>
      <c r="X158" s="106" t="n"/>
      <c r="Y158" s="106" t="n"/>
      <c r="Z158" s="106" t="n"/>
    </row>
    <row r="159" ht="15.75" customHeight="1" s="545">
      <c r="A159" s="106" t="n"/>
      <c r="B159" s="106" t="n"/>
      <c r="C159" s="106" t="n"/>
      <c r="D159" s="106" t="n"/>
      <c r="E159" s="106" t="n"/>
      <c r="F159" s="106" t="n"/>
      <c r="G159" s="106" t="n"/>
      <c r="H159" s="106" t="n"/>
      <c r="I159" s="106" t="n"/>
      <c r="J159" s="106" t="n"/>
      <c r="K159" s="106" t="n"/>
      <c r="L159" s="106" t="n"/>
      <c r="M159" s="106" t="n"/>
      <c r="N159" s="106" t="n"/>
      <c r="O159" s="106" t="n"/>
      <c r="P159" s="106" t="n"/>
      <c r="Q159" s="106" t="n"/>
      <c r="R159" s="106" t="n"/>
      <c r="S159" s="106" t="n"/>
      <c r="T159" s="106" t="n"/>
      <c r="U159" s="106" t="n"/>
      <c r="V159" s="106" t="n"/>
      <c r="W159" s="106" t="n"/>
      <c r="X159" s="106" t="n"/>
      <c r="Y159" s="106" t="n"/>
      <c r="Z159" s="106" t="n"/>
    </row>
    <row r="160" ht="15.75" customHeight="1" s="545">
      <c r="A160" s="106" t="n"/>
      <c r="B160" s="106" t="n"/>
      <c r="C160" s="106" t="n"/>
      <c r="D160" s="106" t="n"/>
      <c r="E160" s="106" t="n"/>
      <c r="F160" s="106" t="n"/>
      <c r="G160" s="106" t="n"/>
      <c r="H160" s="106" t="n"/>
      <c r="I160" s="106" t="n"/>
      <c r="J160" s="106" t="n"/>
      <c r="K160" s="106" t="n"/>
      <c r="L160" s="106" t="n"/>
      <c r="M160" s="106" t="n"/>
      <c r="N160" s="106" t="n"/>
      <c r="O160" s="106" t="n"/>
      <c r="P160" s="106" t="n"/>
      <c r="Q160" s="106" t="n"/>
      <c r="R160" s="106" t="n"/>
      <c r="S160" s="106" t="n"/>
      <c r="T160" s="106" t="n"/>
      <c r="U160" s="106" t="n"/>
      <c r="V160" s="106" t="n"/>
      <c r="W160" s="106" t="n"/>
      <c r="X160" s="106" t="n"/>
      <c r="Y160" s="106" t="n"/>
      <c r="Z160" s="106" t="n"/>
    </row>
    <row r="161" ht="15.75" customHeight="1" s="545">
      <c r="A161" s="106" t="n"/>
      <c r="B161" s="106" t="n"/>
      <c r="C161" s="106" t="n"/>
      <c r="D161" s="106" t="n"/>
      <c r="E161" s="106" t="n"/>
      <c r="F161" s="106" t="n"/>
      <c r="G161" s="106" t="n"/>
      <c r="H161" s="106" t="n"/>
      <c r="I161" s="106" t="n"/>
      <c r="J161" s="106" t="n"/>
      <c r="K161" s="106" t="n"/>
      <c r="L161" s="106" t="n"/>
      <c r="M161" s="106" t="n"/>
      <c r="N161" s="106" t="n"/>
      <c r="O161" s="106" t="n"/>
      <c r="P161" s="106" t="n"/>
      <c r="Q161" s="106" t="n"/>
      <c r="R161" s="106" t="n"/>
      <c r="S161" s="106" t="n"/>
      <c r="T161" s="106" t="n"/>
      <c r="U161" s="106" t="n"/>
      <c r="V161" s="106" t="n"/>
      <c r="W161" s="106" t="n"/>
      <c r="X161" s="106" t="n"/>
      <c r="Y161" s="106" t="n"/>
      <c r="Z161" s="106" t="n"/>
    </row>
    <row r="162" ht="15.75" customHeight="1" s="545">
      <c r="A162" s="106" t="n"/>
      <c r="B162" s="106" t="n"/>
      <c r="C162" s="106" t="n"/>
      <c r="D162" s="106" t="n"/>
      <c r="E162" s="106" t="n"/>
      <c r="F162" s="106" t="n"/>
      <c r="G162" s="106" t="n"/>
      <c r="H162" s="106" t="n"/>
      <c r="I162" s="106" t="n"/>
      <c r="J162" s="106" t="n"/>
      <c r="K162" s="106" t="n"/>
      <c r="L162" s="106" t="n"/>
      <c r="M162" s="106" t="n"/>
      <c r="N162" s="106" t="n"/>
      <c r="O162" s="106" t="n"/>
      <c r="P162" s="106" t="n"/>
      <c r="Q162" s="106" t="n"/>
      <c r="R162" s="106" t="n"/>
      <c r="S162" s="106" t="n"/>
      <c r="T162" s="106" t="n"/>
      <c r="U162" s="106" t="n"/>
      <c r="V162" s="106" t="n"/>
      <c r="W162" s="106" t="n"/>
      <c r="X162" s="106" t="n"/>
      <c r="Y162" s="106" t="n"/>
      <c r="Z162" s="106" t="n"/>
    </row>
    <row r="163" ht="15.75" customHeight="1" s="545">
      <c r="A163" s="106" t="n"/>
      <c r="B163" s="106" t="n"/>
      <c r="C163" s="106" t="n"/>
      <c r="D163" s="106" t="n"/>
      <c r="E163" s="106" t="n"/>
      <c r="F163" s="106" t="n"/>
      <c r="G163" s="106" t="n"/>
      <c r="H163" s="106" t="n"/>
      <c r="I163" s="106" t="n"/>
      <c r="J163" s="106" t="n"/>
      <c r="K163" s="106" t="n"/>
      <c r="L163" s="106" t="n"/>
      <c r="M163" s="106" t="n"/>
      <c r="N163" s="106" t="n"/>
      <c r="O163" s="106" t="n"/>
      <c r="P163" s="106" t="n"/>
      <c r="Q163" s="106" t="n"/>
      <c r="R163" s="106" t="n"/>
      <c r="S163" s="106" t="n"/>
      <c r="T163" s="106" t="n"/>
      <c r="U163" s="106" t="n"/>
      <c r="V163" s="106" t="n"/>
      <c r="W163" s="106" t="n"/>
      <c r="X163" s="106" t="n"/>
      <c r="Y163" s="106" t="n"/>
      <c r="Z163" s="106" t="n"/>
    </row>
    <row r="164" ht="15.75" customHeight="1" s="545">
      <c r="A164" s="106" t="n"/>
      <c r="B164" s="106" t="n"/>
      <c r="C164" s="106" t="n"/>
      <c r="D164" s="106" t="n"/>
      <c r="E164" s="106" t="n"/>
      <c r="F164" s="106" t="n"/>
      <c r="G164" s="106" t="n"/>
      <c r="H164" s="106" t="n"/>
      <c r="I164" s="106" t="n"/>
      <c r="J164" s="106" t="n"/>
      <c r="K164" s="106" t="n"/>
      <c r="L164" s="106" t="n"/>
      <c r="M164" s="106" t="n"/>
      <c r="N164" s="106" t="n"/>
      <c r="O164" s="106" t="n"/>
      <c r="P164" s="106" t="n"/>
      <c r="Q164" s="106" t="n"/>
      <c r="R164" s="106" t="n"/>
      <c r="S164" s="106" t="n"/>
      <c r="T164" s="106" t="n"/>
      <c r="U164" s="106" t="n"/>
      <c r="V164" s="106" t="n"/>
      <c r="W164" s="106" t="n"/>
      <c r="X164" s="106" t="n"/>
      <c r="Y164" s="106" t="n"/>
      <c r="Z164" s="106" t="n"/>
    </row>
    <row r="165" ht="15.75" customHeight="1" s="545">
      <c r="A165" s="106" t="n"/>
      <c r="B165" s="106" t="n"/>
      <c r="C165" s="106" t="n"/>
      <c r="D165" s="106" t="n"/>
      <c r="E165" s="106" t="n"/>
      <c r="F165" s="106" t="n"/>
      <c r="G165" s="106" t="n"/>
      <c r="H165" s="106" t="n"/>
      <c r="I165" s="106" t="n"/>
      <c r="J165" s="106" t="n"/>
      <c r="K165" s="106" t="n"/>
      <c r="L165" s="106" t="n"/>
      <c r="M165" s="106" t="n"/>
      <c r="N165" s="106" t="n"/>
      <c r="O165" s="106" t="n"/>
      <c r="P165" s="106" t="n"/>
      <c r="Q165" s="106" t="n"/>
      <c r="R165" s="106" t="n"/>
      <c r="S165" s="106" t="n"/>
      <c r="T165" s="106" t="n"/>
      <c r="U165" s="106" t="n"/>
      <c r="V165" s="106" t="n"/>
      <c r="W165" s="106" t="n"/>
      <c r="X165" s="106" t="n"/>
      <c r="Y165" s="106" t="n"/>
      <c r="Z165" s="106" t="n"/>
    </row>
    <row r="166" ht="15.75" customHeight="1" s="545">
      <c r="A166" s="106" t="n"/>
      <c r="B166" s="106" t="n"/>
      <c r="C166" s="106" t="n"/>
      <c r="D166" s="106" t="n"/>
      <c r="E166" s="106" t="n"/>
      <c r="F166" s="106" t="n"/>
      <c r="G166" s="106" t="n"/>
      <c r="H166" s="106" t="n"/>
      <c r="I166" s="106" t="n"/>
      <c r="J166" s="106" t="n"/>
      <c r="K166" s="106" t="n"/>
      <c r="L166" s="106" t="n"/>
      <c r="M166" s="106" t="n"/>
      <c r="N166" s="106" t="n"/>
      <c r="O166" s="106" t="n"/>
      <c r="P166" s="106" t="n"/>
      <c r="Q166" s="106" t="n"/>
      <c r="R166" s="106" t="n"/>
      <c r="S166" s="106" t="n"/>
      <c r="T166" s="106" t="n"/>
      <c r="U166" s="106" t="n"/>
      <c r="V166" s="106" t="n"/>
      <c r="W166" s="106" t="n"/>
      <c r="X166" s="106" t="n"/>
      <c r="Y166" s="106" t="n"/>
      <c r="Z166" s="106" t="n"/>
    </row>
    <row r="167" ht="15.75" customHeight="1" s="545">
      <c r="A167" s="106" t="n"/>
      <c r="B167" s="106" t="n"/>
      <c r="C167" s="106" t="n"/>
      <c r="D167" s="106" t="n"/>
      <c r="E167" s="106" t="n"/>
      <c r="F167" s="106" t="n"/>
      <c r="G167" s="106" t="n"/>
      <c r="H167" s="106" t="n"/>
      <c r="I167" s="106" t="n"/>
      <c r="J167" s="106" t="n"/>
      <c r="K167" s="106" t="n"/>
      <c r="L167" s="106" t="n"/>
      <c r="M167" s="106" t="n"/>
      <c r="N167" s="106" t="n"/>
      <c r="O167" s="106" t="n"/>
      <c r="P167" s="106" t="n"/>
      <c r="Q167" s="106" t="n"/>
      <c r="R167" s="106" t="n"/>
      <c r="S167" s="106" t="n"/>
      <c r="T167" s="106" t="n"/>
      <c r="U167" s="106" t="n"/>
      <c r="V167" s="106" t="n"/>
      <c r="W167" s="106" t="n"/>
      <c r="X167" s="106" t="n"/>
      <c r="Y167" s="106" t="n"/>
      <c r="Z167" s="106" t="n"/>
    </row>
    <row r="168" ht="15.75" customHeight="1" s="545">
      <c r="A168" s="106" t="n"/>
      <c r="B168" s="106" t="n"/>
      <c r="C168" s="106" t="n"/>
      <c r="D168" s="106" t="n"/>
      <c r="E168" s="106" t="n"/>
      <c r="F168" s="106" t="n"/>
      <c r="G168" s="106" t="n"/>
      <c r="H168" s="106" t="n"/>
      <c r="I168" s="106" t="n"/>
      <c r="J168" s="106" t="n"/>
      <c r="K168" s="106" t="n"/>
      <c r="L168" s="106" t="n"/>
      <c r="M168" s="106" t="n"/>
      <c r="N168" s="106" t="n"/>
      <c r="O168" s="106" t="n"/>
      <c r="P168" s="106" t="n"/>
      <c r="Q168" s="106" t="n"/>
      <c r="R168" s="106" t="n"/>
      <c r="S168" s="106" t="n"/>
      <c r="T168" s="106" t="n"/>
      <c r="U168" s="106" t="n"/>
      <c r="V168" s="106" t="n"/>
      <c r="W168" s="106" t="n"/>
      <c r="X168" s="106" t="n"/>
      <c r="Y168" s="106" t="n"/>
      <c r="Z168" s="106" t="n"/>
    </row>
    <row r="169" ht="15.75" customHeight="1" s="545">
      <c r="A169" s="106" t="n"/>
      <c r="B169" s="106" t="n"/>
      <c r="C169" s="106" t="n"/>
      <c r="D169" s="106" t="n"/>
      <c r="E169" s="106" t="n"/>
      <c r="F169" s="106" t="n"/>
      <c r="G169" s="106" t="n"/>
      <c r="H169" s="106" t="n"/>
      <c r="I169" s="106" t="n"/>
      <c r="J169" s="106" t="n"/>
      <c r="K169" s="106" t="n"/>
      <c r="L169" s="106" t="n"/>
      <c r="M169" s="106" t="n"/>
      <c r="N169" s="106" t="n"/>
      <c r="O169" s="106" t="n"/>
      <c r="P169" s="106" t="n"/>
      <c r="Q169" s="106" t="n"/>
      <c r="R169" s="106" t="n"/>
      <c r="S169" s="106" t="n"/>
      <c r="T169" s="106" t="n"/>
      <c r="U169" s="106" t="n"/>
      <c r="V169" s="106" t="n"/>
      <c r="W169" s="106" t="n"/>
      <c r="X169" s="106" t="n"/>
      <c r="Y169" s="106" t="n"/>
      <c r="Z169" s="106" t="n"/>
    </row>
    <row r="170" ht="15.75" customHeight="1" s="545">
      <c r="A170" s="106" t="n"/>
      <c r="B170" s="106" t="n"/>
      <c r="C170" s="106" t="n"/>
      <c r="D170" s="106" t="n"/>
      <c r="E170" s="106" t="n"/>
      <c r="F170" s="106" t="n"/>
      <c r="G170" s="106" t="n"/>
      <c r="H170" s="106" t="n"/>
      <c r="I170" s="106" t="n"/>
      <c r="J170" s="106" t="n"/>
      <c r="K170" s="106" t="n"/>
      <c r="L170" s="106" t="n"/>
      <c r="M170" s="106" t="n"/>
      <c r="N170" s="106" t="n"/>
      <c r="O170" s="106" t="n"/>
      <c r="P170" s="106" t="n"/>
      <c r="Q170" s="106" t="n"/>
      <c r="R170" s="106" t="n"/>
      <c r="S170" s="106" t="n"/>
      <c r="T170" s="106" t="n"/>
      <c r="U170" s="106" t="n"/>
      <c r="V170" s="106" t="n"/>
      <c r="W170" s="106" t="n"/>
      <c r="X170" s="106" t="n"/>
      <c r="Y170" s="106" t="n"/>
      <c r="Z170" s="106" t="n"/>
    </row>
    <row r="171" ht="15.75" customHeight="1" s="545">
      <c r="A171" s="106" t="n"/>
      <c r="B171" s="106" t="n"/>
      <c r="C171" s="106" t="n"/>
      <c r="D171" s="106" t="n"/>
      <c r="E171" s="106" t="n"/>
      <c r="F171" s="106" t="n"/>
      <c r="G171" s="106" t="n"/>
      <c r="H171" s="106" t="n"/>
      <c r="I171" s="106" t="n"/>
      <c r="J171" s="106" t="n"/>
      <c r="K171" s="106" t="n"/>
      <c r="L171" s="106" t="n"/>
      <c r="M171" s="106" t="n"/>
      <c r="N171" s="106" t="n"/>
      <c r="O171" s="106" t="n"/>
      <c r="P171" s="106" t="n"/>
      <c r="Q171" s="106" t="n"/>
      <c r="R171" s="106" t="n"/>
      <c r="S171" s="106" t="n"/>
      <c r="T171" s="106" t="n"/>
      <c r="U171" s="106" t="n"/>
      <c r="V171" s="106" t="n"/>
      <c r="W171" s="106" t="n"/>
      <c r="X171" s="106" t="n"/>
      <c r="Y171" s="106" t="n"/>
      <c r="Z171" s="106" t="n"/>
    </row>
    <row r="172" ht="15.75" customHeight="1" s="545">
      <c r="A172" s="106" t="n"/>
      <c r="B172" s="106" t="n"/>
      <c r="C172" s="106" t="n"/>
      <c r="D172" s="106" t="n"/>
      <c r="E172" s="106" t="n"/>
      <c r="F172" s="106" t="n"/>
      <c r="G172" s="106" t="n"/>
      <c r="H172" s="106" t="n"/>
      <c r="I172" s="106" t="n"/>
      <c r="J172" s="106" t="n"/>
      <c r="K172" s="106" t="n"/>
      <c r="L172" s="106" t="n"/>
      <c r="M172" s="106" t="n"/>
      <c r="N172" s="106" t="n"/>
      <c r="O172" s="106" t="n"/>
      <c r="P172" s="106" t="n"/>
      <c r="Q172" s="106" t="n"/>
      <c r="R172" s="106" t="n"/>
      <c r="S172" s="106" t="n"/>
      <c r="T172" s="106" t="n"/>
      <c r="U172" s="106" t="n"/>
      <c r="V172" s="106" t="n"/>
      <c r="W172" s="106" t="n"/>
      <c r="X172" s="106" t="n"/>
      <c r="Y172" s="106" t="n"/>
      <c r="Z172" s="106" t="n"/>
    </row>
    <row r="173" ht="15.75" customHeight="1" s="545">
      <c r="A173" s="106" t="n"/>
      <c r="B173" s="106" t="n"/>
      <c r="C173" s="106" t="n"/>
      <c r="D173" s="106" t="n"/>
      <c r="E173" s="106" t="n"/>
      <c r="F173" s="106" t="n"/>
      <c r="G173" s="106" t="n"/>
      <c r="H173" s="106" t="n"/>
      <c r="I173" s="106" t="n"/>
      <c r="J173" s="106" t="n"/>
      <c r="K173" s="106" t="n"/>
      <c r="L173" s="106" t="n"/>
      <c r="M173" s="106" t="n"/>
      <c r="N173" s="106" t="n"/>
      <c r="O173" s="106" t="n"/>
      <c r="P173" s="106" t="n"/>
      <c r="Q173" s="106" t="n"/>
      <c r="R173" s="106" t="n"/>
      <c r="S173" s="106" t="n"/>
      <c r="T173" s="106" t="n"/>
      <c r="U173" s="106" t="n"/>
      <c r="V173" s="106" t="n"/>
      <c r="W173" s="106" t="n"/>
      <c r="X173" s="106" t="n"/>
      <c r="Y173" s="106" t="n"/>
      <c r="Z173" s="106" t="n"/>
    </row>
    <row r="174" ht="15.75" customHeight="1" s="545">
      <c r="A174" s="106" t="n"/>
      <c r="B174" s="106" t="n"/>
      <c r="C174" s="106" t="n"/>
      <c r="D174" s="106" t="n"/>
      <c r="E174" s="106" t="n"/>
      <c r="F174" s="106" t="n"/>
      <c r="G174" s="106" t="n"/>
      <c r="H174" s="106" t="n"/>
      <c r="I174" s="106" t="n"/>
      <c r="J174" s="106" t="n"/>
      <c r="K174" s="106" t="n"/>
      <c r="L174" s="106" t="n"/>
      <c r="M174" s="106" t="n"/>
      <c r="N174" s="106" t="n"/>
      <c r="O174" s="106" t="n"/>
      <c r="P174" s="106" t="n"/>
      <c r="Q174" s="106" t="n"/>
      <c r="R174" s="106" t="n"/>
      <c r="S174" s="106" t="n"/>
      <c r="T174" s="106" t="n"/>
      <c r="U174" s="106" t="n"/>
      <c r="V174" s="106" t="n"/>
      <c r="W174" s="106" t="n"/>
      <c r="X174" s="106" t="n"/>
      <c r="Y174" s="106" t="n"/>
      <c r="Z174" s="106" t="n"/>
    </row>
    <row r="175" ht="15.75" customHeight="1" s="545">
      <c r="A175" s="106" t="n"/>
      <c r="B175" s="106" t="n"/>
      <c r="C175" s="106" t="n"/>
      <c r="D175" s="106" t="n"/>
      <c r="E175" s="106" t="n"/>
      <c r="F175" s="106" t="n"/>
      <c r="G175" s="106" t="n"/>
      <c r="H175" s="106" t="n"/>
      <c r="I175" s="106" t="n"/>
      <c r="J175" s="106" t="n"/>
      <c r="K175" s="106" t="n"/>
      <c r="L175" s="106" t="n"/>
      <c r="M175" s="106" t="n"/>
      <c r="N175" s="106" t="n"/>
      <c r="O175" s="106" t="n"/>
      <c r="P175" s="106" t="n"/>
      <c r="Q175" s="106" t="n"/>
      <c r="R175" s="106" t="n"/>
      <c r="S175" s="106" t="n"/>
      <c r="T175" s="106" t="n"/>
      <c r="U175" s="106" t="n"/>
      <c r="V175" s="106" t="n"/>
      <c r="W175" s="106" t="n"/>
      <c r="X175" s="106" t="n"/>
      <c r="Y175" s="106" t="n"/>
      <c r="Z175" s="106" t="n"/>
    </row>
    <row r="176" ht="15.75" customHeight="1" s="545">
      <c r="A176" s="106" t="n"/>
      <c r="B176" s="106" t="n"/>
      <c r="C176" s="106" t="n"/>
      <c r="D176" s="106" t="n"/>
      <c r="E176" s="106" t="n"/>
      <c r="F176" s="106" t="n"/>
      <c r="G176" s="106" t="n"/>
      <c r="H176" s="106" t="n"/>
      <c r="I176" s="106" t="n"/>
      <c r="J176" s="106" t="n"/>
      <c r="K176" s="106" t="n"/>
      <c r="L176" s="106" t="n"/>
      <c r="M176" s="106" t="n"/>
      <c r="N176" s="106" t="n"/>
      <c r="O176" s="106" t="n"/>
      <c r="P176" s="106" t="n"/>
      <c r="Q176" s="106" t="n"/>
      <c r="R176" s="106" t="n"/>
      <c r="S176" s="106" t="n"/>
      <c r="T176" s="106" t="n"/>
      <c r="U176" s="106" t="n"/>
      <c r="V176" s="106" t="n"/>
      <c r="W176" s="106" t="n"/>
      <c r="X176" s="106" t="n"/>
      <c r="Y176" s="106" t="n"/>
      <c r="Z176" s="106" t="n"/>
    </row>
    <row r="177" ht="15.75" customHeight="1" s="545">
      <c r="A177" s="106" t="n"/>
      <c r="B177" s="106" t="n"/>
      <c r="C177" s="106" t="n"/>
      <c r="D177" s="106" t="n"/>
      <c r="E177" s="106" t="n"/>
      <c r="F177" s="106" t="n"/>
      <c r="G177" s="106" t="n"/>
      <c r="H177" s="106" t="n"/>
      <c r="I177" s="106" t="n"/>
      <c r="J177" s="106" t="n"/>
      <c r="K177" s="106" t="n"/>
      <c r="L177" s="106" t="n"/>
      <c r="M177" s="106" t="n"/>
      <c r="N177" s="106" t="n"/>
      <c r="O177" s="106" t="n"/>
      <c r="P177" s="106" t="n"/>
      <c r="Q177" s="106" t="n"/>
      <c r="R177" s="106" t="n"/>
      <c r="S177" s="106" t="n"/>
      <c r="T177" s="106" t="n"/>
      <c r="U177" s="106" t="n"/>
      <c r="V177" s="106" t="n"/>
      <c r="W177" s="106" t="n"/>
      <c r="X177" s="106" t="n"/>
      <c r="Y177" s="106" t="n"/>
      <c r="Z177" s="106" t="n"/>
    </row>
    <row r="178" ht="15.75" customHeight="1" s="545">
      <c r="A178" s="106" t="n"/>
      <c r="B178" s="106" t="n"/>
      <c r="C178" s="106" t="n"/>
      <c r="D178" s="106" t="n"/>
      <c r="E178" s="106" t="n"/>
      <c r="F178" s="106" t="n"/>
      <c r="G178" s="106" t="n"/>
      <c r="H178" s="106" t="n"/>
      <c r="I178" s="106" t="n"/>
      <c r="J178" s="106" t="n"/>
      <c r="K178" s="106" t="n"/>
      <c r="L178" s="106" t="n"/>
      <c r="M178" s="106" t="n"/>
      <c r="N178" s="106" t="n"/>
      <c r="O178" s="106" t="n"/>
      <c r="P178" s="106" t="n"/>
      <c r="Q178" s="106" t="n"/>
      <c r="R178" s="106" t="n"/>
      <c r="S178" s="106" t="n"/>
      <c r="T178" s="106" t="n"/>
      <c r="U178" s="106" t="n"/>
      <c r="V178" s="106" t="n"/>
      <c r="W178" s="106" t="n"/>
      <c r="X178" s="106" t="n"/>
      <c r="Y178" s="106" t="n"/>
      <c r="Z178" s="106" t="n"/>
    </row>
    <row r="179" ht="15.75" customHeight="1" s="545">
      <c r="A179" s="106" t="n"/>
      <c r="B179" s="106" t="n"/>
      <c r="C179" s="106" t="n"/>
      <c r="D179" s="106" t="n"/>
      <c r="E179" s="106" t="n"/>
      <c r="F179" s="106" t="n"/>
      <c r="G179" s="106" t="n"/>
      <c r="H179" s="106" t="n"/>
      <c r="I179" s="106" t="n"/>
      <c r="J179" s="106" t="n"/>
      <c r="K179" s="106" t="n"/>
      <c r="L179" s="106" t="n"/>
      <c r="M179" s="106" t="n"/>
      <c r="N179" s="106" t="n"/>
      <c r="O179" s="106" t="n"/>
      <c r="P179" s="106" t="n"/>
      <c r="Q179" s="106" t="n"/>
      <c r="R179" s="106" t="n"/>
      <c r="S179" s="106" t="n"/>
      <c r="T179" s="106" t="n"/>
      <c r="U179" s="106" t="n"/>
      <c r="V179" s="106" t="n"/>
      <c r="W179" s="106" t="n"/>
      <c r="X179" s="106" t="n"/>
      <c r="Y179" s="106" t="n"/>
      <c r="Z179" s="106" t="n"/>
    </row>
    <row r="180" ht="15.75" customHeight="1" s="545">
      <c r="A180" s="106" t="n"/>
      <c r="B180" s="106" t="n"/>
      <c r="C180" s="106" t="n"/>
      <c r="D180" s="106" t="n"/>
      <c r="E180" s="106" t="n"/>
      <c r="F180" s="106" t="n"/>
      <c r="G180" s="106" t="n"/>
      <c r="H180" s="106" t="n"/>
      <c r="I180" s="106" t="n"/>
      <c r="J180" s="106" t="n"/>
      <c r="K180" s="106" t="n"/>
      <c r="L180" s="106" t="n"/>
      <c r="M180" s="106" t="n"/>
      <c r="N180" s="106" t="n"/>
      <c r="O180" s="106" t="n"/>
      <c r="P180" s="106" t="n"/>
      <c r="Q180" s="106" t="n"/>
      <c r="R180" s="106" t="n"/>
      <c r="S180" s="106" t="n"/>
      <c r="T180" s="106" t="n"/>
      <c r="U180" s="106" t="n"/>
      <c r="V180" s="106" t="n"/>
      <c r="W180" s="106" t="n"/>
      <c r="X180" s="106" t="n"/>
      <c r="Y180" s="106" t="n"/>
      <c r="Z180" s="106" t="n"/>
    </row>
    <row r="181" ht="15.75" customHeight="1" s="545">
      <c r="A181" s="106" t="n"/>
      <c r="B181" s="106" t="n"/>
      <c r="C181" s="106" t="n"/>
      <c r="D181" s="106" t="n"/>
      <c r="E181" s="106" t="n"/>
      <c r="F181" s="106" t="n"/>
      <c r="G181" s="106" t="n"/>
      <c r="H181" s="106" t="n"/>
      <c r="I181" s="106" t="n"/>
      <c r="J181" s="106" t="n"/>
      <c r="K181" s="106" t="n"/>
      <c r="L181" s="106" t="n"/>
      <c r="M181" s="106" t="n"/>
      <c r="N181" s="106" t="n"/>
      <c r="O181" s="106" t="n"/>
      <c r="P181" s="106" t="n"/>
      <c r="Q181" s="106" t="n"/>
      <c r="R181" s="106" t="n"/>
      <c r="S181" s="106" t="n"/>
      <c r="T181" s="106" t="n"/>
      <c r="U181" s="106" t="n"/>
      <c r="V181" s="106" t="n"/>
      <c r="W181" s="106" t="n"/>
      <c r="X181" s="106" t="n"/>
      <c r="Y181" s="106" t="n"/>
      <c r="Z181" s="106" t="n"/>
    </row>
    <row r="182" ht="15.75" customHeight="1" s="545">
      <c r="A182" s="106" t="n"/>
      <c r="B182" s="106" t="n"/>
      <c r="C182" s="106" t="n"/>
      <c r="D182" s="106" t="n"/>
      <c r="E182" s="106" t="n"/>
      <c r="F182" s="106" t="n"/>
      <c r="G182" s="106" t="n"/>
      <c r="H182" s="106" t="n"/>
      <c r="I182" s="106" t="n"/>
      <c r="J182" s="106" t="n"/>
      <c r="K182" s="106" t="n"/>
      <c r="L182" s="106" t="n"/>
      <c r="M182" s="106" t="n"/>
      <c r="N182" s="106" t="n"/>
      <c r="O182" s="106" t="n"/>
      <c r="P182" s="106" t="n"/>
      <c r="Q182" s="106" t="n"/>
      <c r="R182" s="106" t="n"/>
      <c r="S182" s="106" t="n"/>
      <c r="T182" s="106" t="n"/>
      <c r="U182" s="106" t="n"/>
      <c r="V182" s="106" t="n"/>
      <c r="W182" s="106" t="n"/>
      <c r="X182" s="106" t="n"/>
      <c r="Y182" s="106" t="n"/>
      <c r="Z182" s="106" t="n"/>
    </row>
    <row r="183" ht="15.75" customHeight="1" s="545">
      <c r="A183" s="106" t="n"/>
      <c r="B183" s="106" t="n"/>
      <c r="C183" s="106" t="n"/>
      <c r="D183" s="106" t="n"/>
      <c r="E183" s="106" t="n"/>
      <c r="F183" s="106" t="n"/>
      <c r="G183" s="106" t="n"/>
      <c r="H183" s="106" t="n"/>
      <c r="I183" s="106" t="n"/>
      <c r="J183" s="106" t="n"/>
      <c r="K183" s="106" t="n"/>
      <c r="L183" s="106" t="n"/>
      <c r="M183" s="106" t="n"/>
      <c r="N183" s="106" t="n"/>
      <c r="O183" s="106" t="n"/>
      <c r="P183" s="106" t="n"/>
      <c r="Q183" s="106" t="n"/>
      <c r="R183" s="106" t="n"/>
      <c r="S183" s="106" t="n"/>
      <c r="T183" s="106" t="n"/>
      <c r="U183" s="106" t="n"/>
      <c r="V183" s="106" t="n"/>
      <c r="W183" s="106" t="n"/>
      <c r="X183" s="106" t="n"/>
      <c r="Y183" s="106" t="n"/>
      <c r="Z183" s="106" t="n"/>
    </row>
    <row r="184" ht="15.75" customHeight="1" s="545">
      <c r="A184" s="106" t="n"/>
      <c r="B184" s="106" t="n"/>
      <c r="C184" s="106" t="n"/>
      <c r="D184" s="106" t="n"/>
      <c r="E184" s="106" t="n"/>
      <c r="F184" s="106" t="n"/>
      <c r="G184" s="106" t="n"/>
      <c r="H184" s="106" t="n"/>
      <c r="I184" s="106" t="n"/>
      <c r="J184" s="106" t="n"/>
      <c r="K184" s="106" t="n"/>
      <c r="L184" s="106" t="n"/>
      <c r="M184" s="106" t="n"/>
      <c r="N184" s="106" t="n"/>
      <c r="O184" s="106" t="n"/>
      <c r="P184" s="106" t="n"/>
      <c r="Q184" s="106" t="n"/>
      <c r="R184" s="106" t="n"/>
      <c r="S184" s="106" t="n"/>
      <c r="T184" s="106" t="n"/>
      <c r="U184" s="106" t="n"/>
      <c r="V184" s="106" t="n"/>
      <c r="W184" s="106" t="n"/>
      <c r="X184" s="106" t="n"/>
      <c r="Y184" s="106" t="n"/>
      <c r="Z184" s="106" t="n"/>
    </row>
    <row r="185" ht="15.75" customHeight="1" s="545">
      <c r="A185" s="106" t="n"/>
      <c r="B185" s="106" t="n"/>
      <c r="C185" s="106" t="n"/>
      <c r="D185" s="106" t="n"/>
      <c r="E185" s="106" t="n"/>
      <c r="F185" s="106" t="n"/>
      <c r="G185" s="106" t="n"/>
      <c r="H185" s="106" t="n"/>
      <c r="I185" s="106" t="n"/>
      <c r="J185" s="106" t="n"/>
      <c r="K185" s="106" t="n"/>
      <c r="L185" s="106" t="n"/>
      <c r="M185" s="106" t="n"/>
      <c r="N185" s="106" t="n"/>
      <c r="O185" s="106" t="n"/>
      <c r="P185" s="106" t="n"/>
      <c r="Q185" s="106" t="n"/>
      <c r="R185" s="106" t="n"/>
      <c r="S185" s="106" t="n"/>
      <c r="T185" s="106" t="n"/>
      <c r="U185" s="106" t="n"/>
      <c r="V185" s="106" t="n"/>
      <c r="W185" s="106" t="n"/>
      <c r="X185" s="106" t="n"/>
      <c r="Y185" s="106" t="n"/>
      <c r="Z185" s="106" t="n"/>
    </row>
    <row r="186" ht="15.75" customHeight="1" s="545">
      <c r="A186" s="106" t="n"/>
      <c r="B186" s="106" t="n"/>
      <c r="C186" s="106" t="n"/>
      <c r="D186" s="106" t="n"/>
      <c r="E186" s="106" t="n"/>
      <c r="F186" s="106" t="n"/>
      <c r="G186" s="106" t="n"/>
      <c r="H186" s="106" t="n"/>
      <c r="I186" s="106" t="n"/>
      <c r="J186" s="106" t="n"/>
      <c r="K186" s="106" t="n"/>
      <c r="L186" s="106" t="n"/>
      <c r="M186" s="106" t="n"/>
      <c r="N186" s="106" t="n"/>
      <c r="O186" s="106" t="n"/>
      <c r="P186" s="106" t="n"/>
      <c r="Q186" s="106" t="n"/>
      <c r="R186" s="106" t="n"/>
      <c r="S186" s="106" t="n"/>
      <c r="T186" s="106" t="n"/>
      <c r="U186" s="106" t="n"/>
      <c r="V186" s="106" t="n"/>
      <c r="W186" s="106" t="n"/>
      <c r="X186" s="106" t="n"/>
      <c r="Y186" s="106" t="n"/>
      <c r="Z186" s="106" t="n"/>
    </row>
    <row r="187" ht="15.75" customHeight="1" s="545">
      <c r="A187" s="106" t="n"/>
      <c r="B187" s="106" t="n"/>
      <c r="C187" s="106" t="n"/>
      <c r="D187" s="106" t="n"/>
      <c r="E187" s="106" t="n"/>
      <c r="F187" s="106" t="n"/>
      <c r="G187" s="106" t="n"/>
      <c r="H187" s="106" t="n"/>
      <c r="I187" s="106" t="n"/>
      <c r="J187" s="106" t="n"/>
      <c r="K187" s="106" t="n"/>
      <c r="L187" s="106" t="n"/>
      <c r="M187" s="106" t="n"/>
      <c r="N187" s="106" t="n"/>
      <c r="O187" s="106" t="n"/>
      <c r="P187" s="106" t="n"/>
      <c r="Q187" s="106" t="n"/>
      <c r="R187" s="106" t="n"/>
      <c r="S187" s="106" t="n"/>
      <c r="T187" s="106" t="n"/>
      <c r="U187" s="106" t="n"/>
      <c r="V187" s="106" t="n"/>
      <c r="W187" s="106" t="n"/>
      <c r="X187" s="106" t="n"/>
      <c r="Y187" s="106" t="n"/>
      <c r="Z187" s="106" t="n"/>
    </row>
    <row r="188" ht="15.75" customHeight="1" s="545">
      <c r="A188" s="106" t="n"/>
      <c r="B188" s="106" t="n"/>
      <c r="C188" s="106" t="n"/>
      <c r="D188" s="106" t="n"/>
      <c r="E188" s="106" t="n"/>
      <c r="F188" s="106" t="n"/>
      <c r="G188" s="106" t="n"/>
      <c r="H188" s="106" t="n"/>
      <c r="I188" s="106" t="n"/>
      <c r="J188" s="106" t="n"/>
      <c r="K188" s="106" t="n"/>
      <c r="L188" s="106" t="n"/>
      <c r="M188" s="106" t="n"/>
      <c r="N188" s="106" t="n"/>
      <c r="O188" s="106" t="n"/>
      <c r="P188" s="106" t="n"/>
      <c r="Q188" s="106" t="n"/>
      <c r="R188" s="106" t="n"/>
      <c r="S188" s="106" t="n"/>
      <c r="T188" s="106" t="n"/>
      <c r="U188" s="106" t="n"/>
      <c r="V188" s="106" t="n"/>
      <c r="W188" s="106" t="n"/>
      <c r="X188" s="106" t="n"/>
      <c r="Y188" s="106" t="n"/>
      <c r="Z188" s="106" t="n"/>
    </row>
    <row r="189" ht="15.75" customHeight="1" s="545">
      <c r="A189" s="106" t="n"/>
      <c r="B189" s="106" t="n"/>
      <c r="C189" s="106" t="n"/>
      <c r="D189" s="106" t="n"/>
      <c r="E189" s="106" t="n"/>
      <c r="F189" s="106" t="n"/>
      <c r="G189" s="106" t="n"/>
      <c r="H189" s="106" t="n"/>
      <c r="I189" s="106" t="n"/>
      <c r="J189" s="106" t="n"/>
      <c r="K189" s="106" t="n"/>
      <c r="L189" s="106" t="n"/>
      <c r="M189" s="106" t="n"/>
      <c r="N189" s="106" t="n"/>
      <c r="O189" s="106" t="n"/>
      <c r="P189" s="106" t="n"/>
      <c r="Q189" s="106" t="n"/>
      <c r="R189" s="106" t="n"/>
      <c r="S189" s="106" t="n"/>
      <c r="T189" s="106" t="n"/>
      <c r="U189" s="106" t="n"/>
      <c r="V189" s="106" t="n"/>
      <c r="W189" s="106" t="n"/>
      <c r="X189" s="106" t="n"/>
      <c r="Y189" s="106" t="n"/>
      <c r="Z189" s="106" t="n"/>
    </row>
    <row r="190" ht="15.75" customHeight="1" s="545">
      <c r="A190" s="106" t="n"/>
      <c r="B190" s="106" t="n"/>
      <c r="C190" s="106" t="n"/>
      <c r="D190" s="106" t="n"/>
      <c r="E190" s="106" t="n"/>
      <c r="F190" s="106" t="n"/>
      <c r="G190" s="106" t="n"/>
      <c r="H190" s="106" t="n"/>
      <c r="I190" s="106" t="n"/>
      <c r="J190" s="106" t="n"/>
      <c r="K190" s="106" t="n"/>
      <c r="L190" s="106" t="n"/>
      <c r="M190" s="106" t="n"/>
      <c r="N190" s="106" t="n"/>
      <c r="O190" s="106" t="n"/>
      <c r="P190" s="106" t="n"/>
      <c r="Q190" s="106" t="n"/>
      <c r="R190" s="106" t="n"/>
      <c r="S190" s="106" t="n"/>
      <c r="T190" s="106" t="n"/>
      <c r="U190" s="106" t="n"/>
      <c r="V190" s="106" t="n"/>
      <c r="W190" s="106" t="n"/>
      <c r="X190" s="106" t="n"/>
      <c r="Y190" s="106" t="n"/>
      <c r="Z190" s="106" t="n"/>
    </row>
    <row r="191" ht="15.75" customHeight="1" s="545">
      <c r="A191" s="106" t="n"/>
      <c r="B191" s="106" t="n"/>
      <c r="C191" s="106" t="n"/>
      <c r="D191" s="106" t="n"/>
      <c r="E191" s="106" t="n"/>
      <c r="F191" s="106" t="n"/>
      <c r="G191" s="106" t="n"/>
      <c r="H191" s="106" t="n"/>
      <c r="I191" s="106" t="n"/>
      <c r="J191" s="106" t="n"/>
      <c r="K191" s="106" t="n"/>
      <c r="L191" s="106" t="n"/>
      <c r="M191" s="106" t="n"/>
      <c r="N191" s="106" t="n"/>
      <c r="O191" s="106" t="n"/>
      <c r="P191" s="106" t="n"/>
      <c r="Q191" s="106" t="n"/>
      <c r="R191" s="106" t="n"/>
      <c r="S191" s="106" t="n"/>
      <c r="T191" s="106" t="n"/>
      <c r="U191" s="106" t="n"/>
      <c r="V191" s="106" t="n"/>
      <c r="W191" s="106" t="n"/>
      <c r="X191" s="106" t="n"/>
      <c r="Y191" s="106" t="n"/>
      <c r="Z191" s="106" t="n"/>
    </row>
    <row r="192" ht="15.75" customHeight="1" s="545">
      <c r="A192" s="106" t="n"/>
      <c r="B192" s="106" t="n"/>
      <c r="C192" s="106" t="n"/>
      <c r="D192" s="106" t="n"/>
      <c r="E192" s="106" t="n"/>
      <c r="F192" s="106" t="n"/>
      <c r="G192" s="106" t="n"/>
      <c r="H192" s="106" t="n"/>
      <c r="I192" s="106" t="n"/>
      <c r="J192" s="106" t="n"/>
      <c r="K192" s="106" t="n"/>
      <c r="L192" s="106" t="n"/>
      <c r="M192" s="106" t="n"/>
      <c r="N192" s="106" t="n"/>
      <c r="O192" s="106" t="n"/>
      <c r="P192" s="106" t="n"/>
      <c r="Q192" s="106" t="n"/>
      <c r="R192" s="106" t="n"/>
      <c r="S192" s="106" t="n"/>
      <c r="T192" s="106" t="n"/>
      <c r="U192" s="106" t="n"/>
      <c r="V192" s="106" t="n"/>
      <c r="W192" s="106" t="n"/>
      <c r="X192" s="106" t="n"/>
      <c r="Y192" s="106" t="n"/>
      <c r="Z192" s="106" t="n"/>
    </row>
    <row r="193" ht="15.75" customHeight="1" s="545">
      <c r="A193" s="106" t="n"/>
      <c r="B193" s="106" t="n"/>
      <c r="C193" s="106" t="n"/>
      <c r="D193" s="106" t="n"/>
      <c r="E193" s="106" t="n"/>
      <c r="F193" s="106" t="n"/>
      <c r="G193" s="106" t="n"/>
      <c r="H193" s="106" t="n"/>
      <c r="I193" s="106" t="n"/>
      <c r="J193" s="106" t="n"/>
      <c r="K193" s="106" t="n"/>
      <c r="L193" s="106" t="n"/>
      <c r="M193" s="106" t="n"/>
      <c r="N193" s="106" t="n"/>
      <c r="O193" s="106" t="n"/>
      <c r="P193" s="106" t="n"/>
      <c r="Q193" s="106" t="n"/>
      <c r="R193" s="106" t="n"/>
      <c r="S193" s="106" t="n"/>
      <c r="T193" s="106" t="n"/>
      <c r="U193" s="106" t="n"/>
      <c r="V193" s="106" t="n"/>
      <c r="W193" s="106" t="n"/>
      <c r="X193" s="106" t="n"/>
      <c r="Y193" s="106" t="n"/>
      <c r="Z193" s="106" t="n"/>
    </row>
    <row r="194" ht="15.75" customHeight="1" s="545">
      <c r="A194" s="106" t="n"/>
      <c r="B194" s="106" t="n"/>
      <c r="C194" s="106" t="n"/>
      <c r="D194" s="106" t="n"/>
      <c r="E194" s="106" t="n"/>
      <c r="F194" s="106" t="n"/>
      <c r="G194" s="106" t="n"/>
      <c r="H194" s="106" t="n"/>
      <c r="I194" s="106" t="n"/>
      <c r="J194" s="106" t="n"/>
      <c r="K194" s="106" t="n"/>
      <c r="L194" s="106" t="n"/>
      <c r="M194" s="106" t="n"/>
      <c r="N194" s="106" t="n"/>
      <c r="O194" s="106" t="n"/>
      <c r="P194" s="106" t="n"/>
      <c r="Q194" s="106" t="n"/>
      <c r="R194" s="106" t="n"/>
      <c r="S194" s="106" t="n"/>
      <c r="T194" s="106" t="n"/>
      <c r="U194" s="106" t="n"/>
      <c r="V194" s="106" t="n"/>
      <c r="W194" s="106" t="n"/>
      <c r="X194" s="106" t="n"/>
      <c r="Y194" s="106" t="n"/>
      <c r="Z194" s="106" t="n"/>
    </row>
    <row r="195" ht="15.75" customHeight="1" s="545">
      <c r="A195" s="106" t="n"/>
      <c r="B195" s="106" t="n"/>
      <c r="C195" s="106" t="n"/>
      <c r="D195" s="106" t="n"/>
      <c r="E195" s="106" t="n"/>
      <c r="F195" s="106" t="n"/>
      <c r="G195" s="106" t="n"/>
      <c r="H195" s="106" t="n"/>
      <c r="I195" s="106" t="n"/>
      <c r="J195" s="106" t="n"/>
      <c r="K195" s="106" t="n"/>
      <c r="L195" s="106" t="n"/>
      <c r="M195" s="106" t="n"/>
      <c r="N195" s="106" t="n"/>
      <c r="O195" s="106" t="n"/>
      <c r="P195" s="106" t="n"/>
      <c r="Q195" s="106" t="n"/>
      <c r="R195" s="106" t="n"/>
      <c r="S195" s="106" t="n"/>
      <c r="T195" s="106" t="n"/>
      <c r="U195" s="106" t="n"/>
      <c r="V195" s="106" t="n"/>
      <c r="W195" s="106" t="n"/>
      <c r="X195" s="106" t="n"/>
      <c r="Y195" s="106" t="n"/>
      <c r="Z195" s="106" t="n"/>
    </row>
    <row r="196" ht="15.75" customHeight="1" s="545">
      <c r="A196" s="106" t="n"/>
      <c r="B196" s="106" t="n"/>
      <c r="C196" s="106" t="n"/>
      <c r="D196" s="106" t="n"/>
      <c r="E196" s="106" t="n"/>
      <c r="F196" s="106" t="n"/>
      <c r="G196" s="106" t="n"/>
      <c r="H196" s="106" t="n"/>
      <c r="I196" s="106" t="n"/>
      <c r="J196" s="106" t="n"/>
      <c r="K196" s="106" t="n"/>
      <c r="L196" s="106" t="n"/>
      <c r="M196" s="106" t="n"/>
      <c r="N196" s="106" t="n"/>
      <c r="O196" s="106" t="n"/>
      <c r="P196" s="106" t="n"/>
      <c r="Q196" s="106" t="n"/>
      <c r="R196" s="106" t="n"/>
      <c r="S196" s="106" t="n"/>
      <c r="T196" s="106" t="n"/>
      <c r="U196" s="106" t="n"/>
      <c r="V196" s="106" t="n"/>
      <c r="W196" s="106" t="n"/>
      <c r="X196" s="106" t="n"/>
      <c r="Y196" s="106" t="n"/>
      <c r="Z196" s="106" t="n"/>
    </row>
    <row r="197" ht="15.75" customHeight="1" s="545">
      <c r="A197" s="106" t="n"/>
      <c r="B197" s="106" t="n"/>
      <c r="C197" s="106" t="n"/>
      <c r="D197" s="106" t="n"/>
      <c r="E197" s="106" t="n"/>
      <c r="F197" s="106" t="n"/>
      <c r="G197" s="106" t="n"/>
      <c r="H197" s="106" t="n"/>
      <c r="I197" s="106" t="n"/>
      <c r="J197" s="106" t="n"/>
      <c r="K197" s="106" t="n"/>
      <c r="L197" s="106" t="n"/>
      <c r="M197" s="106" t="n"/>
      <c r="N197" s="106" t="n"/>
      <c r="O197" s="106" t="n"/>
      <c r="P197" s="106" t="n"/>
      <c r="Q197" s="106" t="n"/>
      <c r="R197" s="106" t="n"/>
      <c r="S197" s="106" t="n"/>
      <c r="T197" s="106" t="n"/>
      <c r="U197" s="106" t="n"/>
      <c r="V197" s="106" t="n"/>
      <c r="W197" s="106" t="n"/>
      <c r="X197" s="106" t="n"/>
      <c r="Y197" s="106" t="n"/>
      <c r="Z197" s="106" t="n"/>
    </row>
    <row r="198" ht="15.75" customHeight="1" s="545">
      <c r="A198" s="106" t="n"/>
      <c r="B198" s="106" t="n"/>
      <c r="C198" s="106" t="n"/>
      <c r="D198" s="106" t="n"/>
      <c r="E198" s="106" t="n"/>
      <c r="F198" s="106" t="n"/>
      <c r="G198" s="106" t="n"/>
      <c r="H198" s="106" t="n"/>
      <c r="I198" s="106" t="n"/>
      <c r="J198" s="106" t="n"/>
      <c r="K198" s="106" t="n"/>
      <c r="L198" s="106" t="n"/>
      <c r="M198" s="106" t="n"/>
      <c r="N198" s="106" t="n"/>
      <c r="O198" s="106" t="n"/>
      <c r="P198" s="106" t="n"/>
      <c r="Q198" s="106" t="n"/>
      <c r="R198" s="106" t="n"/>
      <c r="S198" s="106" t="n"/>
      <c r="T198" s="106" t="n"/>
      <c r="U198" s="106" t="n"/>
      <c r="V198" s="106" t="n"/>
      <c r="W198" s="106" t="n"/>
      <c r="X198" s="106" t="n"/>
      <c r="Y198" s="106" t="n"/>
      <c r="Z198" s="106" t="n"/>
    </row>
    <row r="199" ht="15.75" customHeight="1" s="545">
      <c r="A199" s="106" t="n"/>
      <c r="B199" s="106" t="n"/>
      <c r="C199" s="106" t="n"/>
      <c r="D199" s="106" t="n"/>
      <c r="E199" s="106" t="n"/>
      <c r="F199" s="106" t="n"/>
      <c r="G199" s="106" t="n"/>
      <c r="H199" s="106" t="n"/>
      <c r="I199" s="106" t="n"/>
      <c r="J199" s="106" t="n"/>
      <c r="K199" s="106" t="n"/>
      <c r="L199" s="106" t="n"/>
      <c r="M199" s="106" t="n"/>
      <c r="N199" s="106" t="n"/>
      <c r="O199" s="106" t="n"/>
      <c r="P199" s="106" t="n"/>
      <c r="Q199" s="106" t="n"/>
      <c r="R199" s="106" t="n"/>
      <c r="S199" s="106" t="n"/>
      <c r="T199" s="106" t="n"/>
      <c r="U199" s="106" t="n"/>
      <c r="V199" s="106" t="n"/>
      <c r="W199" s="106" t="n"/>
      <c r="X199" s="106" t="n"/>
      <c r="Y199" s="106" t="n"/>
      <c r="Z199" s="106" t="n"/>
    </row>
    <row r="200" ht="15.75" customHeight="1" s="545">
      <c r="A200" s="106" t="n"/>
      <c r="B200" s="106" t="n"/>
      <c r="C200" s="106" t="n"/>
      <c r="D200" s="106" t="n"/>
      <c r="E200" s="106" t="n"/>
      <c r="F200" s="106" t="n"/>
      <c r="G200" s="106" t="n"/>
      <c r="H200" s="106" t="n"/>
      <c r="I200" s="106" t="n"/>
      <c r="J200" s="106" t="n"/>
      <c r="K200" s="106" t="n"/>
      <c r="L200" s="106" t="n"/>
      <c r="M200" s="106" t="n"/>
      <c r="N200" s="106" t="n"/>
      <c r="O200" s="106" t="n"/>
      <c r="P200" s="106" t="n"/>
      <c r="Q200" s="106" t="n"/>
      <c r="R200" s="106" t="n"/>
      <c r="S200" s="106" t="n"/>
      <c r="T200" s="106" t="n"/>
      <c r="U200" s="106" t="n"/>
      <c r="V200" s="106" t="n"/>
      <c r="W200" s="106" t="n"/>
      <c r="X200" s="106" t="n"/>
      <c r="Y200" s="106" t="n"/>
      <c r="Z200" s="106" t="n"/>
    </row>
    <row r="201" ht="15.75" customHeight="1" s="545">
      <c r="A201" s="106" t="n"/>
      <c r="B201" s="106" t="n"/>
      <c r="C201" s="106" t="n"/>
      <c r="D201" s="106" t="n"/>
      <c r="E201" s="106" t="n"/>
      <c r="F201" s="106" t="n"/>
      <c r="G201" s="106" t="n"/>
      <c r="H201" s="106" t="n"/>
      <c r="I201" s="106" t="n"/>
      <c r="J201" s="106" t="n"/>
      <c r="K201" s="106" t="n"/>
      <c r="L201" s="106" t="n"/>
      <c r="M201" s="106" t="n"/>
      <c r="N201" s="106" t="n"/>
      <c r="O201" s="106" t="n"/>
      <c r="P201" s="106" t="n"/>
      <c r="Q201" s="106" t="n"/>
      <c r="R201" s="106" t="n"/>
      <c r="S201" s="106" t="n"/>
      <c r="T201" s="106" t="n"/>
      <c r="U201" s="106" t="n"/>
      <c r="V201" s="106" t="n"/>
      <c r="W201" s="106" t="n"/>
      <c r="X201" s="106" t="n"/>
      <c r="Y201" s="106" t="n"/>
      <c r="Z201" s="106" t="n"/>
    </row>
    <row r="202" ht="15.75" customHeight="1" s="545">
      <c r="A202" s="106" t="n"/>
      <c r="B202" s="106" t="n"/>
      <c r="C202" s="106" t="n"/>
      <c r="D202" s="106" t="n"/>
      <c r="E202" s="106" t="n"/>
      <c r="F202" s="106" t="n"/>
      <c r="G202" s="106" t="n"/>
      <c r="H202" s="106" t="n"/>
      <c r="I202" s="106" t="n"/>
      <c r="J202" s="106" t="n"/>
      <c r="K202" s="106" t="n"/>
      <c r="L202" s="106" t="n"/>
      <c r="M202" s="106" t="n"/>
      <c r="N202" s="106" t="n"/>
      <c r="O202" s="106" t="n"/>
      <c r="P202" s="106" t="n"/>
      <c r="Q202" s="106" t="n"/>
      <c r="R202" s="106" t="n"/>
      <c r="S202" s="106" t="n"/>
      <c r="T202" s="106" t="n"/>
      <c r="U202" s="106" t="n"/>
      <c r="V202" s="106" t="n"/>
      <c r="W202" s="106" t="n"/>
      <c r="X202" s="106" t="n"/>
      <c r="Y202" s="106" t="n"/>
      <c r="Z202" s="106" t="n"/>
    </row>
    <row r="203" ht="15.75" customHeight="1" s="545">
      <c r="A203" s="106" t="n"/>
      <c r="B203" s="106" t="n"/>
      <c r="C203" s="106" t="n"/>
      <c r="D203" s="106" t="n"/>
      <c r="E203" s="106" t="n"/>
      <c r="F203" s="106" t="n"/>
      <c r="G203" s="106" t="n"/>
      <c r="H203" s="106" t="n"/>
      <c r="I203" s="106" t="n"/>
      <c r="J203" s="106" t="n"/>
      <c r="K203" s="106" t="n"/>
      <c r="L203" s="106" t="n"/>
      <c r="M203" s="106" t="n"/>
      <c r="N203" s="106" t="n"/>
      <c r="O203" s="106" t="n"/>
      <c r="P203" s="106" t="n"/>
      <c r="Q203" s="106" t="n"/>
      <c r="R203" s="106" t="n"/>
      <c r="S203" s="106" t="n"/>
      <c r="T203" s="106" t="n"/>
      <c r="U203" s="106" t="n"/>
      <c r="V203" s="106" t="n"/>
      <c r="W203" s="106" t="n"/>
      <c r="X203" s="106" t="n"/>
      <c r="Y203" s="106" t="n"/>
      <c r="Z203" s="106" t="n"/>
    </row>
    <row r="204" ht="15.75" customHeight="1" s="545">
      <c r="A204" s="106" t="n"/>
      <c r="B204" s="106" t="n"/>
      <c r="C204" s="106" t="n"/>
      <c r="D204" s="106" t="n"/>
      <c r="E204" s="106" t="n"/>
      <c r="F204" s="106" t="n"/>
      <c r="G204" s="106" t="n"/>
      <c r="H204" s="106" t="n"/>
      <c r="I204" s="106" t="n"/>
      <c r="J204" s="106" t="n"/>
      <c r="K204" s="106" t="n"/>
      <c r="L204" s="106" t="n"/>
      <c r="M204" s="106" t="n"/>
      <c r="N204" s="106" t="n"/>
      <c r="O204" s="106" t="n"/>
      <c r="P204" s="106" t="n"/>
      <c r="Q204" s="106" t="n"/>
      <c r="R204" s="106" t="n"/>
      <c r="S204" s="106" t="n"/>
      <c r="T204" s="106" t="n"/>
      <c r="U204" s="106" t="n"/>
      <c r="V204" s="106" t="n"/>
      <c r="W204" s="106" t="n"/>
      <c r="X204" s="106" t="n"/>
      <c r="Y204" s="106" t="n"/>
      <c r="Z204" s="106" t="n"/>
    </row>
    <row r="205" ht="15.75" customHeight="1" s="545">
      <c r="A205" s="106" t="n"/>
      <c r="B205" s="106" t="n"/>
      <c r="C205" s="106" t="n"/>
      <c r="D205" s="106" t="n"/>
      <c r="E205" s="106" t="n"/>
      <c r="F205" s="106" t="n"/>
      <c r="G205" s="106" t="n"/>
      <c r="H205" s="106" t="n"/>
      <c r="I205" s="106" t="n"/>
      <c r="J205" s="106" t="n"/>
      <c r="K205" s="106" t="n"/>
      <c r="L205" s="106" t="n"/>
      <c r="M205" s="106" t="n"/>
      <c r="N205" s="106" t="n"/>
      <c r="O205" s="106" t="n"/>
      <c r="P205" s="106" t="n"/>
      <c r="Q205" s="106" t="n"/>
      <c r="R205" s="106" t="n"/>
      <c r="S205" s="106" t="n"/>
      <c r="T205" s="106" t="n"/>
      <c r="U205" s="106" t="n"/>
      <c r="V205" s="106" t="n"/>
      <c r="W205" s="106" t="n"/>
      <c r="X205" s="106" t="n"/>
      <c r="Y205" s="106" t="n"/>
      <c r="Z205" s="106" t="n"/>
    </row>
    <row r="206" ht="15.75" customHeight="1" s="545">
      <c r="A206" s="106" t="n"/>
      <c r="B206" s="106" t="n"/>
      <c r="C206" s="106" t="n"/>
      <c r="D206" s="106" t="n"/>
      <c r="E206" s="106" t="n"/>
      <c r="F206" s="106" t="n"/>
      <c r="G206" s="106" t="n"/>
      <c r="H206" s="106" t="n"/>
      <c r="I206" s="106" t="n"/>
      <c r="J206" s="106" t="n"/>
      <c r="K206" s="106" t="n"/>
      <c r="L206" s="106" t="n"/>
      <c r="M206" s="106" t="n"/>
      <c r="N206" s="106" t="n"/>
      <c r="O206" s="106" t="n"/>
      <c r="P206" s="106" t="n"/>
      <c r="Q206" s="106" t="n"/>
      <c r="R206" s="106" t="n"/>
      <c r="S206" s="106" t="n"/>
      <c r="T206" s="106" t="n"/>
      <c r="U206" s="106" t="n"/>
      <c r="V206" s="106" t="n"/>
      <c r="W206" s="106" t="n"/>
      <c r="X206" s="106" t="n"/>
      <c r="Y206" s="106" t="n"/>
      <c r="Z206" s="106" t="n"/>
    </row>
    <row r="207" ht="15.75" customHeight="1" s="545">
      <c r="A207" s="106" t="n"/>
      <c r="B207" s="106" t="n"/>
      <c r="C207" s="106" t="n"/>
      <c r="D207" s="106" t="n"/>
      <c r="E207" s="106" t="n"/>
      <c r="F207" s="106" t="n"/>
      <c r="G207" s="106" t="n"/>
      <c r="H207" s="106" t="n"/>
      <c r="I207" s="106" t="n"/>
      <c r="J207" s="106" t="n"/>
      <c r="K207" s="106" t="n"/>
      <c r="L207" s="106" t="n"/>
      <c r="M207" s="106" t="n"/>
      <c r="N207" s="106" t="n"/>
      <c r="O207" s="106" t="n"/>
      <c r="P207" s="106" t="n"/>
      <c r="Q207" s="106" t="n"/>
      <c r="R207" s="106" t="n"/>
      <c r="S207" s="106" t="n"/>
      <c r="T207" s="106" t="n"/>
      <c r="U207" s="106" t="n"/>
      <c r="V207" s="106" t="n"/>
      <c r="W207" s="106" t="n"/>
      <c r="X207" s="106" t="n"/>
      <c r="Y207" s="106" t="n"/>
      <c r="Z207" s="106" t="n"/>
    </row>
    <row r="208" ht="15.75" customHeight="1" s="545">
      <c r="A208" s="106" t="n"/>
      <c r="B208" s="106" t="n"/>
      <c r="C208" s="106" t="n"/>
      <c r="D208" s="106" t="n"/>
      <c r="E208" s="106" t="n"/>
      <c r="F208" s="106" t="n"/>
      <c r="G208" s="106" t="n"/>
      <c r="H208" s="106" t="n"/>
      <c r="I208" s="106" t="n"/>
      <c r="J208" s="106" t="n"/>
      <c r="K208" s="106" t="n"/>
      <c r="L208" s="106" t="n"/>
      <c r="M208" s="106" t="n"/>
      <c r="N208" s="106" t="n"/>
      <c r="O208" s="106" t="n"/>
      <c r="P208" s="106" t="n"/>
      <c r="Q208" s="106" t="n"/>
      <c r="R208" s="106" t="n"/>
      <c r="S208" s="106" t="n"/>
      <c r="T208" s="106" t="n"/>
      <c r="U208" s="106" t="n"/>
      <c r="V208" s="106" t="n"/>
      <c r="W208" s="106" t="n"/>
      <c r="X208" s="106" t="n"/>
      <c r="Y208" s="106" t="n"/>
      <c r="Z208" s="106" t="n"/>
    </row>
    <row r="209" ht="15.75" customHeight="1" s="545">
      <c r="A209" s="106" t="n"/>
      <c r="B209" s="106" t="n"/>
      <c r="C209" s="106" t="n"/>
      <c r="D209" s="106" t="n"/>
      <c r="E209" s="106" t="n"/>
      <c r="F209" s="106" t="n"/>
      <c r="G209" s="106" t="n"/>
      <c r="H209" s="106" t="n"/>
      <c r="I209" s="106" t="n"/>
      <c r="J209" s="106" t="n"/>
      <c r="K209" s="106" t="n"/>
      <c r="L209" s="106" t="n"/>
      <c r="M209" s="106" t="n"/>
      <c r="N209" s="106" t="n"/>
      <c r="O209" s="106" t="n"/>
      <c r="P209" s="106" t="n"/>
      <c r="Q209" s="106" t="n"/>
      <c r="R209" s="106" t="n"/>
      <c r="S209" s="106" t="n"/>
      <c r="T209" s="106" t="n"/>
      <c r="U209" s="106" t="n"/>
      <c r="V209" s="106" t="n"/>
      <c r="W209" s="106" t="n"/>
      <c r="X209" s="106" t="n"/>
      <c r="Y209" s="106" t="n"/>
      <c r="Z209" s="106" t="n"/>
    </row>
    <row r="210" ht="15.75" customHeight="1" s="545">
      <c r="A210" s="106" t="n"/>
      <c r="B210" s="106" t="n"/>
      <c r="C210" s="106" t="n"/>
      <c r="D210" s="106" t="n"/>
      <c r="E210" s="106" t="n"/>
      <c r="F210" s="106" t="n"/>
      <c r="G210" s="106" t="n"/>
      <c r="H210" s="106" t="n"/>
      <c r="I210" s="106" t="n"/>
      <c r="J210" s="106" t="n"/>
      <c r="K210" s="106" t="n"/>
      <c r="L210" s="106" t="n"/>
      <c r="M210" s="106" t="n"/>
      <c r="N210" s="106" t="n"/>
      <c r="O210" s="106" t="n"/>
      <c r="P210" s="106" t="n"/>
      <c r="Q210" s="106" t="n"/>
      <c r="R210" s="106" t="n"/>
      <c r="S210" s="106" t="n"/>
      <c r="T210" s="106" t="n"/>
      <c r="U210" s="106" t="n"/>
      <c r="V210" s="106" t="n"/>
      <c r="W210" s="106" t="n"/>
      <c r="X210" s="106" t="n"/>
      <c r="Y210" s="106" t="n"/>
      <c r="Z210" s="106" t="n"/>
    </row>
    <row r="211" ht="15.75" customHeight="1" s="545">
      <c r="A211" s="106" t="n"/>
      <c r="B211" s="106" t="n"/>
      <c r="C211" s="106" t="n"/>
      <c r="D211" s="106" t="n"/>
      <c r="E211" s="106" t="n"/>
      <c r="F211" s="106" t="n"/>
      <c r="G211" s="106" t="n"/>
      <c r="H211" s="106" t="n"/>
      <c r="I211" s="106" t="n"/>
      <c r="J211" s="106" t="n"/>
      <c r="K211" s="106" t="n"/>
      <c r="L211" s="106" t="n"/>
      <c r="M211" s="106" t="n"/>
      <c r="N211" s="106" t="n"/>
      <c r="O211" s="106" t="n"/>
      <c r="P211" s="106" t="n"/>
      <c r="Q211" s="106" t="n"/>
      <c r="R211" s="106" t="n"/>
      <c r="S211" s="106" t="n"/>
      <c r="T211" s="106" t="n"/>
      <c r="U211" s="106" t="n"/>
      <c r="V211" s="106" t="n"/>
      <c r="W211" s="106" t="n"/>
      <c r="X211" s="106" t="n"/>
      <c r="Y211" s="106" t="n"/>
      <c r="Z211" s="106" t="n"/>
    </row>
    <row r="212" ht="15.75" customHeight="1" s="545">
      <c r="A212" s="106" t="n"/>
      <c r="B212" s="106" t="n"/>
      <c r="C212" s="106" t="n"/>
      <c r="D212" s="106" t="n"/>
      <c r="E212" s="106" t="n"/>
      <c r="F212" s="106" t="n"/>
      <c r="G212" s="106" t="n"/>
      <c r="H212" s="106" t="n"/>
      <c r="I212" s="106" t="n"/>
      <c r="J212" s="106" t="n"/>
      <c r="K212" s="106" t="n"/>
      <c r="L212" s="106" t="n"/>
      <c r="M212" s="106" t="n"/>
      <c r="N212" s="106" t="n"/>
      <c r="O212" s="106" t="n"/>
      <c r="P212" s="106" t="n"/>
      <c r="Q212" s="106" t="n"/>
      <c r="R212" s="106" t="n"/>
      <c r="S212" s="106" t="n"/>
      <c r="T212" s="106" t="n"/>
      <c r="U212" s="106" t="n"/>
      <c r="V212" s="106" t="n"/>
      <c r="W212" s="106" t="n"/>
      <c r="X212" s="106" t="n"/>
      <c r="Y212" s="106" t="n"/>
      <c r="Z212" s="106" t="n"/>
    </row>
    <row r="213" ht="15.75" customHeight="1" s="545">
      <c r="A213" s="106" t="n"/>
      <c r="B213" s="106" t="n"/>
      <c r="C213" s="106" t="n"/>
      <c r="D213" s="106" t="n"/>
      <c r="E213" s="106" t="n"/>
      <c r="F213" s="106" t="n"/>
      <c r="G213" s="106" t="n"/>
      <c r="H213" s="106" t="n"/>
      <c r="I213" s="106" t="n"/>
      <c r="J213" s="106" t="n"/>
      <c r="K213" s="106" t="n"/>
      <c r="L213" s="106" t="n"/>
      <c r="M213" s="106" t="n"/>
      <c r="N213" s="106" t="n"/>
      <c r="O213" s="106" t="n"/>
      <c r="P213" s="106" t="n"/>
      <c r="Q213" s="106" t="n"/>
      <c r="R213" s="106" t="n"/>
      <c r="S213" s="106" t="n"/>
      <c r="T213" s="106" t="n"/>
      <c r="U213" s="106" t="n"/>
      <c r="V213" s="106" t="n"/>
      <c r="W213" s="106" t="n"/>
      <c r="X213" s="106" t="n"/>
      <c r="Y213" s="106" t="n"/>
      <c r="Z213" s="106" t="n"/>
    </row>
    <row r="214" ht="15.75" customHeight="1" s="545">
      <c r="A214" s="106" t="n"/>
      <c r="B214" s="106" t="n"/>
      <c r="C214" s="106" t="n"/>
      <c r="D214" s="106" t="n"/>
      <c r="E214" s="106" t="n"/>
      <c r="F214" s="106" t="n"/>
      <c r="G214" s="106" t="n"/>
      <c r="H214" s="106" t="n"/>
      <c r="I214" s="106" t="n"/>
      <c r="J214" s="106" t="n"/>
      <c r="K214" s="106" t="n"/>
      <c r="L214" s="106" t="n"/>
      <c r="M214" s="106" t="n"/>
      <c r="N214" s="106" t="n"/>
      <c r="O214" s="106" t="n"/>
      <c r="P214" s="106" t="n"/>
      <c r="Q214" s="106" t="n"/>
      <c r="R214" s="106" t="n"/>
      <c r="S214" s="106" t="n"/>
      <c r="T214" s="106" t="n"/>
      <c r="U214" s="106" t="n"/>
      <c r="V214" s="106" t="n"/>
      <c r="W214" s="106" t="n"/>
      <c r="X214" s="106" t="n"/>
      <c r="Y214" s="106" t="n"/>
      <c r="Z214" s="106" t="n"/>
    </row>
    <row r="215" ht="15.75" customHeight="1" s="545">
      <c r="A215" s="106" t="n"/>
      <c r="B215" s="106" t="n"/>
      <c r="C215" s="106" t="n"/>
      <c r="D215" s="106" t="n"/>
      <c r="E215" s="106" t="n"/>
      <c r="F215" s="106" t="n"/>
      <c r="G215" s="106" t="n"/>
      <c r="H215" s="106" t="n"/>
      <c r="I215" s="106" t="n"/>
      <c r="J215" s="106" t="n"/>
      <c r="K215" s="106" t="n"/>
      <c r="L215" s="106" t="n"/>
      <c r="M215" s="106" t="n"/>
      <c r="N215" s="106" t="n"/>
      <c r="O215" s="106" t="n"/>
      <c r="P215" s="106" t="n"/>
      <c r="Q215" s="106" t="n"/>
      <c r="R215" s="106" t="n"/>
      <c r="S215" s="106" t="n"/>
      <c r="T215" s="106" t="n"/>
      <c r="U215" s="106" t="n"/>
      <c r="V215" s="106" t="n"/>
      <c r="W215" s="106" t="n"/>
      <c r="X215" s="106" t="n"/>
      <c r="Y215" s="106" t="n"/>
      <c r="Z215" s="106" t="n"/>
    </row>
    <row r="216" ht="15.75" customHeight="1" s="545">
      <c r="A216" s="106" t="n"/>
      <c r="B216" s="106" t="n"/>
      <c r="C216" s="106" t="n"/>
      <c r="D216" s="106" t="n"/>
      <c r="E216" s="106" t="n"/>
      <c r="F216" s="106" t="n"/>
      <c r="G216" s="106" t="n"/>
      <c r="H216" s="106" t="n"/>
      <c r="I216" s="106" t="n"/>
      <c r="J216" s="106" t="n"/>
      <c r="K216" s="106" t="n"/>
      <c r="L216" s="106" t="n"/>
      <c r="M216" s="106" t="n"/>
      <c r="N216" s="106" t="n"/>
      <c r="O216" s="106" t="n"/>
      <c r="P216" s="106" t="n"/>
      <c r="Q216" s="106" t="n"/>
      <c r="R216" s="106" t="n"/>
      <c r="S216" s="106" t="n"/>
      <c r="T216" s="106" t="n"/>
      <c r="U216" s="106" t="n"/>
      <c r="V216" s="106" t="n"/>
      <c r="W216" s="106" t="n"/>
      <c r="X216" s="106" t="n"/>
      <c r="Y216" s="106" t="n"/>
      <c r="Z216" s="106" t="n"/>
    </row>
    <row r="217" ht="15.75" customHeight="1" s="545">
      <c r="A217" s="106" t="n"/>
      <c r="B217" s="106" t="n"/>
      <c r="C217" s="106" t="n"/>
      <c r="D217" s="106" t="n"/>
      <c r="E217" s="106" t="n"/>
      <c r="F217" s="106" t="n"/>
      <c r="G217" s="106" t="n"/>
      <c r="H217" s="106" t="n"/>
      <c r="I217" s="106" t="n"/>
      <c r="J217" s="106" t="n"/>
      <c r="K217" s="106" t="n"/>
      <c r="L217" s="106" t="n"/>
      <c r="M217" s="106" t="n"/>
      <c r="N217" s="106" t="n"/>
      <c r="O217" s="106" t="n"/>
      <c r="P217" s="106" t="n"/>
      <c r="Q217" s="106" t="n"/>
      <c r="R217" s="106" t="n"/>
      <c r="S217" s="106" t="n"/>
      <c r="T217" s="106" t="n"/>
      <c r="U217" s="106" t="n"/>
      <c r="V217" s="106" t="n"/>
      <c r="W217" s="106" t="n"/>
      <c r="X217" s="106" t="n"/>
      <c r="Y217" s="106" t="n"/>
      <c r="Z217" s="106" t="n"/>
    </row>
    <row r="218" ht="15.75" customHeight="1" s="545">
      <c r="A218" s="106" t="n"/>
      <c r="B218" s="106" t="n"/>
      <c r="C218" s="106" t="n"/>
      <c r="D218" s="106" t="n"/>
      <c r="E218" s="106" t="n"/>
      <c r="F218" s="106" t="n"/>
      <c r="G218" s="106" t="n"/>
      <c r="H218" s="106" t="n"/>
      <c r="I218" s="106" t="n"/>
      <c r="J218" s="106" t="n"/>
      <c r="K218" s="106" t="n"/>
      <c r="L218" s="106" t="n"/>
      <c r="M218" s="106" t="n"/>
      <c r="N218" s="106" t="n"/>
      <c r="O218" s="106" t="n"/>
      <c r="P218" s="106" t="n"/>
      <c r="Q218" s="106" t="n"/>
      <c r="R218" s="106" t="n"/>
      <c r="S218" s="106" t="n"/>
      <c r="T218" s="106" t="n"/>
      <c r="U218" s="106" t="n"/>
      <c r="V218" s="106" t="n"/>
      <c r="W218" s="106" t="n"/>
      <c r="X218" s="106" t="n"/>
      <c r="Y218" s="106" t="n"/>
      <c r="Z218" s="106" t="n"/>
    </row>
    <row r="219" ht="15.75" customHeight="1" s="545">
      <c r="A219" s="106" t="n"/>
      <c r="B219" s="106" t="n"/>
      <c r="C219" s="106" t="n"/>
      <c r="D219" s="106" t="n"/>
      <c r="E219" s="106" t="n"/>
      <c r="F219" s="106" t="n"/>
      <c r="G219" s="106" t="n"/>
      <c r="H219" s="106" t="n"/>
      <c r="I219" s="106" t="n"/>
      <c r="J219" s="106" t="n"/>
      <c r="K219" s="106" t="n"/>
      <c r="L219" s="106" t="n"/>
      <c r="M219" s="106" t="n"/>
      <c r="N219" s="106" t="n"/>
      <c r="O219" s="106" t="n"/>
      <c r="P219" s="106" t="n"/>
      <c r="Q219" s="106" t="n"/>
      <c r="R219" s="106" t="n"/>
      <c r="S219" s="106" t="n"/>
      <c r="T219" s="106" t="n"/>
      <c r="U219" s="106" t="n"/>
      <c r="V219" s="106" t="n"/>
      <c r="W219" s="106" t="n"/>
      <c r="X219" s="106" t="n"/>
      <c r="Y219" s="106" t="n"/>
      <c r="Z219" s="106" t="n"/>
    </row>
    <row r="220" ht="15.75" customHeight="1" s="545">
      <c r="A220" s="106" t="n"/>
      <c r="B220" s="106" t="n"/>
      <c r="C220" s="106" t="n"/>
      <c r="D220" s="106" t="n"/>
      <c r="E220" s="106" t="n"/>
      <c r="F220" s="106" t="n"/>
      <c r="G220" s="106" t="n"/>
      <c r="H220" s="106" t="n"/>
      <c r="I220" s="106" t="n"/>
      <c r="J220" s="106" t="n"/>
      <c r="K220" s="106" t="n"/>
      <c r="L220" s="106" t="n"/>
      <c r="M220" s="106" t="n"/>
      <c r="N220" s="106" t="n"/>
      <c r="O220" s="106" t="n"/>
      <c r="P220" s="106" t="n"/>
      <c r="Q220" s="106" t="n"/>
      <c r="R220" s="106" t="n"/>
      <c r="S220" s="106" t="n"/>
      <c r="T220" s="106" t="n"/>
      <c r="U220" s="106" t="n"/>
      <c r="V220" s="106" t="n"/>
      <c r="W220" s="106" t="n"/>
      <c r="X220" s="106" t="n"/>
      <c r="Y220" s="106" t="n"/>
      <c r="Z220" s="106" t="n"/>
    </row>
    <row r="221" ht="15.75" customHeight="1" s="545">
      <c r="A221" s="106" t="n"/>
      <c r="B221" s="106" t="n"/>
      <c r="C221" s="106" t="n"/>
      <c r="D221" s="106" t="n"/>
      <c r="E221" s="106" t="n"/>
      <c r="F221" s="106" t="n"/>
      <c r="G221" s="106" t="n"/>
      <c r="H221" s="106" t="n"/>
      <c r="I221" s="106" t="n"/>
      <c r="J221" s="106" t="n"/>
      <c r="K221" s="106" t="n"/>
      <c r="L221" s="106" t="n"/>
      <c r="M221" s="106" t="n"/>
      <c r="N221" s="106" t="n"/>
      <c r="O221" s="106" t="n"/>
      <c r="P221" s="106" t="n"/>
      <c r="Q221" s="106" t="n"/>
      <c r="R221" s="106" t="n"/>
      <c r="S221" s="106" t="n"/>
      <c r="T221" s="106" t="n"/>
      <c r="U221" s="106" t="n"/>
      <c r="V221" s="106" t="n"/>
      <c r="W221" s="106" t="n"/>
      <c r="X221" s="106" t="n"/>
      <c r="Y221" s="106" t="n"/>
      <c r="Z221" s="106" t="n"/>
    </row>
    <row r="222" ht="15.75" customHeight="1" s="545">
      <c r="A222" s="106" t="n"/>
      <c r="B222" s="106" t="n"/>
      <c r="C222" s="106" t="n"/>
      <c r="D222" s="106" t="n"/>
      <c r="E222" s="106" t="n"/>
      <c r="F222" s="106" t="n"/>
      <c r="G222" s="106" t="n"/>
      <c r="H222" s="106" t="n"/>
      <c r="I222" s="106" t="n"/>
      <c r="J222" s="106" t="n"/>
      <c r="K222" s="106" t="n"/>
      <c r="L222" s="106" t="n"/>
      <c r="M222" s="106" t="n"/>
      <c r="N222" s="106" t="n"/>
      <c r="O222" s="106" t="n"/>
      <c r="P222" s="106" t="n"/>
      <c r="Q222" s="106" t="n"/>
      <c r="R222" s="106" t="n"/>
      <c r="S222" s="106" t="n"/>
      <c r="T222" s="106" t="n"/>
      <c r="U222" s="106" t="n"/>
      <c r="V222" s="106" t="n"/>
      <c r="W222" s="106" t="n"/>
      <c r="X222" s="106" t="n"/>
      <c r="Y222" s="106" t="n"/>
      <c r="Z222" s="106" t="n"/>
    </row>
    <row r="223" ht="15.75" customHeight="1" s="545">
      <c r="A223" s="106" t="n"/>
      <c r="B223" s="106" t="n"/>
      <c r="C223" s="106" t="n"/>
      <c r="D223" s="106" t="n"/>
      <c r="E223" s="106" t="n"/>
      <c r="F223" s="106" t="n"/>
      <c r="G223" s="106" t="n"/>
      <c r="H223" s="106" t="n"/>
      <c r="I223" s="106" t="n"/>
      <c r="J223" s="106" t="n"/>
      <c r="K223" s="106" t="n"/>
      <c r="L223" s="106" t="n"/>
      <c r="M223" s="106" t="n"/>
      <c r="N223" s="106" t="n"/>
      <c r="O223" s="106" t="n"/>
      <c r="P223" s="106" t="n"/>
      <c r="Q223" s="106" t="n"/>
      <c r="R223" s="106" t="n"/>
      <c r="S223" s="106" t="n"/>
      <c r="T223" s="106" t="n"/>
      <c r="U223" s="106" t="n"/>
      <c r="V223" s="106" t="n"/>
      <c r="W223" s="106" t="n"/>
      <c r="X223" s="106" t="n"/>
      <c r="Y223" s="106" t="n"/>
      <c r="Z223" s="106" t="n"/>
    </row>
    <row r="224" ht="15.75" customHeight="1" s="545">
      <c r="A224" s="106" t="n"/>
      <c r="B224" s="106" t="n"/>
      <c r="C224" s="106" t="n"/>
      <c r="D224" s="106" t="n"/>
      <c r="E224" s="106" t="n"/>
      <c r="F224" s="106" t="n"/>
      <c r="G224" s="106" t="n"/>
      <c r="H224" s="106" t="n"/>
      <c r="I224" s="106" t="n"/>
      <c r="J224" s="106" t="n"/>
      <c r="K224" s="106" t="n"/>
      <c r="L224" s="106" t="n"/>
      <c r="M224" s="106" t="n"/>
      <c r="N224" s="106" t="n"/>
      <c r="O224" s="106" t="n"/>
      <c r="P224" s="106" t="n"/>
      <c r="Q224" s="106" t="n"/>
      <c r="R224" s="106" t="n"/>
      <c r="S224" s="106" t="n"/>
      <c r="T224" s="106" t="n"/>
      <c r="U224" s="106" t="n"/>
      <c r="V224" s="106" t="n"/>
      <c r="W224" s="106" t="n"/>
      <c r="X224" s="106" t="n"/>
      <c r="Y224" s="106" t="n"/>
      <c r="Z224" s="106" t="n"/>
    </row>
    <row r="225" ht="15.75" customHeight="1" s="545">
      <c r="A225" s="106" t="n"/>
      <c r="B225" s="106" t="n"/>
      <c r="C225" s="106" t="n"/>
      <c r="D225" s="106" t="n"/>
      <c r="E225" s="106" t="n"/>
      <c r="F225" s="106" t="n"/>
      <c r="G225" s="106" t="n"/>
      <c r="H225" s="106" t="n"/>
      <c r="I225" s="106" t="n"/>
      <c r="J225" s="106" t="n"/>
      <c r="K225" s="106" t="n"/>
      <c r="L225" s="106" t="n"/>
      <c r="M225" s="106" t="n"/>
      <c r="N225" s="106" t="n"/>
      <c r="O225" s="106" t="n"/>
      <c r="P225" s="106" t="n"/>
      <c r="Q225" s="106" t="n"/>
      <c r="R225" s="106" t="n"/>
      <c r="S225" s="106" t="n"/>
      <c r="T225" s="106" t="n"/>
      <c r="U225" s="106" t="n"/>
      <c r="V225" s="106" t="n"/>
      <c r="W225" s="106" t="n"/>
      <c r="X225" s="106" t="n"/>
      <c r="Y225" s="106" t="n"/>
      <c r="Z225" s="106" t="n"/>
    </row>
    <row r="226" ht="15.75" customHeight="1" s="545">
      <c r="A226" s="106" t="n"/>
      <c r="B226" s="106" t="n"/>
      <c r="C226" s="106" t="n"/>
      <c r="D226" s="106" t="n"/>
      <c r="E226" s="106" t="n"/>
      <c r="F226" s="106" t="n"/>
      <c r="G226" s="106" t="n"/>
      <c r="H226" s="106" t="n"/>
      <c r="I226" s="106" t="n"/>
      <c r="J226" s="106" t="n"/>
      <c r="K226" s="106" t="n"/>
      <c r="L226" s="106" t="n"/>
      <c r="M226" s="106" t="n"/>
      <c r="N226" s="106" t="n"/>
      <c r="O226" s="106" t="n"/>
      <c r="P226" s="106" t="n"/>
      <c r="Q226" s="106" t="n"/>
      <c r="R226" s="106" t="n"/>
      <c r="S226" s="106" t="n"/>
      <c r="T226" s="106" t="n"/>
      <c r="U226" s="106" t="n"/>
      <c r="V226" s="106" t="n"/>
      <c r="W226" s="106" t="n"/>
      <c r="X226" s="106" t="n"/>
      <c r="Y226" s="106" t="n"/>
      <c r="Z226" s="106" t="n"/>
    </row>
    <row r="227" ht="15.75" customHeight="1" s="545">
      <c r="A227" s="106" t="n"/>
      <c r="B227" s="106" t="n"/>
      <c r="C227" s="106" t="n"/>
      <c r="D227" s="106" t="n"/>
      <c r="E227" s="106" t="n"/>
      <c r="F227" s="106" t="n"/>
      <c r="G227" s="106" t="n"/>
      <c r="H227" s="106" t="n"/>
      <c r="I227" s="106" t="n"/>
      <c r="J227" s="106" t="n"/>
      <c r="K227" s="106" t="n"/>
      <c r="L227" s="106" t="n"/>
      <c r="M227" s="106" t="n"/>
      <c r="N227" s="106" t="n"/>
      <c r="O227" s="106" t="n"/>
      <c r="P227" s="106" t="n"/>
      <c r="Q227" s="106" t="n"/>
      <c r="R227" s="106" t="n"/>
      <c r="S227" s="106" t="n"/>
      <c r="T227" s="106" t="n"/>
      <c r="U227" s="106" t="n"/>
      <c r="V227" s="106" t="n"/>
      <c r="W227" s="106" t="n"/>
      <c r="X227" s="106" t="n"/>
      <c r="Y227" s="106" t="n"/>
      <c r="Z227" s="106" t="n"/>
    </row>
    <row r="228" ht="15.75" customHeight="1" s="545">
      <c r="A228" s="106" t="n"/>
      <c r="B228" s="106" t="n"/>
      <c r="C228" s="106" t="n"/>
      <c r="D228" s="106" t="n"/>
      <c r="E228" s="106" t="n"/>
      <c r="F228" s="106" t="n"/>
      <c r="G228" s="106" t="n"/>
      <c r="H228" s="106" t="n"/>
      <c r="I228" s="106" t="n"/>
      <c r="J228" s="106" t="n"/>
      <c r="K228" s="106" t="n"/>
      <c r="L228" s="106" t="n"/>
      <c r="M228" s="106" t="n"/>
      <c r="N228" s="106" t="n"/>
      <c r="O228" s="106" t="n"/>
      <c r="P228" s="106" t="n"/>
      <c r="Q228" s="106" t="n"/>
      <c r="R228" s="106" t="n"/>
      <c r="S228" s="106" t="n"/>
      <c r="T228" s="106" t="n"/>
      <c r="U228" s="106" t="n"/>
      <c r="V228" s="106" t="n"/>
      <c r="W228" s="106" t="n"/>
      <c r="X228" s="106" t="n"/>
      <c r="Y228" s="106" t="n"/>
      <c r="Z228" s="106" t="n"/>
    </row>
    <row r="229" ht="15.75" customHeight="1" s="545">
      <c r="A229" s="106" t="n"/>
      <c r="B229" s="106" t="n"/>
      <c r="C229" s="106" t="n"/>
      <c r="D229" s="106" t="n"/>
      <c r="E229" s="106" t="n"/>
      <c r="F229" s="106" t="n"/>
      <c r="G229" s="106" t="n"/>
      <c r="H229" s="106" t="n"/>
      <c r="I229" s="106" t="n"/>
      <c r="J229" s="106" t="n"/>
      <c r="K229" s="106" t="n"/>
      <c r="L229" s="106" t="n"/>
      <c r="M229" s="106" t="n"/>
      <c r="N229" s="106" t="n"/>
      <c r="O229" s="106" t="n"/>
      <c r="P229" s="106" t="n"/>
      <c r="Q229" s="106" t="n"/>
      <c r="R229" s="106" t="n"/>
      <c r="S229" s="106" t="n"/>
      <c r="T229" s="106" t="n"/>
      <c r="U229" s="106" t="n"/>
      <c r="V229" s="106" t="n"/>
      <c r="W229" s="106" t="n"/>
      <c r="X229" s="106" t="n"/>
      <c r="Y229" s="106" t="n"/>
      <c r="Z229" s="106" t="n"/>
    </row>
    <row r="230" ht="15.75" customHeight="1" s="545">
      <c r="A230" s="106" t="n"/>
      <c r="B230" s="106" t="n"/>
      <c r="C230" s="106" t="n"/>
      <c r="D230" s="106" t="n"/>
      <c r="E230" s="106" t="n"/>
      <c r="F230" s="106" t="n"/>
      <c r="G230" s="106" t="n"/>
      <c r="H230" s="106" t="n"/>
      <c r="I230" s="106" t="n"/>
      <c r="J230" s="106" t="n"/>
      <c r="K230" s="106" t="n"/>
      <c r="L230" s="106" t="n"/>
      <c r="M230" s="106" t="n"/>
      <c r="N230" s="106" t="n"/>
      <c r="O230" s="106" t="n"/>
      <c r="P230" s="106" t="n"/>
      <c r="Q230" s="106" t="n"/>
      <c r="R230" s="106" t="n"/>
      <c r="S230" s="106" t="n"/>
      <c r="T230" s="106" t="n"/>
      <c r="U230" s="106" t="n"/>
      <c r="V230" s="106" t="n"/>
      <c r="W230" s="106" t="n"/>
      <c r="X230" s="106" t="n"/>
      <c r="Y230" s="106" t="n"/>
      <c r="Z230" s="106" t="n"/>
    </row>
    <row r="231" ht="15.75" customHeight="1" s="545">
      <c r="A231" s="106" t="n"/>
      <c r="B231" s="106" t="n"/>
      <c r="C231" s="106" t="n"/>
      <c r="D231" s="106" t="n"/>
      <c r="E231" s="106" t="n"/>
      <c r="F231" s="106" t="n"/>
      <c r="G231" s="106" t="n"/>
      <c r="H231" s="106" t="n"/>
      <c r="I231" s="106" t="n"/>
      <c r="J231" s="106" t="n"/>
      <c r="K231" s="106" t="n"/>
      <c r="L231" s="106" t="n"/>
      <c r="M231" s="106" t="n"/>
      <c r="N231" s="106" t="n"/>
      <c r="O231" s="106" t="n"/>
      <c r="P231" s="106" t="n"/>
      <c r="Q231" s="106" t="n"/>
      <c r="R231" s="106" t="n"/>
      <c r="S231" s="106" t="n"/>
      <c r="T231" s="106" t="n"/>
      <c r="U231" s="106" t="n"/>
      <c r="V231" s="106" t="n"/>
      <c r="W231" s="106" t="n"/>
      <c r="X231" s="106" t="n"/>
      <c r="Y231" s="106" t="n"/>
      <c r="Z231" s="106" t="n"/>
    </row>
    <row r="232" ht="15.75" customHeight="1" s="545">
      <c r="A232" s="106" t="n"/>
      <c r="B232" s="106" t="n"/>
      <c r="C232" s="106" t="n"/>
      <c r="D232" s="106" t="n"/>
      <c r="E232" s="106" t="n"/>
      <c r="F232" s="106" t="n"/>
      <c r="G232" s="106" t="n"/>
      <c r="H232" s="106" t="n"/>
      <c r="I232" s="106" t="n"/>
      <c r="J232" s="106" t="n"/>
      <c r="K232" s="106" t="n"/>
      <c r="L232" s="106" t="n"/>
      <c r="M232" s="106" t="n"/>
      <c r="N232" s="106" t="n"/>
      <c r="O232" s="106" t="n"/>
      <c r="P232" s="106" t="n"/>
      <c r="Q232" s="106" t="n"/>
      <c r="R232" s="106" t="n"/>
      <c r="S232" s="106" t="n"/>
      <c r="T232" s="106" t="n"/>
      <c r="U232" s="106" t="n"/>
      <c r="V232" s="106" t="n"/>
      <c r="W232" s="106" t="n"/>
      <c r="X232" s="106" t="n"/>
      <c r="Y232" s="106" t="n"/>
      <c r="Z232" s="106" t="n"/>
    </row>
    <row r="233" ht="15.75" customHeight="1" s="545">
      <c r="A233" s="106" t="n"/>
      <c r="B233" s="106" t="n"/>
      <c r="C233" s="106" t="n"/>
      <c r="D233" s="106" t="n"/>
      <c r="E233" s="106" t="n"/>
      <c r="F233" s="106" t="n"/>
      <c r="G233" s="106" t="n"/>
      <c r="H233" s="106" t="n"/>
      <c r="I233" s="106" t="n"/>
      <c r="J233" s="106" t="n"/>
      <c r="K233" s="106" t="n"/>
      <c r="L233" s="106" t="n"/>
      <c r="M233" s="106" t="n"/>
      <c r="N233" s="106" t="n"/>
      <c r="O233" s="106" t="n"/>
      <c r="P233" s="106" t="n"/>
      <c r="Q233" s="106" t="n"/>
      <c r="R233" s="106" t="n"/>
      <c r="S233" s="106" t="n"/>
      <c r="T233" s="106" t="n"/>
      <c r="U233" s="106" t="n"/>
      <c r="V233" s="106" t="n"/>
      <c r="W233" s="106" t="n"/>
      <c r="X233" s="106" t="n"/>
      <c r="Y233" s="106" t="n"/>
      <c r="Z233" s="106" t="n"/>
    </row>
    <row r="234" ht="15.75" customHeight="1" s="545">
      <c r="A234" s="106" t="n"/>
      <c r="B234" s="106" t="n"/>
      <c r="C234" s="106" t="n"/>
      <c r="D234" s="106" t="n"/>
      <c r="E234" s="106" t="n"/>
      <c r="F234" s="106" t="n"/>
      <c r="G234" s="106" t="n"/>
      <c r="H234" s="106" t="n"/>
      <c r="I234" s="106" t="n"/>
      <c r="J234" s="106" t="n"/>
      <c r="K234" s="106" t="n"/>
      <c r="L234" s="106" t="n"/>
      <c r="M234" s="106" t="n"/>
      <c r="N234" s="106" t="n"/>
      <c r="O234" s="106" t="n"/>
      <c r="P234" s="106" t="n"/>
      <c r="Q234" s="106" t="n"/>
      <c r="R234" s="106" t="n"/>
      <c r="S234" s="106" t="n"/>
      <c r="T234" s="106" t="n"/>
      <c r="U234" s="106" t="n"/>
      <c r="V234" s="106" t="n"/>
      <c r="W234" s="106" t="n"/>
      <c r="X234" s="106" t="n"/>
      <c r="Y234" s="106" t="n"/>
      <c r="Z234" s="106" t="n"/>
    </row>
    <row r="235" ht="15.75" customHeight="1" s="545">
      <c r="A235" s="106" t="n"/>
      <c r="B235" s="106" t="n"/>
      <c r="C235" s="106" t="n"/>
      <c r="D235" s="106" t="n"/>
      <c r="E235" s="106" t="n"/>
      <c r="F235" s="106" t="n"/>
      <c r="G235" s="106" t="n"/>
      <c r="H235" s="106" t="n"/>
      <c r="I235" s="106" t="n"/>
      <c r="J235" s="106" t="n"/>
      <c r="K235" s="106" t="n"/>
      <c r="L235" s="106" t="n"/>
      <c r="M235" s="106" t="n"/>
      <c r="N235" s="106" t="n"/>
      <c r="O235" s="106" t="n"/>
      <c r="P235" s="106" t="n"/>
      <c r="Q235" s="106" t="n"/>
      <c r="R235" s="106" t="n"/>
      <c r="S235" s="106" t="n"/>
      <c r="T235" s="106" t="n"/>
      <c r="U235" s="106" t="n"/>
      <c r="V235" s="106" t="n"/>
      <c r="W235" s="106" t="n"/>
      <c r="X235" s="106" t="n"/>
      <c r="Y235" s="106" t="n"/>
      <c r="Z235" s="106" t="n"/>
    </row>
    <row r="236" ht="15.75" customHeight="1" s="545">
      <c r="A236" s="106" t="n"/>
      <c r="B236" s="106" t="n"/>
      <c r="C236" s="106" t="n"/>
      <c r="D236" s="106" t="n"/>
      <c r="E236" s="106" t="n"/>
      <c r="F236" s="106" t="n"/>
      <c r="G236" s="106" t="n"/>
      <c r="H236" s="106" t="n"/>
      <c r="I236" s="106" t="n"/>
      <c r="J236" s="106" t="n"/>
      <c r="K236" s="106" t="n"/>
      <c r="L236" s="106" t="n"/>
      <c r="M236" s="106" t="n"/>
      <c r="N236" s="106" t="n"/>
      <c r="O236" s="106" t="n"/>
      <c r="P236" s="106" t="n"/>
      <c r="Q236" s="106" t="n"/>
      <c r="R236" s="106" t="n"/>
      <c r="S236" s="106" t="n"/>
      <c r="T236" s="106" t="n"/>
      <c r="U236" s="106" t="n"/>
      <c r="V236" s="106" t="n"/>
      <c r="W236" s="106" t="n"/>
      <c r="X236" s="106" t="n"/>
      <c r="Y236" s="106" t="n"/>
      <c r="Z236" s="106" t="n"/>
    </row>
    <row r="237" ht="15.75" customHeight="1" s="545">
      <c r="A237" s="106" t="n"/>
      <c r="B237" s="106" t="n"/>
      <c r="C237" s="106" t="n"/>
      <c r="D237" s="106" t="n"/>
      <c r="E237" s="106" t="n"/>
      <c r="F237" s="106" t="n"/>
      <c r="G237" s="106" t="n"/>
      <c r="H237" s="106" t="n"/>
      <c r="I237" s="106" t="n"/>
      <c r="J237" s="106" t="n"/>
      <c r="K237" s="106" t="n"/>
      <c r="L237" s="106" t="n"/>
      <c r="M237" s="106" t="n"/>
      <c r="N237" s="106" t="n"/>
      <c r="O237" s="106" t="n"/>
      <c r="P237" s="106" t="n"/>
      <c r="Q237" s="106" t="n"/>
      <c r="R237" s="106" t="n"/>
      <c r="S237" s="106" t="n"/>
      <c r="T237" s="106" t="n"/>
      <c r="U237" s="106" t="n"/>
      <c r="V237" s="106" t="n"/>
      <c r="W237" s="106" t="n"/>
      <c r="X237" s="106" t="n"/>
      <c r="Y237" s="106" t="n"/>
      <c r="Z237" s="106" t="n"/>
    </row>
    <row r="238" ht="15.75" customHeight="1" s="545">
      <c r="A238" s="106" t="n"/>
      <c r="B238" s="106" t="n"/>
      <c r="C238" s="106" t="n"/>
      <c r="D238" s="106" t="n"/>
      <c r="E238" s="106" t="n"/>
      <c r="F238" s="106" t="n"/>
      <c r="G238" s="106" t="n"/>
      <c r="H238" s="106" t="n"/>
      <c r="I238" s="106" t="n"/>
      <c r="J238" s="106" t="n"/>
      <c r="K238" s="106" t="n"/>
      <c r="L238" s="106" t="n"/>
      <c r="M238" s="106" t="n"/>
      <c r="N238" s="106" t="n"/>
      <c r="O238" s="106" t="n"/>
      <c r="P238" s="106" t="n"/>
      <c r="Q238" s="106" t="n"/>
      <c r="R238" s="106" t="n"/>
      <c r="S238" s="106" t="n"/>
      <c r="T238" s="106" t="n"/>
      <c r="U238" s="106" t="n"/>
      <c r="V238" s="106" t="n"/>
      <c r="W238" s="106" t="n"/>
      <c r="X238" s="106" t="n"/>
      <c r="Y238" s="106" t="n"/>
      <c r="Z238" s="106" t="n"/>
    </row>
    <row r="239" ht="15.75" customHeight="1" s="545">
      <c r="A239" s="106" t="n"/>
      <c r="B239" s="106" t="n"/>
      <c r="C239" s="106" t="n"/>
      <c r="D239" s="106" t="n"/>
      <c r="E239" s="106" t="n"/>
      <c r="F239" s="106" t="n"/>
      <c r="G239" s="106" t="n"/>
      <c r="H239" s="106" t="n"/>
      <c r="I239" s="106" t="n"/>
      <c r="J239" s="106" t="n"/>
      <c r="K239" s="106" t="n"/>
      <c r="L239" s="106" t="n"/>
      <c r="M239" s="106" t="n"/>
      <c r="N239" s="106" t="n"/>
      <c r="O239" s="106" t="n"/>
      <c r="P239" s="106" t="n"/>
      <c r="Q239" s="106" t="n"/>
      <c r="R239" s="106" t="n"/>
      <c r="S239" s="106" t="n"/>
      <c r="T239" s="106" t="n"/>
      <c r="U239" s="106" t="n"/>
      <c r="V239" s="106" t="n"/>
      <c r="W239" s="106" t="n"/>
      <c r="X239" s="106" t="n"/>
      <c r="Y239" s="106" t="n"/>
      <c r="Z239" s="106" t="n"/>
    </row>
    <row r="240" ht="15.75" customHeight="1" s="545">
      <c r="A240" s="106" t="n"/>
      <c r="B240" s="106" t="n"/>
      <c r="C240" s="106" t="n"/>
      <c r="D240" s="106" t="n"/>
      <c r="E240" s="106" t="n"/>
      <c r="F240" s="106" t="n"/>
      <c r="G240" s="106" t="n"/>
      <c r="H240" s="106" t="n"/>
      <c r="I240" s="106" t="n"/>
      <c r="J240" s="106" t="n"/>
      <c r="K240" s="106" t="n"/>
      <c r="L240" s="106" t="n"/>
      <c r="M240" s="106" t="n"/>
      <c r="N240" s="106" t="n"/>
      <c r="O240" s="106" t="n"/>
      <c r="P240" s="106" t="n"/>
      <c r="Q240" s="106" t="n"/>
      <c r="R240" s="106" t="n"/>
      <c r="S240" s="106" t="n"/>
      <c r="T240" s="106" t="n"/>
      <c r="U240" s="106" t="n"/>
      <c r="V240" s="106" t="n"/>
      <c r="W240" s="106" t="n"/>
      <c r="X240" s="106" t="n"/>
      <c r="Y240" s="106" t="n"/>
      <c r="Z240" s="106" t="n"/>
    </row>
    <row r="241" ht="15.75" customHeight="1" s="545">
      <c r="A241" s="106" t="n"/>
      <c r="B241" s="106" t="n"/>
      <c r="C241" s="106" t="n"/>
      <c r="D241" s="106" t="n"/>
      <c r="E241" s="106" t="n"/>
      <c r="F241" s="106" t="n"/>
      <c r="G241" s="106" t="n"/>
      <c r="H241" s="106" t="n"/>
      <c r="I241" s="106" t="n"/>
      <c r="J241" s="106" t="n"/>
      <c r="K241" s="106" t="n"/>
      <c r="L241" s="106" t="n"/>
      <c r="M241" s="106" t="n"/>
      <c r="N241" s="106" t="n"/>
      <c r="O241" s="106" t="n"/>
      <c r="P241" s="106" t="n"/>
      <c r="Q241" s="106" t="n"/>
      <c r="R241" s="106" t="n"/>
      <c r="S241" s="106" t="n"/>
      <c r="T241" s="106" t="n"/>
      <c r="U241" s="106" t="n"/>
      <c r="V241" s="106" t="n"/>
      <c r="W241" s="106" t="n"/>
      <c r="X241" s="106" t="n"/>
      <c r="Y241" s="106" t="n"/>
      <c r="Z241" s="106" t="n"/>
    </row>
    <row r="242" ht="15.75" customHeight="1" s="545">
      <c r="A242" s="106" t="n"/>
      <c r="B242" s="106" t="n"/>
      <c r="C242" s="106" t="n"/>
      <c r="D242" s="106" t="n"/>
      <c r="E242" s="106" t="n"/>
      <c r="F242" s="106" t="n"/>
      <c r="G242" s="106" t="n"/>
      <c r="H242" s="106" t="n"/>
      <c r="I242" s="106" t="n"/>
      <c r="J242" s="106" t="n"/>
      <c r="K242" s="106" t="n"/>
      <c r="L242" s="106" t="n"/>
      <c r="M242" s="106" t="n"/>
      <c r="N242" s="106" t="n"/>
      <c r="O242" s="106" t="n"/>
      <c r="P242" s="106" t="n"/>
      <c r="Q242" s="106" t="n"/>
      <c r="R242" s="106" t="n"/>
      <c r="S242" s="106" t="n"/>
      <c r="T242" s="106" t="n"/>
      <c r="U242" s="106" t="n"/>
      <c r="V242" s="106" t="n"/>
      <c r="W242" s="106" t="n"/>
      <c r="X242" s="106" t="n"/>
      <c r="Y242" s="106" t="n"/>
      <c r="Z242" s="106" t="n"/>
    </row>
    <row r="243" ht="15.75" customHeight="1" s="545">
      <c r="A243" s="106" t="n"/>
      <c r="B243" s="106" t="n"/>
      <c r="C243" s="106" t="n"/>
      <c r="D243" s="106" t="n"/>
      <c r="E243" s="106" t="n"/>
      <c r="F243" s="106" t="n"/>
      <c r="G243" s="106" t="n"/>
      <c r="H243" s="106" t="n"/>
      <c r="I243" s="106" t="n"/>
      <c r="J243" s="106" t="n"/>
      <c r="K243" s="106" t="n"/>
      <c r="L243" s="106" t="n"/>
      <c r="M243" s="106" t="n"/>
      <c r="N243" s="106" t="n"/>
      <c r="O243" s="106" t="n"/>
      <c r="P243" s="106" t="n"/>
      <c r="Q243" s="106" t="n"/>
      <c r="R243" s="106" t="n"/>
      <c r="S243" s="106" t="n"/>
      <c r="T243" s="106" t="n"/>
      <c r="U243" s="106" t="n"/>
      <c r="V243" s="106" t="n"/>
      <c r="W243" s="106" t="n"/>
      <c r="X243" s="106" t="n"/>
      <c r="Y243" s="106" t="n"/>
      <c r="Z243" s="106" t="n"/>
    </row>
    <row r="244" ht="15.75" customHeight="1" s="545">
      <c r="A244" s="106" t="n"/>
      <c r="B244" s="106" t="n"/>
      <c r="C244" s="106" t="n"/>
      <c r="D244" s="106" t="n"/>
      <c r="E244" s="106" t="n"/>
      <c r="F244" s="106" t="n"/>
      <c r="G244" s="106" t="n"/>
      <c r="H244" s="106" t="n"/>
      <c r="I244" s="106" t="n"/>
      <c r="J244" s="106" t="n"/>
      <c r="K244" s="106" t="n"/>
      <c r="L244" s="106" t="n"/>
      <c r="M244" s="106" t="n"/>
      <c r="N244" s="106" t="n"/>
      <c r="O244" s="106" t="n"/>
      <c r="P244" s="106" t="n"/>
      <c r="Q244" s="106" t="n"/>
      <c r="R244" s="106" t="n"/>
      <c r="S244" s="106" t="n"/>
      <c r="T244" s="106" t="n"/>
      <c r="U244" s="106" t="n"/>
      <c r="V244" s="106" t="n"/>
      <c r="W244" s="106" t="n"/>
      <c r="X244" s="106" t="n"/>
      <c r="Y244" s="106" t="n"/>
      <c r="Z244" s="106" t="n"/>
    </row>
    <row r="245" ht="15.75" customHeight="1" s="545">
      <c r="A245" s="106" t="n"/>
      <c r="B245" s="106" t="n"/>
      <c r="C245" s="106" t="n"/>
      <c r="D245" s="106" t="n"/>
      <c r="E245" s="106" t="n"/>
      <c r="F245" s="106" t="n"/>
      <c r="G245" s="106" t="n"/>
      <c r="H245" s="106" t="n"/>
      <c r="I245" s="106" t="n"/>
      <c r="J245" s="106" t="n"/>
      <c r="K245" s="106" t="n"/>
      <c r="L245" s="106" t="n"/>
      <c r="M245" s="106" t="n"/>
      <c r="N245" s="106" t="n"/>
      <c r="O245" s="106" t="n"/>
      <c r="P245" s="106" t="n"/>
      <c r="Q245" s="106" t="n"/>
      <c r="R245" s="106" t="n"/>
      <c r="S245" s="106" t="n"/>
      <c r="T245" s="106" t="n"/>
      <c r="U245" s="106" t="n"/>
      <c r="V245" s="106" t="n"/>
      <c r="W245" s="106" t="n"/>
      <c r="X245" s="106" t="n"/>
      <c r="Y245" s="106" t="n"/>
      <c r="Z245" s="106" t="n"/>
    </row>
    <row r="246" ht="15.75" customHeight="1" s="545">
      <c r="A246" s="106" t="n"/>
      <c r="B246" s="106" t="n"/>
      <c r="C246" s="106" t="n"/>
      <c r="D246" s="106" t="n"/>
      <c r="E246" s="106" t="n"/>
      <c r="F246" s="106" t="n"/>
      <c r="G246" s="106" t="n"/>
      <c r="H246" s="106" t="n"/>
      <c r="I246" s="106" t="n"/>
      <c r="J246" s="106" t="n"/>
      <c r="K246" s="106" t="n"/>
      <c r="L246" s="106" t="n"/>
      <c r="M246" s="106" t="n"/>
      <c r="N246" s="106" t="n"/>
      <c r="O246" s="106" t="n"/>
      <c r="P246" s="106" t="n"/>
      <c r="Q246" s="106" t="n"/>
      <c r="R246" s="106" t="n"/>
      <c r="S246" s="106" t="n"/>
      <c r="T246" s="106" t="n"/>
      <c r="U246" s="106" t="n"/>
      <c r="V246" s="106" t="n"/>
      <c r="W246" s="106" t="n"/>
      <c r="X246" s="106" t="n"/>
      <c r="Y246" s="106" t="n"/>
      <c r="Z246" s="106" t="n"/>
    </row>
    <row r="247" ht="15.75" customHeight="1" s="545">
      <c r="A247" s="106" t="n"/>
      <c r="B247" s="106" t="n"/>
      <c r="C247" s="106" t="n"/>
      <c r="D247" s="106" t="n"/>
      <c r="E247" s="106" t="n"/>
      <c r="F247" s="106" t="n"/>
      <c r="G247" s="106" t="n"/>
      <c r="H247" s="106" t="n"/>
      <c r="I247" s="106" t="n"/>
      <c r="J247" s="106" t="n"/>
      <c r="K247" s="106" t="n"/>
      <c r="L247" s="106" t="n"/>
      <c r="M247" s="106" t="n"/>
      <c r="N247" s="106" t="n"/>
      <c r="O247" s="106" t="n"/>
      <c r="P247" s="106" t="n"/>
      <c r="Q247" s="106" t="n"/>
      <c r="R247" s="106" t="n"/>
      <c r="S247" s="106" t="n"/>
      <c r="T247" s="106" t="n"/>
      <c r="U247" s="106" t="n"/>
      <c r="V247" s="106" t="n"/>
      <c r="W247" s="106" t="n"/>
      <c r="X247" s="106" t="n"/>
      <c r="Y247" s="106" t="n"/>
      <c r="Z247" s="106" t="n"/>
    </row>
    <row r="248" ht="15.75" customHeight="1" s="545">
      <c r="A248" s="106" t="n"/>
      <c r="B248" s="106" t="n"/>
      <c r="C248" s="106" t="n"/>
      <c r="D248" s="106" t="n"/>
      <c r="E248" s="106" t="n"/>
      <c r="F248" s="106" t="n"/>
      <c r="G248" s="106" t="n"/>
      <c r="H248" s="106" t="n"/>
      <c r="I248" s="106" t="n"/>
      <c r="J248" s="106" t="n"/>
      <c r="K248" s="106" t="n"/>
      <c r="L248" s="106" t="n"/>
      <c r="M248" s="106" t="n"/>
      <c r="N248" s="106" t="n"/>
      <c r="O248" s="106" t="n"/>
      <c r="P248" s="106" t="n"/>
      <c r="Q248" s="106" t="n"/>
      <c r="R248" s="106" t="n"/>
      <c r="S248" s="106" t="n"/>
      <c r="T248" s="106" t="n"/>
      <c r="U248" s="106" t="n"/>
      <c r="V248" s="106" t="n"/>
      <c r="W248" s="106" t="n"/>
      <c r="X248" s="106" t="n"/>
      <c r="Y248" s="106" t="n"/>
      <c r="Z248" s="106" t="n"/>
    </row>
    <row r="249" ht="15.75" customHeight="1" s="545">
      <c r="A249" s="106" t="n"/>
      <c r="B249" s="106" t="n"/>
      <c r="C249" s="106" t="n"/>
      <c r="D249" s="106" t="n"/>
      <c r="E249" s="106" t="n"/>
      <c r="F249" s="106" t="n"/>
      <c r="G249" s="106" t="n"/>
      <c r="H249" s="106" t="n"/>
      <c r="I249" s="106" t="n"/>
      <c r="J249" s="106" t="n"/>
      <c r="K249" s="106" t="n"/>
      <c r="L249" s="106" t="n"/>
      <c r="M249" s="106" t="n"/>
      <c r="N249" s="106" t="n"/>
      <c r="O249" s="106" t="n"/>
      <c r="P249" s="106" t="n"/>
      <c r="Q249" s="106" t="n"/>
      <c r="R249" s="106" t="n"/>
      <c r="S249" s="106" t="n"/>
      <c r="T249" s="106" t="n"/>
      <c r="U249" s="106" t="n"/>
      <c r="V249" s="106" t="n"/>
      <c r="W249" s="106" t="n"/>
      <c r="X249" s="106" t="n"/>
      <c r="Y249" s="106" t="n"/>
      <c r="Z249" s="106" t="n"/>
    </row>
    <row r="250" ht="15.75" customHeight="1" s="545">
      <c r="A250" s="106" t="n"/>
      <c r="B250" s="106" t="n"/>
      <c r="C250" s="106" t="n"/>
      <c r="D250" s="106" t="n"/>
      <c r="E250" s="106" t="n"/>
      <c r="F250" s="106" t="n"/>
      <c r="G250" s="106" t="n"/>
      <c r="H250" s="106" t="n"/>
      <c r="I250" s="106" t="n"/>
      <c r="J250" s="106" t="n"/>
      <c r="K250" s="106" t="n"/>
      <c r="L250" s="106" t="n"/>
      <c r="M250" s="106" t="n"/>
      <c r="N250" s="106" t="n"/>
      <c r="O250" s="106" t="n"/>
      <c r="P250" s="106" t="n"/>
      <c r="Q250" s="106" t="n"/>
      <c r="R250" s="106" t="n"/>
      <c r="S250" s="106" t="n"/>
      <c r="T250" s="106" t="n"/>
      <c r="U250" s="106" t="n"/>
      <c r="V250" s="106" t="n"/>
      <c r="W250" s="106" t="n"/>
      <c r="X250" s="106" t="n"/>
      <c r="Y250" s="106" t="n"/>
      <c r="Z250" s="106" t="n"/>
    </row>
    <row r="251" ht="15.75" customHeight="1" s="545">
      <c r="A251" s="106" t="n"/>
      <c r="B251" s="106" t="n"/>
      <c r="C251" s="106" t="n"/>
      <c r="D251" s="106" t="n"/>
      <c r="E251" s="106" t="n"/>
      <c r="F251" s="106" t="n"/>
      <c r="G251" s="106" t="n"/>
      <c r="H251" s="106" t="n"/>
      <c r="I251" s="106" t="n"/>
      <c r="J251" s="106" t="n"/>
      <c r="K251" s="106" t="n"/>
      <c r="L251" s="106" t="n"/>
      <c r="M251" s="106" t="n"/>
      <c r="N251" s="106" t="n"/>
      <c r="O251" s="106" t="n"/>
      <c r="P251" s="106" t="n"/>
      <c r="Q251" s="106" t="n"/>
      <c r="R251" s="106" t="n"/>
      <c r="S251" s="106" t="n"/>
      <c r="T251" s="106" t="n"/>
      <c r="U251" s="106" t="n"/>
      <c r="V251" s="106" t="n"/>
      <c r="W251" s="106" t="n"/>
      <c r="X251" s="106" t="n"/>
      <c r="Y251" s="106" t="n"/>
      <c r="Z251" s="106" t="n"/>
    </row>
    <row r="252" ht="15.75" customHeight="1" s="545">
      <c r="A252" s="106" t="n"/>
      <c r="B252" s="106" t="n"/>
      <c r="C252" s="106" t="n"/>
      <c r="D252" s="106" t="n"/>
      <c r="E252" s="106" t="n"/>
      <c r="F252" s="106" t="n"/>
      <c r="G252" s="106" t="n"/>
      <c r="H252" s="106" t="n"/>
      <c r="I252" s="106" t="n"/>
      <c r="J252" s="106" t="n"/>
      <c r="K252" s="106" t="n"/>
      <c r="L252" s="106" t="n"/>
      <c r="M252" s="106" t="n"/>
      <c r="N252" s="106" t="n"/>
      <c r="O252" s="106" t="n"/>
      <c r="P252" s="106" t="n"/>
      <c r="Q252" s="106" t="n"/>
      <c r="R252" s="106" t="n"/>
      <c r="S252" s="106" t="n"/>
      <c r="T252" s="106" t="n"/>
      <c r="U252" s="106" t="n"/>
      <c r="V252" s="106" t="n"/>
      <c r="W252" s="106" t="n"/>
      <c r="X252" s="106" t="n"/>
      <c r="Y252" s="106" t="n"/>
      <c r="Z252" s="106" t="n"/>
    </row>
    <row r="253" ht="15.75" customHeight="1" s="545">
      <c r="A253" s="106" t="n"/>
      <c r="B253" s="106" t="n"/>
      <c r="C253" s="106" t="n"/>
      <c r="D253" s="106" t="n"/>
      <c r="E253" s="106" t="n"/>
      <c r="F253" s="106" t="n"/>
      <c r="G253" s="106" t="n"/>
      <c r="H253" s="106" t="n"/>
      <c r="I253" s="106" t="n"/>
      <c r="J253" s="106" t="n"/>
      <c r="K253" s="106" t="n"/>
      <c r="L253" s="106" t="n"/>
      <c r="M253" s="106" t="n"/>
      <c r="N253" s="106" t="n"/>
      <c r="O253" s="106" t="n"/>
      <c r="P253" s="106" t="n"/>
      <c r="Q253" s="106" t="n"/>
      <c r="R253" s="106" t="n"/>
      <c r="S253" s="106" t="n"/>
      <c r="T253" s="106" t="n"/>
      <c r="U253" s="106" t="n"/>
      <c r="V253" s="106" t="n"/>
      <c r="W253" s="106" t="n"/>
      <c r="X253" s="106" t="n"/>
      <c r="Y253" s="106" t="n"/>
      <c r="Z253" s="106" t="n"/>
    </row>
    <row r="254" ht="15.75" customHeight="1" s="545">
      <c r="A254" s="106" t="n"/>
      <c r="B254" s="106" t="n"/>
      <c r="C254" s="106" t="n"/>
      <c r="D254" s="106" t="n"/>
      <c r="E254" s="106" t="n"/>
      <c r="F254" s="106" t="n"/>
      <c r="G254" s="106" t="n"/>
      <c r="H254" s="106" t="n"/>
      <c r="I254" s="106" t="n"/>
      <c r="J254" s="106" t="n"/>
      <c r="K254" s="106" t="n"/>
      <c r="L254" s="106" t="n"/>
      <c r="M254" s="106" t="n"/>
      <c r="N254" s="106" t="n"/>
      <c r="O254" s="106" t="n"/>
      <c r="P254" s="106" t="n"/>
      <c r="Q254" s="106" t="n"/>
      <c r="R254" s="106" t="n"/>
      <c r="S254" s="106" t="n"/>
      <c r="T254" s="106" t="n"/>
      <c r="U254" s="106" t="n"/>
      <c r="V254" s="106" t="n"/>
      <c r="W254" s="106" t="n"/>
      <c r="X254" s="106" t="n"/>
      <c r="Y254" s="106" t="n"/>
      <c r="Z254" s="106" t="n"/>
    </row>
    <row r="255" ht="15.75" customHeight="1" s="545">
      <c r="A255" s="106" t="n"/>
      <c r="B255" s="106" t="n"/>
      <c r="C255" s="106" t="n"/>
      <c r="D255" s="106" t="n"/>
      <c r="E255" s="106" t="n"/>
      <c r="F255" s="106" t="n"/>
      <c r="G255" s="106" t="n"/>
      <c r="H255" s="106" t="n"/>
      <c r="I255" s="106" t="n"/>
      <c r="J255" s="106" t="n"/>
      <c r="K255" s="106" t="n"/>
      <c r="L255" s="106" t="n"/>
      <c r="M255" s="106" t="n"/>
      <c r="N255" s="106" t="n"/>
      <c r="O255" s="106" t="n"/>
      <c r="P255" s="106" t="n"/>
      <c r="Q255" s="106" t="n"/>
      <c r="R255" s="106" t="n"/>
      <c r="S255" s="106" t="n"/>
      <c r="T255" s="106" t="n"/>
      <c r="U255" s="106" t="n"/>
      <c r="V255" s="106" t="n"/>
      <c r="W255" s="106" t="n"/>
      <c r="X255" s="106" t="n"/>
      <c r="Y255" s="106" t="n"/>
      <c r="Z255" s="106" t="n"/>
    </row>
    <row r="256" ht="15.75" customHeight="1" s="545">
      <c r="A256" s="106" t="n"/>
      <c r="B256" s="106" t="n"/>
      <c r="C256" s="106" t="n"/>
      <c r="D256" s="106" t="n"/>
      <c r="E256" s="106" t="n"/>
      <c r="F256" s="106" t="n"/>
      <c r="G256" s="106" t="n"/>
      <c r="H256" s="106" t="n"/>
      <c r="I256" s="106" t="n"/>
      <c r="J256" s="106" t="n"/>
      <c r="K256" s="106" t="n"/>
      <c r="L256" s="106" t="n"/>
      <c r="M256" s="106" t="n"/>
      <c r="N256" s="106" t="n"/>
      <c r="O256" s="106" t="n"/>
      <c r="P256" s="106" t="n"/>
      <c r="Q256" s="106" t="n"/>
      <c r="R256" s="106" t="n"/>
      <c r="S256" s="106" t="n"/>
      <c r="T256" s="106" t="n"/>
      <c r="U256" s="106" t="n"/>
      <c r="V256" s="106" t="n"/>
      <c r="W256" s="106" t="n"/>
      <c r="X256" s="106" t="n"/>
      <c r="Y256" s="106" t="n"/>
      <c r="Z256" s="106" t="n"/>
    </row>
    <row r="257" ht="15.75" customHeight="1" s="545">
      <c r="A257" s="106" t="n"/>
      <c r="B257" s="106" t="n"/>
      <c r="C257" s="106" t="n"/>
      <c r="D257" s="106" t="n"/>
      <c r="E257" s="106" t="n"/>
      <c r="F257" s="106" t="n"/>
      <c r="G257" s="106" t="n"/>
      <c r="H257" s="106" t="n"/>
      <c r="I257" s="106" t="n"/>
      <c r="J257" s="106" t="n"/>
      <c r="K257" s="106" t="n"/>
      <c r="L257" s="106" t="n"/>
      <c r="M257" s="106" t="n"/>
      <c r="N257" s="106" t="n"/>
      <c r="O257" s="106" t="n"/>
      <c r="P257" s="106" t="n"/>
      <c r="Q257" s="106" t="n"/>
      <c r="R257" s="106" t="n"/>
      <c r="S257" s="106" t="n"/>
      <c r="T257" s="106" t="n"/>
      <c r="U257" s="106" t="n"/>
      <c r="V257" s="106" t="n"/>
      <c r="W257" s="106" t="n"/>
      <c r="X257" s="106" t="n"/>
      <c r="Y257" s="106" t="n"/>
      <c r="Z257" s="106" t="n"/>
    </row>
    <row r="258" ht="15.75" customHeight="1" s="545">
      <c r="A258" s="106" t="n"/>
      <c r="B258" s="106" t="n"/>
      <c r="C258" s="106" t="n"/>
      <c r="D258" s="106" t="n"/>
      <c r="E258" s="106" t="n"/>
      <c r="F258" s="106" t="n"/>
      <c r="G258" s="106" t="n"/>
      <c r="H258" s="106" t="n"/>
      <c r="I258" s="106" t="n"/>
      <c r="J258" s="106" t="n"/>
      <c r="K258" s="106" t="n"/>
      <c r="L258" s="106" t="n"/>
      <c r="M258" s="106" t="n"/>
      <c r="N258" s="106" t="n"/>
      <c r="O258" s="106" t="n"/>
      <c r="P258" s="106" t="n"/>
      <c r="Q258" s="106" t="n"/>
      <c r="R258" s="106" t="n"/>
      <c r="S258" s="106" t="n"/>
      <c r="T258" s="106" t="n"/>
      <c r="U258" s="106" t="n"/>
      <c r="V258" s="106" t="n"/>
      <c r="W258" s="106" t="n"/>
      <c r="X258" s="106" t="n"/>
      <c r="Y258" s="106" t="n"/>
      <c r="Z258" s="106" t="n"/>
    </row>
    <row r="259" ht="15.75" customHeight="1" s="545">
      <c r="A259" s="106" t="n"/>
      <c r="B259" s="106" t="n"/>
      <c r="C259" s="106" t="n"/>
      <c r="D259" s="106" t="n"/>
      <c r="E259" s="106" t="n"/>
      <c r="F259" s="106" t="n"/>
      <c r="G259" s="106" t="n"/>
      <c r="H259" s="106" t="n"/>
      <c r="I259" s="106" t="n"/>
      <c r="J259" s="106" t="n"/>
      <c r="K259" s="106" t="n"/>
      <c r="L259" s="106" t="n"/>
      <c r="M259" s="106" t="n"/>
      <c r="N259" s="106" t="n"/>
      <c r="O259" s="106" t="n"/>
      <c r="P259" s="106" t="n"/>
      <c r="Q259" s="106" t="n"/>
      <c r="R259" s="106" t="n"/>
      <c r="S259" s="106" t="n"/>
      <c r="T259" s="106" t="n"/>
      <c r="U259" s="106" t="n"/>
      <c r="V259" s="106" t="n"/>
      <c r="W259" s="106" t="n"/>
      <c r="X259" s="106" t="n"/>
      <c r="Y259" s="106" t="n"/>
      <c r="Z259" s="106" t="n"/>
    </row>
    <row r="260" ht="15.75" customHeight="1" s="545">
      <c r="A260" s="106" t="n"/>
      <c r="B260" s="106" t="n"/>
      <c r="C260" s="106" t="n"/>
      <c r="D260" s="106" t="n"/>
      <c r="E260" s="106" t="n"/>
      <c r="F260" s="106" t="n"/>
      <c r="G260" s="106" t="n"/>
      <c r="H260" s="106" t="n"/>
      <c r="I260" s="106" t="n"/>
      <c r="J260" s="106" t="n"/>
      <c r="K260" s="106" t="n"/>
      <c r="L260" s="106" t="n"/>
      <c r="M260" s="106" t="n"/>
      <c r="N260" s="106" t="n"/>
      <c r="O260" s="106" t="n"/>
      <c r="P260" s="106" t="n"/>
      <c r="Q260" s="106" t="n"/>
      <c r="R260" s="106" t="n"/>
      <c r="S260" s="106" t="n"/>
      <c r="T260" s="106" t="n"/>
      <c r="U260" s="106" t="n"/>
      <c r="V260" s="106" t="n"/>
      <c r="W260" s="106" t="n"/>
      <c r="X260" s="106" t="n"/>
      <c r="Y260" s="106" t="n"/>
      <c r="Z260" s="106" t="n"/>
    </row>
    <row r="261" ht="15.75" customHeight="1" s="545">
      <c r="A261" s="106" t="n"/>
      <c r="B261" s="106" t="n"/>
      <c r="C261" s="106" t="n"/>
      <c r="D261" s="106" t="n"/>
      <c r="E261" s="106" t="n"/>
      <c r="F261" s="106" t="n"/>
      <c r="G261" s="106" t="n"/>
      <c r="H261" s="106" t="n"/>
      <c r="I261" s="106" t="n"/>
      <c r="J261" s="106" t="n"/>
      <c r="K261" s="106" t="n"/>
      <c r="L261" s="106" t="n"/>
      <c r="M261" s="106" t="n"/>
      <c r="N261" s="106" t="n"/>
      <c r="O261" s="106" t="n"/>
      <c r="P261" s="106" t="n"/>
      <c r="Q261" s="106" t="n"/>
      <c r="R261" s="106" t="n"/>
      <c r="S261" s="106" t="n"/>
      <c r="T261" s="106" t="n"/>
      <c r="U261" s="106" t="n"/>
      <c r="V261" s="106" t="n"/>
      <c r="W261" s="106" t="n"/>
      <c r="X261" s="106" t="n"/>
      <c r="Y261" s="106" t="n"/>
      <c r="Z261" s="106" t="n"/>
    </row>
    <row r="262" ht="15.75" customHeight="1" s="545">
      <c r="A262" s="106" t="n"/>
      <c r="B262" s="106" t="n"/>
      <c r="C262" s="106" t="n"/>
      <c r="D262" s="106" t="n"/>
      <c r="E262" s="106" t="n"/>
      <c r="F262" s="106" t="n"/>
      <c r="G262" s="106" t="n"/>
      <c r="H262" s="106" t="n"/>
      <c r="I262" s="106" t="n"/>
      <c r="J262" s="106" t="n"/>
      <c r="K262" s="106" t="n"/>
      <c r="L262" s="106" t="n"/>
      <c r="M262" s="106" t="n"/>
      <c r="N262" s="106" t="n"/>
      <c r="O262" s="106" t="n"/>
      <c r="P262" s="106" t="n"/>
      <c r="Q262" s="106" t="n"/>
      <c r="R262" s="106" t="n"/>
      <c r="S262" s="106" t="n"/>
      <c r="T262" s="106" t="n"/>
      <c r="U262" s="106" t="n"/>
      <c r="V262" s="106" t="n"/>
      <c r="W262" s="106" t="n"/>
      <c r="X262" s="106" t="n"/>
      <c r="Y262" s="106" t="n"/>
      <c r="Z262" s="106" t="n"/>
    </row>
    <row r="263" ht="15.75" customHeight="1" s="545">
      <c r="A263" s="106" t="n"/>
      <c r="B263" s="106" t="n"/>
      <c r="C263" s="106" t="n"/>
      <c r="D263" s="106" t="n"/>
      <c r="E263" s="106" t="n"/>
      <c r="F263" s="106" t="n"/>
      <c r="G263" s="106" t="n"/>
      <c r="H263" s="106" t="n"/>
      <c r="I263" s="106" t="n"/>
      <c r="J263" s="106" t="n"/>
      <c r="K263" s="106" t="n"/>
      <c r="L263" s="106" t="n"/>
      <c r="M263" s="106" t="n"/>
      <c r="N263" s="106" t="n"/>
      <c r="O263" s="106" t="n"/>
      <c r="P263" s="106" t="n"/>
      <c r="Q263" s="106" t="n"/>
      <c r="R263" s="106" t="n"/>
      <c r="S263" s="106" t="n"/>
      <c r="T263" s="106" t="n"/>
      <c r="U263" s="106" t="n"/>
      <c r="V263" s="106" t="n"/>
      <c r="W263" s="106" t="n"/>
      <c r="X263" s="106" t="n"/>
      <c r="Y263" s="106" t="n"/>
      <c r="Z263" s="106" t="n"/>
    </row>
    <row r="264" ht="15.75" customHeight="1" s="545">
      <c r="A264" s="106" t="n"/>
      <c r="B264" s="106" t="n"/>
      <c r="C264" s="106" t="n"/>
      <c r="D264" s="106" t="n"/>
      <c r="E264" s="106" t="n"/>
      <c r="F264" s="106" t="n"/>
      <c r="G264" s="106" t="n"/>
      <c r="H264" s="106" t="n"/>
      <c r="I264" s="106" t="n"/>
      <c r="J264" s="106" t="n"/>
      <c r="K264" s="106" t="n"/>
      <c r="L264" s="106" t="n"/>
      <c r="M264" s="106" t="n"/>
      <c r="N264" s="106" t="n"/>
      <c r="O264" s="106" t="n"/>
      <c r="P264" s="106" t="n"/>
      <c r="Q264" s="106" t="n"/>
      <c r="R264" s="106" t="n"/>
      <c r="S264" s="106" t="n"/>
      <c r="T264" s="106" t="n"/>
      <c r="U264" s="106" t="n"/>
      <c r="V264" s="106" t="n"/>
      <c r="W264" s="106" t="n"/>
      <c r="X264" s="106" t="n"/>
      <c r="Y264" s="106" t="n"/>
      <c r="Z264" s="106" t="n"/>
    </row>
    <row r="265" ht="15.75" customHeight="1" s="545">
      <c r="A265" s="106" t="n"/>
      <c r="B265" s="106" t="n"/>
      <c r="C265" s="106" t="n"/>
      <c r="D265" s="106" t="n"/>
      <c r="E265" s="106" t="n"/>
      <c r="F265" s="106" t="n"/>
      <c r="G265" s="106" t="n"/>
      <c r="H265" s="106" t="n"/>
      <c r="I265" s="106" t="n"/>
      <c r="J265" s="106" t="n"/>
      <c r="K265" s="106" t="n"/>
      <c r="L265" s="106" t="n"/>
      <c r="M265" s="106" t="n"/>
      <c r="N265" s="106" t="n"/>
      <c r="O265" s="106" t="n"/>
      <c r="P265" s="106" t="n"/>
      <c r="Q265" s="106" t="n"/>
      <c r="R265" s="106" t="n"/>
      <c r="S265" s="106" t="n"/>
      <c r="T265" s="106" t="n"/>
      <c r="U265" s="106" t="n"/>
      <c r="V265" s="106" t="n"/>
      <c r="W265" s="106" t="n"/>
      <c r="X265" s="106" t="n"/>
      <c r="Y265" s="106" t="n"/>
      <c r="Z265" s="106" t="n"/>
    </row>
    <row r="266" ht="15.75" customHeight="1" s="545">
      <c r="A266" s="106" t="n"/>
      <c r="B266" s="106" t="n"/>
      <c r="C266" s="106" t="n"/>
      <c r="D266" s="106" t="n"/>
      <c r="E266" s="106" t="n"/>
      <c r="F266" s="106" t="n"/>
      <c r="G266" s="106" t="n"/>
      <c r="H266" s="106" t="n"/>
      <c r="I266" s="106" t="n"/>
      <c r="J266" s="106" t="n"/>
      <c r="K266" s="106" t="n"/>
      <c r="L266" s="106" t="n"/>
      <c r="M266" s="106" t="n"/>
      <c r="N266" s="106" t="n"/>
      <c r="O266" s="106" t="n"/>
      <c r="P266" s="106" t="n"/>
      <c r="Q266" s="106" t="n"/>
      <c r="R266" s="106" t="n"/>
      <c r="S266" s="106" t="n"/>
      <c r="T266" s="106" t="n"/>
      <c r="U266" s="106" t="n"/>
      <c r="V266" s="106" t="n"/>
      <c r="W266" s="106" t="n"/>
      <c r="X266" s="106" t="n"/>
      <c r="Y266" s="106" t="n"/>
      <c r="Z266" s="106" t="n"/>
    </row>
    <row r="267" ht="15.75" customHeight="1" s="545">
      <c r="A267" s="106" t="n"/>
      <c r="B267" s="106" t="n"/>
      <c r="C267" s="106" t="n"/>
      <c r="D267" s="106" t="n"/>
      <c r="E267" s="106" t="n"/>
      <c r="F267" s="106" t="n"/>
      <c r="G267" s="106" t="n"/>
      <c r="H267" s="106" t="n"/>
      <c r="I267" s="106" t="n"/>
      <c r="J267" s="106" t="n"/>
      <c r="K267" s="106" t="n"/>
      <c r="L267" s="106" t="n"/>
      <c r="M267" s="106" t="n"/>
      <c r="N267" s="106" t="n"/>
      <c r="O267" s="106" t="n"/>
      <c r="P267" s="106" t="n"/>
      <c r="Q267" s="106" t="n"/>
      <c r="R267" s="106" t="n"/>
      <c r="S267" s="106" t="n"/>
      <c r="T267" s="106" t="n"/>
      <c r="U267" s="106" t="n"/>
      <c r="V267" s="106" t="n"/>
      <c r="W267" s="106" t="n"/>
      <c r="X267" s="106" t="n"/>
      <c r="Y267" s="106" t="n"/>
      <c r="Z267" s="106" t="n"/>
    </row>
    <row r="268" ht="15.75" customHeight="1" s="545">
      <c r="A268" s="106" t="n"/>
      <c r="B268" s="106" t="n"/>
      <c r="C268" s="106" t="n"/>
      <c r="D268" s="106" t="n"/>
      <c r="E268" s="106" t="n"/>
      <c r="F268" s="106" t="n"/>
      <c r="G268" s="106" t="n"/>
      <c r="H268" s="106" t="n"/>
      <c r="I268" s="106" t="n"/>
      <c r="J268" s="106" t="n"/>
      <c r="K268" s="106" t="n"/>
      <c r="L268" s="106" t="n"/>
      <c r="M268" s="106" t="n"/>
      <c r="N268" s="106" t="n"/>
      <c r="O268" s="106" t="n"/>
      <c r="P268" s="106" t="n"/>
      <c r="Q268" s="106" t="n"/>
      <c r="R268" s="106" t="n"/>
      <c r="S268" s="106" t="n"/>
      <c r="T268" s="106" t="n"/>
      <c r="U268" s="106" t="n"/>
      <c r="V268" s="106" t="n"/>
      <c r="W268" s="106" t="n"/>
      <c r="X268" s="106" t="n"/>
      <c r="Y268" s="106" t="n"/>
      <c r="Z268" s="106" t="n"/>
    </row>
    <row r="269" ht="15.75" customHeight="1" s="545">
      <c r="A269" s="106" t="n"/>
      <c r="B269" s="106" t="n"/>
      <c r="C269" s="106" t="n"/>
      <c r="D269" s="106" t="n"/>
      <c r="E269" s="106" t="n"/>
      <c r="F269" s="106" t="n"/>
      <c r="G269" s="106" t="n"/>
      <c r="H269" s="106" t="n"/>
      <c r="I269" s="106" t="n"/>
      <c r="J269" s="106" t="n"/>
      <c r="K269" s="106" t="n"/>
      <c r="L269" s="106" t="n"/>
      <c r="M269" s="106" t="n"/>
      <c r="N269" s="106" t="n"/>
      <c r="O269" s="106" t="n"/>
      <c r="P269" s="106" t="n"/>
      <c r="Q269" s="106" t="n"/>
      <c r="R269" s="106" t="n"/>
      <c r="S269" s="106" t="n"/>
      <c r="T269" s="106" t="n"/>
      <c r="U269" s="106" t="n"/>
      <c r="V269" s="106" t="n"/>
      <c r="W269" s="106" t="n"/>
      <c r="X269" s="106" t="n"/>
      <c r="Y269" s="106" t="n"/>
      <c r="Z269" s="106" t="n"/>
    </row>
    <row r="270" ht="15.75" customHeight="1" s="545">
      <c r="A270" s="106" t="n"/>
      <c r="B270" s="106" t="n"/>
      <c r="C270" s="106" t="n"/>
      <c r="D270" s="106" t="n"/>
      <c r="E270" s="106" t="n"/>
      <c r="F270" s="106" t="n"/>
      <c r="G270" s="106" t="n"/>
      <c r="H270" s="106" t="n"/>
      <c r="I270" s="106" t="n"/>
      <c r="J270" s="106" t="n"/>
      <c r="K270" s="106" t="n"/>
      <c r="L270" s="106" t="n"/>
      <c r="M270" s="106" t="n"/>
      <c r="N270" s="106" t="n"/>
      <c r="O270" s="106" t="n"/>
      <c r="P270" s="106" t="n"/>
      <c r="Q270" s="106" t="n"/>
      <c r="R270" s="106" t="n"/>
      <c r="S270" s="106" t="n"/>
      <c r="T270" s="106" t="n"/>
      <c r="U270" s="106" t="n"/>
      <c r="V270" s="106" t="n"/>
      <c r="W270" s="106" t="n"/>
      <c r="X270" s="106" t="n"/>
      <c r="Y270" s="106" t="n"/>
      <c r="Z270" s="106" t="n"/>
    </row>
    <row r="271" ht="15.75" customHeight="1" s="545">
      <c r="A271" s="106" t="n"/>
      <c r="B271" s="106" t="n"/>
      <c r="C271" s="106" t="n"/>
      <c r="D271" s="106" t="n"/>
      <c r="E271" s="106" t="n"/>
      <c r="F271" s="106" t="n"/>
      <c r="G271" s="106" t="n"/>
      <c r="H271" s="106" t="n"/>
      <c r="I271" s="106" t="n"/>
      <c r="J271" s="106" t="n"/>
      <c r="K271" s="106" t="n"/>
      <c r="L271" s="106" t="n"/>
      <c r="M271" s="106" t="n"/>
      <c r="N271" s="106" t="n"/>
      <c r="O271" s="106" t="n"/>
      <c r="P271" s="106" t="n"/>
      <c r="Q271" s="106" t="n"/>
      <c r="R271" s="106" t="n"/>
      <c r="S271" s="106" t="n"/>
      <c r="T271" s="106" t="n"/>
      <c r="U271" s="106" t="n"/>
      <c r="V271" s="106" t="n"/>
      <c r="W271" s="106" t="n"/>
      <c r="X271" s="106" t="n"/>
      <c r="Y271" s="106" t="n"/>
      <c r="Z271" s="106" t="n"/>
    </row>
    <row r="272" ht="15.75" customHeight="1" s="545">
      <c r="A272" s="106" t="n"/>
      <c r="B272" s="106" t="n"/>
      <c r="C272" s="106" t="n"/>
      <c r="D272" s="106" t="n"/>
      <c r="E272" s="106" t="n"/>
      <c r="F272" s="106" t="n"/>
      <c r="G272" s="106" t="n"/>
      <c r="H272" s="106" t="n"/>
      <c r="I272" s="106" t="n"/>
      <c r="J272" s="106" t="n"/>
      <c r="K272" s="106" t="n"/>
      <c r="L272" s="106" t="n"/>
      <c r="M272" s="106" t="n"/>
      <c r="N272" s="106" t="n"/>
      <c r="O272" s="106" t="n"/>
      <c r="P272" s="106" t="n"/>
      <c r="Q272" s="106" t="n"/>
      <c r="R272" s="106" t="n"/>
      <c r="S272" s="106" t="n"/>
      <c r="T272" s="106" t="n"/>
      <c r="U272" s="106" t="n"/>
      <c r="V272" s="106" t="n"/>
      <c r="W272" s="106" t="n"/>
      <c r="X272" s="106" t="n"/>
      <c r="Y272" s="106" t="n"/>
      <c r="Z272" s="106" t="n"/>
    </row>
    <row r="273" ht="15.75" customHeight="1" s="545">
      <c r="A273" s="106" t="n"/>
      <c r="B273" s="106" t="n"/>
      <c r="C273" s="106" t="n"/>
      <c r="D273" s="106" t="n"/>
      <c r="E273" s="106" t="n"/>
      <c r="F273" s="106" t="n"/>
      <c r="G273" s="106" t="n"/>
      <c r="H273" s="106" t="n"/>
      <c r="I273" s="106" t="n"/>
      <c r="J273" s="106" t="n"/>
      <c r="K273" s="106" t="n"/>
      <c r="L273" s="106" t="n"/>
      <c r="M273" s="106" t="n"/>
      <c r="N273" s="106" t="n"/>
      <c r="O273" s="106" t="n"/>
      <c r="P273" s="106" t="n"/>
      <c r="Q273" s="106" t="n"/>
      <c r="R273" s="106" t="n"/>
      <c r="S273" s="106" t="n"/>
      <c r="T273" s="106" t="n"/>
      <c r="U273" s="106" t="n"/>
      <c r="V273" s="106" t="n"/>
      <c r="W273" s="106" t="n"/>
      <c r="X273" s="106" t="n"/>
      <c r="Y273" s="106" t="n"/>
      <c r="Z273" s="106" t="n"/>
    </row>
    <row r="274" ht="15.75" customHeight="1" s="545">
      <c r="A274" s="106" t="n"/>
      <c r="B274" s="106" t="n"/>
      <c r="C274" s="106" t="n"/>
      <c r="D274" s="106" t="n"/>
      <c r="E274" s="106" t="n"/>
      <c r="F274" s="106" t="n"/>
      <c r="G274" s="106" t="n"/>
      <c r="H274" s="106" t="n"/>
      <c r="I274" s="106" t="n"/>
      <c r="J274" s="106" t="n"/>
      <c r="K274" s="106" t="n"/>
      <c r="L274" s="106" t="n"/>
      <c r="M274" s="106" t="n"/>
      <c r="N274" s="106" t="n"/>
      <c r="O274" s="106" t="n"/>
      <c r="P274" s="106" t="n"/>
      <c r="Q274" s="106" t="n"/>
      <c r="R274" s="106" t="n"/>
      <c r="S274" s="106" t="n"/>
      <c r="T274" s="106" t="n"/>
      <c r="U274" s="106" t="n"/>
      <c r="V274" s="106" t="n"/>
      <c r="W274" s="106" t="n"/>
      <c r="X274" s="106" t="n"/>
      <c r="Y274" s="106" t="n"/>
      <c r="Z274" s="106" t="n"/>
    </row>
    <row r="275" ht="15.75" customHeight="1" s="545">
      <c r="A275" s="106" t="n"/>
      <c r="B275" s="106" t="n"/>
      <c r="C275" s="106" t="n"/>
      <c r="D275" s="106" t="n"/>
      <c r="E275" s="106" t="n"/>
      <c r="F275" s="106" t="n"/>
      <c r="G275" s="106" t="n"/>
      <c r="H275" s="106" t="n"/>
      <c r="I275" s="106" t="n"/>
      <c r="J275" s="106" t="n"/>
      <c r="K275" s="106" t="n"/>
      <c r="L275" s="106" t="n"/>
      <c r="M275" s="106" t="n"/>
      <c r="N275" s="106" t="n"/>
      <c r="O275" s="106" t="n"/>
      <c r="P275" s="106" t="n"/>
      <c r="Q275" s="106" t="n"/>
      <c r="R275" s="106" t="n"/>
      <c r="S275" s="106" t="n"/>
      <c r="T275" s="106" t="n"/>
      <c r="U275" s="106" t="n"/>
      <c r="V275" s="106" t="n"/>
      <c r="W275" s="106" t="n"/>
      <c r="X275" s="106" t="n"/>
      <c r="Y275" s="106" t="n"/>
      <c r="Z275" s="106" t="n"/>
    </row>
    <row r="276" ht="15.75" customHeight="1" s="545">
      <c r="A276" s="106" t="n"/>
      <c r="B276" s="106" t="n"/>
      <c r="C276" s="106" t="n"/>
      <c r="D276" s="106" t="n"/>
      <c r="E276" s="106" t="n"/>
      <c r="F276" s="106" t="n"/>
      <c r="G276" s="106" t="n"/>
      <c r="H276" s="106" t="n"/>
      <c r="I276" s="106" t="n"/>
      <c r="J276" s="106" t="n"/>
      <c r="K276" s="106" t="n"/>
      <c r="L276" s="106" t="n"/>
      <c r="M276" s="106" t="n"/>
      <c r="N276" s="106" t="n"/>
      <c r="O276" s="106" t="n"/>
      <c r="P276" s="106" t="n"/>
      <c r="Q276" s="106" t="n"/>
      <c r="R276" s="106" t="n"/>
      <c r="S276" s="106" t="n"/>
      <c r="T276" s="106" t="n"/>
      <c r="U276" s="106" t="n"/>
      <c r="V276" s="106" t="n"/>
      <c r="W276" s="106" t="n"/>
      <c r="X276" s="106" t="n"/>
      <c r="Y276" s="106" t="n"/>
      <c r="Z276" s="106" t="n"/>
    </row>
    <row r="277" ht="15.75" customHeight="1" s="545">
      <c r="A277" s="106" t="n"/>
      <c r="B277" s="106" t="n"/>
      <c r="C277" s="106" t="n"/>
      <c r="D277" s="106" t="n"/>
      <c r="E277" s="106" t="n"/>
      <c r="F277" s="106" t="n"/>
      <c r="G277" s="106" t="n"/>
      <c r="H277" s="106" t="n"/>
      <c r="I277" s="106" t="n"/>
      <c r="J277" s="106" t="n"/>
      <c r="K277" s="106" t="n"/>
      <c r="L277" s="106" t="n"/>
      <c r="M277" s="106" t="n"/>
      <c r="N277" s="106" t="n"/>
      <c r="O277" s="106" t="n"/>
      <c r="P277" s="106" t="n"/>
      <c r="Q277" s="106" t="n"/>
      <c r="R277" s="106" t="n"/>
      <c r="S277" s="106" t="n"/>
      <c r="T277" s="106" t="n"/>
      <c r="U277" s="106" t="n"/>
      <c r="V277" s="106" t="n"/>
      <c r="W277" s="106" t="n"/>
      <c r="X277" s="106" t="n"/>
      <c r="Y277" s="106" t="n"/>
      <c r="Z277" s="106" t="n"/>
    </row>
    <row r="278" ht="15.75" customHeight="1" s="545">
      <c r="A278" s="106" t="n"/>
      <c r="B278" s="106" t="n"/>
      <c r="C278" s="106" t="n"/>
      <c r="D278" s="106" t="n"/>
      <c r="E278" s="106" t="n"/>
      <c r="F278" s="106" t="n"/>
      <c r="G278" s="106" t="n"/>
      <c r="H278" s="106" t="n"/>
      <c r="I278" s="106" t="n"/>
      <c r="J278" s="106" t="n"/>
      <c r="K278" s="106" t="n"/>
      <c r="L278" s="106" t="n"/>
      <c r="M278" s="106" t="n"/>
      <c r="N278" s="106" t="n"/>
      <c r="O278" s="106" t="n"/>
      <c r="P278" s="106" t="n"/>
      <c r="Q278" s="106" t="n"/>
      <c r="R278" s="106" t="n"/>
      <c r="S278" s="106" t="n"/>
      <c r="T278" s="106" t="n"/>
      <c r="U278" s="106" t="n"/>
      <c r="V278" s="106" t="n"/>
      <c r="W278" s="106" t="n"/>
      <c r="X278" s="106" t="n"/>
      <c r="Y278" s="106" t="n"/>
      <c r="Z278" s="106" t="n"/>
    </row>
    <row r="279" ht="15.75" customHeight="1" s="545">
      <c r="A279" s="106" t="n"/>
      <c r="B279" s="106" t="n"/>
      <c r="C279" s="106" t="n"/>
      <c r="D279" s="106" t="n"/>
      <c r="E279" s="106" t="n"/>
      <c r="F279" s="106" t="n"/>
      <c r="G279" s="106" t="n"/>
      <c r="H279" s="106" t="n"/>
      <c r="I279" s="106" t="n"/>
      <c r="J279" s="106" t="n"/>
      <c r="K279" s="106" t="n"/>
      <c r="L279" s="106" t="n"/>
      <c r="M279" s="106" t="n"/>
      <c r="N279" s="106" t="n"/>
      <c r="O279" s="106" t="n"/>
      <c r="P279" s="106" t="n"/>
      <c r="Q279" s="106" t="n"/>
      <c r="R279" s="106" t="n"/>
      <c r="S279" s="106" t="n"/>
      <c r="T279" s="106" t="n"/>
      <c r="U279" s="106" t="n"/>
      <c r="V279" s="106" t="n"/>
      <c r="W279" s="106" t="n"/>
      <c r="X279" s="106" t="n"/>
      <c r="Y279" s="106" t="n"/>
      <c r="Z279" s="106" t="n"/>
    </row>
    <row r="280" ht="15.75" customHeight="1" s="545">
      <c r="A280" s="106" t="n"/>
      <c r="B280" s="106" t="n"/>
      <c r="C280" s="106" t="n"/>
      <c r="D280" s="106" t="n"/>
      <c r="E280" s="106" t="n"/>
      <c r="F280" s="106" t="n"/>
      <c r="G280" s="106" t="n"/>
      <c r="H280" s="106" t="n"/>
      <c r="I280" s="106" t="n"/>
      <c r="J280" s="106" t="n"/>
      <c r="K280" s="106" t="n"/>
      <c r="L280" s="106" t="n"/>
      <c r="M280" s="106" t="n"/>
      <c r="N280" s="106" t="n"/>
      <c r="O280" s="106" t="n"/>
      <c r="P280" s="106" t="n"/>
      <c r="Q280" s="106" t="n"/>
      <c r="R280" s="106" t="n"/>
      <c r="S280" s="106" t="n"/>
      <c r="T280" s="106" t="n"/>
      <c r="U280" s="106" t="n"/>
      <c r="V280" s="106" t="n"/>
      <c r="W280" s="106" t="n"/>
      <c r="X280" s="106" t="n"/>
      <c r="Y280" s="106" t="n"/>
      <c r="Z280" s="106" t="n"/>
    </row>
    <row r="281" ht="15.75" customHeight="1" s="545">
      <c r="A281" s="106" t="n"/>
      <c r="B281" s="106" t="n"/>
      <c r="C281" s="106" t="n"/>
      <c r="D281" s="106" t="n"/>
      <c r="E281" s="106" t="n"/>
      <c r="F281" s="106" t="n"/>
      <c r="G281" s="106" t="n"/>
      <c r="H281" s="106" t="n"/>
      <c r="I281" s="106" t="n"/>
      <c r="J281" s="106" t="n"/>
      <c r="K281" s="106" t="n"/>
      <c r="L281" s="106" t="n"/>
      <c r="M281" s="106" t="n"/>
      <c r="N281" s="106" t="n"/>
      <c r="O281" s="106" t="n"/>
      <c r="P281" s="106" t="n"/>
      <c r="Q281" s="106" t="n"/>
      <c r="R281" s="106" t="n"/>
      <c r="S281" s="106" t="n"/>
      <c r="T281" s="106" t="n"/>
      <c r="U281" s="106" t="n"/>
      <c r="V281" s="106" t="n"/>
      <c r="W281" s="106" t="n"/>
      <c r="X281" s="106" t="n"/>
      <c r="Y281" s="106" t="n"/>
      <c r="Z281" s="106" t="n"/>
    </row>
    <row r="282" ht="15.75" customHeight="1" s="545">
      <c r="A282" s="106" t="n"/>
      <c r="B282" s="106" t="n"/>
      <c r="C282" s="106" t="n"/>
      <c r="D282" s="106" t="n"/>
      <c r="E282" s="106" t="n"/>
      <c r="F282" s="106" t="n"/>
      <c r="G282" s="106" t="n"/>
      <c r="H282" s="106" t="n"/>
      <c r="I282" s="106" t="n"/>
      <c r="J282" s="106" t="n"/>
      <c r="K282" s="106" t="n"/>
      <c r="L282" s="106" t="n"/>
      <c r="M282" s="106" t="n"/>
      <c r="N282" s="106" t="n"/>
      <c r="O282" s="106" t="n"/>
      <c r="P282" s="106" t="n"/>
      <c r="Q282" s="106" t="n"/>
      <c r="R282" s="106" t="n"/>
      <c r="S282" s="106" t="n"/>
      <c r="T282" s="106" t="n"/>
      <c r="U282" s="106" t="n"/>
      <c r="V282" s="106" t="n"/>
      <c r="W282" s="106" t="n"/>
      <c r="X282" s="106" t="n"/>
      <c r="Y282" s="106" t="n"/>
      <c r="Z282" s="106" t="n"/>
    </row>
    <row r="283" ht="15.75" customHeight="1" s="545">
      <c r="A283" s="106" t="n"/>
      <c r="B283" s="106" t="n"/>
      <c r="C283" s="106" t="n"/>
      <c r="D283" s="106" t="n"/>
      <c r="E283" s="106" t="n"/>
      <c r="F283" s="106" t="n"/>
      <c r="G283" s="106" t="n"/>
      <c r="H283" s="106" t="n"/>
      <c r="I283" s="106" t="n"/>
      <c r="J283" s="106" t="n"/>
      <c r="K283" s="106" t="n"/>
      <c r="L283" s="106" t="n"/>
      <c r="M283" s="106" t="n"/>
      <c r="N283" s="106" t="n"/>
      <c r="O283" s="106" t="n"/>
      <c r="P283" s="106" t="n"/>
      <c r="Q283" s="106" t="n"/>
      <c r="R283" s="106" t="n"/>
      <c r="S283" s="106" t="n"/>
      <c r="T283" s="106" t="n"/>
      <c r="U283" s="106" t="n"/>
      <c r="V283" s="106" t="n"/>
      <c r="W283" s="106" t="n"/>
      <c r="X283" s="106" t="n"/>
      <c r="Y283" s="106" t="n"/>
      <c r="Z283" s="106" t="n"/>
    </row>
    <row r="284" ht="15.75" customHeight="1" s="545">
      <c r="A284" s="106" t="n"/>
      <c r="B284" s="106" t="n"/>
      <c r="C284" s="106" t="n"/>
      <c r="D284" s="106" t="n"/>
      <c r="E284" s="106" t="n"/>
      <c r="F284" s="106" t="n"/>
      <c r="G284" s="106" t="n"/>
      <c r="H284" s="106" t="n"/>
      <c r="I284" s="106" t="n"/>
      <c r="J284" s="106" t="n"/>
      <c r="K284" s="106" t="n"/>
      <c r="L284" s="106" t="n"/>
      <c r="M284" s="106" t="n"/>
      <c r="N284" s="106" t="n"/>
      <c r="O284" s="106" t="n"/>
      <c r="P284" s="106" t="n"/>
      <c r="Q284" s="106" t="n"/>
      <c r="R284" s="106" t="n"/>
      <c r="S284" s="106" t="n"/>
      <c r="T284" s="106" t="n"/>
      <c r="U284" s="106" t="n"/>
      <c r="V284" s="106" t="n"/>
      <c r="W284" s="106" t="n"/>
      <c r="X284" s="106" t="n"/>
      <c r="Y284" s="106" t="n"/>
      <c r="Z284" s="106" t="n"/>
    </row>
    <row r="285" ht="15.75" customHeight="1" s="545">
      <c r="A285" s="106" t="n"/>
      <c r="B285" s="106" t="n"/>
      <c r="C285" s="106" t="n"/>
      <c r="D285" s="106" t="n"/>
      <c r="E285" s="106" t="n"/>
      <c r="F285" s="106" t="n"/>
      <c r="G285" s="106" t="n"/>
      <c r="H285" s="106" t="n"/>
      <c r="I285" s="106" t="n"/>
      <c r="J285" s="106" t="n"/>
      <c r="K285" s="106" t="n"/>
      <c r="L285" s="106" t="n"/>
      <c r="M285" s="106" t="n"/>
      <c r="N285" s="106" t="n"/>
      <c r="O285" s="106" t="n"/>
      <c r="P285" s="106" t="n"/>
      <c r="Q285" s="106" t="n"/>
      <c r="R285" s="106" t="n"/>
      <c r="S285" s="106" t="n"/>
      <c r="T285" s="106" t="n"/>
      <c r="U285" s="106" t="n"/>
      <c r="V285" s="106" t="n"/>
      <c r="W285" s="106" t="n"/>
      <c r="X285" s="106" t="n"/>
      <c r="Y285" s="106" t="n"/>
      <c r="Z285" s="106" t="n"/>
    </row>
    <row r="286" ht="15.75" customHeight="1" s="545">
      <c r="A286" s="106" t="n"/>
      <c r="B286" s="106" t="n"/>
      <c r="C286" s="106" t="n"/>
      <c r="D286" s="106" t="n"/>
      <c r="E286" s="106" t="n"/>
      <c r="F286" s="106" t="n"/>
      <c r="G286" s="106" t="n"/>
      <c r="H286" s="106" t="n"/>
      <c r="I286" s="106" t="n"/>
      <c r="J286" s="106" t="n"/>
      <c r="K286" s="106" t="n"/>
      <c r="L286" s="106" t="n"/>
      <c r="M286" s="106" t="n"/>
      <c r="N286" s="106" t="n"/>
      <c r="O286" s="106" t="n"/>
      <c r="P286" s="106" t="n"/>
      <c r="Q286" s="106" t="n"/>
      <c r="R286" s="106" t="n"/>
      <c r="S286" s="106" t="n"/>
      <c r="T286" s="106" t="n"/>
      <c r="U286" s="106" t="n"/>
      <c r="V286" s="106" t="n"/>
      <c r="W286" s="106" t="n"/>
      <c r="X286" s="106" t="n"/>
      <c r="Y286" s="106" t="n"/>
      <c r="Z286" s="106" t="n"/>
    </row>
    <row r="287" ht="15.75" customHeight="1" s="545">
      <c r="A287" s="106" t="n"/>
      <c r="B287" s="106" t="n"/>
      <c r="C287" s="106" t="n"/>
      <c r="D287" s="106" t="n"/>
      <c r="E287" s="106" t="n"/>
      <c r="F287" s="106" t="n"/>
      <c r="G287" s="106" t="n"/>
      <c r="H287" s="106" t="n"/>
      <c r="I287" s="106" t="n"/>
      <c r="J287" s="106" t="n"/>
      <c r="K287" s="106" t="n"/>
      <c r="L287" s="106" t="n"/>
      <c r="M287" s="106" t="n"/>
      <c r="N287" s="106" t="n"/>
      <c r="O287" s="106" t="n"/>
      <c r="P287" s="106" t="n"/>
      <c r="Q287" s="106" t="n"/>
      <c r="R287" s="106" t="n"/>
      <c r="S287" s="106" t="n"/>
      <c r="T287" s="106" t="n"/>
      <c r="U287" s="106" t="n"/>
      <c r="V287" s="106" t="n"/>
      <c r="W287" s="106" t="n"/>
      <c r="X287" s="106" t="n"/>
      <c r="Y287" s="106" t="n"/>
      <c r="Z287" s="106" t="n"/>
    </row>
    <row r="288" ht="15.75" customHeight="1" s="545">
      <c r="A288" s="106" t="n"/>
      <c r="B288" s="106" t="n"/>
      <c r="C288" s="106" t="n"/>
      <c r="D288" s="106" t="n"/>
      <c r="E288" s="106" t="n"/>
      <c r="F288" s="106" t="n"/>
      <c r="G288" s="106" t="n"/>
      <c r="H288" s="106" t="n"/>
      <c r="I288" s="106" t="n"/>
      <c r="J288" s="106" t="n"/>
      <c r="K288" s="106" t="n"/>
      <c r="L288" s="106" t="n"/>
      <c r="M288" s="106" t="n"/>
      <c r="N288" s="106" t="n"/>
      <c r="O288" s="106" t="n"/>
      <c r="P288" s="106" t="n"/>
      <c r="Q288" s="106" t="n"/>
      <c r="R288" s="106" t="n"/>
      <c r="S288" s="106" t="n"/>
      <c r="T288" s="106" t="n"/>
      <c r="U288" s="106" t="n"/>
      <c r="V288" s="106" t="n"/>
      <c r="W288" s="106" t="n"/>
      <c r="X288" s="106" t="n"/>
      <c r="Y288" s="106" t="n"/>
      <c r="Z288" s="106" t="n"/>
    </row>
    <row r="289" ht="15.75" customHeight="1" s="545">
      <c r="A289" s="106" t="n"/>
      <c r="B289" s="106" t="n"/>
      <c r="C289" s="106" t="n"/>
      <c r="D289" s="106" t="n"/>
      <c r="E289" s="106" t="n"/>
      <c r="F289" s="106" t="n"/>
      <c r="G289" s="106" t="n"/>
      <c r="H289" s="106" t="n"/>
      <c r="I289" s="106" t="n"/>
      <c r="J289" s="106" t="n"/>
      <c r="K289" s="106" t="n"/>
      <c r="L289" s="106" t="n"/>
      <c r="M289" s="106" t="n"/>
      <c r="N289" s="106" t="n"/>
      <c r="O289" s="106" t="n"/>
      <c r="P289" s="106" t="n"/>
      <c r="Q289" s="106" t="n"/>
      <c r="R289" s="106" t="n"/>
      <c r="S289" s="106" t="n"/>
      <c r="T289" s="106" t="n"/>
      <c r="U289" s="106" t="n"/>
      <c r="V289" s="106" t="n"/>
      <c r="W289" s="106" t="n"/>
      <c r="X289" s="106" t="n"/>
      <c r="Y289" s="106" t="n"/>
      <c r="Z289" s="106" t="n"/>
    </row>
    <row r="290" ht="15.75" customHeight="1" s="545">
      <c r="A290" s="106" t="n"/>
      <c r="B290" s="106" t="n"/>
      <c r="C290" s="106" t="n"/>
      <c r="D290" s="106" t="n"/>
      <c r="E290" s="106" t="n"/>
      <c r="F290" s="106" t="n"/>
      <c r="G290" s="106" t="n"/>
      <c r="H290" s="106" t="n"/>
      <c r="I290" s="106" t="n"/>
      <c r="J290" s="106" t="n"/>
      <c r="K290" s="106" t="n"/>
      <c r="L290" s="106" t="n"/>
      <c r="M290" s="106" t="n"/>
      <c r="N290" s="106" t="n"/>
      <c r="O290" s="106" t="n"/>
      <c r="P290" s="106" t="n"/>
      <c r="Q290" s="106" t="n"/>
      <c r="R290" s="106" t="n"/>
      <c r="S290" s="106" t="n"/>
      <c r="T290" s="106" t="n"/>
      <c r="U290" s="106" t="n"/>
      <c r="V290" s="106" t="n"/>
      <c r="W290" s="106" t="n"/>
      <c r="X290" s="106" t="n"/>
      <c r="Y290" s="106" t="n"/>
      <c r="Z290" s="106" t="n"/>
    </row>
    <row r="291" ht="15.75" customHeight="1" s="545">
      <c r="A291" s="106" t="n"/>
      <c r="B291" s="106" t="n"/>
      <c r="C291" s="106" t="n"/>
      <c r="D291" s="106" t="n"/>
      <c r="E291" s="106" t="n"/>
      <c r="F291" s="106" t="n"/>
      <c r="G291" s="106" t="n"/>
      <c r="H291" s="106" t="n"/>
      <c r="I291" s="106" t="n"/>
      <c r="J291" s="106" t="n"/>
      <c r="K291" s="106" t="n"/>
      <c r="L291" s="106" t="n"/>
      <c r="M291" s="106" t="n"/>
      <c r="N291" s="106" t="n"/>
      <c r="O291" s="106" t="n"/>
      <c r="P291" s="106" t="n"/>
      <c r="Q291" s="106" t="n"/>
      <c r="R291" s="106" t="n"/>
      <c r="S291" s="106" t="n"/>
      <c r="T291" s="106" t="n"/>
      <c r="U291" s="106" t="n"/>
      <c r="V291" s="106" t="n"/>
      <c r="W291" s="106" t="n"/>
      <c r="X291" s="106" t="n"/>
      <c r="Y291" s="106" t="n"/>
      <c r="Z291" s="106" t="n"/>
    </row>
    <row r="292" ht="15.75" customHeight="1" s="545">
      <c r="A292" s="106" t="n"/>
      <c r="B292" s="106" t="n"/>
      <c r="C292" s="106" t="n"/>
      <c r="D292" s="106" t="n"/>
      <c r="E292" s="106" t="n"/>
      <c r="F292" s="106" t="n"/>
      <c r="G292" s="106" t="n"/>
      <c r="H292" s="106" t="n"/>
      <c r="I292" s="106" t="n"/>
      <c r="J292" s="106" t="n"/>
      <c r="K292" s="106" t="n"/>
      <c r="L292" s="106" t="n"/>
      <c r="M292" s="106" t="n"/>
      <c r="N292" s="106" t="n"/>
      <c r="O292" s="106" t="n"/>
      <c r="P292" s="106" t="n"/>
      <c r="Q292" s="106" t="n"/>
      <c r="R292" s="106" t="n"/>
      <c r="S292" s="106" t="n"/>
      <c r="T292" s="106" t="n"/>
      <c r="U292" s="106" t="n"/>
      <c r="V292" s="106" t="n"/>
      <c r="W292" s="106" t="n"/>
      <c r="X292" s="106" t="n"/>
      <c r="Y292" s="106" t="n"/>
      <c r="Z292" s="106" t="n"/>
    </row>
    <row r="293" ht="15.75" customHeight="1" s="545">
      <c r="A293" s="106" t="n"/>
      <c r="B293" s="106" t="n"/>
      <c r="C293" s="106" t="n"/>
      <c r="D293" s="106" t="n"/>
      <c r="E293" s="106" t="n"/>
      <c r="F293" s="106" t="n"/>
      <c r="G293" s="106" t="n"/>
      <c r="H293" s="106" t="n"/>
      <c r="I293" s="106" t="n"/>
      <c r="J293" s="106" t="n"/>
      <c r="K293" s="106" t="n"/>
      <c r="L293" s="106" t="n"/>
      <c r="M293" s="106" t="n"/>
      <c r="N293" s="106" t="n"/>
      <c r="O293" s="106" t="n"/>
      <c r="P293" s="106" t="n"/>
      <c r="Q293" s="106" t="n"/>
      <c r="R293" s="106" t="n"/>
      <c r="S293" s="106" t="n"/>
      <c r="T293" s="106" t="n"/>
      <c r="U293" s="106" t="n"/>
      <c r="V293" s="106" t="n"/>
      <c r="W293" s="106" t="n"/>
      <c r="X293" s="106" t="n"/>
      <c r="Y293" s="106" t="n"/>
      <c r="Z293" s="106" t="n"/>
    </row>
    <row r="294" ht="15.75" customHeight="1" s="545">
      <c r="A294" s="106" t="n"/>
      <c r="B294" s="106" t="n"/>
      <c r="C294" s="106" t="n"/>
      <c r="D294" s="106" t="n"/>
      <c r="E294" s="106" t="n"/>
      <c r="F294" s="106" t="n"/>
      <c r="G294" s="106" t="n"/>
      <c r="H294" s="106" t="n"/>
      <c r="I294" s="106" t="n"/>
      <c r="J294" s="106" t="n"/>
      <c r="K294" s="106" t="n"/>
      <c r="L294" s="106" t="n"/>
      <c r="M294" s="106" t="n"/>
      <c r="N294" s="106" t="n"/>
      <c r="O294" s="106" t="n"/>
      <c r="P294" s="106" t="n"/>
      <c r="Q294" s="106" t="n"/>
      <c r="R294" s="106" t="n"/>
      <c r="S294" s="106" t="n"/>
      <c r="T294" s="106" t="n"/>
      <c r="U294" s="106" t="n"/>
      <c r="V294" s="106" t="n"/>
      <c r="W294" s="106" t="n"/>
      <c r="X294" s="106" t="n"/>
      <c r="Y294" s="106" t="n"/>
      <c r="Z294" s="106" t="n"/>
    </row>
    <row r="295" ht="15.75" customHeight="1" s="545">
      <c r="A295" s="21" t="n"/>
      <c r="B295" s="21" t="n"/>
      <c r="C295" s="21" t="n"/>
      <c r="D295" s="21" t="n"/>
      <c r="E295" s="21" t="n"/>
      <c r="F295" s="21" t="n"/>
      <c r="G295" s="21" t="n"/>
      <c r="H295" s="21" t="n"/>
      <c r="I295" s="21" t="n"/>
      <c r="J295" s="21" t="n"/>
      <c r="K295" s="21" t="n"/>
      <c r="L295" s="21" t="n"/>
      <c r="M295" s="21" t="n"/>
      <c r="N295" s="21" t="n"/>
      <c r="O295" s="21" t="n"/>
      <c r="P295" s="21" t="n"/>
      <c r="Q295" s="21" t="n"/>
      <c r="R295" s="21" t="n"/>
      <c r="S295" s="21" t="n"/>
      <c r="T295" s="21" t="n"/>
      <c r="U295" s="21" t="n"/>
      <c r="V295" s="21" t="n"/>
      <c r="W295" s="21" t="n"/>
      <c r="X295" s="21" t="n"/>
      <c r="Y295" s="21" t="n"/>
      <c r="Z295" s="21" t="n"/>
    </row>
    <row r="296" ht="15.75" customHeight="1" s="545">
      <c r="A296" s="21" t="n"/>
      <c r="B296" s="21" t="n"/>
      <c r="C296" s="21" t="n"/>
      <c r="D296" s="21" t="n"/>
      <c r="E296" s="21" t="n"/>
      <c r="F296" s="21" t="n"/>
      <c r="G296" s="21" t="n"/>
      <c r="H296" s="21" t="n"/>
      <c r="I296" s="21" t="n"/>
      <c r="J296" s="21" t="n"/>
      <c r="K296" s="21" t="n"/>
      <c r="L296" s="21" t="n"/>
      <c r="M296" s="21" t="n"/>
      <c r="N296" s="21" t="n"/>
      <c r="O296" s="21" t="n"/>
      <c r="P296" s="21" t="n"/>
      <c r="Q296" s="21" t="n"/>
      <c r="R296" s="21" t="n"/>
      <c r="S296" s="21" t="n"/>
      <c r="T296" s="21" t="n"/>
      <c r="U296" s="21" t="n"/>
      <c r="V296" s="21" t="n"/>
      <c r="W296" s="21" t="n"/>
      <c r="X296" s="21" t="n"/>
      <c r="Y296" s="21" t="n"/>
      <c r="Z296" s="21" t="n"/>
    </row>
    <row r="297" ht="15.75" customHeight="1" s="545">
      <c r="A297" s="21" t="n"/>
      <c r="B297" s="21" t="n"/>
      <c r="C297" s="21" t="n"/>
      <c r="D297" s="21" t="n"/>
      <c r="E297" s="21" t="n"/>
      <c r="F297" s="21" t="n"/>
      <c r="G297" s="21" t="n"/>
      <c r="H297" s="21" t="n"/>
      <c r="I297" s="21" t="n"/>
      <c r="J297" s="21" t="n"/>
      <c r="K297" s="21" t="n"/>
      <c r="L297" s="21" t="n"/>
      <c r="M297" s="21" t="n"/>
      <c r="N297" s="21" t="n"/>
      <c r="O297" s="21" t="n"/>
      <c r="P297" s="21" t="n"/>
      <c r="Q297" s="21" t="n"/>
      <c r="R297" s="21" t="n"/>
      <c r="S297" s="21" t="n"/>
      <c r="T297" s="21" t="n"/>
      <c r="U297" s="21" t="n"/>
      <c r="V297" s="21" t="n"/>
      <c r="W297" s="21" t="n"/>
      <c r="X297" s="21" t="n"/>
      <c r="Y297" s="21" t="n"/>
      <c r="Z297" s="21" t="n"/>
    </row>
    <row r="298" ht="15.75" customHeight="1" s="545">
      <c r="A298" s="21" t="n"/>
      <c r="B298" s="21" t="n"/>
      <c r="C298" s="21" t="n"/>
      <c r="D298" s="21" t="n"/>
      <c r="E298" s="21" t="n"/>
      <c r="F298" s="21" t="n"/>
      <c r="G298" s="21" t="n"/>
      <c r="H298" s="21" t="n"/>
      <c r="I298" s="21" t="n"/>
      <c r="J298" s="21" t="n"/>
      <c r="K298" s="21" t="n"/>
      <c r="L298" s="21" t="n"/>
      <c r="M298" s="21" t="n"/>
      <c r="N298" s="21" t="n"/>
      <c r="O298" s="21" t="n"/>
      <c r="P298" s="21" t="n"/>
      <c r="Q298" s="21" t="n"/>
      <c r="R298" s="21" t="n"/>
      <c r="S298" s="21" t="n"/>
      <c r="T298" s="21" t="n"/>
      <c r="U298" s="21" t="n"/>
      <c r="V298" s="21" t="n"/>
      <c r="W298" s="21" t="n"/>
      <c r="X298" s="21" t="n"/>
      <c r="Y298" s="21" t="n"/>
      <c r="Z298" s="21" t="n"/>
    </row>
    <row r="299" ht="15.75" customHeight="1" s="545">
      <c r="A299" s="21" t="n"/>
      <c r="B299" s="21" t="n"/>
      <c r="C299" s="21" t="n"/>
      <c r="D299" s="21" t="n"/>
      <c r="E299" s="21" t="n"/>
      <c r="F299" s="21" t="n"/>
      <c r="G299" s="21" t="n"/>
      <c r="H299" s="21" t="n"/>
      <c r="I299" s="21" t="n"/>
      <c r="J299" s="21" t="n"/>
      <c r="K299" s="21" t="n"/>
      <c r="L299" s="21" t="n"/>
      <c r="M299" s="21" t="n"/>
      <c r="N299" s="21" t="n"/>
      <c r="O299" s="21" t="n"/>
      <c r="P299" s="21" t="n"/>
      <c r="Q299" s="21" t="n"/>
      <c r="R299" s="21" t="n"/>
      <c r="S299" s="21" t="n"/>
      <c r="T299" s="21" t="n"/>
      <c r="U299" s="21" t="n"/>
      <c r="V299" s="21" t="n"/>
      <c r="W299" s="21" t="n"/>
      <c r="X299" s="21" t="n"/>
      <c r="Y299" s="21" t="n"/>
      <c r="Z299" s="21" t="n"/>
    </row>
    <row r="300" ht="15.75" customHeight="1" s="545">
      <c r="A300" s="21" t="n"/>
      <c r="B300" s="21" t="n"/>
      <c r="C300" s="21" t="n"/>
      <c r="D300" s="21" t="n"/>
      <c r="E300" s="21" t="n"/>
      <c r="F300" s="21" t="n"/>
      <c r="G300" s="21" t="n"/>
      <c r="H300" s="21" t="n"/>
      <c r="I300" s="21" t="n"/>
      <c r="J300" s="21" t="n"/>
      <c r="K300" s="21" t="n"/>
      <c r="L300" s="21" t="n"/>
      <c r="M300" s="21" t="n"/>
      <c r="N300" s="21" t="n"/>
      <c r="O300" s="21" t="n"/>
      <c r="P300" s="21" t="n"/>
      <c r="Q300" s="21" t="n"/>
      <c r="R300" s="21" t="n"/>
      <c r="S300" s="21" t="n"/>
      <c r="T300" s="21" t="n"/>
      <c r="U300" s="21" t="n"/>
      <c r="V300" s="21" t="n"/>
      <c r="W300" s="21" t="n"/>
      <c r="X300" s="21" t="n"/>
      <c r="Y300" s="21" t="n"/>
      <c r="Z300" s="21" t="n"/>
    </row>
    <row r="301" ht="15.75" customHeight="1" s="545">
      <c r="A301" s="21" t="n"/>
      <c r="B301" s="21" t="n"/>
      <c r="C301" s="21" t="n"/>
      <c r="D301" s="21" t="n"/>
      <c r="E301" s="21" t="n"/>
      <c r="F301" s="21" t="n"/>
      <c r="G301" s="21" t="n"/>
      <c r="H301" s="21" t="n"/>
      <c r="I301" s="21" t="n"/>
      <c r="J301" s="21" t="n"/>
      <c r="K301" s="21" t="n"/>
      <c r="L301" s="21" t="n"/>
      <c r="M301" s="21" t="n"/>
      <c r="N301" s="21" t="n"/>
      <c r="O301" s="21" t="n"/>
      <c r="P301" s="21" t="n"/>
      <c r="Q301" s="21" t="n"/>
      <c r="R301" s="21" t="n"/>
      <c r="S301" s="21" t="n"/>
      <c r="T301" s="21" t="n"/>
      <c r="U301" s="21" t="n"/>
      <c r="V301" s="21" t="n"/>
      <c r="W301" s="21" t="n"/>
      <c r="X301" s="21" t="n"/>
      <c r="Y301" s="21" t="n"/>
      <c r="Z301" s="21" t="n"/>
    </row>
    <row r="302" ht="15.75" customHeight="1" s="545">
      <c r="A302" s="21" t="n"/>
      <c r="B302" s="21" t="n"/>
      <c r="C302" s="21" t="n"/>
      <c r="D302" s="21" t="n"/>
      <c r="E302" s="21" t="n"/>
      <c r="F302" s="21" t="n"/>
      <c r="G302" s="21" t="n"/>
      <c r="H302" s="21" t="n"/>
      <c r="I302" s="21" t="n"/>
      <c r="J302" s="21" t="n"/>
      <c r="K302" s="21" t="n"/>
      <c r="L302" s="21" t="n"/>
      <c r="M302" s="21" t="n"/>
      <c r="N302" s="21" t="n"/>
      <c r="O302" s="21" t="n"/>
      <c r="P302" s="21" t="n"/>
      <c r="Q302" s="21" t="n"/>
      <c r="R302" s="21" t="n"/>
      <c r="S302" s="21" t="n"/>
      <c r="T302" s="21" t="n"/>
      <c r="U302" s="21" t="n"/>
      <c r="V302" s="21" t="n"/>
      <c r="W302" s="21" t="n"/>
      <c r="X302" s="21" t="n"/>
      <c r="Y302" s="21" t="n"/>
      <c r="Z302" s="21" t="n"/>
    </row>
    <row r="303" ht="15.75" customHeight="1" s="545">
      <c r="A303" s="21" t="n"/>
      <c r="B303" s="21" t="n"/>
      <c r="C303" s="21" t="n"/>
      <c r="D303" s="21" t="n"/>
      <c r="E303" s="21" t="n"/>
      <c r="F303" s="21" t="n"/>
      <c r="G303" s="21" t="n"/>
      <c r="H303" s="21" t="n"/>
      <c r="I303" s="21" t="n"/>
      <c r="J303" s="21" t="n"/>
      <c r="K303" s="21" t="n"/>
      <c r="L303" s="21" t="n"/>
      <c r="M303" s="21" t="n"/>
      <c r="N303" s="21" t="n"/>
      <c r="O303" s="21" t="n"/>
      <c r="P303" s="21" t="n"/>
      <c r="Q303" s="21" t="n"/>
      <c r="R303" s="21" t="n"/>
      <c r="S303" s="21" t="n"/>
      <c r="T303" s="21" t="n"/>
      <c r="U303" s="21" t="n"/>
      <c r="V303" s="21" t="n"/>
      <c r="W303" s="21" t="n"/>
      <c r="X303" s="21" t="n"/>
      <c r="Y303" s="21" t="n"/>
      <c r="Z303" s="21" t="n"/>
    </row>
    <row r="304" ht="15.75" customHeight="1" s="545">
      <c r="A304" s="21" t="n"/>
      <c r="B304" s="21" t="n"/>
      <c r="C304" s="21" t="n"/>
      <c r="D304" s="21" t="n"/>
      <c r="E304" s="21" t="n"/>
      <c r="F304" s="21" t="n"/>
      <c r="G304" s="21" t="n"/>
      <c r="H304" s="21" t="n"/>
      <c r="I304" s="21" t="n"/>
      <c r="J304" s="21" t="n"/>
      <c r="K304" s="21" t="n"/>
      <c r="L304" s="21" t="n"/>
      <c r="M304" s="21" t="n"/>
      <c r="N304" s="21" t="n"/>
      <c r="O304" s="21" t="n"/>
      <c r="P304" s="21" t="n"/>
      <c r="Q304" s="21" t="n"/>
      <c r="R304" s="21" t="n"/>
      <c r="S304" s="21" t="n"/>
      <c r="T304" s="21" t="n"/>
      <c r="U304" s="21" t="n"/>
      <c r="V304" s="21" t="n"/>
      <c r="W304" s="21" t="n"/>
      <c r="X304" s="21" t="n"/>
      <c r="Y304" s="21" t="n"/>
      <c r="Z304" s="21" t="n"/>
    </row>
    <row r="305" ht="15.75" customHeight="1" s="545">
      <c r="A305" s="21" t="n"/>
      <c r="B305" s="21" t="n"/>
      <c r="C305" s="21" t="n"/>
      <c r="D305" s="21" t="n"/>
      <c r="E305" s="21" t="n"/>
      <c r="F305" s="21" t="n"/>
      <c r="G305" s="21" t="n"/>
      <c r="H305" s="21" t="n"/>
      <c r="I305" s="21" t="n"/>
      <c r="J305" s="21" t="n"/>
      <c r="K305" s="21" t="n"/>
      <c r="L305" s="21" t="n"/>
      <c r="M305" s="21" t="n"/>
      <c r="N305" s="21" t="n"/>
      <c r="O305" s="21" t="n"/>
      <c r="P305" s="21" t="n"/>
      <c r="Q305" s="21" t="n"/>
      <c r="R305" s="21" t="n"/>
      <c r="S305" s="21" t="n"/>
      <c r="T305" s="21" t="n"/>
      <c r="U305" s="21" t="n"/>
      <c r="V305" s="21" t="n"/>
      <c r="W305" s="21" t="n"/>
      <c r="X305" s="21" t="n"/>
      <c r="Y305" s="21" t="n"/>
      <c r="Z305" s="21" t="n"/>
    </row>
    <row r="306" ht="15.75" customHeight="1" s="545">
      <c r="A306" s="21" t="n"/>
      <c r="B306" s="21" t="n"/>
      <c r="C306" s="21" t="n"/>
      <c r="D306" s="21" t="n"/>
      <c r="E306" s="21" t="n"/>
      <c r="F306" s="21" t="n"/>
      <c r="G306" s="21" t="n"/>
      <c r="H306" s="21" t="n"/>
      <c r="I306" s="21" t="n"/>
      <c r="J306" s="21" t="n"/>
      <c r="K306" s="21" t="n"/>
      <c r="L306" s="21" t="n"/>
      <c r="M306" s="21" t="n"/>
      <c r="N306" s="21" t="n"/>
      <c r="O306" s="21" t="n"/>
      <c r="P306" s="21" t="n"/>
      <c r="Q306" s="21" t="n"/>
      <c r="R306" s="21" t="n"/>
      <c r="S306" s="21" t="n"/>
      <c r="T306" s="21" t="n"/>
      <c r="U306" s="21" t="n"/>
      <c r="V306" s="21" t="n"/>
      <c r="W306" s="21" t="n"/>
      <c r="X306" s="21" t="n"/>
      <c r="Y306" s="21" t="n"/>
      <c r="Z306" s="21" t="n"/>
    </row>
    <row r="307" ht="15.75" customHeight="1" s="545">
      <c r="A307" s="19" t="n"/>
      <c r="B307" s="19" t="n"/>
      <c r="C307" s="19" t="n"/>
      <c r="D307" s="19" t="n"/>
      <c r="E307" s="19" t="n"/>
      <c r="F307" s="19" t="n"/>
      <c r="G307" s="19" t="n"/>
      <c r="H307" s="19" t="n"/>
      <c r="I307" s="19" t="n"/>
      <c r="J307" s="19" t="n"/>
      <c r="K307" s="19" t="n"/>
      <c r="L307" s="19" t="n"/>
      <c r="M307" s="19" t="n"/>
      <c r="N307" s="19" t="n"/>
      <c r="O307" s="19" t="n"/>
      <c r="P307" s="19" t="n"/>
      <c r="Q307" s="19" t="n"/>
      <c r="R307" s="19" t="n"/>
    </row>
    <row r="308" ht="15.75" customHeight="1" s="545">
      <c r="A308" s="19" t="n"/>
      <c r="B308" s="19" t="n"/>
      <c r="C308" s="19" t="n"/>
      <c r="D308" s="19" t="n"/>
      <c r="E308" s="19" t="n"/>
      <c r="F308" s="19" t="n"/>
      <c r="G308" s="19" t="n"/>
      <c r="H308" s="19" t="n"/>
      <c r="I308" s="19" t="n"/>
      <c r="J308" s="19" t="n"/>
      <c r="K308" s="19" t="n"/>
      <c r="L308" s="19" t="n"/>
      <c r="M308" s="19" t="n"/>
      <c r="N308" s="19" t="n"/>
      <c r="O308" s="19" t="n"/>
      <c r="P308" s="19" t="n"/>
      <c r="Q308" s="19" t="n"/>
      <c r="R308" s="19" t="n"/>
    </row>
    <row r="309" ht="15.75" customHeight="1" s="545">
      <c r="A309" s="19" t="n"/>
      <c r="B309" s="19" t="n"/>
      <c r="C309" s="19" t="n"/>
      <c r="D309" s="19" t="n"/>
      <c r="E309" s="19" t="n"/>
      <c r="F309" s="19" t="n"/>
      <c r="G309" s="19" t="n"/>
      <c r="H309" s="19" t="n"/>
      <c r="I309" s="19" t="n"/>
      <c r="J309" s="19" t="n"/>
      <c r="K309" s="19" t="n"/>
      <c r="L309" s="19" t="n"/>
      <c r="M309" s="19" t="n"/>
      <c r="N309" s="19" t="n"/>
      <c r="O309" s="19" t="n"/>
      <c r="P309" s="19" t="n"/>
      <c r="Q309" s="19" t="n"/>
      <c r="R309" s="19" t="n"/>
    </row>
    <row r="310" ht="15.75" customHeight="1" s="545">
      <c r="A310" s="19" t="n"/>
      <c r="B310" s="19" t="n"/>
      <c r="C310" s="19" t="n"/>
      <c r="D310" s="19" t="n"/>
      <c r="E310" s="19" t="n"/>
      <c r="F310" s="19" t="n"/>
      <c r="G310" s="19" t="n"/>
      <c r="H310" s="19" t="n"/>
      <c r="I310" s="19" t="n"/>
      <c r="J310" s="19" t="n"/>
      <c r="K310" s="19" t="n"/>
      <c r="L310" s="19" t="n"/>
      <c r="M310" s="19" t="n"/>
      <c r="N310" s="19" t="n"/>
      <c r="O310" s="19" t="n"/>
      <c r="P310" s="19" t="n"/>
      <c r="Q310" s="19" t="n"/>
      <c r="R310" s="19" t="n"/>
    </row>
    <row r="311" ht="15.75" customHeight="1" s="545">
      <c r="A311" s="19" t="n"/>
      <c r="B311" s="19" t="n"/>
      <c r="C311" s="19" t="n"/>
      <c r="D311" s="19" t="n"/>
      <c r="E311" s="19" t="n"/>
      <c r="F311" s="19" t="n"/>
      <c r="G311" s="19" t="n"/>
      <c r="H311" s="19" t="n"/>
      <c r="I311" s="19" t="n"/>
      <c r="J311" s="19" t="n"/>
      <c r="K311" s="19" t="n"/>
      <c r="L311" s="19" t="n"/>
      <c r="M311" s="19" t="n"/>
      <c r="N311" s="19" t="n"/>
      <c r="O311" s="19" t="n"/>
      <c r="P311" s="19" t="n"/>
      <c r="Q311" s="19" t="n"/>
      <c r="R311" s="19" t="n"/>
    </row>
    <row r="312" ht="15.75" customHeight="1" s="545">
      <c r="A312" s="19" t="n"/>
      <c r="B312" s="19" t="n"/>
      <c r="C312" s="19" t="n"/>
      <c r="D312" s="19" t="n"/>
      <c r="E312" s="19" t="n"/>
      <c r="F312" s="19" t="n"/>
      <c r="G312" s="19" t="n"/>
      <c r="H312" s="19" t="n"/>
      <c r="I312" s="19" t="n"/>
      <c r="J312" s="19" t="n"/>
      <c r="K312" s="19" t="n"/>
      <c r="L312" s="19" t="n"/>
      <c r="M312" s="19" t="n"/>
      <c r="N312" s="19" t="n"/>
      <c r="O312" s="19" t="n"/>
      <c r="P312" s="19" t="n"/>
      <c r="Q312" s="19" t="n"/>
      <c r="R312" s="19" t="n"/>
    </row>
    <row r="313" ht="15.75" customHeight="1" s="545">
      <c r="A313" s="19" t="n"/>
      <c r="B313" s="19" t="n"/>
      <c r="C313" s="19" t="n"/>
      <c r="D313" s="19" t="n"/>
      <c r="E313" s="19" t="n"/>
      <c r="F313" s="19" t="n"/>
      <c r="G313" s="19" t="n"/>
      <c r="H313" s="19" t="n"/>
      <c r="I313" s="19" t="n"/>
      <c r="J313" s="19" t="n"/>
      <c r="K313" s="19" t="n"/>
      <c r="L313" s="19" t="n"/>
      <c r="M313" s="19" t="n"/>
      <c r="N313" s="19" t="n"/>
      <c r="O313" s="19" t="n"/>
      <c r="P313" s="19" t="n"/>
      <c r="Q313" s="19" t="n"/>
      <c r="R313" s="19" t="n"/>
    </row>
    <row r="314" ht="15.75" customHeight="1" s="545">
      <c r="A314" s="19" t="n"/>
      <c r="B314" s="19" t="n"/>
      <c r="C314" s="19" t="n"/>
      <c r="D314" s="19" t="n"/>
      <c r="E314" s="19" t="n"/>
      <c r="F314" s="19" t="n"/>
      <c r="G314" s="19" t="n"/>
      <c r="H314" s="19" t="n"/>
      <c r="I314" s="19" t="n"/>
      <c r="J314" s="19" t="n"/>
      <c r="K314" s="19" t="n"/>
      <c r="L314" s="19" t="n"/>
      <c r="M314" s="19" t="n"/>
      <c r="N314" s="19" t="n"/>
      <c r="O314" s="19" t="n"/>
      <c r="P314" s="19" t="n"/>
      <c r="Q314" s="19" t="n"/>
      <c r="R314" s="19" t="n"/>
    </row>
    <row r="315" ht="15.75" customHeight="1" s="545">
      <c r="A315" s="19" t="n"/>
      <c r="B315" s="19" t="n"/>
      <c r="C315" s="19" t="n"/>
      <c r="D315" s="19" t="n"/>
      <c r="E315" s="19" t="n"/>
      <c r="F315" s="19" t="n"/>
      <c r="G315" s="19" t="n"/>
      <c r="H315" s="19" t="n"/>
      <c r="I315" s="19" t="n"/>
      <c r="J315" s="19" t="n"/>
      <c r="K315" s="19" t="n"/>
      <c r="L315" s="19" t="n"/>
      <c r="M315" s="19" t="n"/>
      <c r="N315" s="19" t="n"/>
      <c r="O315" s="19" t="n"/>
      <c r="P315" s="19" t="n"/>
      <c r="Q315" s="19" t="n"/>
      <c r="R315" s="19" t="n"/>
    </row>
    <row r="316" ht="15.75" customHeight="1" s="545">
      <c r="A316" s="19" t="n"/>
      <c r="B316" s="19" t="n"/>
      <c r="C316" s="19" t="n"/>
      <c r="D316" s="19" t="n"/>
      <c r="E316" s="19" t="n"/>
      <c r="F316" s="19" t="n"/>
      <c r="G316" s="19" t="n"/>
      <c r="H316" s="19" t="n"/>
      <c r="I316" s="19" t="n"/>
      <c r="J316" s="19" t="n"/>
      <c r="K316" s="19" t="n"/>
      <c r="L316" s="19" t="n"/>
      <c r="M316" s="19" t="n"/>
      <c r="N316" s="19" t="n"/>
      <c r="O316" s="19" t="n"/>
      <c r="P316" s="19" t="n"/>
      <c r="Q316" s="19" t="n"/>
      <c r="R316" s="19" t="n"/>
    </row>
    <row r="317" ht="15.75" customHeight="1" s="545">
      <c r="A317" s="19" t="n"/>
      <c r="B317" s="19" t="n"/>
      <c r="C317" s="19" t="n"/>
      <c r="D317" s="19" t="n"/>
      <c r="E317" s="19" t="n"/>
      <c r="F317" s="19" t="n"/>
      <c r="G317" s="19" t="n"/>
      <c r="H317" s="19" t="n"/>
      <c r="I317" s="19" t="n"/>
      <c r="J317" s="19" t="n"/>
      <c r="K317" s="19" t="n"/>
      <c r="L317" s="19" t="n"/>
      <c r="M317" s="19" t="n"/>
      <c r="N317" s="19" t="n"/>
      <c r="O317" s="19" t="n"/>
      <c r="P317" s="19" t="n"/>
      <c r="Q317" s="19" t="n"/>
      <c r="R317" s="19" t="n"/>
    </row>
    <row r="318" ht="15.75" customHeight="1" s="545">
      <c r="A318" s="19" t="n"/>
      <c r="B318" s="19" t="n"/>
      <c r="C318" s="19" t="n"/>
      <c r="D318" s="19" t="n"/>
      <c r="E318" s="19" t="n"/>
      <c r="F318" s="19" t="n"/>
      <c r="G318" s="19" t="n"/>
      <c r="H318" s="19" t="n"/>
      <c r="I318" s="19" t="n"/>
      <c r="J318" s="19" t="n"/>
      <c r="K318" s="19" t="n"/>
      <c r="L318" s="19" t="n"/>
      <c r="M318" s="19" t="n"/>
      <c r="N318" s="19" t="n"/>
      <c r="O318" s="19" t="n"/>
      <c r="P318" s="19" t="n"/>
      <c r="Q318" s="19" t="n"/>
      <c r="R318" s="19" t="n"/>
    </row>
    <row r="319" ht="15.75" customHeight="1" s="545">
      <c r="A319" s="19" t="n"/>
      <c r="B319" s="19" t="n"/>
      <c r="C319" s="19" t="n"/>
      <c r="D319" s="19" t="n"/>
      <c r="E319" s="19" t="n"/>
      <c r="F319" s="19" t="n"/>
      <c r="G319" s="19" t="n"/>
      <c r="H319" s="19" t="n"/>
      <c r="I319" s="19" t="n"/>
      <c r="J319" s="19" t="n"/>
      <c r="K319" s="19" t="n"/>
      <c r="L319" s="19" t="n"/>
      <c r="M319" s="19" t="n"/>
      <c r="N319" s="19" t="n"/>
      <c r="O319" s="19" t="n"/>
      <c r="P319" s="19" t="n"/>
      <c r="Q319" s="19" t="n"/>
      <c r="R319" s="19" t="n"/>
    </row>
    <row r="320" ht="15.75" customHeight="1" s="545">
      <c r="A320" s="19" t="n"/>
      <c r="B320" s="19" t="n"/>
      <c r="C320" s="19" t="n"/>
      <c r="D320" s="19" t="n"/>
      <c r="E320" s="19" t="n"/>
      <c r="F320" s="19" t="n"/>
      <c r="G320" s="19" t="n"/>
      <c r="H320" s="19" t="n"/>
      <c r="I320" s="19" t="n"/>
      <c r="J320" s="19" t="n"/>
      <c r="K320" s="19" t="n"/>
      <c r="L320" s="19" t="n"/>
      <c r="M320" s="19" t="n"/>
      <c r="N320" s="19" t="n"/>
      <c r="O320" s="19" t="n"/>
      <c r="P320" s="19" t="n"/>
      <c r="Q320" s="19" t="n"/>
      <c r="R320" s="19" t="n"/>
    </row>
    <row r="321" ht="15.75" customHeight="1" s="545">
      <c r="A321" s="19" t="n"/>
      <c r="B321" s="19" t="n"/>
      <c r="C321" s="19" t="n"/>
      <c r="D321" s="19" t="n"/>
      <c r="E321" s="19" t="n"/>
      <c r="F321" s="19" t="n"/>
      <c r="G321" s="19" t="n"/>
      <c r="H321" s="19" t="n"/>
      <c r="I321" s="19" t="n"/>
      <c r="J321" s="19" t="n"/>
      <c r="K321" s="19" t="n"/>
      <c r="L321" s="19" t="n"/>
      <c r="M321" s="19" t="n"/>
      <c r="N321" s="19" t="n"/>
      <c r="O321" s="19" t="n"/>
      <c r="P321" s="19" t="n"/>
      <c r="Q321" s="19" t="n"/>
      <c r="R321" s="19" t="n"/>
    </row>
    <row r="322" ht="15.75" customHeight="1" s="545">
      <c r="A322" s="19" t="n"/>
      <c r="B322" s="19" t="n"/>
      <c r="C322" s="19" t="n"/>
      <c r="D322" s="19" t="n"/>
      <c r="E322" s="19" t="n"/>
      <c r="F322" s="19" t="n"/>
      <c r="G322" s="19" t="n"/>
      <c r="H322" s="19" t="n"/>
      <c r="I322" s="19" t="n"/>
      <c r="J322" s="19" t="n"/>
      <c r="K322" s="19" t="n"/>
      <c r="L322" s="19" t="n"/>
      <c r="M322" s="19" t="n"/>
      <c r="N322" s="19" t="n"/>
      <c r="O322" s="19" t="n"/>
      <c r="P322" s="19" t="n"/>
      <c r="Q322" s="19" t="n"/>
      <c r="R322" s="19" t="n"/>
    </row>
    <row r="323" ht="15.75" customHeight="1" s="545">
      <c r="A323" s="19" t="n"/>
      <c r="B323" s="19" t="n"/>
      <c r="C323" s="19" t="n"/>
      <c r="D323" s="19" t="n"/>
      <c r="E323" s="19" t="n"/>
      <c r="F323" s="19" t="n"/>
      <c r="G323" s="19" t="n"/>
      <c r="H323" s="19" t="n"/>
      <c r="I323" s="19" t="n"/>
      <c r="J323" s="19" t="n"/>
      <c r="K323" s="19" t="n"/>
      <c r="L323" s="19" t="n"/>
      <c r="M323" s="19" t="n"/>
      <c r="N323" s="19" t="n"/>
      <c r="O323" s="19" t="n"/>
      <c r="P323" s="19" t="n"/>
      <c r="Q323" s="19" t="n"/>
      <c r="R323" s="19" t="n"/>
    </row>
    <row r="324" ht="15.75" customHeight="1" s="545">
      <c r="A324" s="19" t="n"/>
      <c r="B324" s="19" t="n"/>
      <c r="C324" s="19" t="n"/>
      <c r="D324" s="19" t="n"/>
      <c r="E324" s="19" t="n"/>
      <c r="F324" s="19" t="n"/>
      <c r="G324" s="19" t="n"/>
      <c r="H324" s="19" t="n"/>
      <c r="I324" s="19" t="n"/>
      <c r="J324" s="19" t="n"/>
      <c r="K324" s="19" t="n"/>
      <c r="L324" s="19" t="n"/>
      <c r="M324" s="19" t="n"/>
      <c r="N324" s="19" t="n"/>
      <c r="O324" s="19" t="n"/>
      <c r="P324" s="19" t="n"/>
      <c r="Q324" s="19" t="n"/>
      <c r="R324" s="19" t="n"/>
    </row>
    <row r="325" ht="15.75" customHeight="1" s="545">
      <c r="A325" s="19" t="n"/>
      <c r="B325" s="19" t="n"/>
      <c r="C325" s="19" t="n"/>
      <c r="D325" s="19" t="n"/>
      <c r="E325" s="19" t="n"/>
      <c r="F325" s="19" t="n"/>
      <c r="G325" s="19" t="n"/>
      <c r="H325" s="19" t="n"/>
      <c r="I325" s="19" t="n"/>
      <c r="J325" s="19" t="n"/>
      <c r="K325" s="19" t="n"/>
      <c r="L325" s="19" t="n"/>
      <c r="M325" s="19" t="n"/>
      <c r="N325" s="19" t="n"/>
      <c r="O325" s="19" t="n"/>
      <c r="P325" s="19" t="n"/>
      <c r="Q325" s="19" t="n"/>
      <c r="R325" s="19" t="n"/>
    </row>
    <row r="326" ht="15.75" customHeight="1" s="545">
      <c r="A326" s="19" t="n"/>
      <c r="B326" s="19" t="n"/>
      <c r="C326" s="19" t="n"/>
      <c r="D326" s="19" t="n"/>
      <c r="E326" s="19" t="n"/>
      <c r="F326" s="19" t="n"/>
      <c r="G326" s="19" t="n"/>
      <c r="H326" s="19" t="n"/>
      <c r="I326" s="19" t="n"/>
      <c r="J326" s="19" t="n"/>
      <c r="K326" s="19" t="n"/>
      <c r="L326" s="19" t="n"/>
      <c r="M326" s="19" t="n"/>
      <c r="N326" s="19" t="n"/>
      <c r="O326" s="19" t="n"/>
      <c r="P326" s="19" t="n"/>
      <c r="Q326" s="19" t="n"/>
      <c r="R326" s="19" t="n"/>
    </row>
    <row r="327" ht="15.75" customHeight="1" s="545">
      <c r="A327" s="19" t="n"/>
      <c r="B327" s="19" t="n"/>
      <c r="C327" s="19" t="n"/>
      <c r="D327" s="19" t="n"/>
      <c r="E327" s="19" t="n"/>
      <c r="F327" s="19" t="n"/>
      <c r="G327" s="19" t="n"/>
      <c r="H327" s="19" t="n"/>
      <c r="I327" s="19" t="n"/>
      <c r="J327" s="19" t="n"/>
      <c r="K327" s="19" t="n"/>
      <c r="L327" s="19" t="n"/>
      <c r="M327" s="19" t="n"/>
      <c r="N327" s="19" t="n"/>
      <c r="O327" s="19" t="n"/>
      <c r="P327" s="19" t="n"/>
      <c r="Q327" s="19" t="n"/>
      <c r="R327" s="19" t="n"/>
    </row>
    <row r="328" ht="15.75" customHeight="1" s="545">
      <c r="A328" s="19" t="n"/>
      <c r="B328" s="19" t="n"/>
      <c r="C328" s="19" t="n"/>
      <c r="D328" s="19" t="n"/>
      <c r="E328" s="19" t="n"/>
      <c r="F328" s="19" t="n"/>
      <c r="G328" s="19" t="n"/>
      <c r="H328" s="19" t="n"/>
      <c r="I328" s="19" t="n"/>
      <c r="J328" s="19" t="n"/>
      <c r="K328" s="19" t="n"/>
      <c r="L328" s="19" t="n"/>
      <c r="M328" s="19" t="n"/>
      <c r="N328" s="19" t="n"/>
      <c r="O328" s="19" t="n"/>
      <c r="P328" s="19" t="n"/>
      <c r="Q328" s="19" t="n"/>
      <c r="R328" s="19" t="n"/>
    </row>
    <row r="329" ht="15.75" customHeight="1" s="545">
      <c r="A329" s="19" t="n"/>
      <c r="B329" s="19" t="n"/>
      <c r="C329" s="19" t="n"/>
      <c r="D329" s="19" t="n"/>
      <c r="E329" s="19" t="n"/>
      <c r="F329" s="19" t="n"/>
      <c r="G329" s="19" t="n"/>
      <c r="H329" s="19" t="n"/>
      <c r="I329" s="19" t="n"/>
      <c r="J329" s="19" t="n"/>
      <c r="K329" s="19" t="n"/>
      <c r="L329" s="19" t="n"/>
      <c r="M329" s="19" t="n"/>
      <c r="N329" s="19" t="n"/>
      <c r="O329" s="19" t="n"/>
      <c r="P329" s="19" t="n"/>
      <c r="Q329" s="19" t="n"/>
      <c r="R329" s="19" t="n"/>
    </row>
    <row r="330" ht="15.75" customHeight="1" s="545">
      <c r="A330" s="19" t="n"/>
      <c r="B330" s="19" t="n"/>
      <c r="C330" s="19" t="n"/>
      <c r="D330" s="19" t="n"/>
      <c r="E330" s="19" t="n"/>
      <c r="F330" s="19" t="n"/>
      <c r="G330" s="19" t="n"/>
      <c r="H330" s="19" t="n"/>
      <c r="I330" s="19" t="n"/>
      <c r="J330" s="19" t="n"/>
      <c r="K330" s="19" t="n"/>
      <c r="L330" s="19" t="n"/>
      <c r="M330" s="19" t="n"/>
      <c r="N330" s="19" t="n"/>
      <c r="O330" s="19" t="n"/>
      <c r="P330" s="19" t="n"/>
      <c r="Q330" s="19" t="n"/>
      <c r="R330" s="19" t="n"/>
    </row>
    <row r="331" ht="15.75" customHeight="1" s="545">
      <c r="A331" s="19" t="n"/>
      <c r="B331" s="19" t="n"/>
      <c r="C331" s="19" t="n"/>
      <c r="D331" s="19" t="n"/>
      <c r="E331" s="19" t="n"/>
      <c r="F331" s="19" t="n"/>
      <c r="G331" s="19" t="n"/>
      <c r="H331" s="19" t="n"/>
      <c r="I331" s="19" t="n"/>
      <c r="J331" s="19" t="n"/>
      <c r="K331" s="19" t="n"/>
      <c r="L331" s="19" t="n"/>
      <c r="M331" s="19" t="n"/>
      <c r="N331" s="19" t="n"/>
      <c r="O331" s="19" t="n"/>
      <c r="P331" s="19" t="n"/>
      <c r="Q331" s="19" t="n"/>
      <c r="R331" s="19" t="n"/>
    </row>
    <row r="332" ht="15.75" customHeight="1" s="545">
      <c r="A332" s="19" t="n"/>
      <c r="B332" s="19" t="n"/>
      <c r="C332" s="19" t="n"/>
      <c r="D332" s="19" t="n"/>
      <c r="E332" s="19" t="n"/>
      <c r="F332" s="19" t="n"/>
      <c r="G332" s="19" t="n"/>
      <c r="H332" s="19" t="n"/>
      <c r="I332" s="19" t="n"/>
      <c r="J332" s="19" t="n"/>
      <c r="K332" s="19" t="n"/>
      <c r="L332" s="19" t="n"/>
      <c r="M332" s="19" t="n"/>
      <c r="N332" s="19" t="n"/>
      <c r="O332" s="19" t="n"/>
      <c r="P332" s="19" t="n"/>
      <c r="Q332" s="19" t="n"/>
      <c r="R332" s="19" t="n"/>
    </row>
    <row r="333" ht="15.75" customHeight="1" s="545">
      <c r="A333" s="19" t="n"/>
      <c r="B333" s="19" t="n"/>
      <c r="C333" s="19" t="n"/>
      <c r="D333" s="19" t="n"/>
      <c r="E333" s="19" t="n"/>
      <c r="F333" s="19" t="n"/>
      <c r="G333" s="19" t="n"/>
      <c r="H333" s="19" t="n"/>
      <c r="I333" s="19" t="n"/>
      <c r="J333" s="19" t="n"/>
      <c r="K333" s="19" t="n"/>
      <c r="L333" s="19" t="n"/>
      <c r="M333" s="19" t="n"/>
      <c r="N333" s="19" t="n"/>
      <c r="O333" s="19" t="n"/>
      <c r="P333" s="19" t="n"/>
      <c r="Q333" s="19" t="n"/>
      <c r="R333" s="19" t="n"/>
    </row>
    <row r="334" ht="15.75" customHeight="1" s="545">
      <c r="A334" s="19" t="n"/>
      <c r="B334" s="19" t="n"/>
      <c r="C334" s="19" t="n"/>
      <c r="D334" s="19" t="n"/>
      <c r="E334" s="19" t="n"/>
      <c r="F334" s="19" t="n"/>
      <c r="G334" s="19" t="n"/>
      <c r="H334" s="19" t="n"/>
      <c r="I334" s="19" t="n"/>
      <c r="J334" s="19" t="n"/>
      <c r="K334" s="19" t="n"/>
      <c r="L334" s="19" t="n"/>
      <c r="M334" s="19" t="n"/>
      <c r="N334" s="19" t="n"/>
      <c r="O334" s="19" t="n"/>
      <c r="P334" s="19" t="n"/>
      <c r="Q334" s="19" t="n"/>
      <c r="R334" s="19" t="n"/>
    </row>
    <row r="335" ht="15.75" customHeight="1" s="545">
      <c r="A335" s="19" t="n"/>
      <c r="B335" s="19" t="n"/>
      <c r="C335" s="19" t="n"/>
      <c r="D335" s="19" t="n"/>
      <c r="E335" s="19" t="n"/>
      <c r="F335" s="19" t="n"/>
      <c r="G335" s="19" t="n"/>
      <c r="H335" s="19" t="n"/>
      <c r="I335" s="19" t="n"/>
      <c r="J335" s="19" t="n"/>
      <c r="K335" s="19" t="n"/>
      <c r="L335" s="19" t="n"/>
      <c r="M335" s="19" t="n"/>
      <c r="N335" s="19" t="n"/>
      <c r="O335" s="19" t="n"/>
      <c r="P335" s="19" t="n"/>
      <c r="Q335" s="19" t="n"/>
      <c r="R335" s="19" t="n"/>
    </row>
    <row r="336" ht="15.75" customHeight="1" s="545">
      <c r="A336" s="19" t="n"/>
      <c r="B336" s="19" t="n"/>
      <c r="C336" s="19" t="n"/>
      <c r="D336" s="19" t="n"/>
      <c r="E336" s="19" t="n"/>
      <c r="F336" s="19" t="n"/>
      <c r="G336" s="19" t="n"/>
      <c r="H336" s="19" t="n"/>
      <c r="I336" s="19" t="n"/>
      <c r="J336" s="19" t="n"/>
      <c r="K336" s="19" t="n"/>
      <c r="L336" s="19" t="n"/>
      <c r="M336" s="19" t="n"/>
      <c r="N336" s="19" t="n"/>
      <c r="O336" s="19" t="n"/>
      <c r="P336" s="19" t="n"/>
      <c r="Q336" s="19" t="n"/>
      <c r="R336" s="19" t="n"/>
    </row>
    <row r="337" ht="15.75" customHeight="1" s="545">
      <c r="A337" s="19" t="n"/>
      <c r="B337" s="19" t="n"/>
      <c r="C337" s="19" t="n"/>
      <c r="D337" s="19" t="n"/>
      <c r="E337" s="19" t="n"/>
      <c r="F337" s="19" t="n"/>
      <c r="G337" s="19" t="n"/>
      <c r="H337" s="19" t="n"/>
      <c r="I337" s="19" t="n"/>
      <c r="J337" s="19" t="n"/>
      <c r="K337" s="19" t="n"/>
      <c r="L337" s="19" t="n"/>
      <c r="M337" s="19" t="n"/>
      <c r="N337" s="19" t="n"/>
      <c r="O337" s="19" t="n"/>
      <c r="P337" s="19" t="n"/>
      <c r="Q337" s="19" t="n"/>
      <c r="R337" s="19" t="n"/>
    </row>
    <row r="338" ht="15.75" customHeight="1" s="545">
      <c r="A338" s="19" t="n"/>
      <c r="B338" s="19" t="n"/>
      <c r="C338" s="19" t="n"/>
      <c r="D338" s="19" t="n"/>
      <c r="E338" s="19" t="n"/>
      <c r="F338" s="19" t="n"/>
      <c r="G338" s="19" t="n"/>
      <c r="H338" s="19" t="n"/>
      <c r="I338" s="19" t="n"/>
      <c r="J338" s="19" t="n"/>
      <c r="K338" s="19" t="n"/>
      <c r="L338" s="19" t="n"/>
      <c r="M338" s="19" t="n"/>
      <c r="N338" s="19" t="n"/>
      <c r="O338" s="19" t="n"/>
      <c r="P338" s="19" t="n"/>
      <c r="Q338" s="19" t="n"/>
      <c r="R338" s="19" t="n"/>
    </row>
    <row r="339" ht="15.75" customHeight="1" s="545">
      <c r="A339" s="19" t="n"/>
      <c r="B339" s="19" t="n"/>
      <c r="C339" s="19" t="n"/>
      <c r="D339" s="19" t="n"/>
      <c r="E339" s="19" t="n"/>
      <c r="F339" s="19" t="n"/>
      <c r="G339" s="19" t="n"/>
      <c r="H339" s="19" t="n"/>
      <c r="I339" s="19" t="n"/>
      <c r="J339" s="19" t="n"/>
      <c r="K339" s="19" t="n"/>
      <c r="L339" s="19" t="n"/>
      <c r="M339" s="19" t="n"/>
      <c r="N339" s="19" t="n"/>
      <c r="O339" s="19" t="n"/>
      <c r="P339" s="19" t="n"/>
      <c r="Q339" s="19" t="n"/>
      <c r="R339" s="19" t="n"/>
    </row>
    <row r="340" ht="15.75" customHeight="1" s="545">
      <c r="A340" s="19" t="n"/>
      <c r="B340" s="19" t="n"/>
      <c r="C340" s="19" t="n"/>
      <c r="D340" s="19" t="n"/>
      <c r="E340" s="19" t="n"/>
      <c r="F340" s="19" t="n"/>
      <c r="G340" s="19" t="n"/>
      <c r="H340" s="19" t="n"/>
      <c r="I340" s="19" t="n"/>
      <c r="J340" s="19" t="n"/>
      <c r="K340" s="19" t="n"/>
      <c r="L340" s="19" t="n"/>
      <c r="M340" s="19" t="n"/>
      <c r="N340" s="19" t="n"/>
      <c r="O340" s="19" t="n"/>
      <c r="P340" s="19" t="n"/>
      <c r="Q340" s="19" t="n"/>
      <c r="R340" s="19" t="n"/>
    </row>
    <row r="341" ht="15.75" customHeight="1" s="545">
      <c r="A341" s="19" t="n"/>
      <c r="B341" s="19" t="n"/>
      <c r="C341" s="19" t="n"/>
      <c r="D341" s="19" t="n"/>
      <c r="E341" s="19" t="n"/>
      <c r="F341" s="19" t="n"/>
      <c r="G341" s="19" t="n"/>
      <c r="H341" s="19" t="n"/>
      <c r="I341" s="19" t="n"/>
      <c r="J341" s="19" t="n"/>
      <c r="K341" s="19" t="n"/>
      <c r="L341" s="19" t="n"/>
      <c r="M341" s="19" t="n"/>
      <c r="N341" s="19" t="n"/>
      <c r="O341" s="19" t="n"/>
      <c r="P341" s="19" t="n"/>
      <c r="Q341" s="19" t="n"/>
      <c r="R341" s="19" t="n"/>
    </row>
    <row r="342" ht="15.75" customHeight="1" s="545">
      <c r="A342" s="19" t="n"/>
      <c r="B342" s="19" t="n"/>
      <c r="C342" s="19" t="n"/>
      <c r="D342" s="19" t="n"/>
      <c r="E342" s="19" t="n"/>
      <c r="F342" s="19" t="n"/>
      <c r="G342" s="19" t="n"/>
      <c r="H342" s="19" t="n"/>
      <c r="I342" s="19" t="n"/>
      <c r="J342" s="19" t="n"/>
      <c r="K342" s="19" t="n"/>
      <c r="L342" s="19" t="n"/>
      <c r="M342" s="19" t="n"/>
      <c r="N342" s="19" t="n"/>
      <c r="O342" s="19" t="n"/>
      <c r="P342" s="19" t="n"/>
      <c r="Q342" s="19" t="n"/>
      <c r="R342" s="19" t="n"/>
    </row>
    <row r="343" ht="15.75" customHeight="1" s="545">
      <c r="A343" s="19" t="n"/>
      <c r="B343" s="19" t="n"/>
      <c r="C343" s="19" t="n"/>
      <c r="D343" s="19" t="n"/>
      <c r="E343" s="19" t="n"/>
      <c r="F343" s="19" t="n"/>
      <c r="G343" s="19" t="n"/>
      <c r="H343" s="19" t="n"/>
      <c r="I343" s="19" t="n"/>
      <c r="J343" s="19" t="n"/>
      <c r="K343" s="19" t="n"/>
      <c r="L343" s="19" t="n"/>
      <c r="M343" s="19" t="n"/>
      <c r="N343" s="19" t="n"/>
      <c r="O343" s="19" t="n"/>
      <c r="P343" s="19" t="n"/>
      <c r="Q343" s="19" t="n"/>
      <c r="R343" s="19" t="n"/>
    </row>
    <row r="344" ht="15.75" customHeight="1" s="545">
      <c r="A344" s="19" t="n"/>
      <c r="B344" s="19" t="n"/>
      <c r="C344" s="19" t="n"/>
      <c r="D344" s="19" t="n"/>
      <c r="E344" s="19" t="n"/>
      <c r="F344" s="19" t="n"/>
      <c r="G344" s="19" t="n"/>
      <c r="H344" s="19" t="n"/>
      <c r="I344" s="19" t="n"/>
      <c r="J344" s="19" t="n"/>
      <c r="K344" s="19" t="n"/>
      <c r="L344" s="19" t="n"/>
      <c r="M344" s="19" t="n"/>
      <c r="N344" s="19" t="n"/>
      <c r="O344" s="19" t="n"/>
      <c r="P344" s="19" t="n"/>
      <c r="Q344" s="19" t="n"/>
      <c r="R344" s="19" t="n"/>
    </row>
    <row r="345" ht="15.75" customHeight="1" s="545">
      <c r="A345" s="19" t="n"/>
      <c r="B345" s="19" t="n"/>
      <c r="C345" s="19" t="n"/>
      <c r="D345" s="19" t="n"/>
      <c r="E345" s="19" t="n"/>
      <c r="F345" s="19" t="n"/>
      <c r="G345" s="19" t="n"/>
      <c r="H345" s="19" t="n"/>
      <c r="I345" s="19" t="n"/>
      <c r="J345" s="19" t="n"/>
      <c r="K345" s="19" t="n"/>
      <c r="L345" s="19" t="n"/>
      <c r="M345" s="19" t="n"/>
      <c r="N345" s="19" t="n"/>
      <c r="O345" s="19" t="n"/>
      <c r="P345" s="19" t="n"/>
      <c r="Q345" s="19" t="n"/>
      <c r="R345" s="19" t="n"/>
    </row>
    <row r="346" ht="15.75" customHeight="1" s="545">
      <c r="A346" s="19" t="n"/>
      <c r="B346" s="19" t="n"/>
      <c r="C346" s="19" t="n"/>
      <c r="D346" s="19" t="n"/>
      <c r="E346" s="19" t="n"/>
      <c r="F346" s="19" t="n"/>
      <c r="G346" s="19" t="n"/>
      <c r="H346" s="19" t="n"/>
      <c r="I346" s="19" t="n"/>
      <c r="J346" s="19" t="n"/>
      <c r="K346" s="19" t="n"/>
      <c r="L346" s="19" t="n"/>
      <c r="M346" s="19" t="n"/>
      <c r="N346" s="19" t="n"/>
      <c r="O346" s="19" t="n"/>
      <c r="P346" s="19" t="n"/>
      <c r="Q346" s="19" t="n"/>
      <c r="R346" s="19" t="n"/>
    </row>
    <row r="347" ht="15.75" customHeight="1" s="545">
      <c r="A347" s="19" t="n"/>
      <c r="B347" s="19" t="n"/>
      <c r="C347" s="19" t="n"/>
      <c r="D347" s="19" t="n"/>
      <c r="E347" s="19" t="n"/>
      <c r="F347" s="19" t="n"/>
      <c r="G347" s="19" t="n"/>
      <c r="H347" s="19" t="n"/>
      <c r="I347" s="19" t="n"/>
      <c r="J347" s="19" t="n"/>
      <c r="K347" s="19" t="n"/>
      <c r="L347" s="19" t="n"/>
      <c r="M347" s="19" t="n"/>
      <c r="N347" s="19" t="n"/>
      <c r="O347" s="19" t="n"/>
      <c r="P347" s="19" t="n"/>
      <c r="Q347" s="19" t="n"/>
      <c r="R347" s="19" t="n"/>
    </row>
    <row r="348" ht="15.75" customHeight="1" s="545">
      <c r="A348" s="19" t="n"/>
      <c r="B348" s="19" t="n"/>
      <c r="C348" s="19" t="n"/>
      <c r="D348" s="19" t="n"/>
      <c r="E348" s="19" t="n"/>
      <c r="F348" s="19" t="n"/>
      <c r="G348" s="19" t="n"/>
      <c r="H348" s="19" t="n"/>
      <c r="I348" s="19" t="n"/>
      <c r="J348" s="19" t="n"/>
      <c r="K348" s="19" t="n"/>
      <c r="L348" s="19" t="n"/>
      <c r="M348" s="19" t="n"/>
      <c r="N348" s="19" t="n"/>
      <c r="O348" s="19" t="n"/>
      <c r="P348" s="19" t="n"/>
      <c r="Q348" s="19" t="n"/>
      <c r="R348" s="19" t="n"/>
    </row>
    <row r="349" ht="15.75" customHeight="1" s="545">
      <c r="A349" s="19" t="n"/>
      <c r="B349" s="19" t="n"/>
      <c r="C349" s="19" t="n"/>
      <c r="D349" s="19" t="n"/>
      <c r="E349" s="19" t="n"/>
      <c r="F349" s="19" t="n"/>
      <c r="G349" s="19" t="n"/>
      <c r="H349" s="19" t="n"/>
      <c r="I349" s="19" t="n"/>
      <c r="J349" s="19" t="n"/>
      <c r="K349" s="19" t="n"/>
      <c r="L349" s="19" t="n"/>
      <c r="M349" s="19" t="n"/>
      <c r="N349" s="19" t="n"/>
      <c r="O349" s="19" t="n"/>
      <c r="P349" s="19" t="n"/>
      <c r="Q349" s="19" t="n"/>
      <c r="R349" s="19" t="n"/>
    </row>
    <row r="350" ht="15.75" customHeight="1" s="545">
      <c r="A350" s="19" t="n"/>
      <c r="B350" s="19" t="n"/>
      <c r="C350" s="19" t="n"/>
      <c r="D350" s="19" t="n"/>
      <c r="E350" s="19" t="n"/>
      <c r="F350" s="19" t="n"/>
      <c r="G350" s="19" t="n"/>
      <c r="H350" s="19" t="n"/>
      <c r="I350" s="19" t="n"/>
      <c r="J350" s="19" t="n"/>
      <c r="K350" s="19" t="n"/>
      <c r="L350" s="19" t="n"/>
      <c r="M350" s="19" t="n"/>
      <c r="N350" s="19" t="n"/>
      <c r="O350" s="19" t="n"/>
      <c r="P350" s="19" t="n"/>
      <c r="Q350" s="19" t="n"/>
      <c r="R350" s="19" t="n"/>
    </row>
    <row r="351" ht="15.75" customHeight="1" s="545">
      <c r="A351" s="19" t="n"/>
      <c r="B351" s="19" t="n"/>
      <c r="C351" s="19" t="n"/>
      <c r="D351" s="19" t="n"/>
      <c r="E351" s="19" t="n"/>
      <c r="F351" s="19" t="n"/>
      <c r="G351" s="19" t="n"/>
      <c r="H351" s="19" t="n"/>
      <c r="I351" s="19" t="n"/>
      <c r="J351" s="19" t="n"/>
      <c r="K351" s="19" t="n"/>
      <c r="L351" s="19" t="n"/>
      <c r="M351" s="19" t="n"/>
      <c r="N351" s="19" t="n"/>
      <c r="O351" s="19" t="n"/>
      <c r="P351" s="19" t="n"/>
      <c r="Q351" s="19" t="n"/>
      <c r="R351" s="19" t="n"/>
    </row>
    <row r="352" ht="15.75" customHeight="1" s="545">
      <c r="A352" s="19" t="n"/>
      <c r="B352" s="19" t="n"/>
      <c r="C352" s="19" t="n"/>
      <c r="D352" s="19" t="n"/>
      <c r="E352" s="19" t="n"/>
      <c r="F352" s="19" t="n"/>
      <c r="G352" s="19" t="n"/>
      <c r="H352" s="19" t="n"/>
      <c r="I352" s="19" t="n"/>
      <c r="J352" s="19" t="n"/>
      <c r="K352" s="19" t="n"/>
      <c r="L352" s="19" t="n"/>
      <c r="M352" s="19" t="n"/>
      <c r="N352" s="19" t="n"/>
      <c r="O352" s="19" t="n"/>
      <c r="P352" s="19" t="n"/>
      <c r="Q352" s="19" t="n"/>
      <c r="R352" s="19" t="n"/>
    </row>
    <row r="353" ht="15.75" customHeight="1" s="545">
      <c r="A353" s="19" t="n"/>
      <c r="B353" s="19" t="n"/>
      <c r="C353" s="19" t="n"/>
      <c r="D353" s="19" t="n"/>
      <c r="E353" s="19" t="n"/>
      <c r="F353" s="19" t="n"/>
      <c r="G353" s="19" t="n"/>
      <c r="H353" s="19" t="n"/>
      <c r="I353" s="19" t="n"/>
      <c r="J353" s="19" t="n"/>
      <c r="K353" s="19" t="n"/>
      <c r="L353" s="19" t="n"/>
      <c r="M353" s="19" t="n"/>
      <c r="N353" s="19" t="n"/>
      <c r="O353" s="19" t="n"/>
      <c r="P353" s="19" t="n"/>
      <c r="Q353" s="19" t="n"/>
      <c r="R353" s="19" t="n"/>
    </row>
    <row r="354" ht="15.75" customHeight="1" s="545">
      <c r="A354" s="19" t="n"/>
      <c r="B354" s="19" t="n"/>
      <c r="C354" s="19" t="n"/>
      <c r="D354" s="19" t="n"/>
      <c r="E354" s="19" t="n"/>
      <c r="F354" s="19" t="n"/>
      <c r="G354" s="19" t="n"/>
      <c r="H354" s="19" t="n"/>
      <c r="I354" s="19" t="n"/>
      <c r="J354" s="19" t="n"/>
      <c r="K354" s="19" t="n"/>
      <c r="L354" s="19" t="n"/>
      <c r="M354" s="19" t="n"/>
      <c r="N354" s="19" t="n"/>
      <c r="O354" s="19" t="n"/>
      <c r="P354" s="19" t="n"/>
      <c r="Q354" s="19" t="n"/>
      <c r="R354" s="19" t="n"/>
    </row>
    <row r="355" ht="15.75" customHeight="1" s="545">
      <c r="A355" s="19" t="n"/>
      <c r="B355" s="19" t="n"/>
      <c r="C355" s="19" t="n"/>
      <c r="D355" s="19" t="n"/>
      <c r="E355" s="19" t="n"/>
      <c r="F355" s="19" t="n"/>
      <c r="G355" s="19" t="n"/>
      <c r="H355" s="19" t="n"/>
      <c r="I355" s="19" t="n"/>
      <c r="J355" s="19" t="n"/>
      <c r="K355" s="19" t="n"/>
      <c r="L355" s="19" t="n"/>
      <c r="M355" s="19" t="n"/>
      <c r="N355" s="19" t="n"/>
      <c r="O355" s="19" t="n"/>
      <c r="P355" s="19" t="n"/>
      <c r="Q355" s="19" t="n"/>
      <c r="R355" s="19" t="n"/>
    </row>
    <row r="356" ht="15.75" customHeight="1" s="545">
      <c r="A356" s="19" t="n"/>
      <c r="B356" s="19" t="n"/>
      <c r="C356" s="19" t="n"/>
      <c r="D356" s="19" t="n"/>
      <c r="E356" s="19" t="n"/>
      <c r="F356" s="19" t="n"/>
      <c r="G356" s="19" t="n"/>
      <c r="H356" s="19" t="n"/>
      <c r="I356" s="19" t="n"/>
      <c r="J356" s="19" t="n"/>
      <c r="K356" s="19" t="n"/>
      <c r="L356" s="19" t="n"/>
      <c r="M356" s="19" t="n"/>
      <c r="N356" s="19" t="n"/>
      <c r="O356" s="19" t="n"/>
      <c r="P356" s="19" t="n"/>
      <c r="Q356" s="19" t="n"/>
      <c r="R356" s="19" t="n"/>
    </row>
    <row r="357" ht="15.75" customHeight="1" s="545">
      <c r="A357" s="19" t="n"/>
      <c r="B357" s="19" t="n"/>
      <c r="C357" s="19" t="n"/>
      <c r="D357" s="19" t="n"/>
      <c r="E357" s="19" t="n"/>
      <c r="F357" s="19" t="n"/>
      <c r="G357" s="19" t="n"/>
      <c r="H357" s="19" t="n"/>
      <c r="I357" s="19" t="n"/>
      <c r="J357" s="19" t="n"/>
      <c r="K357" s="19" t="n"/>
      <c r="L357" s="19" t="n"/>
      <c r="M357" s="19" t="n"/>
      <c r="N357" s="19" t="n"/>
      <c r="O357" s="19" t="n"/>
      <c r="P357" s="19" t="n"/>
      <c r="Q357" s="19" t="n"/>
      <c r="R357" s="19" t="n"/>
    </row>
    <row r="358" ht="15.75" customHeight="1" s="545">
      <c r="A358" s="19" t="n"/>
      <c r="B358" s="19" t="n"/>
      <c r="C358" s="19" t="n"/>
      <c r="D358" s="19" t="n"/>
      <c r="E358" s="19" t="n"/>
      <c r="F358" s="19" t="n"/>
      <c r="G358" s="19" t="n"/>
      <c r="H358" s="19" t="n"/>
      <c r="I358" s="19" t="n"/>
      <c r="J358" s="19" t="n"/>
      <c r="K358" s="19" t="n"/>
      <c r="L358" s="19" t="n"/>
      <c r="M358" s="19" t="n"/>
      <c r="N358" s="19" t="n"/>
      <c r="O358" s="19" t="n"/>
      <c r="P358" s="19" t="n"/>
      <c r="Q358" s="19" t="n"/>
      <c r="R358" s="19" t="n"/>
    </row>
    <row r="359" ht="15.75" customHeight="1" s="545">
      <c r="A359" s="19" t="n"/>
      <c r="B359" s="19" t="n"/>
      <c r="C359" s="19" t="n"/>
      <c r="D359" s="19" t="n"/>
      <c r="E359" s="19" t="n"/>
      <c r="F359" s="19" t="n"/>
      <c r="G359" s="19" t="n"/>
      <c r="H359" s="19" t="n"/>
      <c r="I359" s="19" t="n"/>
      <c r="J359" s="19" t="n"/>
      <c r="K359" s="19" t="n"/>
      <c r="L359" s="19" t="n"/>
      <c r="M359" s="19" t="n"/>
      <c r="N359" s="19" t="n"/>
      <c r="O359" s="19" t="n"/>
      <c r="P359" s="19" t="n"/>
      <c r="Q359" s="19" t="n"/>
      <c r="R359" s="19" t="n"/>
    </row>
    <row r="360" ht="15.75" customHeight="1" s="545">
      <c r="A360" s="19" t="n"/>
      <c r="B360" s="19" t="n"/>
      <c r="C360" s="19" t="n"/>
      <c r="D360" s="19" t="n"/>
      <c r="E360" s="19" t="n"/>
      <c r="F360" s="19" t="n"/>
      <c r="G360" s="19" t="n"/>
      <c r="H360" s="19" t="n"/>
      <c r="I360" s="19" t="n"/>
      <c r="J360" s="19" t="n"/>
      <c r="K360" s="19" t="n"/>
      <c r="L360" s="19" t="n"/>
      <c r="M360" s="19" t="n"/>
      <c r="N360" s="19" t="n"/>
      <c r="O360" s="19" t="n"/>
      <c r="P360" s="19" t="n"/>
      <c r="Q360" s="19" t="n"/>
      <c r="R360" s="19" t="n"/>
    </row>
    <row r="361" ht="15.75" customHeight="1" s="545">
      <c r="A361" s="19" t="n"/>
      <c r="B361" s="19" t="n"/>
      <c r="C361" s="19" t="n"/>
      <c r="D361" s="19" t="n"/>
      <c r="E361" s="19" t="n"/>
      <c r="F361" s="19" t="n"/>
      <c r="G361" s="19" t="n"/>
      <c r="H361" s="19" t="n"/>
      <c r="I361" s="19" t="n"/>
      <c r="J361" s="19" t="n"/>
      <c r="K361" s="19" t="n"/>
      <c r="L361" s="19" t="n"/>
      <c r="M361" s="19" t="n"/>
      <c r="N361" s="19" t="n"/>
      <c r="O361" s="19" t="n"/>
      <c r="P361" s="19" t="n"/>
      <c r="Q361" s="19" t="n"/>
      <c r="R361" s="19" t="n"/>
    </row>
    <row r="362" ht="15.75" customHeight="1" s="545">
      <c r="A362" s="19" t="n"/>
      <c r="B362" s="19" t="n"/>
      <c r="C362" s="19" t="n"/>
      <c r="D362" s="19" t="n"/>
      <c r="E362" s="19" t="n"/>
      <c r="F362" s="19" t="n"/>
      <c r="G362" s="19" t="n"/>
      <c r="H362" s="19" t="n"/>
      <c r="I362" s="19" t="n"/>
      <c r="J362" s="19" t="n"/>
      <c r="K362" s="19" t="n"/>
      <c r="L362" s="19" t="n"/>
      <c r="M362" s="19" t="n"/>
      <c r="N362" s="19" t="n"/>
      <c r="O362" s="19" t="n"/>
      <c r="P362" s="19" t="n"/>
      <c r="Q362" s="19" t="n"/>
      <c r="R362" s="19" t="n"/>
    </row>
    <row r="363" ht="15.75" customHeight="1" s="545">
      <c r="A363" s="19" t="n"/>
      <c r="B363" s="19" t="n"/>
      <c r="C363" s="19" t="n"/>
      <c r="D363" s="19" t="n"/>
      <c r="E363" s="19" t="n"/>
      <c r="F363" s="19" t="n"/>
      <c r="G363" s="19" t="n"/>
      <c r="H363" s="19" t="n"/>
      <c r="I363" s="19" t="n"/>
      <c r="J363" s="19" t="n"/>
      <c r="K363" s="19" t="n"/>
      <c r="L363" s="19" t="n"/>
      <c r="M363" s="19" t="n"/>
      <c r="N363" s="19" t="n"/>
      <c r="O363" s="19" t="n"/>
      <c r="P363" s="19" t="n"/>
      <c r="Q363" s="19" t="n"/>
      <c r="R363" s="19" t="n"/>
    </row>
    <row r="364" ht="15.75" customHeight="1" s="545">
      <c r="A364" s="19" t="n"/>
      <c r="B364" s="19" t="n"/>
      <c r="C364" s="19" t="n"/>
      <c r="D364" s="19" t="n"/>
      <c r="E364" s="19" t="n"/>
      <c r="F364" s="19" t="n"/>
      <c r="G364" s="19" t="n"/>
      <c r="H364" s="19" t="n"/>
      <c r="I364" s="19" t="n"/>
      <c r="J364" s="19" t="n"/>
      <c r="K364" s="19" t="n"/>
      <c r="L364" s="19" t="n"/>
      <c r="M364" s="19" t="n"/>
      <c r="N364" s="19" t="n"/>
      <c r="O364" s="19" t="n"/>
      <c r="P364" s="19" t="n"/>
      <c r="Q364" s="19" t="n"/>
      <c r="R364" s="19" t="n"/>
    </row>
    <row r="365" ht="15.75" customHeight="1" s="545">
      <c r="A365" s="19" t="n"/>
      <c r="B365" s="19" t="n"/>
      <c r="C365" s="19" t="n"/>
      <c r="D365" s="19" t="n"/>
      <c r="E365" s="19" t="n"/>
      <c r="F365" s="19" t="n"/>
      <c r="G365" s="19" t="n"/>
      <c r="H365" s="19" t="n"/>
      <c r="I365" s="19" t="n"/>
      <c r="J365" s="19" t="n"/>
      <c r="K365" s="19" t="n"/>
      <c r="L365" s="19" t="n"/>
      <c r="M365" s="19" t="n"/>
      <c r="N365" s="19" t="n"/>
      <c r="O365" s="19" t="n"/>
      <c r="P365" s="19" t="n"/>
      <c r="Q365" s="19" t="n"/>
      <c r="R365" s="19" t="n"/>
    </row>
    <row r="366" ht="15.75" customHeight="1" s="545">
      <c r="A366" s="19" t="n"/>
      <c r="B366" s="19" t="n"/>
      <c r="C366" s="19" t="n"/>
      <c r="D366" s="19" t="n"/>
      <c r="E366" s="19" t="n"/>
      <c r="F366" s="19" t="n"/>
      <c r="G366" s="19" t="n"/>
      <c r="H366" s="19" t="n"/>
      <c r="I366" s="19" t="n"/>
      <c r="J366" s="19" t="n"/>
      <c r="K366" s="19" t="n"/>
      <c r="L366" s="19" t="n"/>
      <c r="M366" s="19" t="n"/>
      <c r="N366" s="19" t="n"/>
      <c r="O366" s="19" t="n"/>
      <c r="P366" s="19" t="n"/>
      <c r="Q366" s="19" t="n"/>
      <c r="R366" s="19" t="n"/>
    </row>
    <row r="367" ht="15.75" customHeight="1" s="545">
      <c r="A367" s="19" t="n"/>
      <c r="B367" s="19" t="n"/>
      <c r="C367" s="19" t="n"/>
      <c r="D367" s="19" t="n"/>
      <c r="E367" s="19" t="n"/>
      <c r="F367" s="19" t="n"/>
      <c r="G367" s="19" t="n"/>
      <c r="H367" s="19" t="n"/>
      <c r="I367" s="19" t="n"/>
      <c r="J367" s="19" t="n"/>
      <c r="K367" s="19" t="n"/>
      <c r="L367" s="19" t="n"/>
      <c r="M367" s="19" t="n"/>
      <c r="N367" s="19" t="n"/>
      <c r="O367" s="19" t="n"/>
      <c r="P367" s="19" t="n"/>
      <c r="Q367" s="19" t="n"/>
      <c r="R367" s="19" t="n"/>
    </row>
    <row r="368" ht="15.75" customHeight="1" s="545">
      <c r="A368" s="19" t="n"/>
      <c r="B368" s="19" t="n"/>
      <c r="C368" s="19" t="n"/>
      <c r="D368" s="19" t="n"/>
      <c r="E368" s="19" t="n"/>
      <c r="F368" s="19" t="n"/>
      <c r="G368" s="19" t="n"/>
      <c r="H368" s="19" t="n"/>
      <c r="I368" s="19" t="n"/>
      <c r="J368" s="19" t="n"/>
      <c r="K368" s="19" t="n"/>
      <c r="L368" s="19" t="n"/>
      <c r="M368" s="19" t="n"/>
      <c r="N368" s="19" t="n"/>
      <c r="O368" s="19" t="n"/>
      <c r="P368" s="19" t="n"/>
      <c r="Q368" s="19" t="n"/>
      <c r="R368" s="19" t="n"/>
    </row>
    <row r="369" ht="15.75" customHeight="1" s="545">
      <c r="A369" s="19" t="n"/>
      <c r="B369" s="19" t="n"/>
      <c r="C369" s="19" t="n"/>
      <c r="D369" s="19" t="n"/>
      <c r="E369" s="19" t="n"/>
      <c r="F369" s="19" t="n"/>
      <c r="G369" s="19" t="n"/>
      <c r="H369" s="19" t="n"/>
      <c r="I369" s="19" t="n"/>
      <c r="J369" s="19" t="n"/>
      <c r="K369" s="19" t="n"/>
      <c r="L369" s="19" t="n"/>
      <c r="M369" s="19" t="n"/>
      <c r="N369" s="19" t="n"/>
      <c r="O369" s="19" t="n"/>
      <c r="P369" s="19" t="n"/>
      <c r="Q369" s="19" t="n"/>
      <c r="R369" s="19" t="n"/>
    </row>
    <row r="370" ht="15.75" customHeight="1" s="545">
      <c r="A370" s="19" t="n"/>
      <c r="B370" s="19" t="n"/>
      <c r="C370" s="19" t="n"/>
      <c r="D370" s="19" t="n"/>
      <c r="E370" s="19" t="n"/>
      <c r="F370" s="19" t="n"/>
      <c r="G370" s="19" t="n"/>
      <c r="H370" s="19" t="n"/>
      <c r="I370" s="19" t="n"/>
      <c r="J370" s="19" t="n"/>
      <c r="K370" s="19" t="n"/>
      <c r="L370" s="19" t="n"/>
      <c r="M370" s="19" t="n"/>
      <c r="N370" s="19" t="n"/>
      <c r="O370" s="19" t="n"/>
      <c r="P370" s="19" t="n"/>
      <c r="Q370" s="19" t="n"/>
      <c r="R370" s="19" t="n"/>
    </row>
    <row r="371" ht="15.75" customHeight="1" s="545">
      <c r="A371" s="19" t="n"/>
      <c r="B371" s="19" t="n"/>
      <c r="C371" s="19" t="n"/>
      <c r="D371" s="19" t="n"/>
      <c r="E371" s="19" t="n"/>
      <c r="F371" s="19" t="n"/>
      <c r="G371" s="19" t="n"/>
      <c r="H371" s="19" t="n"/>
      <c r="I371" s="19" t="n"/>
      <c r="J371" s="19" t="n"/>
      <c r="K371" s="19" t="n"/>
      <c r="L371" s="19" t="n"/>
      <c r="M371" s="19" t="n"/>
      <c r="N371" s="19" t="n"/>
      <c r="O371" s="19" t="n"/>
      <c r="P371" s="19" t="n"/>
      <c r="Q371" s="19" t="n"/>
      <c r="R371" s="19" t="n"/>
    </row>
    <row r="372" ht="15.75" customHeight="1" s="545">
      <c r="A372" s="19" t="n"/>
      <c r="B372" s="19" t="n"/>
      <c r="C372" s="19" t="n"/>
      <c r="D372" s="19" t="n"/>
      <c r="E372" s="19" t="n"/>
      <c r="F372" s="19" t="n"/>
      <c r="G372" s="19" t="n"/>
      <c r="H372" s="19" t="n"/>
      <c r="I372" s="19" t="n"/>
      <c r="J372" s="19" t="n"/>
      <c r="K372" s="19" t="n"/>
      <c r="L372" s="19" t="n"/>
      <c r="M372" s="19" t="n"/>
      <c r="N372" s="19" t="n"/>
      <c r="O372" s="19" t="n"/>
      <c r="P372" s="19" t="n"/>
      <c r="Q372" s="19" t="n"/>
      <c r="R372" s="19" t="n"/>
    </row>
    <row r="373" ht="15.75" customHeight="1" s="545">
      <c r="A373" s="19" t="n"/>
      <c r="B373" s="19" t="n"/>
      <c r="C373" s="19" t="n"/>
      <c r="D373" s="19" t="n"/>
      <c r="E373" s="19" t="n"/>
      <c r="F373" s="19" t="n"/>
      <c r="G373" s="19" t="n"/>
      <c r="H373" s="19" t="n"/>
      <c r="I373" s="19" t="n"/>
      <c r="J373" s="19" t="n"/>
      <c r="K373" s="19" t="n"/>
      <c r="L373" s="19" t="n"/>
      <c r="M373" s="19" t="n"/>
      <c r="N373" s="19" t="n"/>
      <c r="O373" s="19" t="n"/>
      <c r="P373" s="19" t="n"/>
      <c r="Q373" s="19" t="n"/>
      <c r="R373" s="19" t="n"/>
    </row>
    <row r="374" ht="15.75" customHeight="1" s="545">
      <c r="A374" s="19" t="n"/>
      <c r="B374" s="19" t="n"/>
      <c r="C374" s="19" t="n"/>
      <c r="D374" s="19" t="n"/>
      <c r="E374" s="19" t="n"/>
      <c r="F374" s="19" t="n"/>
      <c r="G374" s="19" t="n"/>
      <c r="H374" s="19" t="n"/>
      <c r="I374" s="19" t="n"/>
      <c r="J374" s="19" t="n"/>
      <c r="K374" s="19" t="n"/>
      <c r="L374" s="19" t="n"/>
      <c r="M374" s="19" t="n"/>
      <c r="N374" s="19" t="n"/>
      <c r="O374" s="19" t="n"/>
      <c r="P374" s="19" t="n"/>
      <c r="Q374" s="19" t="n"/>
      <c r="R374" s="19" t="n"/>
    </row>
    <row r="375" ht="15.75" customHeight="1" s="545">
      <c r="A375" s="19" t="n"/>
      <c r="B375" s="19" t="n"/>
      <c r="C375" s="19" t="n"/>
      <c r="D375" s="19" t="n"/>
      <c r="E375" s="19" t="n"/>
      <c r="F375" s="19" t="n"/>
      <c r="G375" s="19" t="n"/>
      <c r="H375" s="19" t="n"/>
      <c r="I375" s="19" t="n"/>
      <c r="J375" s="19" t="n"/>
      <c r="K375" s="19" t="n"/>
      <c r="L375" s="19" t="n"/>
      <c r="M375" s="19" t="n"/>
      <c r="N375" s="19" t="n"/>
      <c r="O375" s="19" t="n"/>
      <c r="P375" s="19" t="n"/>
      <c r="Q375" s="19" t="n"/>
      <c r="R375" s="19" t="n"/>
    </row>
    <row r="376" ht="15.75" customHeight="1" s="545">
      <c r="A376" s="19" t="n"/>
      <c r="B376" s="19" t="n"/>
      <c r="C376" s="19" t="n"/>
      <c r="D376" s="19" t="n"/>
      <c r="E376" s="19" t="n"/>
      <c r="F376" s="19" t="n"/>
      <c r="G376" s="19" t="n"/>
      <c r="H376" s="19" t="n"/>
      <c r="I376" s="19" t="n"/>
      <c r="J376" s="19" t="n"/>
      <c r="K376" s="19" t="n"/>
      <c r="L376" s="19" t="n"/>
      <c r="M376" s="19" t="n"/>
      <c r="N376" s="19" t="n"/>
      <c r="O376" s="19" t="n"/>
      <c r="P376" s="19" t="n"/>
      <c r="Q376" s="19" t="n"/>
      <c r="R376" s="19" t="n"/>
    </row>
    <row r="377" ht="15.75" customHeight="1" s="545">
      <c r="A377" s="19" t="n"/>
      <c r="B377" s="19" t="n"/>
      <c r="C377" s="19" t="n"/>
      <c r="D377" s="19" t="n"/>
      <c r="E377" s="19" t="n"/>
      <c r="F377" s="19" t="n"/>
      <c r="G377" s="19" t="n"/>
      <c r="H377" s="19" t="n"/>
      <c r="I377" s="19" t="n"/>
      <c r="J377" s="19" t="n"/>
      <c r="K377" s="19" t="n"/>
      <c r="L377" s="19" t="n"/>
      <c r="M377" s="19" t="n"/>
      <c r="N377" s="19" t="n"/>
      <c r="O377" s="19" t="n"/>
      <c r="P377" s="19" t="n"/>
      <c r="Q377" s="19" t="n"/>
      <c r="R377" s="19" t="n"/>
    </row>
    <row r="378" ht="15.75" customHeight="1" s="545">
      <c r="A378" s="19" t="n"/>
      <c r="B378" s="19" t="n"/>
      <c r="C378" s="19" t="n"/>
      <c r="D378" s="19" t="n"/>
      <c r="E378" s="19" t="n"/>
      <c r="F378" s="19" t="n"/>
      <c r="G378" s="19" t="n"/>
      <c r="H378" s="19" t="n"/>
      <c r="I378" s="19" t="n"/>
      <c r="J378" s="19" t="n"/>
      <c r="K378" s="19" t="n"/>
      <c r="L378" s="19" t="n"/>
      <c r="M378" s="19" t="n"/>
      <c r="N378" s="19" t="n"/>
      <c r="O378" s="19" t="n"/>
      <c r="P378" s="19" t="n"/>
      <c r="Q378" s="19" t="n"/>
      <c r="R378" s="19" t="n"/>
    </row>
    <row r="379" ht="15.75" customHeight="1" s="545">
      <c r="A379" s="19" t="n"/>
      <c r="B379" s="19" t="n"/>
      <c r="C379" s="19" t="n"/>
      <c r="D379" s="19" t="n"/>
      <c r="E379" s="19" t="n"/>
      <c r="F379" s="19" t="n"/>
      <c r="G379" s="19" t="n"/>
      <c r="H379" s="19" t="n"/>
      <c r="I379" s="19" t="n"/>
      <c r="J379" s="19" t="n"/>
      <c r="K379" s="19" t="n"/>
      <c r="L379" s="19" t="n"/>
      <c r="M379" s="19" t="n"/>
      <c r="N379" s="19" t="n"/>
      <c r="O379" s="19" t="n"/>
      <c r="P379" s="19" t="n"/>
      <c r="Q379" s="19" t="n"/>
      <c r="R379" s="19" t="n"/>
    </row>
    <row r="380" ht="15.75" customHeight="1" s="545">
      <c r="A380" s="19" t="n"/>
      <c r="B380" s="19" t="n"/>
      <c r="C380" s="19" t="n"/>
      <c r="D380" s="19" t="n"/>
      <c r="E380" s="19" t="n"/>
      <c r="F380" s="19" t="n"/>
      <c r="G380" s="19" t="n"/>
      <c r="H380" s="19" t="n"/>
      <c r="I380" s="19" t="n"/>
      <c r="J380" s="19" t="n"/>
      <c r="K380" s="19" t="n"/>
      <c r="L380" s="19" t="n"/>
      <c r="M380" s="19" t="n"/>
      <c r="N380" s="19" t="n"/>
      <c r="O380" s="19" t="n"/>
      <c r="P380" s="19" t="n"/>
      <c r="Q380" s="19" t="n"/>
      <c r="R380" s="19" t="n"/>
    </row>
    <row r="381" ht="15.75" customHeight="1" s="545">
      <c r="A381" s="19" t="n"/>
      <c r="B381" s="19" t="n"/>
      <c r="C381" s="19" t="n"/>
      <c r="D381" s="19" t="n"/>
      <c r="E381" s="19" t="n"/>
      <c r="F381" s="19" t="n"/>
      <c r="G381" s="19" t="n"/>
      <c r="H381" s="19" t="n"/>
      <c r="I381" s="19" t="n"/>
      <c r="J381" s="19" t="n"/>
      <c r="K381" s="19" t="n"/>
      <c r="L381" s="19" t="n"/>
      <c r="M381" s="19" t="n"/>
      <c r="N381" s="19" t="n"/>
      <c r="O381" s="19" t="n"/>
      <c r="P381" s="19" t="n"/>
      <c r="Q381" s="19" t="n"/>
      <c r="R381" s="19" t="n"/>
    </row>
    <row r="382" ht="15.75" customHeight="1" s="545">
      <c r="A382" s="19" t="n"/>
      <c r="B382" s="19" t="n"/>
      <c r="C382" s="19" t="n"/>
      <c r="D382" s="19" t="n"/>
      <c r="E382" s="19" t="n"/>
      <c r="F382" s="19" t="n"/>
      <c r="G382" s="19" t="n"/>
      <c r="H382" s="19" t="n"/>
      <c r="I382" s="19" t="n"/>
      <c r="J382" s="19" t="n"/>
      <c r="K382" s="19" t="n"/>
      <c r="L382" s="19" t="n"/>
      <c r="M382" s="19" t="n"/>
      <c r="N382" s="19" t="n"/>
      <c r="O382" s="19" t="n"/>
      <c r="P382" s="19" t="n"/>
      <c r="Q382" s="19" t="n"/>
      <c r="R382" s="19" t="n"/>
    </row>
    <row r="383" ht="15.75" customHeight="1" s="545">
      <c r="A383" s="19" t="n"/>
      <c r="B383" s="19" t="n"/>
      <c r="C383" s="19" t="n"/>
      <c r="D383" s="19" t="n"/>
      <c r="E383" s="19" t="n"/>
      <c r="F383" s="19" t="n"/>
      <c r="G383" s="19" t="n"/>
      <c r="H383" s="19" t="n"/>
      <c r="I383" s="19" t="n"/>
      <c r="J383" s="19" t="n"/>
      <c r="K383" s="19" t="n"/>
      <c r="L383" s="19" t="n"/>
      <c r="M383" s="19" t="n"/>
      <c r="N383" s="19" t="n"/>
      <c r="O383" s="19" t="n"/>
      <c r="P383" s="19" t="n"/>
      <c r="Q383" s="19" t="n"/>
      <c r="R383" s="19" t="n"/>
    </row>
    <row r="384" ht="15.75" customHeight="1" s="545">
      <c r="A384" s="19" t="n"/>
      <c r="B384" s="19" t="n"/>
      <c r="C384" s="19" t="n"/>
      <c r="D384" s="19" t="n"/>
      <c r="E384" s="19" t="n"/>
      <c r="F384" s="19" t="n"/>
      <c r="G384" s="19" t="n"/>
      <c r="H384" s="19" t="n"/>
      <c r="I384" s="19" t="n"/>
      <c r="J384" s="19" t="n"/>
      <c r="K384" s="19" t="n"/>
      <c r="L384" s="19" t="n"/>
      <c r="M384" s="19" t="n"/>
      <c r="N384" s="19" t="n"/>
      <c r="O384" s="19" t="n"/>
      <c r="P384" s="19" t="n"/>
      <c r="Q384" s="19" t="n"/>
      <c r="R384" s="19" t="n"/>
    </row>
    <row r="385" ht="15.75" customHeight="1" s="545">
      <c r="A385" s="19" t="n"/>
      <c r="B385" s="19" t="n"/>
      <c r="C385" s="19" t="n"/>
      <c r="D385" s="19" t="n"/>
      <c r="E385" s="19" t="n"/>
      <c r="F385" s="19" t="n"/>
      <c r="G385" s="19" t="n"/>
      <c r="H385" s="19" t="n"/>
      <c r="I385" s="19" t="n"/>
      <c r="J385" s="19" t="n"/>
      <c r="K385" s="19" t="n"/>
      <c r="L385" s="19" t="n"/>
      <c r="M385" s="19" t="n"/>
      <c r="N385" s="19" t="n"/>
      <c r="O385" s="19" t="n"/>
      <c r="P385" s="19" t="n"/>
      <c r="Q385" s="19" t="n"/>
      <c r="R385" s="19" t="n"/>
    </row>
    <row r="386" ht="15.75" customHeight="1" s="545">
      <c r="A386" s="19" t="n"/>
      <c r="B386" s="19" t="n"/>
      <c r="C386" s="19" t="n"/>
      <c r="D386" s="19" t="n"/>
      <c r="E386" s="19" t="n"/>
      <c r="F386" s="19" t="n"/>
      <c r="G386" s="19" t="n"/>
      <c r="H386" s="19" t="n"/>
      <c r="I386" s="19" t="n"/>
      <c r="J386" s="19" t="n"/>
      <c r="K386" s="19" t="n"/>
      <c r="L386" s="19" t="n"/>
      <c r="M386" s="19" t="n"/>
      <c r="N386" s="19" t="n"/>
      <c r="O386" s="19" t="n"/>
      <c r="P386" s="19" t="n"/>
      <c r="Q386" s="19" t="n"/>
      <c r="R386" s="19" t="n"/>
    </row>
    <row r="387" ht="15.75" customHeight="1" s="545">
      <c r="A387" s="19" t="n"/>
      <c r="B387" s="19" t="n"/>
      <c r="C387" s="19" t="n"/>
      <c r="D387" s="19" t="n"/>
      <c r="E387" s="19" t="n"/>
      <c r="F387" s="19" t="n"/>
      <c r="G387" s="19" t="n"/>
      <c r="H387" s="19" t="n"/>
      <c r="I387" s="19" t="n"/>
      <c r="J387" s="19" t="n"/>
      <c r="K387" s="19" t="n"/>
      <c r="L387" s="19" t="n"/>
      <c r="M387" s="19" t="n"/>
      <c r="N387" s="19" t="n"/>
      <c r="O387" s="19" t="n"/>
      <c r="P387" s="19" t="n"/>
      <c r="Q387" s="19" t="n"/>
      <c r="R387" s="19" t="n"/>
    </row>
    <row r="388" ht="15.75" customHeight="1" s="545">
      <c r="A388" s="19" t="n"/>
      <c r="B388" s="19" t="n"/>
      <c r="C388" s="19" t="n"/>
      <c r="D388" s="19" t="n"/>
      <c r="E388" s="19" t="n"/>
      <c r="F388" s="19" t="n"/>
      <c r="G388" s="19" t="n"/>
      <c r="H388" s="19" t="n"/>
      <c r="I388" s="19" t="n"/>
      <c r="J388" s="19" t="n"/>
      <c r="K388" s="19" t="n"/>
      <c r="L388" s="19" t="n"/>
      <c r="M388" s="19" t="n"/>
      <c r="N388" s="19" t="n"/>
      <c r="O388" s="19" t="n"/>
      <c r="P388" s="19" t="n"/>
      <c r="Q388" s="19" t="n"/>
      <c r="R388" s="19" t="n"/>
    </row>
    <row r="389" ht="15.75" customHeight="1" s="545">
      <c r="A389" s="19" t="n"/>
      <c r="B389" s="19" t="n"/>
      <c r="C389" s="19" t="n"/>
      <c r="D389" s="19" t="n"/>
      <c r="E389" s="19" t="n"/>
      <c r="F389" s="19" t="n"/>
      <c r="G389" s="19" t="n"/>
      <c r="H389" s="19" t="n"/>
      <c r="I389" s="19" t="n"/>
      <c r="J389" s="19" t="n"/>
      <c r="K389" s="19" t="n"/>
      <c r="L389" s="19" t="n"/>
      <c r="M389" s="19" t="n"/>
      <c r="N389" s="19" t="n"/>
      <c r="O389" s="19" t="n"/>
      <c r="P389" s="19" t="n"/>
      <c r="Q389" s="19" t="n"/>
      <c r="R389" s="19" t="n"/>
    </row>
    <row r="390" ht="15.75" customHeight="1" s="545">
      <c r="A390" s="19" t="n"/>
      <c r="B390" s="19" t="n"/>
      <c r="C390" s="19" t="n"/>
      <c r="D390" s="19" t="n"/>
      <c r="E390" s="19" t="n"/>
      <c r="F390" s="19" t="n"/>
      <c r="G390" s="19" t="n"/>
      <c r="H390" s="19" t="n"/>
      <c r="I390" s="19" t="n"/>
      <c r="J390" s="19" t="n"/>
      <c r="K390" s="19" t="n"/>
      <c r="L390" s="19" t="n"/>
      <c r="M390" s="19" t="n"/>
      <c r="N390" s="19" t="n"/>
      <c r="O390" s="19" t="n"/>
      <c r="P390" s="19" t="n"/>
      <c r="Q390" s="19" t="n"/>
      <c r="R390" s="19" t="n"/>
    </row>
    <row r="391" ht="15.75" customHeight="1" s="545">
      <c r="A391" s="19" t="n"/>
      <c r="B391" s="19" t="n"/>
      <c r="C391" s="19" t="n"/>
      <c r="D391" s="19" t="n"/>
      <c r="E391" s="19" t="n"/>
      <c r="F391" s="19" t="n"/>
      <c r="G391" s="19" t="n"/>
      <c r="H391" s="19" t="n"/>
      <c r="I391" s="19" t="n"/>
      <c r="J391" s="19" t="n"/>
      <c r="K391" s="19" t="n"/>
      <c r="L391" s="19" t="n"/>
      <c r="M391" s="19" t="n"/>
      <c r="N391" s="19" t="n"/>
      <c r="O391" s="19" t="n"/>
      <c r="P391" s="19" t="n"/>
      <c r="Q391" s="19" t="n"/>
      <c r="R391" s="19" t="n"/>
    </row>
    <row r="392" ht="15.75" customHeight="1" s="545">
      <c r="A392" s="19" t="n"/>
      <c r="B392" s="19" t="n"/>
      <c r="C392" s="19" t="n"/>
      <c r="D392" s="19" t="n"/>
      <c r="E392" s="19" t="n"/>
      <c r="F392" s="19" t="n"/>
      <c r="G392" s="19" t="n"/>
      <c r="H392" s="19" t="n"/>
      <c r="I392" s="19" t="n"/>
      <c r="J392" s="19" t="n"/>
      <c r="K392" s="19" t="n"/>
      <c r="L392" s="19" t="n"/>
      <c r="M392" s="19" t="n"/>
      <c r="N392" s="19" t="n"/>
      <c r="O392" s="19" t="n"/>
      <c r="P392" s="19" t="n"/>
      <c r="Q392" s="19" t="n"/>
      <c r="R392" s="19" t="n"/>
    </row>
    <row r="393" ht="15.75" customHeight="1" s="545">
      <c r="A393" s="19" t="n"/>
      <c r="B393" s="19" t="n"/>
      <c r="C393" s="19" t="n"/>
      <c r="D393" s="19" t="n"/>
      <c r="E393" s="19" t="n"/>
      <c r="F393" s="19" t="n"/>
      <c r="G393" s="19" t="n"/>
      <c r="H393" s="19" t="n"/>
      <c r="I393" s="19" t="n"/>
      <c r="J393" s="19" t="n"/>
      <c r="K393" s="19" t="n"/>
      <c r="L393" s="19" t="n"/>
      <c r="M393" s="19" t="n"/>
      <c r="N393" s="19" t="n"/>
      <c r="O393" s="19" t="n"/>
      <c r="P393" s="19" t="n"/>
      <c r="Q393" s="19" t="n"/>
      <c r="R393" s="19" t="n"/>
    </row>
    <row r="394" ht="15.75" customHeight="1" s="545">
      <c r="A394" s="19" t="n"/>
      <c r="B394" s="19" t="n"/>
      <c r="C394" s="19" t="n"/>
      <c r="D394" s="19" t="n"/>
      <c r="E394" s="19" t="n"/>
      <c r="F394" s="19" t="n"/>
      <c r="G394" s="19" t="n"/>
      <c r="H394" s="19" t="n"/>
      <c r="I394" s="19" t="n"/>
      <c r="J394" s="19" t="n"/>
      <c r="K394" s="19" t="n"/>
      <c r="L394" s="19" t="n"/>
      <c r="M394" s="19" t="n"/>
      <c r="N394" s="19" t="n"/>
      <c r="O394" s="19" t="n"/>
      <c r="P394" s="19" t="n"/>
      <c r="Q394" s="19" t="n"/>
      <c r="R394" s="19" t="n"/>
    </row>
    <row r="395" ht="15.75" customHeight="1" s="545">
      <c r="A395" s="19" t="n"/>
      <c r="B395" s="19" t="n"/>
      <c r="C395" s="19" t="n"/>
      <c r="D395" s="19" t="n"/>
      <c r="E395" s="19" t="n"/>
      <c r="F395" s="19" t="n"/>
      <c r="G395" s="19" t="n"/>
      <c r="H395" s="19" t="n"/>
      <c r="I395" s="19" t="n"/>
      <c r="J395" s="19" t="n"/>
      <c r="K395" s="19" t="n"/>
      <c r="L395" s="19" t="n"/>
      <c r="M395" s="19" t="n"/>
      <c r="N395" s="19" t="n"/>
      <c r="O395" s="19" t="n"/>
      <c r="P395" s="19" t="n"/>
      <c r="Q395" s="19" t="n"/>
      <c r="R395" s="19" t="n"/>
    </row>
    <row r="396" ht="15.75" customHeight="1" s="545">
      <c r="A396" s="19" t="n"/>
      <c r="B396" s="19" t="n"/>
      <c r="C396" s="19" t="n"/>
      <c r="D396" s="19" t="n"/>
      <c r="E396" s="19" t="n"/>
      <c r="F396" s="19" t="n"/>
      <c r="G396" s="19" t="n"/>
      <c r="H396" s="19" t="n"/>
      <c r="I396" s="19" t="n"/>
      <c r="J396" s="19" t="n"/>
      <c r="K396" s="19" t="n"/>
      <c r="L396" s="19" t="n"/>
      <c r="M396" s="19" t="n"/>
      <c r="N396" s="19" t="n"/>
      <c r="O396" s="19" t="n"/>
      <c r="P396" s="19" t="n"/>
      <c r="Q396" s="19" t="n"/>
      <c r="R396" s="19" t="n"/>
    </row>
    <row r="397" ht="15.75" customHeight="1" s="545">
      <c r="A397" s="19" t="n"/>
      <c r="B397" s="19" t="n"/>
      <c r="C397" s="19" t="n"/>
      <c r="D397" s="19" t="n"/>
      <c r="E397" s="19" t="n"/>
      <c r="F397" s="19" t="n"/>
      <c r="G397" s="19" t="n"/>
      <c r="H397" s="19" t="n"/>
      <c r="I397" s="19" t="n"/>
      <c r="J397" s="19" t="n"/>
      <c r="K397" s="19" t="n"/>
      <c r="L397" s="19" t="n"/>
      <c r="M397" s="19" t="n"/>
      <c r="N397" s="19" t="n"/>
      <c r="O397" s="19" t="n"/>
      <c r="P397" s="19" t="n"/>
      <c r="Q397" s="19" t="n"/>
      <c r="R397" s="19" t="n"/>
    </row>
    <row r="398" ht="15.75" customHeight="1" s="545">
      <c r="A398" s="19" t="n"/>
      <c r="B398" s="19" t="n"/>
      <c r="C398" s="19" t="n"/>
      <c r="D398" s="19" t="n"/>
      <c r="E398" s="19" t="n"/>
      <c r="F398" s="19" t="n"/>
      <c r="G398" s="19" t="n"/>
      <c r="H398" s="19" t="n"/>
      <c r="I398" s="19" t="n"/>
      <c r="J398" s="19" t="n"/>
      <c r="K398" s="19" t="n"/>
      <c r="L398" s="19" t="n"/>
      <c r="M398" s="19" t="n"/>
      <c r="N398" s="19" t="n"/>
      <c r="O398" s="19" t="n"/>
      <c r="P398" s="19" t="n"/>
      <c r="Q398" s="19" t="n"/>
      <c r="R398" s="19" t="n"/>
    </row>
    <row r="399" ht="15.75" customHeight="1" s="545">
      <c r="A399" s="19" t="n"/>
      <c r="B399" s="19" t="n"/>
      <c r="C399" s="19" t="n"/>
      <c r="D399" s="19" t="n"/>
      <c r="E399" s="19" t="n"/>
      <c r="F399" s="19" t="n"/>
      <c r="G399" s="19" t="n"/>
      <c r="H399" s="19" t="n"/>
      <c r="I399" s="19" t="n"/>
      <c r="J399" s="19" t="n"/>
      <c r="K399" s="19" t="n"/>
      <c r="L399" s="19" t="n"/>
      <c r="M399" s="19" t="n"/>
      <c r="N399" s="19" t="n"/>
      <c r="O399" s="19" t="n"/>
      <c r="P399" s="19" t="n"/>
      <c r="Q399" s="19" t="n"/>
      <c r="R399" s="19" t="n"/>
    </row>
    <row r="400" ht="15.75" customHeight="1" s="545">
      <c r="A400" s="19" t="n"/>
      <c r="B400" s="19" t="n"/>
      <c r="C400" s="19" t="n"/>
      <c r="D400" s="19" t="n"/>
      <c r="E400" s="19" t="n"/>
      <c r="F400" s="19" t="n"/>
      <c r="G400" s="19" t="n"/>
      <c r="H400" s="19" t="n"/>
      <c r="I400" s="19" t="n"/>
      <c r="J400" s="19" t="n"/>
      <c r="K400" s="19" t="n"/>
      <c r="L400" s="19" t="n"/>
      <c r="M400" s="19" t="n"/>
      <c r="N400" s="19" t="n"/>
      <c r="O400" s="19" t="n"/>
      <c r="P400" s="19" t="n"/>
      <c r="Q400" s="19" t="n"/>
      <c r="R400" s="19" t="n"/>
    </row>
    <row r="401" ht="15.75" customHeight="1" s="545">
      <c r="A401" s="19" t="n"/>
      <c r="B401" s="19" t="n"/>
      <c r="C401" s="19" t="n"/>
      <c r="D401" s="19" t="n"/>
      <c r="E401" s="19" t="n"/>
      <c r="F401" s="19" t="n"/>
      <c r="G401" s="19" t="n"/>
      <c r="H401" s="19" t="n"/>
      <c r="I401" s="19" t="n"/>
      <c r="J401" s="19" t="n"/>
      <c r="K401" s="19" t="n"/>
      <c r="L401" s="19" t="n"/>
      <c r="M401" s="19" t="n"/>
      <c r="N401" s="19" t="n"/>
      <c r="O401" s="19" t="n"/>
      <c r="P401" s="19" t="n"/>
      <c r="Q401" s="19" t="n"/>
      <c r="R401" s="19" t="n"/>
    </row>
    <row r="402" ht="15.75" customHeight="1" s="545">
      <c r="A402" s="19" t="n"/>
      <c r="B402" s="19" t="n"/>
      <c r="C402" s="19" t="n"/>
      <c r="D402" s="19" t="n"/>
      <c r="E402" s="19" t="n"/>
      <c r="F402" s="19" t="n"/>
      <c r="G402" s="19" t="n"/>
      <c r="H402" s="19" t="n"/>
      <c r="I402" s="19" t="n"/>
      <c r="J402" s="19" t="n"/>
      <c r="K402" s="19" t="n"/>
      <c r="L402" s="19" t="n"/>
      <c r="M402" s="19" t="n"/>
      <c r="N402" s="19" t="n"/>
      <c r="O402" s="19" t="n"/>
      <c r="P402" s="19" t="n"/>
      <c r="Q402" s="19" t="n"/>
      <c r="R402" s="19" t="n"/>
    </row>
    <row r="403" ht="15.75" customHeight="1" s="545">
      <c r="A403" s="19" t="n"/>
      <c r="B403" s="19" t="n"/>
      <c r="C403" s="19" t="n"/>
      <c r="D403" s="19" t="n"/>
      <c r="E403" s="19" t="n"/>
      <c r="F403" s="19" t="n"/>
      <c r="G403" s="19" t="n"/>
      <c r="H403" s="19" t="n"/>
      <c r="I403" s="19" t="n"/>
      <c r="J403" s="19" t="n"/>
      <c r="K403" s="19" t="n"/>
      <c r="L403" s="19" t="n"/>
      <c r="M403" s="19" t="n"/>
      <c r="N403" s="19" t="n"/>
      <c r="O403" s="19" t="n"/>
      <c r="P403" s="19" t="n"/>
      <c r="Q403" s="19" t="n"/>
      <c r="R403" s="19" t="n"/>
    </row>
    <row r="404" ht="15.75" customHeight="1" s="545">
      <c r="A404" s="19" t="n"/>
      <c r="B404" s="19" t="n"/>
      <c r="C404" s="19" t="n"/>
      <c r="D404" s="19" t="n"/>
      <c r="E404" s="19" t="n"/>
      <c r="F404" s="19" t="n"/>
      <c r="G404" s="19" t="n"/>
      <c r="H404" s="19" t="n"/>
      <c r="I404" s="19" t="n"/>
      <c r="J404" s="19" t="n"/>
      <c r="K404" s="19" t="n"/>
      <c r="L404" s="19" t="n"/>
      <c r="M404" s="19" t="n"/>
      <c r="N404" s="19" t="n"/>
      <c r="O404" s="19" t="n"/>
      <c r="P404" s="19" t="n"/>
      <c r="Q404" s="19" t="n"/>
      <c r="R404" s="19" t="n"/>
    </row>
    <row r="405" ht="15.75" customHeight="1" s="545">
      <c r="A405" s="19" t="n"/>
      <c r="B405" s="19" t="n"/>
      <c r="C405" s="19" t="n"/>
      <c r="D405" s="19" t="n"/>
      <c r="E405" s="19" t="n"/>
      <c r="F405" s="19" t="n"/>
      <c r="G405" s="19" t="n"/>
      <c r="H405" s="19" t="n"/>
      <c r="I405" s="19" t="n"/>
      <c r="J405" s="19" t="n"/>
      <c r="K405" s="19" t="n"/>
      <c r="L405" s="19" t="n"/>
      <c r="M405" s="19" t="n"/>
      <c r="N405" s="19" t="n"/>
      <c r="O405" s="19" t="n"/>
      <c r="P405" s="19" t="n"/>
      <c r="Q405" s="19" t="n"/>
      <c r="R405" s="19" t="n"/>
    </row>
    <row r="406" ht="15.75" customHeight="1" s="545">
      <c r="A406" s="19" t="n"/>
      <c r="B406" s="19" t="n"/>
      <c r="C406" s="19" t="n"/>
      <c r="D406" s="19" t="n"/>
      <c r="E406" s="19" t="n"/>
      <c r="F406" s="19" t="n"/>
      <c r="G406" s="19" t="n"/>
      <c r="H406" s="19" t="n"/>
      <c r="I406" s="19" t="n"/>
      <c r="J406" s="19" t="n"/>
      <c r="K406" s="19" t="n"/>
      <c r="L406" s="19" t="n"/>
      <c r="M406" s="19" t="n"/>
      <c r="N406" s="19" t="n"/>
      <c r="O406" s="19" t="n"/>
      <c r="P406" s="19" t="n"/>
      <c r="Q406" s="19" t="n"/>
      <c r="R406" s="19" t="n"/>
    </row>
    <row r="407" ht="15.75" customHeight="1" s="545">
      <c r="A407" s="19" t="n"/>
      <c r="B407" s="19" t="n"/>
      <c r="C407" s="19" t="n"/>
      <c r="D407" s="19" t="n"/>
      <c r="E407" s="19" t="n"/>
      <c r="F407" s="19" t="n"/>
      <c r="G407" s="19" t="n"/>
      <c r="H407" s="19" t="n"/>
      <c r="I407" s="19" t="n"/>
      <c r="J407" s="19" t="n"/>
      <c r="K407" s="19" t="n"/>
      <c r="L407" s="19" t="n"/>
      <c r="M407" s="19" t="n"/>
      <c r="N407" s="19" t="n"/>
      <c r="O407" s="19" t="n"/>
      <c r="P407" s="19" t="n"/>
      <c r="Q407" s="19" t="n"/>
      <c r="R407" s="19" t="n"/>
    </row>
    <row r="408" ht="15.75" customHeight="1" s="545">
      <c r="A408" s="19" t="n"/>
      <c r="B408" s="19" t="n"/>
      <c r="C408" s="19" t="n"/>
      <c r="D408" s="19" t="n"/>
      <c r="E408" s="19" t="n"/>
      <c r="F408" s="19" t="n"/>
      <c r="G408" s="19" t="n"/>
      <c r="H408" s="19" t="n"/>
      <c r="I408" s="19" t="n"/>
      <c r="J408" s="19" t="n"/>
      <c r="K408" s="19" t="n"/>
      <c r="L408" s="19" t="n"/>
      <c r="M408" s="19" t="n"/>
      <c r="N408" s="19" t="n"/>
      <c r="O408" s="19" t="n"/>
      <c r="P408" s="19" t="n"/>
      <c r="Q408" s="19" t="n"/>
      <c r="R408" s="19" t="n"/>
    </row>
    <row r="409" ht="15.75" customHeight="1" s="545">
      <c r="A409" s="19" t="n"/>
      <c r="B409" s="19" t="n"/>
      <c r="C409" s="19" t="n"/>
      <c r="D409" s="19" t="n"/>
      <c r="E409" s="19" t="n"/>
      <c r="F409" s="19" t="n"/>
      <c r="G409" s="19" t="n"/>
      <c r="H409" s="19" t="n"/>
      <c r="I409" s="19" t="n"/>
      <c r="J409" s="19" t="n"/>
      <c r="K409" s="19" t="n"/>
      <c r="L409" s="19" t="n"/>
      <c r="M409" s="19" t="n"/>
      <c r="N409" s="19" t="n"/>
      <c r="O409" s="19" t="n"/>
      <c r="P409" s="19" t="n"/>
      <c r="Q409" s="19" t="n"/>
      <c r="R409" s="19" t="n"/>
    </row>
    <row r="410" ht="15.75" customHeight="1" s="545">
      <c r="A410" s="19" t="n"/>
      <c r="B410" s="19" t="n"/>
      <c r="C410" s="19" t="n"/>
      <c r="D410" s="19" t="n"/>
      <c r="E410" s="19" t="n"/>
      <c r="F410" s="19" t="n"/>
      <c r="G410" s="19" t="n"/>
      <c r="H410" s="19" t="n"/>
      <c r="I410" s="19" t="n"/>
      <c r="J410" s="19" t="n"/>
      <c r="K410" s="19" t="n"/>
      <c r="L410" s="19" t="n"/>
      <c r="M410" s="19" t="n"/>
      <c r="N410" s="19" t="n"/>
      <c r="O410" s="19" t="n"/>
      <c r="P410" s="19" t="n"/>
      <c r="Q410" s="19" t="n"/>
      <c r="R410" s="19" t="n"/>
    </row>
    <row r="411" ht="15.75" customHeight="1" s="545">
      <c r="A411" s="19" t="n"/>
      <c r="B411" s="19" t="n"/>
      <c r="C411" s="19" t="n"/>
      <c r="D411" s="19" t="n"/>
      <c r="E411" s="19" t="n"/>
      <c r="F411" s="19" t="n"/>
      <c r="G411" s="19" t="n"/>
      <c r="H411" s="19" t="n"/>
      <c r="I411" s="19" t="n"/>
      <c r="J411" s="19" t="n"/>
      <c r="K411" s="19" t="n"/>
      <c r="L411" s="19" t="n"/>
      <c r="M411" s="19" t="n"/>
      <c r="N411" s="19" t="n"/>
      <c r="O411" s="19" t="n"/>
      <c r="P411" s="19" t="n"/>
      <c r="Q411" s="19" t="n"/>
      <c r="R411" s="19" t="n"/>
    </row>
    <row r="412" ht="15.75" customHeight="1" s="545">
      <c r="A412" s="19" t="n"/>
      <c r="B412" s="19" t="n"/>
      <c r="C412" s="19" t="n"/>
      <c r="D412" s="19" t="n"/>
      <c r="E412" s="19" t="n"/>
      <c r="F412" s="19" t="n"/>
      <c r="G412" s="19" t="n"/>
      <c r="H412" s="19" t="n"/>
      <c r="I412" s="19" t="n"/>
      <c r="J412" s="19" t="n"/>
      <c r="K412" s="19" t="n"/>
      <c r="L412" s="19" t="n"/>
      <c r="M412" s="19" t="n"/>
      <c r="N412" s="19" t="n"/>
      <c r="O412" s="19" t="n"/>
      <c r="P412" s="19" t="n"/>
      <c r="Q412" s="19" t="n"/>
      <c r="R412" s="19" t="n"/>
    </row>
    <row r="413" ht="15.75" customHeight="1" s="545">
      <c r="A413" s="19" t="n"/>
      <c r="B413" s="19" t="n"/>
      <c r="C413" s="19" t="n"/>
      <c r="D413" s="19" t="n"/>
      <c r="E413" s="19" t="n"/>
      <c r="F413" s="19" t="n"/>
      <c r="G413" s="19" t="n"/>
      <c r="H413" s="19" t="n"/>
      <c r="I413" s="19" t="n"/>
      <c r="J413" s="19" t="n"/>
      <c r="K413" s="19" t="n"/>
      <c r="L413" s="19" t="n"/>
      <c r="M413" s="19" t="n"/>
      <c r="N413" s="19" t="n"/>
      <c r="O413" s="19" t="n"/>
      <c r="P413" s="19" t="n"/>
      <c r="Q413" s="19" t="n"/>
      <c r="R413" s="19" t="n"/>
    </row>
    <row r="414" ht="15.75" customHeight="1" s="545">
      <c r="A414" s="19" t="n"/>
      <c r="B414" s="19" t="n"/>
      <c r="C414" s="19" t="n"/>
      <c r="D414" s="19" t="n"/>
      <c r="E414" s="19" t="n"/>
      <c r="F414" s="19" t="n"/>
      <c r="G414" s="19" t="n"/>
      <c r="H414" s="19" t="n"/>
      <c r="I414" s="19" t="n"/>
      <c r="J414" s="19" t="n"/>
      <c r="K414" s="19" t="n"/>
      <c r="L414" s="19" t="n"/>
      <c r="M414" s="19" t="n"/>
      <c r="N414" s="19" t="n"/>
      <c r="O414" s="19" t="n"/>
      <c r="P414" s="19" t="n"/>
      <c r="Q414" s="19" t="n"/>
      <c r="R414" s="19" t="n"/>
    </row>
    <row r="415" ht="15.75" customHeight="1" s="545">
      <c r="A415" s="19" t="n"/>
      <c r="B415" s="19" t="n"/>
      <c r="C415" s="19" t="n"/>
      <c r="D415" s="19" t="n"/>
      <c r="E415" s="19" t="n"/>
      <c r="F415" s="19" t="n"/>
      <c r="G415" s="19" t="n"/>
      <c r="H415" s="19" t="n"/>
      <c r="I415" s="19" t="n"/>
      <c r="J415" s="19" t="n"/>
      <c r="K415" s="19" t="n"/>
      <c r="L415" s="19" t="n"/>
      <c r="M415" s="19" t="n"/>
      <c r="N415" s="19" t="n"/>
      <c r="O415" s="19" t="n"/>
      <c r="P415" s="19" t="n"/>
      <c r="Q415" s="19" t="n"/>
      <c r="R415" s="19" t="n"/>
    </row>
    <row r="416" ht="15.75" customHeight="1" s="545">
      <c r="A416" s="19" t="n"/>
      <c r="B416" s="19" t="n"/>
      <c r="C416" s="19" t="n"/>
      <c r="D416" s="19" t="n"/>
      <c r="E416" s="19" t="n"/>
      <c r="F416" s="19" t="n"/>
      <c r="G416" s="19" t="n"/>
      <c r="H416" s="19" t="n"/>
      <c r="I416" s="19" t="n"/>
      <c r="J416" s="19" t="n"/>
      <c r="K416" s="19" t="n"/>
      <c r="L416" s="19" t="n"/>
      <c r="M416" s="19" t="n"/>
      <c r="N416" s="19" t="n"/>
      <c r="O416" s="19" t="n"/>
      <c r="P416" s="19" t="n"/>
      <c r="Q416" s="19" t="n"/>
      <c r="R416" s="19" t="n"/>
    </row>
    <row r="417" ht="15.75" customHeight="1" s="545">
      <c r="A417" s="19" t="n"/>
      <c r="B417" s="19" t="n"/>
      <c r="C417" s="19" t="n"/>
      <c r="D417" s="19" t="n"/>
      <c r="E417" s="19" t="n"/>
      <c r="F417" s="19" t="n"/>
      <c r="G417" s="19" t="n"/>
      <c r="H417" s="19" t="n"/>
      <c r="I417" s="19" t="n"/>
      <c r="J417" s="19" t="n"/>
      <c r="K417" s="19" t="n"/>
      <c r="L417" s="19" t="n"/>
      <c r="M417" s="19" t="n"/>
      <c r="N417" s="19" t="n"/>
      <c r="O417" s="19" t="n"/>
      <c r="P417" s="19" t="n"/>
      <c r="Q417" s="19" t="n"/>
      <c r="R417" s="19" t="n"/>
    </row>
    <row r="418" ht="15.75" customHeight="1" s="545">
      <c r="A418" s="19" t="n"/>
      <c r="B418" s="19" t="n"/>
      <c r="C418" s="19" t="n"/>
      <c r="D418" s="19" t="n"/>
      <c r="E418" s="19" t="n"/>
      <c r="F418" s="19" t="n"/>
      <c r="G418" s="19" t="n"/>
      <c r="H418" s="19" t="n"/>
      <c r="I418" s="19" t="n"/>
      <c r="J418" s="19" t="n"/>
      <c r="K418" s="19" t="n"/>
      <c r="L418" s="19" t="n"/>
      <c r="M418" s="19" t="n"/>
      <c r="N418" s="19" t="n"/>
      <c r="O418" s="19" t="n"/>
      <c r="P418" s="19" t="n"/>
      <c r="Q418" s="19" t="n"/>
      <c r="R418" s="19" t="n"/>
    </row>
    <row r="419" ht="15.75" customHeight="1" s="545">
      <c r="A419" s="19" t="n"/>
      <c r="B419" s="19" t="n"/>
      <c r="C419" s="19" t="n"/>
      <c r="D419" s="19" t="n"/>
      <c r="E419" s="19" t="n"/>
      <c r="F419" s="19" t="n"/>
      <c r="G419" s="19" t="n"/>
      <c r="H419" s="19" t="n"/>
      <c r="I419" s="19" t="n"/>
      <c r="J419" s="19" t="n"/>
      <c r="K419" s="19" t="n"/>
      <c r="L419" s="19" t="n"/>
      <c r="M419" s="19" t="n"/>
      <c r="N419" s="19" t="n"/>
      <c r="O419" s="19" t="n"/>
      <c r="P419" s="19" t="n"/>
      <c r="Q419" s="19" t="n"/>
      <c r="R419" s="19" t="n"/>
    </row>
    <row r="420" ht="15.75" customHeight="1" s="545">
      <c r="A420" s="19" t="n"/>
      <c r="B420" s="19" t="n"/>
      <c r="C420" s="19" t="n"/>
      <c r="D420" s="19" t="n"/>
      <c r="E420" s="19" t="n"/>
      <c r="F420" s="19" t="n"/>
      <c r="G420" s="19" t="n"/>
      <c r="H420" s="19" t="n"/>
      <c r="I420" s="19" t="n"/>
      <c r="J420" s="19" t="n"/>
      <c r="K420" s="19" t="n"/>
      <c r="L420" s="19" t="n"/>
      <c r="M420" s="19" t="n"/>
      <c r="N420" s="19" t="n"/>
      <c r="O420" s="19" t="n"/>
      <c r="P420" s="19" t="n"/>
      <c r="Q420" s="19" t="n"/>
      <c r="R420" s="19" t="n"/>
    </row>
    <row r="421" ht="15.75" customHeight="1" s="545">
      <c r="A421" s="19" t="n"/>
      <c r="B421" s="19" t="n"/>
      <c r="C421" s="19" t="n"/>
      <c r="D421" s="19" t="n"/>
      <c r="E421" s="19" t="n"/>
      <c r="F421" s="19" t="n"/>
      <c r="G421" s="19" t="n"/>
      <c r="H421" s="19" t="n"/>
      <c r="I421" s="19" t="n"/>
      <c r="J421" s="19" t="n"/>
      <c r="K421" s="19" t="n"/>
      <c r="L421" s="19" t="n"/>
      <c r="M421" s="19" t="n"/>
      <c r="N421" s="19" t="n"/>
      <c r="O421" s="19" t="n"/>
      <c r="P421" s="19" t="n"/>
      <c r="Q421" s="19" t="n"/>
      <c r="R421" s="19" t="n"/>
    </row>
    <row r="422" ht="15.75" customHeight="1" s="545">
      <c r="A422" s="19" t="n"/>
      <c r="B422" s="19" t="n"/>
      <c r="C422" s="19" t="n"/>
      <c r="D422" s="19" t="n"/>
      <c r="E422" s="19" t="n"/>
      <c r="F422" s="19" t="n"/>
      <c r="G422" s="19" t="n"/>
      <c r="H422" s="19" t="n"/>
      <c r="I422" s="19" t="n"/>
      <c r="J422" s="19" t="n"/>
      <c r="K422" s="19" t="n"/>
      <c r="L422" s="19" t="n"/>
      <c r="M422" s="19" t="n"/>
      <c r="N422" s="19" t="n"/>
      <c r="O422" s="19" t="n"/>
      <c r="P422" s="19" t="n"/>
      <c r="Q422" s="19" t="n"/>
      <c r="R422" s="19" t="n"/>
    </row>
    <row r="423" ht="15.75" customHeight="1" s="545">
      <c r="A423" s="19" t="n"/>
      <c r="B423" s="19" t="n"/>
      <c r="C423" s="19" t="n"/>
      <c r="D423" s="19" t="n"/>
      <c r="E423" s="19" t="n"/>
      <c r="F423" s="19" t="n"/>
      <c r="G423" s="19" t="n"/>
      <c r="H423" s="19" t="n"/>
      <c r="I423" s="19" t="n"/>
      <c r="J423" s="19" t="n"/>
      <c r="K423" s="19" t="n"/>
      <c r="L423" s="19" t="n"/>
      <c r="M423" s="19" t="n"/>
      <c r="N423" s="19" t="n"/>
      <c r="O423" s="19" t="n"/>
      <c r="P423" s="19" t="n"/>
      <c r="Q423" s="19" t="n"/>
      <c r="R423" s="19" t="n"/>
    </row>
    <row r="424" ht="15.75" customHeight="1" s="545">
      <c r="A424" s="19" t="n"/>
      <c r="B424" s="19" t="n"/>
      <c r="C424" s="19" t="n"/>
      <c r="D424" s="19" t="n"/>
      <c r="E424" s="19" t="n"/>
      <c r="F424" s="19" t="n"/>
      <c r="G424" s="19" t="n"/>
      <c r="H424" s="19" t="n"/>
      <c r="I424" s="19" t="n"/>
      <c r="J424" s="19" t="n"/>
      <c r="K424" s="19" t="n"/>
      <c r="L424" s="19" t="n"/>
      <c r="M424" s="19" t="n"/>
      <c r="N424" s="19" t="n"/>
      <c r="O424" s="19" t="n"/>
      <c r="P424" s="19" t="n"/>
      <c r="Q424" s="19" t="n"/>
      <c r="R424" s="19" t="n"/>
    </row>
    <row r="425" ht="15.75" customHeight="1" s="545">
      <c r="A425" s="19" t="n"/>
      <c r="B425" s="19" t="n"/>
      <c r="C425" s="19" t="n"/>
      <c r="D425" s="19" t="n"/>
      <c r="E425" s="19" t="n"/>
      <c r="F425" s="19" t="n"/>
      <c r="G425" s="19" t="n"/>
      <c r="H425" s="19" t="n"/>
      <c r="I425" s="19" t="n"/>
      <c r="J425" s="19" t="n"/>
      <c r="K425" s="19" t="n"/>
      <c r="L425" s="19" t="n"/>
      <c r="M425" s="19" t="n"/>
      <c r="N425" s="19" t="n"/>
      <c r="O425" s="19" t="n"/>
      <c r="P425" s="19" t="n"/>
      <c r="Q425" s="19" t="n"/>
      <c r="R425" s="19" t="n"/>
    </row>
    <row r="426" ht="15.75" customHeight="1" s="545">
      <c r="A426" s="19" t="n"/>
      <c r="B426" s="19" t="n"/>
      <c r="C426" s="19" t="n"/>
      <c r="D426" s="19" t="n"/>
      <c r="E426" s="19" t="n"/>
      <c r="F426" s="19" t="n"/>
      <c r="G426" s="19" t="n"/>
      <c r="H426" s="19" t="n"/>
      <c r="I426" s="19" t="n"/>
      <c r="J426" s="19" t="n"/>
      <c r="K426" s="19" t="n"/>
      <c r="L426" s="19" t="n"/>
      <c r="M426" s="19" t="n"/>
      <c r="N426" s="19" t="n"/>
      <c r="O426" s="19" t="n"/>
      <c r="P426" s="19" t="n"/>
      <c r="Q426" s="19" t="n"/>
      <c r="R426" s="19" t="n"/>
    </row>
    <row r="427" ht="15.75" customHeight="1" s="545">
      <c r="A427" s="19" t="n"/>
      <c r="B427" s="19" t="n"/>
      <c r="C427" s="19" t="n"/>
      <c r="D427" s="19" t="n"/>
      <c r="E427" s="19" t="n"/>
      <c r="F427" s="19" t="n"/>
      <c r="G427" s="19" t="n"/>
      <c r="H427" s="19" t="n"/>
      <c r="I427" s="19" t="n"/>
      <c r="J427" s="19" t="n"/>
      <c r="K427" s="19" t="n"/>
      <c r="L427" s="19" t="n"/>
      <c r="M427" s="19" t="n"/>
      <c r="N427" s="19" t="n"/>
      <c r="O427" s="19" t="n"/>
      <c r="P427" s="19" t="n"/>
      <c r="Q427" s="19" t="n"/>
      <c r="R427" s="19" t="n"/>
    </row>
    <row r="428" ht="15.75" customHeight="1" s="545">
      <c r="A428" s="19" t="n"/>
      <c r="B428" s="19" t="n"/>
      <c r="C428" s="19" t="n"/>
      <c r="D428" s="19" t="n"/>
      <c r="E428" s="19" t="n"/>
      <c r="F428" s="19" t="n"/>
      <c r="G428" s="19" t="n"/>
      <c r="H428" s="19" t="n"/>
      <c r="I428" s="19" t="n"/>
      <c r="J428" s="19" t="n"/>
      <c r="K428" s="19" t="n"/>
      <c r="L428" s="19" t="n"/>
      <c r="M428" s="19" t="n"/>
      <c r="N428" s="19" t="n"/>
      <c r="O428" s="19" t="n"/>
      <c r="P428" s="19" t="n"/>
      <c r="Q428" s="19" t="n"/>
      <c r="R428" s="19" t="n"/>
    </row>
    <row r="429" ht="15.75" customHeight="1" s="545">
      <c r="A429" s="19" t="n"/>
      <c r="B429" s="19" t="n"/>
      <c r="C429" s="19" t="n"/>
      <c r="D429" s="19" t="n"/>
      <c r="E429" s="19" t="n"/>
      <c r="F429" s="19" t="n"/>
      <c r="G429" s="19" t="n"/>
      <c r="H429" s="19" t="n"/>
      <c r="I429" s="19" t="n"/>
      <c r="J429" s="19" t="n"/>
      <c r="K429" s="19" t="n"/>
      <c r="L429" s="19" t="n"/>
      <c r="M429" s="19" t="n"/>
      <c r="N429" s="19" t="n"/>
      <c r="O429" s="19" t="n"/>
      <c r="P429" s="19" t="n"/>
      <c r="Q429" s="19" t="n"/>
      <c r="R429" s="19" t="n"/>
    </row>
    <row r="430" ht="15.75" customHeight="1" s="545">
      <c r="A430" s="19" t="n"/>
      <c r="B430" s="19" t="n"/>
      <c r="C430" s="19" t="n"/>
      <c r="D430" s="19" t="n"/>
      <c r="E430" s="19" t="n"/>
      <c r="F430" s="19" t="n"/>
      <c r="G430" s="19" t="n"/>
      <c r="H430" s="19" t="n"/>
      <c r="I430" s="19" t="n"/>
      <c r="J430" s="19" t="n"/>
      <c r="K430" s="19" t="n"/>
      <c r="L430" s="19" t="n"/>
      <c r="M430" s="19" t="n"/>
      <c r="N430" s="19" t="n"/>
      <c r="O430" s="19" t="n"/>
      <c r="P430" s="19" t="n"/>
      <c r="Q430" s="19" t="n"/>
      <c r="R430" s="19" t="n"/>
    </row>
    <row r="431" ht="15.75" customHeight="1" s="545">
      <c r="A431" s="19" t="n"/>
      <c r="B431" s="19" t="n"/>
      <c r="C431" s="19" t="n"/>
      <c r="D431" s="19" t="n"/>
      <c r="E431" s="19" t="n"/>
      <c r="F431" s="19" t="n"/>
      <c r="G431" s="19" t="n"/>
      <c r="H431" s="19" t="n"/>
      <c r="I431" s="19" t="n"/>
      <c r="J431" s="19" t="n"/>
      <c r="K431" s="19" t="n"/>
      <c r="L431" s="19" t="n"/>
      <c r="M431" s="19" t="n"/>
      <c r="N431" s="19" t="n"/>
      <c r="O431" s="19" t="n"/>
      <c r="P431" s="19" t="n"/>
      <c r="Q431" s="19" t="n"/>
      <c r="R431" s="19" t="n"/>
    </row>
    <row r="432" ht="15.75" customHeight="1" s="545">
      <c r="A432" s="19" t="n"/>
      <c r="B432" s="19" t="n"/>
      <c r="C432" s="19" t="n"/>
      <c r="D432" s="19" t="n"/>
      <c r="E432" s="19" t="n"/>
      <c r="F432" s="19" t="n"/>
      <c r="G432" s="19" t="n"/>
      <c r="H432" s="19" t="n"/>
      <c r="I432" s="19" t="n"/>
      <c r="J432" s="19" t="n"/>
      <c r="K432" s="19" t="n"/>
      <c r="L432" s="19" t="n"/>
      <c r="M432" s="19" t="n"/>
      <c r="N432" s="19" t="n"/>
      <c r="O432" s="19" t="n"/>
      <c r="P432" s="19" t="n"/>
      <c r="Q432" s="19" t="n"/>
      <c r="R432" s="19" t="n"/>
    </row>
    <row r="433" ht="15.75" customHeight="1" s="545">
      <c r="A433" s="19" t="n"/>
      <c r="B433" s="19" t="n"/>
      <c r="C433" s="19" t="n"/>
      <c r="D433" s="19" t="n"/>
      <c r="E433" s="19" t="n"/>
      <c r="F433" s="19" t="n"/>
      <c r="G433" s="19" t="n"/>
      <c r="H433" s="19" t="n"/>
      <c r="I433" s="19" t="n"/>
      <c r="J433" s="19" t="n"/>
      <c r="K433" s="19" t="n"/>
      <c r="L433" s="19" t="n"/>
      <c r="M433" s="19" t="n"/>
      <c r="N433" s="19" t="n"/>
      <c r="O433" s="19" t="n"/>
      <c r="P433" s="19" t="n"/>
      <c r="Q433" s="19" t="n"/>
      <c r="R433" s="19" t="n"/>
    </row>
    <row r="434" ht="15.75" customHeight="1" s="545">
      <c r="A434" s="19" t="n"/>
      <c r="B434" s="19" t="n"/>
      <c r="C434" s="19" t="n"/>
      <c r="D434" s="19" t="n"/>
      <c r="E434" s="19" t="n"/>
      <c r="F434" s="19" t="n"/>
      <c r="G434" s="19" t="n"/>
      <c r="H434" s="19" t="n"/>
      <c r="I434" s="19" t="n"/>
      <c r="J434" s="19" t="n"/>
      <c r="K434" s="19" t="n"/>
      <c r="L434" s="19" t="n"/>
      <c r="M434" s="19" t="n"/>
      <c r="N434" s="19" t="n"/>
      <c r="O434" s="19" t="n"/>
      <c r="P434" s="19" t="n"/>
      <c r="Q434" s="19" t="n"/>
      <c r="R434" s="19" t="n"/>
    </row>
    <row r="435" ht="15.75" customHeight="1" s="545">
      <c r="A435" s="19" t="n"/>
      <c r="B435" s="19" t="n"/>
      <c r="C435" s="19" t="n"/>
      <c r="D435" s="19" t="n"/>
      <c r="E435" s="19" t="n"/>
      <c r="F435" s="19" t="n"/>
      <c r="G435" s="19" t="n"/>
      <c r="H435" s="19" t="n"/>
      <c r="I435" s="19" t="n"/>
      <c r="J435" s="19" t="n"/>
      <c r="K435" s="19" t="n"/>
      <c r="L435" s="19" t="n"/>
      <c r="M435" s="19" t="n"/>
      <c r="N435" s="19" t="n"/>
      <c r="O435" s="19" t="n"/>
      <c r="P435" s="19" t="n"/>
      <c r="Q435" s="19" t="n"/>
      <c r="R435" s="19" t="n"/>
    </row>
    <row r="436" ht="15.75" customHeight="1" s="545">
      <c r="A436" s="19" t="n"/>
      <c r="B436" s="19" t="n"/>
      <c r="C436" s="19" t="n"/>
      <c r="D436" s="19" t="n"/>
      <c r="E436" s="19" t="n"/>
      <c r="F436" s="19" t="n"/>
      <c r="G436" s="19" t="n"/>
      <c r="H436" s="19" t="n"/>
      <c r="I436" s="19" t="n"/>
      <c r="J436" s="19" t="n"/>
      <c r="K436" s="19" t="n"/>
      <c r="L436" s="19" t="n"/>
      <c r="M436" s="19" t="n"/>
      <c r="N436" s="19" t="n"/>
      <c r="O436" s="19" t="n"/>
      <c r="P436" s="19" t="n"/>
      <c r="Q436" s="19" t="n"/>
      <c r="R436" s="19" t="n"/>
    </row>
    <row r="437" ht="15.75" customHeight="1" s="545">
      <c r="A437" s="19" t="n"/>
      <c r="B437" s="19" t="n"/>
      <c r="C437" s="19" t="n"/>
      <c r="D437" s="19" t="n"/>
      <c r="E437" s="19" t="n"/>
      <c r="F437" s="19" t="n"/>
      <c r="G437" s="19" t="n"/>
      <c r="H437" s="19" t="n"/>
      <c r="I437" s="19" t="n"/>
      <c r="J437" s="19" t="n"/>
      <c r="K437" s="19" t="n"/>
      <c r="L437" s="19" t="n"/>
      <c r="M437" s="19" t="n"/>
      <c r="N437" s="19" t="n"/>
      <c r="O437" s="19" t="n"/>
      <c r="P437" s="19" t="n"/>
      <c r="Q437" s="19" t="n"/>
      <c r="R437" s="19" t="n"/>
    </row>
    <row r="438" ht="15.75" customHeight="1" s="545">
      <c r="A438" s="19" t="n"/>
      <c r="B438" s="19" t="n"/>
      <c r="C438" s="19" t="n"/>
      <c r="D438" s="19" t="n"/>
      <c r="E438" s="19" t="n"/>
      <c r="F438" s="19" t="n"/>
      <c r="G438" s="19" t="n"/>
      <c r="H438" s="19" t="n"/>
      <c r="I438" s="19" t="n"/>
      <c r="J438" s="19" t="n"/>
      <c r="K438" s="19" t="n"/>
      <c r="L438" s="19" t="n"/>
      <c r="M438" s="19" t="n"/>
      <c r="N438" s="19" t="n"/>
      <c r="O438" s="19" t="n"/>
      <c r="P438" s="19" t="n"/>
      <c r="Q438" s="19" t="n"/>
      <c r="R438" s="19" t="n"/>
    </row>
    <row r="439" ht="15.75" customHeight="1" s="545">
      <c r="A439" s="19" t="n"/>
      <c r="B439" s="19" t="n"/>
      <c r="C439" s="19" t="n"/>
      <c r="D439" s="19" t="n"/>
      <c r="E439" s="19" t="n"/>
      <c r="F439" s="19" t="n"/>
      <c r="G439" s="19" t="n"/>
      <c r="H439" s="19" t="n"/>
      <c r="I439" s="19" t="n"/>
      <c r="J439" s="19" t="n"/>
      <c r="K439" s="19" t="n"/>
      <c r="L439" s="19" t="n"/>
      <c r="M439" s="19" t="n"/>
      <c r="N439" s="19" t="n"/>
      <c r="O439" s="19" t="n"/>
      <c r="P439" s="19" t="n"/>
      <c r="Q439" s="19" t="n"/>
      <c r="R439" s="19" t="n"/>
    </row>
    <row r="440" ht="15.75" customHeight="1" s="545">
      <c r="A440" s="19" t="n"/>
      <c r="B440" s="19" t="n"/>
      <c r="C440" s="19" t="n"/>
      <c r="D440" s="19" t="n"/>
      <c r="E440" s="19" t="n"/>
      <c r="F440" s="19" t="n"/>
      <c r="G440" s="19" t="n"/>
      <c r="H440" s="19" t="n"/>
      <c r="I440" s="19" t="n"/>
      <c r="J440" s="19" t="n"/>
      <c r="K440" s="19" t="n"/>
      <c r="L440" s="19" t="n"/>
      <c r="M440" s="19" t="n"/>
      <c r="N440" s="19" t="n"/>
      <c r="O440" s="19" t="n"/>
      <c r="P440" s="19" t="n"/>
      <c r="Q440" s="19" t="n"/>
      <c r="R440" s="19" t="n"/>
    </row>
    <row r="441" ht="15.75" customHeight="1" s="545">
      <c r="A441" s="19" t="n"/>
      <c r="B441" s="19" t="n"/>
      <c r="C441" s="19" t="n"/>
      <c r="D441" s="19" t="n"/>
      <c r="E441" s="19" t="n"/>
      <c r="F441" s="19" t="n"/>
      <c r="G441" s="19" t="n"/>
      <c r="H441" s="19" t="n"/>
      <c r="I441" s="19" t="n"/>
      <c r="J441" s="19" t="n"/>
      <c r="K441" s="19" t="n"/>
      <c r="L441" s="19" t="n"/>
      <c r="M441" s="19" t="n"/>
      <c r="N441" s="19" t="n"/>
      <c r="O441" s="19" t="n"/>
      <c r="P441" s="19" t="n"/>
      <c r="Q441" s="19" t="n"/>
      <c r="R441" s="19" t="n"/>
    </row>
    <row r="442" ht="15.75" customHeight="1" s="545">
      <c r="A442" s="19" t="n"/>
      <c r="B442" s="19" t="n"/>
      <c r="C442" s="19" t="n"/>
      <c r="D442" s="19" t="n"/>
      <c r="E442" s="19" t="n"/>
      <c r="F442" s="19" t="n"/>
      <c r="G442" s="19" t="n"/>
      <c r="H442" s="19" t="n"/>
      <c r="I442" s="19" t="n"/>
      <c r="J442" s="19" t="n"/>
      <c r="K442" s="19" t="n"/>
      <c r="L442" s="19" t="n"/>
      <c r="M442" s="19" t="n"/>
      <c r="N442" s="19" t="n"/>
      <c r="O442" s="19" t="n"/>
      <c r="P442" s="19" t="n"/>
      <c r="Q442" s="19" t="n"/>
      <c r="R442" s="19" t="n"/>
    </row>
    <row r="443" ht="15.75" customHeight="1" s="545">
      <c r="A443" s="19" t="n"/>
      <c r="B443" s="19" t="n"/>
      <c r="C443" s="19" t="n"/>
      <c r="D443" s="19" t="n"/>
      <c r="E443" s="19" t="n"/>
      <c r="F443" s="19" t="n"/>
      <c r="G443" s="19" t="n"/>
      <c r="H443" s="19" t="n"/>
      <c r="I443" s="19" t="n"/>
      <c r="J443" s="19" t="n"/>
      <c r="K443" s="19" t="n"/>
      <c r="L443" s="19" t="n"/>
      <c r="M443" s="19" t="n"/>
      <c r="N443" s="19" t="n"/>
      <c r="O443" s="19" t="n"/>
      <c r="P443" s="19" t="n"/>
      <c r="Q443" s="19" t="n"/>
      <c r="R443" s="19" t="n"/>
    </row>
    <row r="444" ht="15.75" customHeight="1" s="545">
      <c r="A444" s="19" t="n"/>
      <c r="B444" s="19" t="n"/>
      <c r="C444" s="19" t="n"/>
      <c r="D444" s="19" t="n"/>
      <c r="E444" s="19" t="n"/>
      <c r="F444" s="19" t="n"/>
      <c r="G444" s="19" t="n"/>
      <c r="H444" s="19" t="n"/>
      <c r="I444" s="19" t="n"/>
      <c r="J444" s="19" t="n"/>
      <c r="K444" s="19" t="n"/>
      <c r="L444" s="19" t="n"/>
      <c r="M444" s="19" t="n"/>
      <c r="N444" s="19" t="n"/>
      <c r="O444" s="19" t="n"/>
      <c r="P444" s="19" t="n"/>
      <c r="Q444" s="19" t="n"/>
      <c r="R444" s="19" t="n"/>
    </row>
    <row r="445" ht="15.75" customHeight="1" s="545">
      <c r="A445" s="19" t="n"/>
      <c r="B445" s="19" t="n"/>
      <c r="C445" s="19" t="n"/>
      <c r="D445" s="19" t="n"/>
      <c r="E445" s="19" t="n"/>
      <c r="F445" s="19" t="n"/>
      <c r="G445" s="19" t="n"/>
      <c r="H445" s="19" t="n"/>
      <c r="I445" s="19" t="n"/>
      <c r="J445" s="19" t="n"/>
      <c r="K445" s="19" t="n"/>
      <c r="L445" s="19" t="n"/>
      <c r="M445" s="19" t="n"/>
      <c r="N445" s="19" t="n"/>
      <c r="O445" s="19" t="n"/>
      <c r="P445" s="19" t="n"/>
      <c r="Q445" s="19" t="n"/>
      <c r="R445" s="19" t="n"/>
    </row>
    <row r="446" ht="15.75" customHeight="1" s="545">
      <c r="A446" s="19" t="n"/>
      <c r="B446" s="19" t="n"/>
      <c r="C446" s="19" t="n"/>
      <c r="D446" s="19" t="n"/>
      <c r="E446" s="19" t="n"/>
      <c r="F446" s="19" t="n"/>
      <c r="G446" s="19" t="n"/>
      <c r="H446" s="19" t="n"/>
      <c r="I446" s="19" t="n"/>
      <c r="J446" s="19" t="n"/>
      <c r="K446" s="19" t="n"/>
      <c r="L446" s="19" t="n"/>
      <c r="M446" s="19" t="n"/>
      <c r="N446" s="19" t="n"/>
      <c r="O446" s="19" t="n"/>
      <c r="P446" s="19" t="n"/>
      <c r="Q446" s="19" t="n"/>
      <c r="R446" s="19" t="n"/>
    </row>
    <row r="447" ht="15.75" customHeight="1" s="545">
      <c r="A447" s="19" t="n"/>
      <c r="B447" s="19" t="n"/>
      <c r="C447" s="19" t="n"/>
      <c r="D447" s="19" t="n"/>
      <c r="E447" s="19" t="n"/>
      <c r="F447" s="19" t="n"/>
      <c r="G447" s="19" t="n"/>
      <c r="H447" s="19" t="n"/>
      <c r="I447" s="19" t="n"/>
      <c r="J447" s="19" t="n"/>
      <c r="K447" s="19" t="n"/>
      <c r="L447" s="19" t="n"/>
      <c r="M447" s="19" t="n"/>
      <c r="N447" s="19" t="n"/>
      <c r="O447" s="19" t="n"/>
      <c r="P447" s="19" t="n"/>
      <c r="Q447" s="19" t="n"/>
      <c r="R447" s="19" t="n"/>
    </row>
    <row r="448" ht="15.75" customHeight="1" s="545">
      <c r="A448" s="19" t="n"/>
      <c r="B448" s="19" t="n"/>
      <c r="C448" s="19" t="n"/>
      <c r="D448" s="19" t="n"/>
      <c r="E448" s="19" t="n"/>
      <c r="F448" s="19" t="n"/>
      <c r="G448" s="19" t="n"/>
      <c r="H448" s="19" t="n"/>
      <c r="I448" s="19" t="n"/>
      <c r="J448" s="19" t="n"/>
      <c r="K448" s="19" t="n"/>
      <c r="L448" s="19" t="n"/>
      <c r="M448" s="19" t="n"/>
      <c r="N448" s="19" t="n"/>
      <c r="O448" s="19" t="n"/>
      <c r="P448" s="19" t="n"/>
      <c r="Q448" s="19" t="n"/>
      <c r="R448" s="19" t="n"/>
    </row>
    <row r="449" ht="15.75" customHeight="1" s="545">
      <c r="A449" s="19" t="n"/>
      <c r="B449" s="19" t="n"/>
      <c r="C449" s="19" t="n"/>
      <c r="D449" s="19" t="n"/>
      <c r="E449" s="19" t="n"/>
      <c r="F449" s="19" t="n"/>
      <c r="G449" s="19" t="n"/>
      <c r="H449" s="19" t="n"/>
      <c r="I449" s="19" t="n"/>
      <c r="J449" s="19" t="n"/>
      <c r="K449" s="19" t="n"/>
      <c r="L449" s="19" t="n"/>
      <c r="M449" s="19" t="n"/>
      <c r="N449" s="19" t="n"/>
      <c r="O449" s="19" t="n"/>
      <c r="P449" s="19" t="n"/>
      <c r="Q449" s="19" t="n"/>
      <c r="R449" s="19" t="n"/>
    </row>
    <row r="450" ht="15.75" customHeight="1" s="545">
      <c r="A450" s="19" t="n"/>
      <c r="B450" s="19" t="n"/>
      <c r="C450" s="19" t="n"/>
      <c r="D450" s="19" t="n"/>
      <c r="E450" s="19" t="n"/>
      <c r="F450" s="19" t="n"/>
      <c r="G450" s="19" t="n"/>
      <c r="H450" s="19" t="n"/>
      <c r="I450" s="19" t="n"/>
      <c r="J450" s="19" t="n"/>
      <c r="K450" s="19" t="n"/>
      <c r="L450" s="19" t="n"/>
      <c r="M450" s="19" t="n"/>
      <c r="N450" s="19" t="n"/>
      <c r="O450" s="19" t="n"/>
      <c r="P450" s="19" t="n"/>
      <c r="Q450" s="19" t="n"/>
      <c r="R450" s="19" t="n"/>
    </row>
    <row r="451" ht="15.75" customHeight="1" s="545">
      <c r="A451" s="19" t="n"/>
      <c r="B451" s="19" t="n"/>
      <c r="C451" s="19" t="n"/>
      <c r="D451" s="19" t="n"/>
      <c r="E451" s="19" t="n"/>
      <c r="F451" s="19" t="n"/>
      <c r="G451" s="19" t="n"/>
      <c r="H451" s="19" t="n"/>
      <c r="I451" s="19" t="n"/>
      <c r="J451" s="19" t="n"/>
      <c r="K451" s="19" t="n"/>
      <c r="L451" s="19" t="n"/>
      <c r="M451" s="19" t="n"/>
      <c r="N451" s="19" t="n"/>
      <c r="O451" s="19" t="n"/>
      <c r="P451" s="19" t="n"/>
      <c r="Q451" s="19" t="n"/>
      <c r="R451" s="19" t="n"/>
    </row>
    <row r="452" ht="15.75" customHeight="1" s="545">
      <c r="A452" s="19" t="n"/>
      <c r="B452" s="19" t="n"/>
      <c r="C452" s="19" t="n"/>
      <c r="D452" s="19" t="n"/>
      <c r="E452" s="19" t="n"/>
      <c r="F452" s="19" t="n"/>
      <c r="G452" s="19" t="n"/>
      <c r="H452" s="19" t="n"/>
      <c r="I452" s="19" t="n"/>
      <c r="J452" s="19" t="n"/>
      <c r="K452" s="19" t="n"/>
      <c r="L452" s="19" t="n"/>
      <c r="M452" s="19" t="n"/>
      <c r="N452" s="19" t="n"/>
      <c r="O452" s="19" t="n"/>
      <c r="P452" s="19" t="n"/>
      <c r="Q452" s="19" t="n"/>
      <c r="R452" s="19" t="n"/>
    </row>
    <row r="453" ht="15.75" customHeight="1" s="545">
      <c r="A453" s="19" t="n"/>
      <c r="B453" s="19" t="n"/>
      <c r="C453" s="19" t="n"/>
      <c r="D453" s="19" t="n"/>
      <c r="E453" s="19" t="n"/>
      <c r="F453" s="19" t="n"/>
      <c r="G453" s="19" t="n"/>
      <c r="H453" s="19" t="n"/>
      <c r="I453" s="19" t="n"/>
      <c r="J453" s="19" t="n"/>
      <c r="K453" s="19" t="n"/>
      <c r="L453" s="19" t="n"/>
      <c r="M453" s="19" t="n"/>
      <c r="N453" s="19" t="n"/>
      <c r="O453" s="19" t="n"/>
      <c r="P453" s="19" t="n"/>
      <c r="Q453" s="19" t="n"/>
      <c r="R453" s="19" t="n"/>
    </row>
    <row r="454" ht="15.75" customHeight="1" s="545">
      <c r="A454" s="19" t="n"/>
      <c r="B454" s="19" t="n"/>
      <c r="C454" s="19" t="n"/>
      <c r="D454" s="19" t="n"/>
      <c r="E454" s="19" t="n"/>
      <c r="F454" s="19" t="n"/>
      <c r="G454" s="19" t="n"/>
      <c r="H454" s="19" t="n"/>
      <c r="I454" s="19" t="n"/>
      <c r="J454" s="19" t="n"/>
      <c r="K454" s="19" t="n"/>
      <c r="L454" s="19" t="n"/>
      <c r="M454" s="19" t="n"/>
      <c r="N454" s="19" t="n"/>
      <c r="O454" s="19" t="n"/>
      <c r="P454" s="19" t="n"/>
      <c r="Q454" s="19" t="n"/>
      <c r="R454" s="19" t="n"/>
    </row>
    <row r="455" ht="15.75" customHeight="1" s="545">
      <c r="A455" s="19" t="n"/>
      <c r="B455" s="19" t="n"/>
      <c r="C455" s="19" t="n"/>
      <c r="D455" s="19" t="n"/>
      <c r="E455" s="19" t="n"/>
      <c r="F455" s="19" t="n"/>
      <c r="G455" s="19" t="n"/>
      <c r="H455" s="19" t="n"/>
      <c r="I455" s="19" t="n"/>
      <c r="J455" s="19" t="n"/>
      <c r="K455" s="19" t="n"/>
      <c r="L455" s="19" t="n"/>
      <c r="M455" s="19" t="n"/>
      <c r="N455" s="19" t="n"/>
      <c r="O455" s="19" t="n"/>
      <c r="P455" s="19" t="n"/>
      <c r="Q455" s="19" t="n"/>
      <c r="R455" s="19" t="n"/>
    </row>
    <row r="456" ht="15.75" customHeight="1" s="545">
      <c r="A456" s="19" t="n"/>
      <c r="B456" s="19" t="n"/>
      <c r="C456" s="19" t="n"/>
      <c r="D456" s="19" t="n"/>
      <c r="E456" s="19" t="n"/>
      <c r="F456" s="19" t="n"/>
      <c r="G456" s="19" t="n"/>
      <c r="H456" s="19" t="n"/>
      <c r="I456" s="19" t="n"/>
      <c r="J456" s="19" t="n"/>
      <c r="K456" s="19" t="n"/>
      <c r="L456" s="19" t="n"/>
      <c r="M456" s="19" t="n"/>
      <c r="N456" s="19" t="n"/>
      <c r="O456" s="19" t="n"/>
      <c r="P456" s="19" t="n"/>
      <c r="Q456" s="19" t="n"/>
      <c r="R456" s="19" t="n"/>
    </row>
    <row r="457" ht="15.75" customHeight="1" s="545">
      <c r="A457" s="19" t="n"/>
      <c r="B457" s="19" t="n"/>
      <c r="C457" s="19" t="n"/>
      <c r="D457" s="19" t="n"/>
      <c r="E457" s="19" t="n"/>
      <c r="F457" s="19" t="n"/>
      <c r="G457" s="19" t="n"/>
      <c r="H457" s="19" t="n"/>
      <c r="I457" s="19" t="n"/>
      <c r="J457" s="19" t="n"/>
      <c r="K457" s="19" t="n"/>
      <c r="L457" s="19" t="n"/>
      <c r="M457" s="19" t="n"/>
      <c r="N457" s="19" t="n"/>
      <c r="O457" s="19" t="n"/>
      <c r="P457" s="19" t="n"/>
      <c r="Q457" s="19" t="n"/>
      <c r="R457" s="19" t="n"/>
    </row>
    <row r="458" ht="15.75" customHeight="1" s="545">
      <c r="A458" s="19" t="n"/>
      <c r="B458" s="19" t="n"/>
      <c r="C458" s="19" t="n"/>
      <c r="D458" s="19" t="n"/>
      <c r="E458" s="19" t="n"/>
      <c r="F458" s="19" t="n"/>
      <c r="G458" s="19" t="n"/>
      <c r="H458" s="19" t="n"/>
      <c r="I458" s="19" t="n"/>
      <c r="J458" s="19" t="n"/>
      <c r="K458" s="19" t="n"/>
      <c r="L458" s="19" t="n"/>
      <c r="M458" s="19" t="n"/>
      <c r="N458" s="19" t="n"/>
      <c r="O458" s="19" t="n"/>
      <c r="P458" s="19" t="n"/>
      <c r="Q458" s="19" t="n"/>
      <c r="R458" s="19" t="n"/>
    </row>
    <row r="459" ht="15.75" customHeight="1" s="545">
      <c r="A459" s="19" t="n"/>
      <c r="B459" s="19" t="n"/>
      <c r="C459" s="19" t="n"/>
      <c r="D459" s="19" t="n"/>
      <c r="E459" s="19" t="n"/>
      <c r="F459" s="19" t="n"/>
      <c r="G459" s="19" t="n"/>
      <c r="H459" s="19" t="n"/>
      <c r="I459" s="19" t="n"/>
      <c r="J459" s="19" t="n"/>
      <c r="K459" s="19" t="n"/>
      <c r="L459" s="19" t="n"/>
      <c r="M459" s="19" t="n"/>
      <c r="N459" s="19" t="n"/>
      <c r="O459" s="19" t="n"/>
      <c r="P459" s="19" t="n"/>
      <c r="Q459" s="19" t="n"/>
      <c r="R459" s="19" t="n"/>
    </row>
    <row r="460" ht="15.75" customHeight="1" s="545">
      <c r="A460" s="19" t="n"/>
      <c r="B460" s="19" t="n"/>
      <c r="C460" s="19" t="n"/>
      <c r="D460" s="19" t="n"/>
      <c r="E460" s="19" t="n"/>
      <c r="F460" s="19" t="n"/>
      <c r="G460" s="19" t="n"/>
      <c r="H460" s="19" t="n"/>
      <c r="I460" s="19" t="n"/>
      <c r="J460" s="19" t="n"/>
      <c r="K460" s="19" t="n"/>
      <c r="L460" s="19" t="n"/>
      <c r="M460" s="19" t="n"/>
      <c r="N460" s="19" t="n"/>
      <c r="O460" s="19" t="n"/>
      <c r="P460" s="19" t="n"/>
      <c r="Q460" s="19" t="n"/>
      <c r="R460" s="19" t="n"/>
    </row>
    <row r="461" ht="15.75" customHeight="1" s="545">
      <c r="A461" s="19" t="n"/>
      <c r="B461" s="19" t="n"/>
      <c r="C461" s="19" t="n"/>
      <c r="D461" s="19" t="n"/>
      <c r="E461" s="19" t="n"/>
      <c r="F461" s="19" t="n"/>
      <c r="G461" s="19" t="n"/>
      <c r="H461" s="19" t="n"/>
      <c r="I461" s="19" t="n"/>
      <c r="J461" s="19" t="n"/>
      <c r="K461" s="19" t="n"/>
      <c r="L461" s="19" t="n"/>
      <c r="M461" s="19" t="n"/>
      <c r="N461" s="19" t="n"/>
      <c r="O461" s="19" t="n"/>
      <c r="P461" s="19" t="n"/>
      <c r="Q461" s="19" t="n"/>
      <c r="R461" s="19" t="n"/>
    </row>
    <row r="462" ht="15.75" customHeight="1" s="545">
      <c r="A462" s="19" t="n"/>
      <c r="B462" s="19" t="n"/>
      <c r="C462" s="19" t="n"/>
      <c r="D462" s="19" t="n"/>
      <c r="E462" s="19" t="n"/>
      <c r="F462" s="19" t="n"/>
      <c r="G462" s="19" t="n"/>
      <c r="H462" s="19" t="n"/>
      <c r="I462" s="19" t="n"/>
      <c r="J462" s="19" t="n"/>
      <c r="K462" s="19" t="n"/>
      <c r="L462" s="19" t="n"/>
      <c r="M462" s="19" t="n"/>
      <c r="N462" s="19" t="n"/>
      <c r="O462" s="19" t="n"/>
      <c r="P462" s="19" t="n"/>
      <c r="Q462" s="19" t="n"/>
      <c r="R462" s="19" t="n"/>
    </row>
    <row r="463" ht="15.75" customHeight="1" s="545">
      <c r="A463" s="19" t="n"/>
      <c r="B463" s="19" t="n"/>
      <c r="C463" s="19" t="n"/>
      <c r="D463" s="19" t="n"/>
      <c r="E463" s="19" t="n"/>
      <c r="F463" s="19" t="n"/>
      <c r="G463" s="19" t="n"/>
      <c r="H463" s="19" t="n"/>
      <c r="I463" s="19" t="n"/>
      <c r="J463" s="19" t="n"/>
      <c r="K463" s="19" t="n"/>
      <c r="L463" s="19" t="n"/>
      <c r="M463" s="19" t="n"/>
      <c r="N463" s="19" t="n"/>
      <c r="O463" s="19" t="n"/>
      <c r="P463" s="19" t="n"/>
      <c r="Q463" s="19" t="n"/>
      <c r="R463" s="19" t="n"/>
    </row>
    <row r="464" ht="15.75" customHeight="1" s="545">
      <c r="A464" s="19" t="n"/>
      <c r="B464" s="19" t="n"/>
      <c r="C464" s="19" t="n"/>
      <c r="D464" s="19" t="n"/>
      <c r="E464" s="19" t="n"/>
      <c r="F464" s="19" t="n"/>
      <c r="G464" s="19" t="n"/>
      <c r="H464" s="19" t="n"/>
      <c r="I464" s="19" t="n"/>
      <c r="J464" s="19" t="n"/>
      <c r="K464" s="19" t="n"/>
      <c r="L464" s="19" t="n"/>
      <c r="M464" s="19" t="n"/>
      <c r="N464" s="19" t="n"/>
      <c r="O464" s="19" t="n"/>
      <c r="P464" s="19" t="n"/>
      <c r="Q464" s="19" t="n"/>
      <c r="R464" s="19" t="n"/>
    </row>
    <row r="465" ht="15.75" customHeight="1" s="545">
      <c r="A465" s="19" t="n"/>
      <c r="B465" s="19" t="n"/>
      <c r="C465" s="19" t="n"/>
      <c r="D465" s="19" t="n"/>
      <c r="E465" s="19" t="n"/>
      <c r="F465" s="19" t="n"/>
      <c r="G465" s="19" t="n"/>
      <c r="H465" s="19" t="n"/>
      <c r="I465" s="19" t="n"/>
      <c r="J465" s="19" t="n"/>
      <c r="K465" s="19" t="n"/>
      <c r="L465" s="19" t="n"/>
      <c r="M465" s="19" t="n"/>
      <c r="N465" s="19" t="n"/>
      <c r="O465" s="19" t="n"/>
      <c r="P465" s="19" t="n"/>
      <c r="Q465" s="19" t="n"/>
      <c r="R465" s="19" t="n"/>
    </row>
    <row r="466" ht="15.75" customHeight="1" s="545">
      <c r="A466" s="19" t="n"/>
      <c r="B466" s="19" t="n"/>
      <c r="C466" s="19" t="n"/>
      <c r="D466" s="19" t="n"/>
      <c r="E466" s="19" t="n"/>
      <c r="F466" s="19" t="n"/>
      <c r="G466" s="19" t="n"/>
      <c r="H466" s="19" t="n"/>
      <c r="I466" s="19" t="n"/>
      <c r="J466" s="19" t="n"/>
      <c r="K466" s="19" t="n"/>
      <c r="L466" s="19" t="n"/>
      <c r="M466" s="19" t="n"/>
      <c r="N466" s="19" t="n"/>
      <c r="O466" s="19" t="n"/>
      <c r="P466" s="19" t="n"/>
      <c r="Q466" s="19" t="n"/>
      <c r="R466" s="19" t="n"/>
    </row>
    <row r="467" ht="15.75" customHeight="1" s="545">
      <c r="A467" s="19" t="n"/>
      <c r="B467" s="19" t="n"/>
      <c r="C467" s="19" t="n"/>
      <c r="D467" s="19" t="n"/>
      <c r="E467" s="19" t="n"/>
      <c r="F467" s="19" t="n"/>
      <c r="G467" s="19" t="n"/>
      <c r="H467" s="19" t="n"/>
      <c r="I467" s="19" t="n"/>
      <c r="J467" s="19" t="n"/>
      <c r="K467" s="19" t="n"/>
      <c r="L467" s="19" t="n"/>
      <c r="M467" s="19" t="n"/>
      <c r="N467" s="19" t="n"/>
      <c r="O467" s="19" t="n"/>
      <c r="P467" s="19" t="n"/>
      <c r="Q467" s="19" t="n"/>
      <c r="R467" s="19" t="n"/>
    </row>
    <row r="468" ht="15.75" customHeight="1" s="545">
      <c r="A468" s="19" t="n"/>
      <c r="B468" s="19" t="n"/>
      <c r="C468" s="19" t="n"/>
      <c r="D468" s="19" t="n"/>
      <c r="E468" s="19" t="n"/>
      <c r="F468" s="19" t="n"/>
      <c r="G468" s="19" t="n"/>
      <c r="H468" s="19" t="n"/>
      <c r="I468" s="19" t="n"/>
      <c r="J468" s="19" t="n"/>
      <c r="K468" s="19" t="n"/>
      <c r="L468" s="19" t="n"/>
      <c r="M468" s="19" t="n"/>
      <c r="N468" s="19" t="n"/>
      <c r="O468" s="19" t="n"/>
      <c r="P468" s="19" t="n"/>
      <c r="Q468" s="19" t="n"/>
      <c r="R468" s="19" t="n"/>
    </row>
    <row r="469" ht="15.75" customHeight="1" s="545">
      <c r="A469" s="19" t="n"/>
      <c r="B469" s="19" t="n"/>
      <c r="C469" s="19" t="n"/>
      <c r="D469" s="19" t="n"/>
      <c r="E469" s="19" t="n"/>
      <c r="F469" s="19" t="n"/>
      <c r="G469" s="19" t="n"/>
      <c r="H469" s="19" t="n"/>
      <c r="I469" s="19" t="n"/>
      <c r="J469" s="19" t="n"/>
      <c r="K469" s="19" t="n"/>
      <c r="L469" s="19" t="n"/>
      <c r="M469" s="19" t="n"/>
      <c r="N469" s="19" t="n"/>
      <c r="O469" s="19" t="n"/>
      <c r="P469" s="19" t="n"/>
      <c r="Q469" s="19" t="n"/>
      <c r="R469" s="19" t="n"/>
    </row>
    <row r="470" ht="15.75" customHeight="1" s="545">
      <c r="A470" s="19" t="n"/>
      <c r="B470" s="19" t="n"/>
      <c r="C470" s="19" t="n"/>
      <c r="D470" s="19" t="n"/>
      <c r="E470" s="19" t="n"/>
      <c r="F470" s="19" t="n"/>
      <c r="G470" s="19" t="n"/>
      <c r="H470" s="19" t="n"/>
      <c r="I470" s="19" t="n"/>
      <c r="J470" s="19" t="n"/>
      <c r="K470" s="19" t="n"/>
      <c r="L470" s="19" t="n"/>
      <c r="M470" s="19" t="n"/>
      <c r="N470" s="19" t="n"/>
      <c r="O470" s="19" t="n"/>
      <c r="P470" s="19" t="n"/>
      <c r="Q470" s="19" t="n"/>
      <c r="R470" s="19" t="n"/>
    </row>
    <row r="471" ht="15.75" customHeight="1" s="545">
      <c r="A471" s="19" t="n"/>
      <c r="B471" s="19" t="n"/>
      <c r="C471" s="19" t="n"/>
      <c r="D471" s="19" t="n"/>
      <c r="E471" s="19" t="n"/>
      <c r="F471" s="19" t="n"/>
      <c r="G471" s="19" t="n"/>
      <c r="H471" s="19" t="n"/>
      <c r="I471" s="19" t="n"/>
      <c r="J471" s="19" t="n"/>
      <c r="K471" s="19" t="n"/>
      <c r="L471" s="19" t="n"/>
      <c r="M471" s="19" t="n"/>
      <c r="N471" s="19" t="n"/>
      <c r="O471" s="19" t="n"/>
      <c r="P471" s="19" t="n"/>
      <c r="Q471" s="19" t="n"/>
      <c r="R471" s="19" t="n"/>
    </row>
    <row r="472" ht="15.75" customHeight="1" s="545">
      <c r="A472" s="19" t="n"/>
      <c r="B472" s="19" t="n"/>
      <c r="C472" s="19" t="n"/>
      <c r="D472" s="19" t="n"/>
      <c r="E472" s="19" t="n"/>
      <c r="F472" s="19" t="n"/>
      <c r="G472" s="19" t="n"/>
      <c r="H472" s="19" t="n"/>
      <c r="I472" s="19" t="n"/>
      <c r="J472" s="19" t="n"/>
      <c r="K472" s="19" t="n"/>
      <c r="L472" s="19" t="n"/>
      <c r="M472" s="19" t="n"/>
      <c r="N472" s="19" t="n"/>
      <c r="O472" s="19" t="n"/>
      <c r="P472" s="19" t="n"/>
      <c r="Q472" s="19" t="n"/>
      <c r="R472" s="19" t="n"/>
    </row>
    <row r="473" ht="15.75" customHeight="1" s="545">
      <c r="A473" s="19" t="n"/>
      <c r="B473" s="19" t="n"/>
      <c r="C473" s="19" t="n"/>
      <c r="D473" s="19" t="n"/>
      <c r="E473" s="19" t="n"/>
      <c r="F473" s="19" t="n"/>
      <c r="G473" s="19" t="n"/>
      <c r="H473" s="19" t="n"/>
      <c r="I473" s="19" t="n"/>
      <c r="J473" s="19" t="n"/>
      <c r="K473" s="19" t="n"/>
      <c r="L473" s="19" t="n"/>
      <c r="M473" s="19" t="n"/>
      <c r="N473" s="19" t="n"/>
      <c r="O473" s="19" t="n"/>
      <c r="P473" s="19" t="n"/>
      <c r="Q473" s="19" t="n"/>
      <c r="R473" s="19" t="n"/>
    </row>
    <row r="474" ht="15.75" customHeight="1" s="545">
      <c r="A474" s="19" t="n"/>
      <c r="B474" s="19" t="n"/>
      <c r="C474" s="19" t="n"/>
      <c r="D474" s="19" t="n"/>
      <c r="E474" s="19" t="n"/>
      <c r="F474" s="19" t="n"/>
      <c r="G474" s="19" t="n"/>
      <c r="H474" s="19" t="n"/>
      <c r="I474" s="19" t="n"/>
      <c r="J474" s="19" t="n"/>
      <c r="K474" s="19" t="n"/>
      <c r="L474" s="19" t="n"/>
      <c r="M474" s="19" t="n"/>
      <c r="N474" s="19" t="n"/>
      <c r="O474" s="19" t="n"/>
      <c r="P474" s="19" t="n"/>
      <c r="Q474" s="19" t="n"/>
      <c r="R474" s="19" t="n"/>
    </row>
    <row r="475" ht="15.75" customHeight="1" s="545">
      <c r="A475" s="19" t="n"/>
      <c r="B475" s="19" t="n"/>
      <c r="C475" s="19" t="n"/>
      <c r="D475" s="19" t="n"/>
      <c r="E475" s="19" t="n"/>
      <c r="F475" s="19" t="n"/>
      <c r="G475" s="19" t="n"/>
      <c r="H475" s="19" t="n"/>
      <c r="I475" s="19" t="n"/>
      <c r="J475" s="19" t="n"/>
      <c r="K475" s="19" t="n"/>
      <c r="L475" s="19" t="n"/>
      <c r="M475" s="19" t="n"/>
      <c r="N475" s="19" t="n"/>
      <c r="O475" s="19" t="n"/>
      <c r="P475" s="19" t="n"/>
      <c r="Q475" s="19" t="n"/>
      <c r="R475" s="19" t="n"/>
    </row>
    <row r="476" ht="15.75" customHeight="1" s="545">
      <c r="A476" s="19" t="n"/>
      <c r="B476" s="19" t="n"/>
      <c r="C476" s="19" t="n"/>
      <c r="D476" s="19" t="n"/>
      <c r="E476" s="19" t="n"/>
      <c r="F476" s="19" t="n"/>
      <c r="G476" s="19" t="n"/>
      <c r="H476" s="19" t="n"/>
      <c r="I476" s="19" t="n"/>
      <c r="J476" s="19" t="n"/>
      <c r="K476" s="19" t="n"/>
      <c r="L476" s="19" t="n"/>
      <c r="M476" s="19" t="n"/>
      <c r="N476" s="19" t="n"/>
      <c r="O476" s="19" t="n"/>
      <c r="P476" s="19" t="n"/>
      <c r="Q476" s="19" t="n"/>
      <c r="R476" s="19" t="n"/>
    </row>
    <row r="477" ht="15.75" customHeight="1" s="545">
      <c r="A477" s="19" t="n"/>
      <c r="B477" s="19" t="n"/>
      <c r="C477" s="19" t="n"/>
      <c r="D477" s="19" t="n"/>
      <c r="E477" s="19" t="n"/>
      <c r="F477" s="19" t="n"/>
      <c r="G477" s="19" t="n"/>
      <c r="H477" s="19" t="n"/>
      <c r="I477" s="19" t="n"/>
      <c r="J477" s="19" t="n"/>
      <c r="K477" s="19" t="n"/>
      <c r="L477" s="19" t="n"/>
      <c r="M477" s="19" t="n"/>
      <c r="N477" s="19" t="n"/>
      <c r="O477" s="19" t="n"/>
      <c r="P477" s="19" t="n"/>
      <c r="Q477" s="19" t="n"/>
      <c r="R477" s="19" t="n"/>
    </row>
    <row r="478" ht="15.75" customHeight="1" s="545">
      <c r="A478" s="19" t="n"/>
      <c r="B478" s="19" t="n"/>
      <c r="C478" s="19" t="n"/>
      <c r="D478" s="19" t="n"/>
      <c r="E478" s="19" t="n"/>
      <c r="F478" s="19" t="n"/>
      <c r="G478" s="19" t="n"/>
      <c r="H478" s="19" t="n"/>
      <c r="I478" s="19" t="n"/>
      <c r="J478" s="19" t="n"/>
      <c r="K478" s="19" t="n"/>
      <c r="L478" s="19" t="n"/>
      <c r="M478" s="19" t="n"/>
      <c r="N478" s="19" t="n"/>
      <c r="O478" s="19" t="n"/>
      <c r="P478" s="19" t="n"/>
      <c r="Q478" s="19" t="n"/>
      <c r="R478" s="19" t="n"/>
    </row>
    <row r="479" ht="15.75" customHeight="1" s="545">
      <c r="A479" s="19" t="n"/>
      <c r="B479" s="19" t="n"/>
      <c r="C479" s="19" t="n"/>
      <c r="D479" s="19" t="n"/>
      <c r="E479" s="19" t="n"/>
      <c r="F479" s="19" t="n"/>
      <c r="G479" s="19" t="n"/>
      <c r="H479" s="19" t="n"/>
      <c r="I479" s="19" t="n"/>
      <c r="J479" s="19" t="n"/>
      <c r="K479" s="19" t="n"/>
      <c r="L479" s="19" t="n"/>
      <c r="M479" s="19" t="n"/>
      <c r="N479" s="19" t="n"/>
      <c r="O479" s="19" t="n"/>
      <c r="P479" s="19" t="n"/>
      <c r="Q479" s="19" t="n"/>
      <c r="R479" s="19" t="n"/>
    </row>
    <row r="480" ht="15.75" customHeight="1" s="545">
      <c r="A480" s="19" t="n"/>
      <c r="B480" s="19" t="n"/>
      <c r="C480" s="19" t="n"/>
      <c r="D480" s="19" t="n"/>
      <c r="E480" s="19" t="n"/>
      <c r="F480" s="19" t="n"/>
      <c r="G480" s="19" t="n"/>
      <c r="H480" s="19" t="n"/>
      <c r="I480" s="19" t="n"/>
      <c r="J480" s="19" t="n"/>
      <c r="K480" s="19" t="n"/>
      <c r="L480" s="19" t="n"/>
      <c r="M480" s="19" t="n"/>
      <c r="N480" s="19" t="n"/>
      <c r="O480" s="19" t="n"/>
      <c r="P480" s="19" t="n"/>
      <c r="Q480" s="19" t="n"/>
      <c r="R480" s="19" t="n"/>
    </row>
    <row r="481" ht="15.75" customHeight="1" s="545">
      <c r="A481" s="19" t="n"/>
      <c r="B481" s="19" t="n"/>
      <c r="C481" s="19" t="n"/>
      <c r="D481" s="19" t="n"/>
      <c r="E481" s="19" t="n"/>
      <c r="F481" s="19" t="n"/>
      <c r="G481" s="19" t="n"/>
      <c r="H481" s="19" t="n"/>
      <c r="I481" s="19" t="n"/>
      <c r="J481" s="19" t="n"/>
      <c r="K481" s="19" t="n"/>
      <c r="L481" s="19" t="n"/>
      <c r="M481" s="19" t="n"/>
      <c r="N481" s="19" t="n"/>
      <c r="O481" s="19" t="n"/>
      <c r="P481" s="19" t="n"/>
      <c r="Q481" s="19" t="n"/>
      <c r="R481" s="19" t="n"/>
    </row>
    <row r="482" ht="15.75" customHeight="1" s="545">
      <c r="A482" s="19" t="n"/>
      <c r="B482" s="19" t="n"/>
      <c r="C482" s="19" t="n"/>
      <c r="D482" s="19" t="n"/>
      <c r="E482" s="19" t="n"/>
      <c r="F482" s="19" t="n"/>
      <c r="G482" s="19" t="n"/>
      <c r="H482" s="19" t="n"/>
      <c r="I482" s="19" t="n"/>
      <c r="J482" s="19" t="n"/>
      <c r="K482" s="19" t="n"/>
      <c r="L482" s="19" t="n"/>
      <c r="M482" s="19" t="n"/>
      <c r="N482" s="19" t="n"/>
      <c r="O482" s="19" t="n"/>
      <c r="P482" s="19" t="n"/>
      <c r="Q482" s="19" t="n"/>
      <c r="R482" s="19" t="n"/>
    </row>
    <row r="483" ht="15.75" customHeight="1" s="545">
      <c r="A483" s="19" t="n"/>
      <c r="B483" s="19" t="n"/>
      <c r="C483" s="19" t="n"/>
      <c r="D483" s="19" t="n"/>
      <c r="E483" s="19" t="n"/>
      <c r="F483" s="19" t="n"/>
      <c r="G483" s="19" t="n"/>
      <c r="H483" s="19" t="n"/>
      <c r="I483" s="19" t="n"/>
      <c r="J483" s="19" t="n"/>
      <c r="K483" s="19" t="n"/>
      <c r="L483" s="19" t="n"/>
      <c r="M483" s="19" t="n"/>
      <c r="N483" s="19" t="n"/>
      <c r="O483" s="19" t="n"/>
      <c r="P483" s="19" t="n"/>
      <c r="Q483" s="19" t="n"/>
      <c r="R483" s="19" t="n"/>
    </row>
    <row r="484" ht="15.75" customHeight="1" s="545">
      <c r="A484" s="19" t="n"/>
      <c r="B484" s="19" t="n"/>
      <c r="C484" s="19" t="n"/>
      <c r="D484" s="19" t="n"/>
      <c r="E484" s="19" t="n"/>
      <c r="F484" s="19" t="n"/>
      <c r="G484" s="19" t="n"/>
      <c r="H484" s="19" t="n"/>
      <c r="I484" s="19" t="n"/>
      <c r="J484" s="19" t="n"/>
      <c r="K484" s="19" t="n"/>
      <c r="L484" s="19" t="n"/>
      <c r="M484" s="19" t="n"/>
      <c r="N484" s="19" t="n"/>
      <c r="O484" s="19" t="n"/>
      <c r="P484" s="19" t="n"/>
      <c r="Q484" s="19" t="n"/>
      <c r="R484" s="19" t="n"/>
    </row>
    <row r="485" ht="15.75" customHeight="1" s="545">
      <c r="A485" s="19" t="n"/>
      <c r="B485" s="19" t="n"/>
      <c r="C485" s="19" t="n"/>
      <c r="D485" s="19" t="n"/>
      <c r="E485" s="19" t="n"/>
      <c r="F485" s="19" t="n"/>
      <c r="G485" s="19" t="n"/>
      <c r="H485" s="19" t="n"/>
      <c r="I485" s="19" t="n"/>
      <c r="J485" s="19" t="n"/>
      <c r="K485" s="19" t="n"/>
      <c r="L485" s="19" t="n"/>
      <c r="M485" s="19" t="n"/>
      <c r="N485" s="19" t="n"/>
      <c r="O485" s="19" t="n"/>
      <c r="P485" s="19" t="n"/>
      <c r="Q485" s="19" t="n"/>
      <c r="R485" s="19" t="n"/>
    </row>
    <row r="486" ht="15.75" customHeight="1" s="545">
      <c r="A486" s="19" t="n"/>
      <c r="B486" s="19" t="n"/>
      <c r="C486" s="19" t="n"/>
      <c r="D486" s="19" t="n"/>
      <c r="E486" s="19" t="n"/>
      <c r="F486" s="19" t="n"/>
      <c r="G486" s="19" t="n"/>
      <c r="H486" s="19" t="n"/>
      <c r="I486" s="19" t="n"/>
      <c r="J486" s="19" t="n"/>
      <c r="K486" s="19" t="n"/>
      <c r="L486" s="19" t="n"/>
      <c r="M486" s="19" t="n"/>
      <c r="N486" s="19" t="n"/>
      <c r="O486" s="19" t="n"/>
      <c r="P486" s="19" t="n"/>
      <c r="Q486" s="19" t="n"/>
      <c r="R486" s="19" t="n"/>
    </row>
    <row r="487" ht="15.75" customHeight="1" s="545">
      <c r="A487" s="19" t="n"/>
      <c r="B487" s="19" t="n"/>
      <c r="C487" s="19" t="n"/>
      <c r="D487" s="19" t="n"/>
      <c r="E487" s="19" t="n"/>
      <c r="F487" s="19" t="n"/>
      <c r="G487" s="19" t="n"/>
      <c r="H487" s="19" t="n"/>
      <c r="I487" s="19" t="n"/>
      <c r="J487" s="19" t="n"/>
      <c r="K487" s="19" t="n"/>
      <c r="L487" s="19" t="n"/>
      <c r="M487" s="19" t="n"/>
      <c r="N487" s="19" t="n"/>
      <c r="O487" s="19" t="n"/>
      <c r="P487" s="19" t="n"/>
      <c r="Q487" s="19" t="n"/>
      <c r="R487" s="19" t="n"/>
    </row>
    <row r="488" ht="15.75" customHeight="1" s="545">
      <c r="A488" s="19" t="n"/>
      <c r="B488" s="19" t="n"/>
      <c r="C488" s="19" t="n"/>
      <c r="D488" s="19" t="n"/>
      <c r="E488" s="19" t="n"/>
      <c r="F488" s="19" t="n"/>
      <c r="G488" s="19" t="n"/>
      <c r="H488" s="19" t="n"/>
      <c r="I488" s="19" t="n"/>
      <c r="J488" s="19" t="n"/>
      <c r="K488" s="19" t="n"/>
      <c r="L488" s="19" t="n"/>
      <c r="M488" s="19" t="n"/>
      <c r="N488" s="19" t="n"/>
      <c r="O488" s="19" t="n"/>
      <c r="P488" s="19" t="n"/>
      <c r="Q488" s="19" t="n"/>
      <c r="R488" s="19" t="n"/>
    </row>
    <row r="489" ht="15.75" customHeight="1" s="545">
      <c r="A489" s="19" t="n"/>
      <c r="B489" s="19" t="n"/>
      <c r="C489" s="19" t="n"/>
      <c r="D489" s="19" t="n"/>
      <c r="E489" s="19" t="n"/>
      <c r="F489" s="19" t="n"/>
      <c r="G489" s="19" t="n"/>
      <c r="H489" s="19" t="n"/>
      <c r="I489" s="19" t="n"/>
      <c r="J489" s="19" t="n"/>
      <c r="K489" s="19" t="n"/>
      <c r="L489" s="19" t="n"/>
      <c r="M489" s="19" t="n"/>
      <c r="N489" s="19" t="n"/>
      <c r="O489" s="19" t="n"/>
      <c r="P489" s="19" t="n"/>
      <c r="Q489" s="19" t="n"/>
      <c r="R489" s="19" t="n"/>
    </row>
    <row r="490" ht="15.75" customHeight="1" s="545">
      <c r="A490" s="19" t="n"/>
      <c r="B490" s="19" t="n"/>
      <c r="C490" s="19" t="n"/>
      <c r="D490" s="19" t="n"/>
      <c r="E490" s="19" t="n"/>
      <c r="F490" s="19" t="n"/>
      <c r="G490" s="19" t="n"/>
      <c r="H490" s="19" t="n"/>
      <c r="I490" s="19" t="n"/>
      <c r="J490" s="19" t="n"/>
      <c r="K490" s="19" t="n"/>
      <c r="L490" s="19" t="n"/>
      <c r="M490" s="19" t="n"/>
      <c r="N490" s="19" t="n"/>
      <c r="O490" s="19" t="n"/>
      <c r="P490" s="19" t="n"/>
      <c r="Q490" s="19" t="n"/>
      <c r="R490" s="19" t="n"/>
    </row>
    <row r="491" ht="15.75" customHeight="1" s="545">
      <c r="A491" s="19" t="n"/>
      <c r="B491" s="19" t="n"/>
      <c r="C491" s="19" t="n"/>
      <c r="D491" s="19" t="n"/>
      <c r="E491" s="19" t="n"/>
      <c r="F491" s="19" t="n"/>
      <c r="G491" s="19" t="n"/>
      <c r="H491" s="19" t="n"/>
      <c r="I491" s="19" t="n"/>
      <c r="J491" s="19" t="n"/>
      <c r="K491" s="19" t="n"/>
      <c r="L491" s="19" t="n"/>
      <c r="M491" s="19" t="n"/>
      <c r="N491" s="19" t="n"/>
      <c r="O491" s="19" t="n"/>
      <c r="P491" s="19" t="n"/>
      <c r="Q491" s="19" t="n"/>
      <c r="R491" s="19" t="n"/>
    </row>
    <row r="492" ht="15.75" customHeight="1" s="545">
      <c r="A492" s="19" t="n"/>
      <c r="B492" s="19" t="n"/>
      <c r="C492" s="19" t="n"/>
      <c r="D492" s="19" t="n"/>
      <c r="E492" s="19" t="n"/>
      <c r="F492" s="19" t="n"/>
      <c r="G492" s="19" t="n"/>
      <c r="H492" s="19" t="n"/>
      <c r="I492" s="19" t="n"/>
      <c r="J492" s="19" t="n"/>
      <c r="K492" s="19" t="n"/>
      <c r="L492" s="19" t="n"/>
      <c r="M492" s="19" t="n"/>
      <c r="N492" s="19" t="n"/>
      <c r="O492" s="19" t="n"/>
      <c r="P492" s="19" t="n"/>
      <c r="Q492" s="19" t="n"/>
      <c r="R492" s="19" t="n"/>
    </row>
    <row r="493" ht="15.75" customHeight="1" s="545">
      <c r="A493" s="19" t="n"/>
      <c r="B493" s="19" t="n"/>
      <c r="C493" s="19" t="n"/>
      <c r="D493" s="19" t="n"/>
      <c r="E493" s="19" t="n"/>
      <c r="F493" s="19" t="n"/>
      <c r="G493" s="19" t="n"/>
      <c r="H493" s="19" t="n"/>
      <c r="I493" s="19" t="n"/>
      <c r="J493" s="19" t="n"/>
      <c r="K493" s="19" t="n"/>
      <c r="L493" s="19" t="n"/>
      <c r="M493" s="19" t="n"/>
      <c r="N493" s="19" t="n"/>
      <c r="O493" s="19" t="n"/>
      <c r="P493" s="19" t="n"/>
      <c r="Q493" s="19" t="n"/>
      <c r="R493" s="19" t="n"/>
    </row>
    <row r="494" ht="15.75" customHeight="1" s="545">
      <c r="A494" s="19" t="n"/>
      <c r="B494" s="19" t="n"/>
      <c r="C494" s="19" t="n"/>
      <c r="D494" s="19" t="n"/>
      <c r="E494" s="19" t="n"/>
      <c r="F494" s="19" t="n"/>
      <c r="G494" s="19" t="n"/>
      <c r="H494" s="19" t="n"/>
      <c r="I494" s="19" t="n"/>
      <c r="J494" s="19" t="n"/>
      <c r="K494" s="19" t="n"/>
      <c r="L494" s="19" t="n"/>
      <c r="M494" s="19" t="n"/>
      <c r="N494" s="19" t="n"/>
      <c r="O494" s="19" t="n"/>
      <c r="P494" s="19" t="n"/>
      <c r="Q494" s="19" t="n"/>
      <c r="R494" s="19" t="n"/>
    </row>
    <row r="495" ht="15.75" customHeight="1" s="545">
      <c r="A495" s="19" t="n"/>
      <c r="B495" s="19" t="n"/>
      <c r="C495" s="19" t="n"/>
      <c r="D495" s="19" t="n"/>
      <c r="E495" s="19" t="n"/>
      <c r="F495" s="19" t="n"/>
      <c r="G495" s="19" t="n"/>
      <c r="H495" s="19" t="n"/>
      <c r="I495" s="19" t="n"/>
      <c r="J495" s="19" t="n"/>
      <c r="K495" s="19" t="n"/>
      <c r="L495" s="19" t="n"/>
      <c r="M495" s="19" t="n"/>
      <c r="N495" s="19" t="n"/>
      <c r="O495" s="19" t="n"/>
      <c r="P495" s="19" t="n"/>
      <c r="Q495" s="19" t="n"/>
      <c r="R495" s="19" t="n"/>
    </row>
    <row r="496" ht="15.75" customHeight="1" s="545">
      <c r="A496" s="19" t="n"/>
      <c r="B496" s="19" t="n"/>
      <c r="C496" s="19" t="n"/>
      <c r="D496" s="19" t="n"/>
      <c r="E496" s="19" t="n"/>
      <c r="F496" s="19" t="n"/>
      <c r="G496" s="19" t="n"/>
      <c r="H496" s="19" t="n"/>
      <c r="I496" s="19" t="n"/>
      <c r="J496" s="19" t="n"/>
      <c r="K496" s="19" t="n"/>
      <c r="L496" s="19" t="n"/>
      <c r="M496" s="19" t="n"/>
      <c r="N496" s="19" t="n"/>
      <c r="O496" s="19" t="n"/>
      <c r="P496" s="19" t="n"/>
      <c r="Q496" s="19" t="n"/>
      <c r="R496" s="19" t="n"/>
    </row>
    <row r="497" ht="15.75" customHeight="1" s="545">
      <c r="A497" s="19" t="n"/>
      <c r="B497" s="19" t="n"/>
      <c r="C497" s="19" t="n"/>
      <c r="D497" s="19" t="n"/>
      <c r="E497" s="19" t="n"/>
      <c r="F497" s="19" t="n"/>
      <c r="G497" s="19" t="n"/>
      <c r="H497" s="19" t="n"/>
      <c r="I497" s="19" t="n"/>
      <c r="J497" s="19" t="n"/>
      <c r="K497" s="19" t="n"/>
      <c r="L497" s="19" t="n"/>
      <c r="M497" s="19" t="n"/>
      <c r="N497" s="19" t="n"/>
      <c r="O497" s="19" t="n"/>
      <c r="P497" s="19" t="n"/>
      <c r="Q497" s="19" t="n"/>
      <c r="R497" s="19" t="n"/>
    </row>
    <row r="498" ht="15.75" customHeight="1" s="545">
      <c r="A498" s="19" t="n"/>
      <c r="B498" s="19" t="n"/>
      <c r="C498" s="19" t="n"/>
      <c r="D498" s="19" t="n"/>
      <c r="E498" s="19" t="n"/>
      <c r="F498" s="19" t="n"/>
      <c r="G498" s="19" t="n"/>
      <c r="H498" s="19" t="n"/>
      <c r="I498" s="19" t="n"/>
      <c r="J498" s="19" t="n"/>
      <c r="K498" s="19" t="n"/>
      <c r="L498" s="19" t="n"/>
      <c r="M498" s="19" t="n"/>
      <c r="N498" s="19" t="n"/>
      <c r="O498" s="19" t="n"/>
      <c r="P498" s="19" t="n"/>
      <c r="Q498" s="19" t="n"/>
      <c r="R498" s="19" t="n"/>
    </row>
    <row r="499" ht="15.75" customHeight="1" s="545">
      <c r="A499" s="19" t="n"/>
      <c r="B499" s="19" t="n"/>
      <c r="C499" s="19" t="n"/>
      <c r="D499" s="19" t="n"/>
      <c r="E499" s="19" t="n"/>
      <c r="F499" s="19" t="n"/>
      <c r="G499" s="19" t="n"/>
      <c r="H499" s="19" t="n"/>
      <c r="I499" s="19" t="n"/>
      <c r="J499" s="19" t="n"/>
      <c r="K499" s="19" t="n"/>
      <c r="L499" s="19" t="n"/>
      <c r="M499" s="19" t="n"/>
      <c r="N499" s="19" t="n"/>
      <c r="O499" s="19" t="n"/>
      <c r="P499" s="19" t="n"/>
      <c r="Q499" s="19" t="n"/>
      <c r="R499" s="19" t="n"/>
    </row>
    <row r="500" ht="15.75" customHeight="1" s="545">
      <c r="A500" s="19" t="n"/>
      <c r="B500" s="19" t="n"/>
      <c r="C500" s="19" t="n"/>
      <c r="D500" s="19" t="n"/>
      <c r="E500" s="19" t="n"/>
      <c r="F500" s="19" t="n"/>
      <c r="G500" s="19" t="n"/>
      <c r="H500" s="19" t="n"/>
      <c r="I500" s="19" t="n"/>
      <c r="J500" s="19" t="n"/>
      <c r="K500" s="19" t="n"/>
      <c r="L500" s="19" t="n"/>
      <c r="M500" s="19" t="n"/>
      <c r="N500" s="19" t="n"/>
      <c r="O500" s="19" t="n"/>
      <c r="P500" s="19" t="n"/>
      <c r="Q500" s="19" t="n"/>
      <c r="R500" s="19" t="n"/>
    </row>
    <row r="501" ht="15.75" customHeight="1" s="545">
      <c r="A501" s="19" t="n"/>
      <c r="B501" s="19" t="n"/>
      <c r="C501" s="19" t="n"/>
      <c r="D501" s="19" t="n"/>
      <c r="E501" s="19" t="n"/>
      <c r="F501" s="19" t="n"/>
      <c r="G501" s="19" t="n"/>
      <c r="H501" s="19" t="n"/>
      <c r="I501" s="19" t="n"/>
      <c r="J501" s="19" t="n"/>
      <c r="K501" s="19" t="n"/>
      <c r="L501" s="19" t="n"/>
      <c r="M501" s="19" t="n"/>
      <c r="N501" s="19" t="n"/>
      <c r="O501" s="19" t="n"/>
      <c r="P501" s="19" t="n"/>
      <c r="Q501" s="19" t="n"/>
      <c r="R501" s="19" t="n"/>
    </row>
    <row r="502" ht="15.75" customHeight="1" s="545">
      <c r="A502" s="19" t="n"/>
      <c r="B502" s="19" t="n"/>
      <c r="C502" s="19" t="n"/>
      <c r="D502" s="19" t="n"/>
      <c r="E502" s="19" t="n"/>
      <c r="F502" s="19" t="n"/>
      <c r="G502" s="19" t="n"/>
      <c r="H502" s="19" t="n"/>
      <c r="I502" s="19" t="n"/>
      <c r="J502" s="19" t="n"/>
      <c r="K502" s="19" t="n"/>
      <c r="L502" s="19" t="n"/>
      <c r="M502" s="19" t="n"/>
      <c r="N502" s="19" t="n"/>
      <c r="O502" s="19" t="n"/>
      <c r="P502" s="19" t="n"/>
      <c r="Q502" s="19" t="n"/>
      <c r="R502" s="19" t="n"/>
    </row>
    <row r="503" ht="15.75" customHeight="1" s="545">
      <c r="A503" s="19" t="n"/>
      <c r="B503" s="19" t="n"/>
      <c r="C503" s="19" t="n"/>
      <c r="D503" s="19" t="n"/>
      <c r="E503" s="19" t="n"/>
      <c r="F503" s="19" t="n"/>
      <c r="G503" s="19" t="n"/>
      <c r="H503" s="19" t="n"/>
      <c r="I503" s="19" t="n"/>
      <c r="J503" s="19" t="n"/>
      <c r="K503" s="19" t="n"/>
      <c r="L503" s="19" t="n"/>
      <c r="M503" s="19" t="n"/>
      <c r="N503" s="19" t="n"/>
      <c r="O503" s="19" t="n"/>
      <c r="P503" s="19" t="n"/>
      <c r="Q503" s="19" t="n"/>
      <c r="R503" s="19" t="n"/>
    </row>
    <row r="504" ht="15.75" customHeight="1" s="545">
      <c r="A504" s="19" t="n"/>
      <c r="B504" s="19" t="n"/>
      <c r="C504" s="19" t="n"/>
      <c r="D504" s="19" t="n"/>
      <c r="E504" s="19" t="n"/>
      <c r="F504" s="19" t="n"/>
      <c r="G504" s="19" t="n"/>
      <c r="H504" s="19" t="n"/>
      <c r="I504" s="19" t="n"/>
      <c r="J504" s="19" t="n"/>
      <c r="K504" s="19" t="n"/>
      <c r="L504" s="19" t="n"/>
      <c r="M504" s="19" t="n"/>
      <c r="N504" s="19" t="n"/>
      <c r="O504" s="19" t="n"/>
      <c r="P504" s="19" t="n"/>
      <c r="Q504" s="19" t="n"/>
      <c r="R504" s="19" t="n"/>
    </row>
    <row r="505" ht="15.75" customHeight="1" s="545">
      <c r="A505" s="19" t="n"/>
      <c r="B505" s="19" t="n"/>
      <c r="C505" s="19" t="n"/>
      <c r="D505" s="19" t="n"/>
      <c r="E505" s="19" t="n"/>
      <c r="F505" s="19" t="n"/>
      <c r="G505" s="19" t="n"/>
      <c r="H505" s="19" t="n"/>
      <c r="I505" s="19" t="n"/>
      <c r="J505" s="19" t="n"/>
      <c r="K505" s="19" t="n"/>
      <c r="L505" s="19" t="n"/>
      <c r="M505" s="19" t="n"/>
      <c r="N505" s="19" t="n"/>
      <c r="O505" s="19" t="n"/>
      <c r="P505" s="19" t="n"/>
      <c r="Q505" s="19" t="n"/>
      <c r="R505" s="19" t="n"/>
    </row>
    <row r="506" ht="15.75" customHeight="1" s="545">
      <c r="A506" s="19" t="n"/>
      <c r="B506" s="19" t="n"/>
      <c r="C506" s="19" t="n"/>
      <c r="D506" s="19" t="n"/>
      <c r="E506" s="19" t="n"/>
      <c r="F506" s="19" t="n"/>
      <c r="G506" s="19" t="n"/>
      <c r="H506" s="19" t="n"/>
      <c r="I506" s="19" t="n"/>
      <c r="J506" s="19" t="n"/>
      <c r="K506" s="19" t="n"/>
      <c r="L506" s="19" t="n"/>
      <c r="M506" s="19" t="n"/>
      <c r="N506" s="19" t="n"/>
      <c r="O506" s="19" t="n"/>
      <c r="P506" s="19" t="n"/>
      <c r="Q506" s="19" t="n"/>
      <c r="R506" s="19" t="n"/>
    </row>
    <row r="507" ht="15.75" customHeight="1" s="545">
      <c r="A507" s="19" t="n"/>
      <c r="B507" s="19" t="n"/>
      <c r="C507" s="19" t="n"/>
      <c r="D507" s="19" t="n"/>
      <c r="E507" s="19" t="n"/>
      <c r="F507" s="19" t="n"/>
      <c r="G507" s="19" t="n"/>
      <c r="H507" s="19" t="n"/>
      <c r="I507" s="19" t="n"/>
      <c r="J507" s="19" t="n"/>
      <c r="K507" s="19" t="n"/>
      <c r="L507" s="19" t="n"/>
      <c r="M507" s="19" t="n"/>
      <c r="N507" s="19" t="n"/>
      <c r="O507" s="19" t="n"/>
      <c r="P507" s="19" t="n"/>
      <c r="Q507" s="19" t="n"/>
      <c r="R507" s="19" t="n"/>
    </row>
    <row r="508" ht="15.75" customHeight="1" s="545">
      <c r="A508" s="19" t="n"/>
      <c r="B508" s="19" t="n"/>
      <c r="C508" s="19" t="n"/>
      <c r="D508" s="19" t="n"/>
      <c r="E508" s="19" t="n"/>
      <c r="F508" s="19" t="n"/>
      <c r="G508" s="19" t="n"/>
      <c r="H508" s="19" t="n"/>
      <c r="I508" s="19" t="n"/>
      <c r="J508" s="19" t="n"/>
      <c r="K508" s="19" t="n"/>
      <c r="L508" s="19" t="n"/>
      <c r="M508" s="19" t="n"/>
      <c r="N508" s="19" t="n"/>
      <c r="O508" s="19" t="n"/>
      <c r="P508" s="19" t="n"/>
      <c r="Q508" s="19" t="n"/>
      <c r="R508" s="19" t="n"/>
    </row>
    <row r="509" ht="15.75" customHeight="1" s="545">
      <c r="A509" s="19" t="n"/>
      <c r="B509" s="19" t="n"/>
      <c r="C509" s="19" t="n"/>
      <c r="D509" s="19" t="n"/>
      <c r="E509" s="19" t="n"/>
      <c r="F509" s="19" t="n"/>
      <c r="G509" s="19" t="n"/>
      <c r="H509" s="19" t="n"/>
      <c r="I509" s="19" t="n"/>
      <c r="J509" s="19" t="n"/>
      <c r="K509" s="19" t="n"/>
      <c r="L509" s="19" t="n"/>
      <c r="M509" s="19" t="n"/>
      <c r="N509" s="19" t="n"/>
      <c r="O509" s="19" t="n"/>
      <c r="P509" s="19" t="n"/>
      <c r="Q509" s="19" t="n"/>
      <c r="R509" s="19" t="n"/>
    </row>
    <row r="510" ht="15.75" customHeight="1" s="545">
      <c r="A510" s="19" t="n"/>
      <c r="B510" s="19" t="n"/>
      <c r="C510" s="19" t="n"/>
      <c r="D510" s="19" t="n"/>
      <c r="E510" s="19" t="n"/>
      <c r="F510" s="19" t="n"/>
      <c r="G510" s="19" t="n"/>
      <c r="H510" s="19" t="n"/>
      <c r="I510" s="19" t="n"/>
      <c r="J510" s="19" t="n"/>
      <c r="K510" s="19" t="n"/>
      <c r="L510" s="19" t="n"/>
      <c r="M510" s="19" t="n"/>
      <c r="N510" s="19" t="n"/>
      <c r="O510" s="19" t="n"/>
      <c r="P510" s="19" t="n"/>
      <c r="Q510" s="19" t="n"/>
      <c r="R510" s="19" t="n"/>
    </row>
    <row r="511" ht="15.75" customHeight="1" s="545">
      <c r="A511" s="19" t="n"/>
      <c r="B511" s="19" t="n"/>
      <c r="C511" s="19" t="n"/>
      <c r="D511" s="19" t="n"/>
      <c r="E511" s="19" t="n"/>
      <c r="F511" s="19" t="n"/>
      <c r="G511" s="19" t="n"/>
      <c r="H511" s="19" t="n"/>
      <c r="I511" s="19" t="n"/>
      <c r="J511" s="19" t="n"/>
      <c r="K511" s="19" t="n"/>
      <c r="L511" s="19" t="n"/>
      <c r="M511" s="19" t="n"/>
      <c r="N511" s="19" t="n"/>
      <c r="O511" s="19" t="n"/>
      <c r="P511" s="19" t="n"/>
      <c r="Q511" s="19" t="n"/>
      <c r="R511" s="19" t="n"/>
    </row>
    <row r="512" ht="15.75" customHeight="1" s="545">
      <c r="A512" s="19" t="n"/>
      <c r="B512" s="19" t="n"/>
      <c r="C512" s="19" t="n"/>
      <c r="D512" s="19" t="n"/>
      <c r="E512" s="19" t="n"/>
      <c r="F512" s="19" t="n"/>
      <c r="G512" s="19" t="n"/>
      <c r="H512" s="19" t="n"/>
      <c r="I512" s="19" t="n"/>
      <c r="J512" s="19" t="n"/>
      <c r="K512" s="19" t="n"/>
      <c r="L512" s="19" t="n"/>
      <c r="M512" s="19" t="n"/>
      <c r="N512" s="19" t="n"/>
      <c r="O512" s="19" t="n"/>
      <c r="P512" s="19" t="n"/>
      <c r="Q512" s="19" t="n"/>
      <c r="R512" s="19" t="n"/>
    </row>
    <row r="513" ht="15.75" customHeight="1" s="545">
      <c r="A513" s="19" t="n"/>
      <c r="B513" s="19" t="n"/>
      <c r="C513" s="19" t="n"/>
      <c r="D513" s="19" t="n"/>
      <c r="E513" s="19" t="n"/>
      <c r="F513" s="19" t="n"/>
      <c r="G513" s="19" t="n"/>
      <c r="H513" s="19" t="n"/>
      <c r="I513" s="19" t="n"/>
      <c r="J513" s="19" t="n"/>
      <c r="K513" s="19" t="n"/>
      <c r="L513" s="19" t="n"/>
      <c r="M513" s="19" t="n"/>
      <c r="N513" s="19" t="n"/>
      <c r="O513" s="19" t="n"/>
      <c r="P513" s="19" t="n"/>
      <c r="Q513" s="19" t="n"/>
      <c r="R513" s="19" t="n"/>
    </row>
    <row r="514" ht="15.75" customHeight="1" s="545">
      <c r="A514" s="19" t="n"/>
      <c r="B514" s="19" t="n"/>
      <c r="C514" s="19" t="n"/>
      <c r="D514" s="19" t="n"/>
      <c r="E514" s="19" t="n"/>
      <c r="F514" s="19" t="n"/>
      <c r="G514" s="19" t="n"/>
      <c r="H514" s="19" t="n"/>
      <c r="I514" s="19" t="n"/>
      <c r="J514" s="19" t="n"/>
      <c r="K514" s="19" t="n"/>
      <c r="L514" s="19" t="n"/>
      <c r="M514" s="19" t="n"/>
      <c r="N514" s="19" t="n"/>
      <c r="O514" s="19" t="n"/>
      <c r="P514" s="19" t="n"/>
      <c r="Q514" s="19" t="n"/>
      <c r="R514" s="19" t="n"/>
    </row>
    <row r="515" ht="15.75" customHeight="1" s="545">
      <c r="A515" s="19" t="n"/>
      <c r="B515" s="19" t="n"/>
      <c r="C515" s="19" t="n"/>
      <c r="D515" s="19" t="n"/>
      <c r="E515" s="19" t="n"/>
      <c r="F515" s="19" t="n"/>
      <c r="G515" s="19" t="n"/>
      <c r="H515" s="19" t="n"/>
      <c r="I515" s="19" t="n"/>
      <c r="J515" s="19" t="n"/>
      <c r="K515" s="19" t="n"/>
      <c r="L515" s="19" t="n"/>
      <c r="M515" s="19" t="n"/>
      <c r="N515" s="19" t="n"/>
      <c r="O515" s="19" t="n"/>
      <c r="P515" s="19" t="n"/>
      <c r="Q515" s="19" t="n"/>
      <c r="R515" s="19" t="n"/>
    </row>
    <row r="516" ht="15.75" customHeight="1" s="545">
      <c r="A516" s="19" t="n"/>
      <c r="B516" s="19" t="n"/>
      <c r="C516" s="19" t="n"/>
      <c r="D516" s="19" t="n"/>
      <c r="E516" s="19" t="n"/>
      <c r="F516" s="19" t="n"/>
      <c r="G516" s="19" t="n"/>
      <c r="H516" s="19" t="n"/>
      <c r="I516" s="19" t="n"/>
      <c r="J516" s="19" t="n"/>
      <c r="K516" s="19" t="n"/>
      <c r="L516" s="19" t="n"/>
      <c r="M516" s="19" t="n"/>
      <c r="N516" s="19" t="n"/>
      <c r="O516" s="19" t="n"/>
      <c r="P516" s="19" t="n"/>
      <c r="Q516" s="19" t="n"/>
      <c r="R516" s="19" t="n"/>
    </row>
    <row r="517" ht="15.75" customHeight="1" s="545">
      <c r="A517" s="19" t="n"/>
      <c r="B517" s="19" t="n"/>
      <c r="C517" s="19" t="n"/>
      <c r="D517" s="19" t="n"/>
      <c r="E517" s="19" t="n"/>
      <c r="F517" s="19" t="n"/>
      <c r="G517" s="19" t="n"/>
      <c r="H517" s="19" t="n"/>
      <c r="I517" s="19" t="n"/>
      <c r="J517" s="19" t="n"/>
      <c r="K517" s="19" t="n"/>
      <c r="L517" s="19" t="n"/>
      <c r="M517" s="19" t="n"/>
      <c r="N517" s="19" t="n"/>
      <c r="O517" s="19" t="n"/>
      <c r="P517" s="19" t="n"/>
      <c r="Q517" s="19" t="n"/>
      <c r="R517" s="19" t="n"/>
    </row>
    <row r="518" ht="15.75" customHeight="1" s="545">
      <c r="A518" s="19" t="n"/>
      <c r="B518" s="19" t="n"/>
      <c r="C518" s="19" t="n"/>
      <c r="D518" s="19" t="n"/>
      <c r="E518" s="19" t="n"/>
      <c r="F518" s="19" t="n"/>
      <c r="G518" s="19" t="n"/>
      <c r="H518" s="19" t="n"/>
      <c r="I518" s="19" t="n"/>
      <c r="J518" s="19" t="n"/>
      <c r="K518" s="19" t="n"/>
      <c r="L518" s="19" t="n"/>
      <c r="M518" s="19" t="n"/>
      <c r="N518" s="19" t="n"/>
      <c r="O518" s="19" t="n"/>
      <c r="P518" s="19" t="n"/>
      <c r="Q518" s="19" t="n"/>
      <c r="R518" s="19" t="n"/>
    </row>
    <row r="519" ht="15.75" customHeight="1" s="545">
      <c r="A519" s="19" t="n"/>
      <c r="B519" s="19" t="n"/>
      <c r="C519" s="19" t="n"/>
      <c r="D519" s="19" t="n"/>
      <c r="E519" s="19" t="n"/>
      <c r="F519" s="19" t="n"/>
      <c r="G519" s="19" t="n"/>
      <c r="H519" s="19" t="n"/>
      <c r="I519" s="19" t="n"/>
      <c r="J519" s="19" t="n"/>
      <c r="K519" s="19" t="n"/>
      <c r="L519" s="19" t="n"/>
      <c r="M519" s="19" t="n"/>
      <c r="N519" s="19" t="n"/>
      <c r="O519" s="19" t="n"/>
      <c r="P519" s="19" t="n"/>
      <c r="Q519" s="19" t="n"/>
      <c r="R519" s="19" t="n"/>
    </row>
    <row r="520" ht="15.75" customHeight="1" s="545">
      <c r="A520" s="19" t="n"/>
      <c r="B520" s="19" t="n"/>
      <c r="C520" s="19" t="n"/>
      <c r="D520" s="19" t="n"/>
      <c r="E520" s="19" t="n"/>
      <c r="F520" s="19" t="n"/>
      <c r="G520" s="19" t="n"/>
      <c r="H520" s="19" t="n"/>
      <c r="I520" s="19" t="n"/>
      <c r="J520" s="19" t="n"/>
      <c r="K520" s="19" t="n"/>
      <c r="L520" s="19" t="n"/>
      <c r="M520" s="19" t="n"/>
      <c r="N520" s="19" t="n"/>
      <c r="O520" s="19" t="n"/>
      <c r="P520" s="19" t="n"/>
      <c r="Q520" s="19" t="n"/>
      <c r="R520" s="19" t="n"/>
    </row>
    <row r="521" ht="15.75" customHeight="1" s="545">
      <c r="A521" s="19" t="n"/>
      <c r="B521" s="19" t="n"/>
      <c r="C521" s="19" t="n"/>
      <c r="D521" s="19" t="n"/>
      <c r="E521" s="19" t="n"/>
      <c r="F521" s="19" t="n"/>
      <c r="G521" s="19" t="n"/>
      <c r="H521" s="19" t="n"/>
      <c r="I521" s="19" t="n"/>
      <c r="J521" s="19" t="n"/>
      <c r="K521" s="19" t="n"/>
      <c r="L521" s="19" t="n"/>
      <c r="M521" s="19" t="n"/>
      <c r="N521" s="19" t="n"/>
      <c r="O521" s="19" t="n"/>
      <c r="P521" s="19" t="n"/>
      <c r="Q521" s="19" t="n"/>
      <c r="R521" s="19" t="n"/>
    </row>
    <row r="522" ht="15.75" customHeight="1" s="545">
      <c r="A522" s="19" t="n"/>
      <c r="B522" s="19" t="n"/>
      <c r="C522" s="19" t="n"/>
      <c r="D522" s="19" t="n"/>
      <c r="E522" s="19" t="n"/>
      <c r="F522" s="19" t="n"/>
      <c r="G522" s="19" t="n"/>
      <c r="H522" s="19" t="n"/>
      <c r="I522" s="19" t="n"/>
      <c r="J522" s="19" t="n"/>
      <c r="K522" s="19" t="n"/>
      <c r="L522" s="19" t="n"/>
      <c r="M522" s="19" t="n"/>
      <c r="N522" s="19" t="n"/>
      <c r="O522" s="19" t="n"/>
      <c r="P522" s="19" t="n"/>
      <c r="Q522" s="19" t="n"/>
      <c r="R522" s="19" t="n"/>
    </row>
    <row r="523" ht="15.75" customHeight="1" s="545">
      <c r="A523" s="19" t="n"/>
      <c r="B523" s="19" t="n"/>
      <c r="C523" s="19" t="n"/>
      <c r="D523" s="19" t="n"/>
      <c r="E523" s="19" t="n"/>
      <c r="F523" s="19" t="n"/>
      <c r="G523" s="19" t="n"/>
      <c r="H523" s="19" t="n"/>
      <c r="I523" s="19" t="n"/>
      <c r="J523" s="19" t="n"/>
      <c r="K523" s="19" t="n"/>
      <c r="L523" s="19" t="n"/>
      <c r="M523" s="19" t="n"/>
      <c r="N523" s="19" t="n"/>
      <c r="O523" s="19" t="n"/>
      <c r="P523" s="19" t="n"/>
      <c r="Q523" s="19" t="n"/>
      <c r="R523" s="19" t="n"/>
    </row>
    <row r="524" ht="15.75" customHeight="1" s="545">
      <c r="A524" s="19" t="n"/>
      <c r="B524" s="19" t="n"/>
      <c r="C524" s="19" t="n"/>
      <c r="D524" s="19" t="n"/>
      <c r="E524" s="19" t="n"/>
      <c r="F524" s="19" t="n"/>
      <c r="G524" s="19" t="n"/>
      <c r="H524" s="19" t="n"/>
      <c r="I524" s="19" t="n"/>
      <c r="J524" s="19" t="n"/>
      <c r="K524" s="19" t="n"/>
      <c r="L524" s="19" t="n"/>
      <c r="M524" s="19" t="n"/>
      <c r="N524" s="19" t="n"/>
      <c r="O524" s="19" t="n"/>
      <c r="P524" s="19" t="n"/>
      <c r="Q524" s="19" t="n"/>
      <c r="R524" s="19" t="n"/>
    </row>
    <row r="525" ht="15.75" customHeight="1" s="545">
      <c r="A525" s="19" t="n"/>
      <c r="B525" s="19" t="n"/>
      <c r="C525" s="19" t="n"/>
      <c r="D525" s="19" t="n"/>
      <c r="E525" s="19" t="n"/>
      <c r="F525" s="19" t="n"/>
      <c r="G525" s="19" t="n"/>
      <c r="H525" s="19" t="n"/>
      <c r="I525" s="19" t="n"/>
      <c r="J525" s="19" t="n"/>
      <c r="K525" s="19" t="n"/>
      <c r="L525" s="19" t="n"/>
      <c r="M525" s="19" t="n"/>
      <c r="N525" s="19" t="n"/>
      <c r="O525" s="19" t="n"/>
      <c r="P525" s="19" t="n"/>
      <c r="Q525" s="19" t="n"/>
      <c r="R525" s="19" t="n"/>
    </row>
    <row r="526" ht="15.75" customHeight="1" s="545">
      <c r="A526" s="19" t="n"/>
      <c r="B526" s="19" t="n"/>
      <c r="C526" s="19" t="n"/>
      <c r="D526" s="19" t="n"/>
      <c r="E526" s="19" t="n"/>
      <c r="F526" s="19" t="n"/>
      <c r="G526" s="19" t="n"/>
      <c r="H526" s="19" t="n"/>
      <c r="I526" s="19" t="n"/>
      <c r="J526" s="19" t="n"/>
      <c r="K526" s="19" t="n"/>
      <c r="L526" s="19" t="n"/>
      <c r="M526" s="19" t="n"/>
      <c r="N526" s="19" t="n"/>
      <c r="O526" s="19" t="n"/>
      <c r="P526" s="19" t="n"/>
      <c r="Q526" s="19" t="n"/>
      <c r="R526" s="19" t="n"/>
    </row>
    <row r="527" ht="15.75" customHeight="1" s="545">
      <c r="A527" s="19" t="n"/>
      <c r="B527" s="19" t="n"/>
      <c r="C527" s="19" t="n"/>
      <c r="D527" s="19" t="n"/>
      <c r="E527" s="19" t="n"/>
      <c r="F527" s="19" t="n"/>
      <c r="G527" s="19" t="n"/>
      <c r="H527" s="19" t="n"/>
      <c r="I527" s="19" t="n"/>
      <c r="J527" s="19" t="n"/>
      <c r="K527" s="19" t="n"/>
      <c r="L527" s="19" t="n"/>
      <c r="M527" s="19" t="n"/>
      <c r="N527" s="19" t="n"/>
      <c r="O527" s="19" t="n"/>
      <c r="P527" s="19" t="n"/>
      <c r="Q527" s="19" t="n"/>
      <c r="R527" s="19" t="n"/>
    </row>
    <row r="528" ht="15.75" customHeight="1" s="545">
      <c r="A528" s="19" t="n"/>
      <c r="B528" s="19" t="n"/>
      <c r="C528" s="19" t="n"/>
      <c r="D528" s="19" t="n"/>
      <c r="E528" s="19" t="n"/>
      <c r="F528" s="19" t="n"/>
      <c r="G528" s="19" t="n"/>
      <c r="H528" s="19" t="n"/>
      <c r="I528" s="19" t="n"/>
      <c r="J528" s="19" t="n"/>
      <c r="K528" s="19" t="n"/>
      <c r="L528" s="19" t="n"/>
      <c r="M528" s="19" t="n"/>
      <c r="N528" s="19" t="n"/>
      <c r="O528" s="19" t="n"/>
      <c r="P528" s="19" t="n"/>
      <c r="Q528" s="19" t="n"/>
      <c r="R528" s="19" t="n"/>
    </row>
    <row r="529" ht="15.75" customHeight="1" s="545">
      <c r="A529" s="19" t="n"/>
      <c r="B529" s="19" t="n"/>
      <c r="C529" s="19" t="n"/>
      <c r="D529" s="19" t="n"/>
      <c r="E529" s="19" t="n"/>
      <c r="F529" s="19" t="n"/>
      <c r="G529" s="19" t="n"/>
      <c r="H529" s="19" t="n"/>
      <c r="I529" s="19" t="n"/>
      <c r="J529" s="19" t="n"/>
      <c r="K529" s="19" t="n"/>
      <c r="L529" s="19" t="n"/>
      <c r="M529" s="19" t="n"/>
      <c r="N529" s="19" t="n"/>
      <c r="O529" s="19" t="n"/>
      <c r="P529" s="19" t="n"/>
      <c r="Q529" s="19" t="n"/>
      <c r="R529" s="19" t="n"/>
    </row>
    <row r="530" ht="15.75" customHeight="1" s="545">
      <c r="A530" s="19" t="n"/>
      <c r="B530" s="19" t="n"/>
      <c r="C530" s="19" t="n"/>
      <c r="D530" s="19" t="n"/>
      <c r="E530" s="19" t="n"/>
      <c r="F530" s="19" t="n"/>
      <c r="G530" s="19" t="n"/>
      <c r="H530" s="19" t="n"/>
      <c r="I530" s="19" t="n"/>
      <c r="J530" s="19" t="n"/>
      <c r="K530" s="19" t="n"/>
      <c r="L530" s="19" t="n"/>
      <c r="M530" s="19" t="n"/>
      <c r="N530" s="19" t="n"/>
      <c r="O530" s="19" t="n"/>
      <c r="P530" s="19" t="n"/>
      <c r="Q530" s="19" t="n"/>
      <c r="R530" s="19" t="n"/>
    </row>
    <row r="531" ht="15.75" customHeight="1" s="545">
      <c r="A531" s="19" t="n"/>
      <c r="B531" s="19" t="n"/>
      <c r="C531" s="19" t="n"/>
      <c r="D531" s="19" t="n"/>
      <c r="E531" s="19" t="n"/>
      <c r="F531" s="19" t="n"/>
      <c r="G531" s="19" t="n"/>
      <c r="H531" s="19" t="n"/>
      <c r="I531" s="19" t="n"/>
      <c r="J531" s="19" t="n"/>
      <c r="K531" s="19" t="n"/>
      <c r="L531" s="19" t="n"/>
      <c r="M531" s="19" t="n"/>
      <c r="N531" s="19" t="n"/>
      <c r="O531" s="19" t="n"/>
      <c r="P531" s="19" t="n"/>
      <c r="Q531" s="19" t="n"/>
      <c r="R531" s="19" t="n"/>
    </row>
    <row r="532" ht="15.75" customHeight="1" s="545">
      <c r="A532" s="19" t="n"/>
      <c r="B532" s="19" t="n"/>
      <c r="C532" s="19" t="n"/>
      <c r="D532" s="19" t="n"/>
      <c r="E532" s="19" t="n"/>
      <c r="F532" s="19" t="n"/>
      <c r="G532" s="19" t="n"/>
      <c r="H532" s="19" t="n"/>
      <c r="I532" s="19" t="n"/>
      <c r="J532" s="19" t="n"/>
      <c r="K532" s="19" t="n"/>
      <c r="L532" s="19" t="n"/>
      <c r="M532" s="19" t="n"/>
      <c r="N532" s="19" t="n"/>
      <c r="O532" s="19" t="n"/>
      <c r="P532" s="19" t="n"/>
      <c r="Q532" s="19" t="n"/>
      <c r="R532" s="19" t="n"/>
    </row>
    <row r="533" ht="15.75" customHeight="1" s="545">
      <c r="A533" s="19" t="n"/>
      <c r="B533" s="19" t="n"/>
      <c r="C533" s="19" t="n"/>
      <c r="D533" s="19" t="n"/>
      <c r="E533" s="19" t="n"/>
      <c r="F533" s="19" t="n"/>
      <c r="G533" s="19" t="n"/>
      <c r="H533" s="19" t="n"/>
      <c r="I533" s="19" t="n"/>
      <c r="J533" s="19" t="n"/>
      <c r="K533" s="19" t="n"/>
      <c r="L533" s="19" t="n"/>
      <c r="M533" s="19" t="n"/>
      <c r="N533" s="19" t="n"/>
      <c r="O533" s="19" t="n"/>
      <c r="P533" s="19" t="n"/>
      <c r="Q533" s="19" t="n"/>
      <c r="R533" s="19" t="n"/>
    </row>
    <row r="534" ht="15.75" customHeight="1" s="545">
      <c r="A534" s="19" t="n"/>
      <c r="B534" s="19" t="n"/>
      <c r="C534" s="19" t="n"/>
      <c r="D534" s="19" t="n"/>
      <c r="E534" s="19" t="n"/>
      <c r="F534" s="19" t="n"/>
      <c r="G534" s="19" t="n"/>
      <c r="H534" s="19" t="n"/>
      <c r="I534" s="19" t="n"/>
      <c r="J534" s="19" t="n"/>
      <c r="K534" s="19" t="n"/>
      <c r="L534" s="19" t="n"/>
      <c r="M534" s="19" t="n"/>
      <c r="N534" s="19" t="n"/>
      <c r="O534" s="19" t="n"/>
      <c r="P534" s="19" t="n"/>
      <c r="Q534" s="19" t="n"/>
      <c r="R534" s="19" t="n"/>
    </row>
    <row r="535" ht="15.75" customHeight="1" s="545">
      <c r="A535" s="19" t="n"/>
      <c r="B535" s="19" t="n"/>
      <c r="C535" s="19" t="n"/>
      <c r="D535" s="19" t="n"/>
      <c r="E535" s="19" t="n"/>
      <c r="F535" s="19" t="n"/>
      <c r="G535" s="19" t="n"/>
      <c r="H535" s="19" t="n"/>
      <c r="I535" s="19" t="n"/>
      <c r="J535" s="19" t="n"/>
      <c r="K535" s="19" t="n"/>
      <c r="L535" s="19" t="n"/>
      <c r="M535" s="19" t="n"/>
      <c r="N535" s="19" t="n"/>
      <c r="O535" s="19" t="n"/>
      <c r="P535" s="19" t="n"/>
      <c r="Q535" s="19" t="n"/>
      <c r="R535" s="19" t="n"/>
    </row>
    <row r="536" ht="15.75" customHeight="1" s="545">
      <c r="A536" s="19" t="n"/>
      <c r="B536" s="19" t="n"/>
      <c r="C536" s="19" t="n"/>
      <c r="D536" s="19" t="n"/>
      <c r="E536" s="19" t="n"/>
      <c r="F536" s="19" t="n"/>
      <c r="G536" s="19" t="n"/>
      <c r="H536" s="19" t="n"/>
      <c r="I536" s="19" t="n"/>
      <c r="J536" s="19" t="n"/>
      <c r="K536" s="19" t="n"/>
      <c r="L536" s="19" t="n"/>
      <c r="M536" s="19" t="n"/>
      <c r="N536" s="19" t="n"/>
      <c r="O536" s="19" t="n"/>
      <c r="P536" s="19" t="n"/>
      <c r="Q536" s="19" t="n"/>
      <c r="R536" s="19" t="n"/>
    </row>
    <row r="537" ht="15.75" customHeight="1" s="545">
      <c r="A537" s="19" t="n"/>
      <c r="B537" s="19" t="n"/>
      <c r="C537" s="19" t="n"/>
      <c r="D537" s="19" t="n"/>
      <c r="E537" s="19" t="n"/>
      <c r="F537" s="19" t="n"/>
      <c r="G537" s="19" t="n"/>
      <c r="H537" s="19" t="n"/>
      <c r="I537" s="19" t="n"/>
      <c r="J537" s="19" t="n"/>
      <c r="K537" s="19" t="n"/>
      <c r="L537" s="19" t="n"/>
      <c r="M537" s="19" t="n"/>
      <c r="N537" s="19" t="n"/>
      <c r="O537" s="19" t="n"/>
      <c r="P537" s="19" t="n"/>
      <c r="Q537" s="19" t="n"/>
      <c r="R537" s="19" t="n"/>
    </row>
    <row r="538" ht="15.75" customHeight="1" s="545">
      <c r="A538" s="19" t="n"/>
      <c r="B538" s="19" t="n"/>
      <c r="C538" s="19" t="n"/>
      <c r="D538" s="19" t="n"/>
      <c r="E538" s="19" t="n"/>
      <c r="F538" s="19" t="n"/>
      <c r="G538" s="19" t="n"/>
      <c r="H538" s="19" t="n"/>
      <c r="I538" s="19" t="n"/>
      <c r="J538" s="19" t="n"/>
      <c r="K538" s="19" t="n"/>
      <c r="L538" s="19" t="n"/>
      <c r="M538" s="19" t="n"/>
      <c r="N538" s="19" t="n"/>
      <c r="O538" s="19" t="n"/>
      <c r="P538" s="19" t="n"/>
      <c r="Q538" s="19" t="n"/>
      <c r="R538" s="19" t="n"/>
    </row>
    <row r="539" ht="15.75" customHeight="1" s="545">
      <c r="A539" s="19" t="n"/>
      <c r="B539" s="19" t="n"/>
      <c r="C539" s="19" t="n"/>
      <c r="D539" s="19" t="n"/>
      <c r="E539" s="19" t="n"/>
      <c r="F539" s="19" t="n"/>
      <c r="G539" s="19" t="n"/>
      <c r="H539" s="19" t="n"/>
      <c r="I539" s="19" t="n"/>
      <c r="J539" s="19" t="n"/>
      <c r="K539" s="19" t="n"/>
      <c r="L539" s="19" t="n"/>
      <c r="M539" s="19" t="n"/>
      <c r="N539" s="19" t="n"/>
      <c r="O539" s="19" t="n"/>
      <c r="P539" s="19" t="n"/>
      <c r="Q539" s="19" t="n"/>
      <c r="R539" s="19" t="n"/>
    </row>
    <row r="540" ht="15.75" customHeight="1" s="545">
      <c r="A540" s="19" t="n"/>
      <c r="B540" s="19" t="n"/>
      <c r="C540" s="19" t="n"/>
      <c r="D540" s="19" t="n"/>
      <c r="E540" s="19" t="n"/>
      <c r="F540" s="19" t="n"/>
      <c r="G540" s="19" t="n"/>
      <c r="H540" s="19" t="n"/>
      <c r="I540" s="19" t="n"/>
      <c r="J540" s="19" t="n"/>
      <c r="K540" s="19" t="n"/>
      <c r="L540" s="19" t="n"/>
      <c r="M540" s="19" t="n"/>
      <c r="N540" s="19" t="n"/>
      <c r="O540" s="19" t="n"/>
      <c r="P540" s="19" t="n"/>
      <c r="Q540" s="19" t="n"/>
      <c r="R540" s="19" t="n"/>
    </row>
    <row r="541" ht="15.75" customHeight="1" s="545">
      <c r="A541" s="19" t="n"/>
      <c r="B541" s="19" t="n"/>
      <c r="C541" s="19" t="n"/>
      <c r="D541" s="19" t="n"/>
      <c r="E541" s="19" t="n"/>
      <c r="F541" s="19" t="n"/>
      <c r="G541" s="19" t="n"/>
      <c r="H541" s="19" t="n"/>
      <c r="I541" s="19" t="n"/>
      <c r="J541" s="19" t="n"/>
      <c r="K541" s="19" t="n"/>
      <c r="L541" s="19" t="n"/>
      <c r="M541" s="19" t="n"/>
      <c r="N541" s="19" t="n"/>
      <c r="O541" s="19" t="n"/>
      <c r="P541" s="19" t="n"/>
      <c r="Q541" s="19" t="n"/>
      <c r="R541" s="19" t="n"/>
    </row>
    <row r="542" ht="15.75" customHeight="1" s="545">
      <c r="A542" s="19" t="n"/>
      <c r="B542" s="19" t="n"/>
      <c r="C542" s="19" t="n"/>
      <c r="D542" s="19" t="n"/>
      <c r="E542" s="19" t="n"/>
      <c r="F542" s="19" t="n"/>
      <c r="G542" s="19" t="n"/>
      <c r="H542" s="19" t="n"/>
      <c r="I542" s="19" t="n"/>
      <c r="J542" s="19" t="n"/>
      <c r="K542" s="19" t="n"/>
      <c r="L542" s="19" t="n"/>
      <c r="M542" s="19" t="n"/>
      <c r="N542" s="19" t="n"/>
      <c r="O542" s="19" t="n"/>
      <c r="P542" s="19" t="n"/>
      <c r="Q542" s="19" t="n"/>
      <c r="R542" s="19" t="n"/>
    </row>
    <row r="543" ht="15.75" customHeight="1" s="545">
      <c r="A543" s="19" t="n"/>
      <c r="B543" s="19" t="n"/>
      <c r="C543" s="19" t="n"/>
      <c r="D543" s="19" t="n"/>
      <c r="E543" s="19" t="n"/>
      <c r="F543" s="19" t="n"/>
      <c r="G543" s="19" t="n"/>
      <c r="H543" s="19" t="n"/>
      <c r="I543" s="19" t="n"/>
      <c r="J543" s="19" t="n"/>
      <c r="K543" s="19" t="n"/>
      <c r="L543" s="19" t="n"/>
      <c r="M543" s="19" t="n"/>
      <c r="N543" s="19" t="n"/>
      <c r="O543" s="19" t="n"/>
      <c r="P543" s="19" t="n"/>
      <c r="Q543" s="19" t="n"/>
      <c r="R543" s="19" t="n"/>
    </row>
    <row r="544" ht="15.75" customHeight="1" s="545">
      <c r="A544" s="19" t="n"/>
      <c r="B544" s="19" t="n"/>
      <c r="C544" s="19" t="n"/>
      <c r="D544" s="19" t="n"/>
      <c r="E544" s="19" t="n"/>
      <c r="F544" s="19" t="n"/>
      <c r="G544" s="19" t="n"/>
      <c r="H544" s="19" t="n"/>
      <c r="I544" s="19" t="n"/>
      <c r="J544" s="19" t="n"/>
      <c r="K544" s="19" t="n"/>
      <c r="L544" s="19" t="n"/>
      <c r="M544" s="19" t="n"/>
      <c r="N544" s="19" t="n"/>
      <c r="O544" s="19" t="n"/>
      <c r="P544" s="19" t="n"/>
      <c r="Q544" s="19" t="n"/>
      <c r="R544" s="19" t="n"/>
    </row>
    <row r="545" ht="15.75" customHeight="1" s="545">
      <c r="A545" s="19" t="n"/>
      <c r="B545" s="19" t="n"/>
      <c r="C545" s="19" t="n"/>
      <c r="D545" s="19" t="n"/>
      <c r="E545" s="19" t="n"/>
      <c r="F545" s="19" t="n"/>
      <c r="G545" s="19" t="n"/>
      <c r="H545" s="19" t="n"/>
      <c r="I545" s="19" t="n"/>
      <c r="J545" s="19" t="n"/>
      <c r="K545" s="19" t="n"/>
      <c r="L545" s="19" t="n"/>
      <c r="M545" s="19" t="n"/>
      <c r="N545" s="19" t="n"/>
      <c r="O545" s="19" t="n"/>
      <c r="P545" s="19" t="n"/>
      <c r="Q545" s="19" t="n"/>
      <c r="R545" s="19" t="n"/>
    </row>
    <row r="546" ht="15.75" customHeight="1" s="545">
      <c r="A546" s="19" t="n"/>
      <c r="B546" s="19" t="n"/>
      <c r="C546" s="19" t="n"/>
      <c r="D546" s="19" t="n"/>
      <c r="E546" s="19" t="n"/>
      <c r="F546" s="19" t="n"/>
      <c r="G546" s="19" t="n"/>
      <c r="H546" s="19" t="n"/>
      <c r="I546" s="19" t="n"/>
      <c r="J546" s="19" t="n"/>
      <c r="K546" s="19" t="n"/>
      <c r="L546" s="19" t="n"/>
      <c r="M546" s="19" t="n"/>
      <c r="N546" s="19" t="n"/>
      <c r="O546" s="19" t="n"/>
      <c r="P546" s="19" t="n"/>
      <c r="Q546" s="19" t="n"/>
      <c r="R546" s="19" t="n"/>
    </row>
    <row r="547" ht="15.75" customHeight="1" s="545">
      <c r="A547" s="19" t="n"/>
      <c r="B547" s="19" t="n"/>
      <c r="C547" s="19" t="n"/>
      <c r="D547" s="19" t="n"/>
      <c r="E547" s="19" t="n"/>
      <c r="F547" s="19" t="n"/>
      <c r="G547" s="19" t="n"/>
      <c r="H547" s="19" t="n"/>
      <c r="I547" s="19" t="n"/>
      <c r="J547" s="19" t="n"/>
      <c r="K547" s="19" t="n"/>
      <c r="L547" s="19" t="n"/>
      <c r="M547" s="19" t="n"/>
      <c r="N547" s="19" t="n"/>
      <c r="O547" s="19" t="n"/>
      <c r="P547" s="19" t="n"/>
      <c r="Q547" s="19" t="n"/>
      <c r="R547" s="19" t="n"/>
    </row>
    <row r="548" ht="15.75" customHeight="1" s="545">
      <c r="A548" s="19" t="n"/>
      <c r="B548" s="19" t="n"/>
      <c r="C548" s="19" t="n"/>
      <c r="D548" s="19" t="n"/>
      <c r="E548" s="19" t="n"/>
      <c r="F548" s="19" t="n"/>
      <c r="G548" s="19" t="n"/>
      <c r="H548" s="19" t="n"/>
      <c r="I548" s="19" t="n"/>
      <c r="J548" s="19" t="n"/>
      <c r="K548" s="19" t="n"/>
      <c r="L548" s="19" t="n"/>
      <c r="M548" s="19" t="n"/>
      <c r="N548" s="19" t="n"/>
      <c r="O548" s="19" t="n"/>
      <c r="P548" s="19" t="n"/>
      <c r="Q548" s="19" t="n"/>
      <c r="R548" s="19" t="n"/>
    </row>
    <row r="549" ht="15.75" customHeight="1" s="545">
      <c r="A549" s="19" t="n"/>
      <c r="B549" s="19" t="n"/>
      <c r="C549" s="19" t="n"/>
      <c r="D549" s="19" t="n"/>
      <c r="E549" s="19" t="n"/>
      <c r="F549" s="19" t="n"/>
      <c r="G549" s="19" t="n"/>
      <c r="H549" s="19" t="n"/>
      <c r="I549" s="19" t="n"/>
      <c r="J549" s="19" t="n"/>
      <c r="K549" s="19" t="n"/>
      <c r="L549" s="19" t="n"/>
      <c r="M549" s="19" t="n"/>
      <c r="N549" s="19" t="n"/>
      <c r="O549" s="19" t="n"/>
      <c r="P549" s="19" t="n"/>
      <c r="Q549" s="19" t="n"/>
      <c r="R549" s="19" t="n"/>
    </row>
    <row r="550" ht="15.75" customHeight="1" s="545">
      <c r="A550" s="19" t="n"/>
      <c r="B550" s="19" t="n"/>
      <c r="C550" s="19" t="n"/>
      <c r="D550" s="19" t="n"/>
      <c r="E550" s="19" t="n"/>
      <c r="F550" s="19" t="n"/>
      <c r="G550" s="19" t="n"/>
      <c r="H550" s="19" t="n"/>
      <c r="I550" s="19" t="n"/>
      <c r="J550" s="19" t="n"/>
      <c r="K550" s="19" t="n"/>
      <c r="L550" s="19" t="n"/>
      <c r="M550" s="19" t="n"/>
      <c r="N550" s="19" t="n"/>
      <c r="O550" s="19" t="n"/>
      <c r="P550" s="19" t="n"/>
      <c r="Q550" s="19" t="n"/>
      <c r="R550" s="19" t="n"/>
    </row>
    <row r="551" ht="15.75" customHeight="1" s="545">
      <c r="A551" s="19" t="n"/>
      <c r="B551" s="19" t="n"/>
      <c r="C551" s="19" t="n"/>
      <c r="D551" s="19" t="n"/>
      <c r="E551" s="19" t="n"/>
      <c r="F551" s="19" t="n"/>
      <c r="G551" s="19" t="n"/>
      <c r="H551" s="19" t="n"/>
      <c r="I551" s="19" t="n"/>
      <c r="J551" s="19" t="n"/>
      <c r="K551" s="19" t="n"/>
      <c r="L551" s="19" t="n"/>
      <c r="M551" s="19" t="n"/>
      <c r="N551" s="19" t="n"/>
      <c r="O551" s="19" t="n"/>
      <c r="P551" s="19" t="n"/>
      <c r="Q551" s="19" t="n"/>
      <c r="R551" s="19" t="n"/>
    </row>
    <row r="552" ht="15.75" customHeight="1" s="545">
      <c r="A552" s="19" t="n"/>
      <c r="B552" s="19" t="n"/>
      <c r="C552" s="19" t="n"/>
      <c r="D552" s="19" t="n"/>
      <c r="E552" s="19" t="n"/>
      <c r="F552" s="19" t="n"/>
      <c r="G552" s="19" t="n"/>
      <c r="H552" s="19" t="n"/>
      <c r="I552" s="19" t="n"/>
      <c r="J552" s="19" t="n"/>
      <c r="K552" s="19" t="n"/>
      <c r="L552" s="19" t="n"/>
      <c r="M552" s="19" t="n"/>
      <c r="N552" s="19" t="n"/>
      <c r="O552" s="19" t="n"/>
      <c r="P552" s="19" t="n"/>
      <c r="Q552" s="19" t="n"/>
      <c r="R552" s="19" t="n"/>
    </row>
    <row r="553" ht="15.75" customHeight="1" s="545">
      <c r="A553" s="19" t="n"/>
      <c r="B553" s="19" t="n"/>
      <c r="C553" s="19" t="n"/>
      <c r="D553" s="19" t="n"/>
      <c r="E553" s="19" t="n"/>
      <c r="F553" s="19" t="n"/>
      <c r="G553" s="19" t="n"/>
      <c r="H553" s="19" t="n"/>
      <c r="I553" s="19" t="n"/>
      <c r="J553" s="19" t="n"/>
      <c r="K553" s="19" t="n"/>
      <c r="L553" s="19" t="n"/>
      <c r="M553" s="19" t="n"/>
      <c r="N553" s="19" t="n"/>
      <c r="O553" s="19" t="n"/>
      <c r="P553" s="19" t="n"/>
      <c r="Q553" s="19" t="n"/>
      <c r="R553" s="19" t="n"/>
    </row>
    <row r="554" ht="15.75" customHeight="1" s="545">
      <c r="A554" s="19" t="n"/>
      <c r="B554" s="19" t="n"/>
      <c r="C554" s="19" t="n"/>
      <c r="D554" s="19" t="n"/>
      <c r="E554" s="19" t="n"/>
      <c r="F554" s="19" t="n"/>
      <c r="G554" s="19" t="n"/>
      <c r="H554" s="19" t="n"/>
      <c r="I554" s="19" t="n"/>
      <c r="J554" s="19" t="n"/>
      <c r="K554" s="19" t="n"/>
      <c r="L554" s="19" t="n"/>
      <c r="M554" s="19" t="n"/>
      <c r="N554" s="19" t="n"/>
      <c r="O554" s="19" t="n"/>
      <c r="P554" s="19" t="n"/>
      <c r="Q554" s="19" t="n"/>
      <c r="R554" s="19" t="n"/>
    </row>
    <row r="555" ht="15.75" customHeight="1" s="545">
      <c r="A555" s="19" t="n"/>
      <c r="B555" s="19" t="n"/>
      <c r="C555" s="19" t="n"/>
      <c r="D555" s="19" t="n"/>
      <c r="E555" s="19" t="n"/>
      <c r="F555" s="19" t="n"/>
      <c r="G555" s="19" t="n"/>
      <c r="H555" s="19" t="n"/>
      <c r="I555" s="19" t="n"/>
      <c r="J555" s="19" t="n"/>
      <c r="K555" s="19" t="n"/>
      <c r="L555" s="19" t="n"/>
      <c r="M555" s="19" t="n"/>
      <c r="N555" s="19" t="n"/>
      <c r="O555" s="19" t="n"/>
      <c r="P555" s="19" t="n"/>
      <c r="Q555" s="19" t="n"/>
      <c r="R555" s="19" t="n"/>
    </row>
    <row r="556" ht="15.75" customHeight="1" s="545">
      <c r="A556" s="19" t="n"/>
      <c r="B556" s="19" t="n"/>
      <c r="C556" s="19" t="n"/>
      <c r="D556" s="19" t="n"/>
      <c r="E556" s="19" t="n"/>
      <c r="F556" s="19" t="n"/>
      <c r="G556" s="19" t="n"/>
      <c r="H556" s="19" t="n"/>
      <c r="I556" s="19" t="n"/>
      <c r="J556" s="19" t="n"/>
      <c r="K556" s="19" t="n"/>
      <c r="L556" s="19" t="n"/>
      <c r="M556" s="19" t="n"/>
      <c r="N556" s="19" t="n"/>
      <c r="O556" s="19" t="n"/>
      <c r="P556" s="19" t="n"/>
      <c r="Q556" s="19" t="n"/>
      <c r="R556" s="19" t="n"/>
    </row>
    <row r="557" ht="15.75" customHeight="1" s="545">
      <c r="A557" s="19" t="n"/>
      <c r="B557" s="19" t="n"/>
      <c r="C557" s="19" t="n"/>
      <c r="D557" s="19" t="n"/>
      <c r="E557" s="19" t="n"/>
      <c r="F557" s="19" t="n"/>
      <c r="G557" s="19" t="n"/>
      <c r="H557" s="19" t="n"/>
      <c r="I557" s="19" t="n"/>
      <c r="J557" s="19" t="n"/>
      <c r="K557" s="19" t="n"/>
      <c r="L557" s="19" t="n"/>
      <c r="M557" s="19" t="n"/>
      <c r="N557" s="19" t="n"/>
      <c r="O557" s="19" t="n"/>
      <c r="P557" s="19" t="n"/>
      <c r="Q557" s="19" t="n"/>
      <c r="R557" s="19" t="n"/>
    </row>
    <row r="558" ht="15.75" customHeight="1" s="545">
      <c r="A558" s="19" t="n"/>
      <c r="B558" s="19" t="n"/>
      <c r="C558" s="19" t="n"/>
      <c r="D558" s="19" t="n"/>
      <c r="E558" s="19" t="n"/>
      <c r="F558" s="19" t="n"/>
      <c r="G558" s="19" t="n"/>
      <c r="H558" s="19" t="n"/>
      <c r="I558" s="19" t="n"/>
      <c r="J558" s="19" t="n"/>
      <c r="K558" s="19" t="n"/>
      <c r="L558" s="19" t="n"/>
      <c r="M558" s="19" t="n"/>
      <c r="N558" s="19" t="n"/>
      <c r="O558" s="19" t="n"/>
      <c r="P558" s="19" t="n"/>
      <c r="Q558" s="19" t="n"/>
      <c r="R558" s="19" t="n"/>
    </row>
    <row r="559" ht="15.75" customHeight="1" s="545">
      <c r="A559" s="19" t="n"/>
      <c r="B559" s="19" t="n"/>
      <c r="C559" s="19" t="n"/>
      <c r="D559" s="19" t="n"/>
      <c r="E559" s="19" t="n"/>
      <c r="F559" s="19" t="n"/>
      <c r="G559" s="19" t="n"/>
      <c r="H559" s="19" t="n"/>
      <c r="I559" s="19" t="n"/>
      <c r="J559" s="19" t="n"/>
      <c r="K559" s="19" t="n"/>
      <c r="L559" s="19" t="n"/>
      <c r="M559" s="19" t="n"/>
      <c r="N559" s="19" t="n"/>
      <c r="O559" s="19" t="n"/>
      <c r="P559" s="19" t="n"/>
      <c r="Q559" s="19" t="n"/>
      <c r="R559" s="19" t="n"/>
    </row>
    <row r="560" ht="15.75" customHeight="1" s="545">
      <c r="A560" s="19" t="n"/>
      <c r="B560" s="19" t="n"/>
      <c r="C560" s="19" t="n"/>
      <c r="D560" s="19" t="n"/>
      <c r="E560" s="19" t="n"/>
      <c r="F560" s="19" t="n"/>
      <c r="G560" s="19" t="n"/>
      <c r="H560" s="19" t="n"/>
      <c r="I560" s="19" t="n"/>
      <c r="J560" s="19" t="n"/>
      <c r="K560" s="19" t="n"/>
      <c r="L560" s="19" t="n"/>
      <c r="M560" s="19" t="n"/>
      <c r="N560" s="19" t="n"/>
      <c r="O560" s="19" t="n"/>
      <c r="P560" s="19" t="n"/>
      <c r="Q560" s="19" t="n"/>
      <c r="R560" s="19" t="n"/>
    </row>
    <row r="561" ht="15.75" customHeight="1" s="545">
      <c r="A561" s="19" t="n"/>
      <c r="B561" s="19" t="n"/>
      <c r="C561" s="19" t="n"/>
      <c r="D561" s="19" t="n"/>
      <c r="E561" s="19" t="n"/>
      <c r="F561" s="19" t="n"/>
      <c r="G561" s="19" t="n"/>
      <c r="H561" s="19" t="n"/>
      <c r="I561" s="19" t="n"/>
      <c r="J561" s="19" t="n"/>
      <c r="K561" s="19" t="n"/>
      <c r="L561" s="19" t="n"/>
      <c r="M561" s="19" t="n"/>
      <c r="N561" s="19" t="n"/>
      <c r="O561" s="19" t="n"/>
      <c r="P561" s="19" t="n"/>
      <c r="Q561" s="19" t="n"/>
      <c r="R561" s="19" t="n"/>
    </row>
    <row r="562" ht="15.75" customHeight="1" s="545">
      <c r="A562" s="19" t="n"/>
      <c r="B562" s="19" t="n"/>
      <c r="C562" s="19" t="n"/>
      <c r="D562" s="19" t="n"/>
      <c r="E562" s="19" t="n"/>
      <c r="F562" s="19" t="n"/>
      <c r="G562" s="19" t="n"/>
      <c r="H562" s="19" t="n"/>
      <c r="I562" s="19" t="n"/>
      <c r="J562" s="19" t="n"/>
      <c r="K562" s="19" t="n"/>
      <c r="L562" s="19" t="n"/>
      <c r="M562" s="19" t="n"/>
      <c r="N562" s="19" t="n"/>
      <c r="O562" s="19" t="n"/>
      <c r="P562" s="19" t="n"/>
      <c r="Q562" s="19" t="n"/>
      <c r="R562" s="19" t="n"/>
    </row>
    <row r="563" ht="15.75" customHeight="1" s="545">
      <c r="A563" s="19" t="n"/>
      <c r="B563" s="19" t="n"/>
      <c r="C563" s="19" t="n"/>
      <c r="D563" s="19" t="n"/>
      <c r="E563" s="19" t="n"/>
      <c r="F563" s="19" t="n"/>
      <c r="G563" s="19" t="n"/>
      <c r="H563" s="19" t="n"/>
      <c r="I563" s="19" t="n"/>
      <c r="J563" s="19" t="n"/>
      <c r="K563" s="19" t="n"/>
      <c r="L563" s="19" t="n"/>
      <c r="M563" s="19" t="n"/>
      <c r="N563" s="19" t="n"/>
      <c r="O563" s="19" t="n"/>
      <c r="P563" s="19" t="n"/>
      <c r="Q563" s="19" t="n"/>
      <c r="R563" s="19" t="n"/>
    </row>
    <row r="564" ht="15.75" customHeight="1" s="545">
      <c r="A564" s="19" t="n"/>
      <c r="B564" s="19" t="n"/>
      <c r="C564" s="19" t="n"/>
      <c r="D564" s="19" t="n"/>
      <c r="E564" s="19" t="n"/>
      <c r="F564" s="19" t="n"/>
      <c r="G564" s="19" t="n"/>
      <c r="H564" s="19" t="n"/>
      <c r="I564" s="19" t="n"/>
      <c r="J564" s="19" t="n"/>
      <c r="K564" s="19" t="n"/>
      <c r="L564" s="19" t="n"/>
      <c r="M564" s="19" t="n"/>
      <c r="N564" s="19" t="n"/>
      <c r="O564" s="19" t="n"/>
      <c r="P564" s="19" t="n"/>
      <c r="Q564" s="19" t="n"/>
      <c r="R564" s="19" t="n"/>
    </row>
    <row r="565" ht="15.75" customHeight="1" s="545">
      <c r="A565" s="19" t="n"/>
      <c r="B565" s="19" t="n"/>
      <c r="C565" s="19" t="n"/>
      <c r="D565" s="19" t="n"/>
      <c r="E565" s="19" t="n"/>
      <c r="F565" s="19" t="n"/>
      <c r="G565" s="19" t="n"/>
      <c r="H565" s="19" t="n"/>
      <c r="I565" s="19" t="n"/>
      <c r="J565" s="19" t="n"/>
      <c r="K565" s="19" t="n"/>
      <c r="L565" s="19" t="n"/>
      <c r="M565" s="19" t="n"/>
      <c r="N565" s="19" t="n"/>
      <c r="O565" s="19" t="n"/>
      <c r="P565" s="19" t="n"/>
      <c r="Q565" s="19" t="n"/>
      <c r="R565" s="19" t="n"/>
    </row>
    <row r="566" ht="15.75" customHeight="1" s="545">
      <c r="A566" s="19" t="n"/>
      <c r="B566" s="19" t="n"/>
      <c r="C566" s="19" t="n"/>
      <c r="D566" s="19" t="n"/>
      <c r="E566" s="19" t="n"/>
      <c r="F566" s="19" t="n"/>
      <c r="G566" s="19" t="n"/>
      <c r="H566" s="19" t="n"/>
      <c r="I566" s="19" t="n"/>
      <c r="J566" s="19" t="n"/>
      <c r="K566" s="19" t="n"/>
      <c r="L566" s="19" t="n"/>
      <c r="M566" s="19" t="n"/>
      <c r="N566" s="19" t="n"/>
      <c r="O566" s="19" t="n"/>
      <c r="P566" s="19" t="n"/>
      <c r="Q566" s="19" t="n"/>
      <c r="R566" s="19" t="n"/>
    </row>
    <row r="567" ht="15.75" customHeight="1" s="545">
      <c r="A567" s="19" t="n"/>
      <c r="B567" s="19" t="n"/>
      <c r="C567" s="19" t="n"/>
      <c r="D567" s="19" t="n"/>
      <c r="E567" s="19" t="n"/>
      <c r="F567" s="19" t="n"/>
      <c r="G567" s="19" t="n"/>
      <c r="H567" s="19" t="n"/>
      <c r="I567" s="19" t="n"/>
      <c r="J567" s="19" t="n"/>
      <c r="K567" s="19" t="n"/>
      <c r="L567" s="19" t="n"/>
      <c r="M567" s="19" t="n"/>
      <c r="N567" s="19" t="n"/>
      <c r="O567" s="19" t="n"/>
      <c r="P567" s="19" t="n"/>
      <c r="Q567" s="19" t="n"/>
      <c r="R567" s="19" t="n"/>
    </row>
    <row r="568" ht="15.75" customHeight="1" s="545">
      <c r="A568" s="19" t="n"/>
      <c r="B568" s="19" t="n"/>
      <c r="C568" s="19" t="n"/>
      <c r="D568" s="19" t="n"/>
      <c r="E568" s="19" t="n"/>
      <c r="F568" s="19" t="n"/>
      <c r="G568" s="19" t="n"/>
      <c r="H568" s="19" t="n"/>
      <c r="I568" s="19" t="n"/>
      <c r="J568" s="19" t="n"/>
      <c r="K568" s="19" t="n"/>
      <c r="L568" s="19" t="n"/>
      <c r="M568" s="19" t="n"/>
      <c r="N568" s="19" t="n"/>
      <c r="O568" s="19" t="n"/>
      <c r="P568" s="19" t="n"/>
      <c r="Q568" s="19" t="n"/>
      <c r="R568" s="19" t="n"/>
    </row>
    <row r="569" ht="15.75" customHeight="1" s="545">
      <c r="A569" s="19" t="n"/>
      <c r="B569" s="19" t="n"/>
      <c r="C569" s="19" t="n"/>
      <c r="D569" s="19" t="n"/>
      <c r="E569" s="19" t="n"/>
      <c r="F569" s="19" t="n"/>
      <c r="G569" s="19" t="n"/>
      <c r="H569" s="19" t="n"/>
      <c r="I569" s="19" t="n"/>
      <c r="J569" s="19" t="n"/>
      <c r="K569" s="19" t="n"/>
      <c r="L569" s="19" t="n"/>
      <c r="M569" s="19" t="n"/>
      <c r="N569" s="19" t="n"/>
      <c r="O569" s="19" t="n"/>
      <c r="P569" s="19" t="n"/>
      <c r="Q569" s="19" t="n"/>
      <c r="R569" s="19" t="n"/>
    </row>
    <row r="570" ht="15.75" customHeight="1" s="545">
      <c r="A570" s="19" t="n"/>
      <c r="B570" s="19" t="n"/>
      <c r="C570" s="19" t="n"/>
      <c r="D570" s="19" t="n"/>
      <c r="E570" s="19" t="n"/>
      <c r="F570" s="19" t="n"/>
      <c r="G570" s="19" t="n"/>
      <c r="H570" s="19" t="n"/>
      <c r="I570" s="19" t="n"/>
      <c r="J570" s="19" t="n"/>
      <c r="K570" s="19" t="n"/>
      <c r="L570" s="19" t="n"/>
      <c r="M570" s="19" t="n"/>
      <c r="N570" s="19" t="n"/>
      <c r="O570" s="19" t="n"/>
      <c r="P570" s="19" t="n"/>
      <c r="Q570" s="19" t="n"/>
      <c r="R570" s="19" t="n"/>
    </row>
    <row r="571" ht="15.75" customHeight="1" s="545">
      <c r="A571" s="19" t="n"/>
      <c r="B571" s="19" t="n"/>
      <c r="C571" s="19" t="n"/>
      <c r="D571" s="19" t="n"/>
      <c r="E571" s="19" t="n"/>
      <c r="F571" s="19" t="n"/>
      <c r="G571" s="19" t="n"/>
      <c r="H571" s="19" t="n"/>
      <c r="I571" s="19" t="n"/>
      <c r="J571" s="19" t="n"/>
      <c r="K571" s="19" t="n"/>
      <c r="L571" s="19" t="n"/>
      <c r="M571" s="19" t="n"/>
      <c r="N571" s="19" t="n"/>
      <c r="O571" s="19" t="n"/>
      <c r="P571" s="19" t="n"/>
      <c r="Q571" s="19" t="n"/>
      <c r="R571" s="19" t="n"/>
    </row>
    <row r="572" ht="15.75" customHeight="1" s="545">
      <c r="A572" s="19" t="n"/>
      <c r="B572" s="19" t="n"/>
      <c r="C572" s="19" t="n"/>
      <c r="D572" s="19" t="n"/>
      <c r="E572" s="19" t="n"/>
      <c r="F572" s="19" t="n"/>
      <c r="G572" s="19" t="n"/>
      <c r="H572" s="19" t="n"/>
      <c r="I572" s="19" t="n"/>
      <c r="J572" s="19" t="n"/>
      <c r="K572" s="19" t="n"/>
      <c r="L572" s="19" t="n"/>
      <c r="M572" s="19" t="n"/>
      <c r="N572" s="19" t="n"/>
      <c r="O572" s="19" t="n"/>
      <c r="P572" s="19" t="n"/>
      <c r="Q572" s="19" t="n"/>
      <c r="R572" s="19" t="n"/>
    </row>
    <row r="573" ht="15.75" customHeight="1" s="545">
      <c r="A573" s="19" t="n"/>
      <c r="B573" s="19" t="n"/>
      <c r="C573" s="19" t="n"/>
      <c r="D573" s="19" t="n"/>
      <c r="E573" s="19" t="n"/>
      <c r="F573" s="19" t="n"/>
      <c r="G573" s="19" t="n"/>
      <c r="H573" s="19" t="n"/>
      <c r="I573" s="19" t="n"/>
      <c r="J573" s="19" t="n"/>
      <c r="K573" s="19" t="n"/>
      <c r="L573" s="19" t="n"/>
      <c r="M573" s="19" t="n"/>
      <c r="N573" s="19" t="n"/>
      <c r="O573" s="19" t="n"/>
      <c r="P573" s="19" t="n"/>
      <c r="Q573" s="19" t="n"/>
      <c r="R573" s="19" t="n"/>
    </row>
    <row r="574" ht="15.75" customHeight="1" s="545">
      <c r="A574" s="19" t="n"/>
      <c r="B574" s="19" t="n"/>
      <c r="C574" s="19" t="n"/>
      <c r="D574" s="19" t="n"/>
      <c r="E574" s="19" t="n"/>
      <c r="F574" s="19" t="n"/>
      <c r="G574" s="19" t="n"/>
      <c r="H574" s="19" t="n"/>
      <c r="I574" s="19" t="n"/>
      <c r="J574" s="19" t="n"/>
      <c r="K574" s="19" t="n"/>
      <c r="L574" s="19" t="n"/>
      <c r="M574" s="19" t="n"/>
      <c r="N574" s="19" t="n"/>
      <c r="O574" s="19" t="n"/>
      <c r="P574" s="19" t="n"/>
      <c r="Q574" s="19" t="n"/>
      <c r="R574" s="19" t="n"/>
    </row>
    <row r="575" ht="15.75" customHeight="1" s="545">
      <c r="A575" s="19" t="n"/>
      <c r="B575" s="19" t="n"/>
      <c r="C575" s="19" t="n"/>
      <c r="D575" s="19" t="n"/>
      <c r="E575" s="19" t="n"/>
      <c r="F575" s="19" t="n"/>
      <c r="G575" s="19" t="n"/>
      <c r="H575" s="19" t="n"/>
      <c r="I575" s="19" t="n"/>
      <c r="J575" s="19" t="n"/>
      <c r="K575" s="19" t="n"/>
      <c r="L575" s="19" t="n"/>
      <c r="M575" s="19" t="n"/>
      <c r="N575" s="19" t="n"/>
      <c r="O575" s="19" t="n"/>
      <c r="P575" s="19" t="n"/>
      <c r="Q575" s="19" t="n"/>
      <c r="R575" s="19" t="n"/>
    </row>
    <row r="576" ht="15.75" customHeight="1" s="545">
      <c r="A576" s="19" t="n"/>
      <c r="B576" s="19" t="n"/>
      <c r="C576" s="19" t="n"/>
      <c r="D576" s="19" t="n"/>
      <c r="E576" s="19" t="n"/>
      <c r="F576" s="19" t="n"/>
      <c r="G576" s="19" t="n"/>
      <c r="H576" s="19" t="n"/>
      <c r="I576" s="19" t="n"/>
      <c r="J576" s="19" t="n"/>
      <c r="K576" s="19" t="n"/>
      <c r="L576" s="19" t="n"/>
      <c r="M576" s="19" t="n"/>
      <c r="N576" s="19" t="n"/>
      <c r="O576" s="19" t="n"/>
      <c r="P576" s="19" t="n"/>
      <c r="Q576" s="19" t="n"/>
      <c r="R576" s="19" t="n"/>
    </row>
    <row r="577" ht="15.75" customHeight="1" s="545">
      <c r="A577" s="19" t="n"/>
      <c r="B577" s="19" t="n"/>
      <c r="C577" s="19" t="n"/>
      <c r="D577" s="19" t="n"/>
      <c r="E577" s="19" t="n"/>
      <c r="F577" s="19" t="n"/>
      <c r="G577" s="19" t="n"/>
      <c r="H577" s="19" t="n"/>
      <c r="I577" s="19" t="n"/>
      <c r="J577" s="19" t="n"/>
      <c r="K577" s="19" t="n"/>
      <c r="L577" s="19" t="n"/>
      <c r="M577" s="19" t="n"/>
      <c r="N577" s="19" t="n"/>
      <c r="O577" s="19" t="n"/>
      <c r="P577" s="19" t="n"/>
      <c r="Q577" s="19" t="n"/>
      <c r="R577" s="19" t="n"/>
    </row>
    <row r="578" ht="15.75" customHeight="1" s="545">
      <c r="A578" s="19" t="n"/>
      <c r="B578" s="19" t="n"/>
      <c r="C578" s="19" t="n"/>
      <c r="D578" s="19" t="n"/>
      <c r="E578" s="19" t="n"/>
      <c r="F578" s="19" t="n"/>
      <c r="G578" s="19" t="n"/>
      <c r="H578" s="19" t="n"/>
      <c r="I578" s="19" t="n"/>
      <c r="J578" s="19" t="n"/>
      <c r="K578" s="19" t="n"/>
      <c r="L578" s="19" t="n"/>
      <c r="M578" s="19" t="n"/>
      <c r="N578" s="19" t="n"/>
      <c r="O578" s="19" t="n"/>
      <c r="P578" s="19" t="n"/>
      <c r="Q578" s="19" t="n"/>
      <c r="R578" s="19" t="n"/>
    </row>
    <row r="579" ht="15.75" customHeight="1" s="545">
      <c r="A579" s="19" t="n"/>
      <c r="B579" s="19" t="n"/>
      <c r="C579" s="19" t="n"/>
      <c r="D579" s="19" t="n"/>
      <c r="E579" s="19" t="n"/>
      <c r="F579" s="19" t="n"/>
      <c r="G579" s="19" t="n"/>
      <c r="H579" s="19" t="n"/>
      <c r="I579" s="19" t="n"/>
      <c r="J579" s="19" t="n"/>
      <c r="K579" s="19" t="n"/>
      <c r="L579" s="19" t="n"/>
      <c r="M579" s="19" t="n"/>
      <c r="N579" s="19" t="n"/>
      <c r="O579" s="19" t="n"/>
      <c r="P579" s="19" t="n"/>
      <c r="Q579" s="19" t="n"/>
      <c r="R579" s="19" t="n"/>
    </row>
    <row r="580" ht="15.75" customHeight="1" s="545">
      <c r="A580" s="19" t="n"/>
      <c r="B580" s="19" t="n"/>
      <c r="C580" s="19" t="n"/>
      <c r="D580" s="19" t="n"/>
      <c r="E580" s="19" t="n"/>
      <c r="F580" s="19" t="n"/>
      <c r="G580" s="19" t="n"/>
      <c r="H580" s="19" t="n"/>
      <c r="I580" s="19" t="n"/>
      <c r="J580" s="19" t="n"/>
      <c r="K580" s="19" t="n"/>
      <c r="L580" s="19" t="n"/>
      <c r="M580" s="19" t="n"/>
      <c r="N580" s="19" t="n"/>
      <c r="O580" s="19" t="n"/>
      <c r="P580" s="19" t="n"/>
      <c r="Q580" s="19" t="n"/>
      <c r="R580" s="19" t="n"/>
    </row>
    <row r="581" ht="15.75" customHeight="1" s="545">
      <c r="A581" s="19" t="n"/>
      <c r="B581" s="19" t="n"/>
      <c r="C581" s="19" t="n"/>
      <c r="D581" s="19" t="n"/>
      <c r="E581" s="19" t="n"/>
      <c r="F581" s="19" t="n"/>
      <c r="G581" s="19" t="n"/>
      <c r="H581" s="19" t="n"/>
      <c r="I581" s="19" t="n"/>
      <c r="J581" s="19" t="n"/>
      <c r="K581" s="19" t="n"/>
      <c r="L581" s="19" t="n"/>
      <c r="M581" s="19" t="n"/>
      <c r="N581" s="19" t="n"/>
      <c r="O581" s="19" t="n"/>
      <c r="P581" s="19" t="n"/>
      <c r="Q581" s="19" t="n"/>
      <c r="R581" s="19" t="n"/>
    </row>
    <row r="582" ht="15.75" customHeight="1" s="545">
      <c r="A582" s="19" t="n"/>
      <c r="B582" s="19" t="n"/>
      <c r="C582" s="19" t="n"/>
      <c r="D582" s="19" t="n"/>
      <c r="E582" s="19" t="n"/>
      <c r="F582" s="19" t="n"/>
      <c r="G582" s="19" t="n"/>
      <c r="H582" s="19" t="n"/>
      <c r="I582" s="19" t="n"/>
      <c r="J582" s="19" t="n"/>
      <c r="K582" s="19" t="n"/>
      <c r="L582" s="19" t="n"/>
      <c r="M582" s="19" t="n"/>
      <c r="N582" s="19" t="n"/>
      <c r="O582" s="19" t="n"/>
      <c r="P582" s="19" t="n"/>
      <c r="Q582" s="19" t="n"/>
      <c r="R582" s="19" t="n"/>
    </row>
    <row r="583" ht="15.75" customHeight="1" s="545">
      <c r="A583" s="19" t="n"/>
      <c r="B583" s="19" t="n"/>
      <c r="C583" s="19" t="n"/>
      <c r="D583" s="19" t="n"/>
      <c r="E583" s="19" t="n"/>
      <c r="F583" s="19" t="n"/>
      <c r="G583" s="19" t="n"/>
      <c r="H583" s="19" t="n"/>
      <c r="I583" s="19" t="n"/>
      <c r="J583" s="19" t="n"/>
      <c r="K583" s="19" t="n"/>
      <c r="L583" s="19" t="n"/>
      <c r="M583" s="19" t="n"/>
      <c r="N583" s="19" t="n"/>
      <c r="O583" s="19" t="n"/>
      <c r="P583" s="19" t="n"/>
      <c r="Q583" s="19" t="n"/>
      <c r="R583" s="19" t="n"/>
    </row>
    <row r="584" ht="15.75" customHeight="1" s="545">
      <c r="A584" s="19" t="n"/>
      <c r="B584" s="19" t="n"/>
      <c r="C584" s="19" t="n"/>
      <c r="D584" s="19" t="n"/>
      <c r="E584" s="19" t="n"/>
      <c r="F584" s="19" t="n"/>
      <c r="G584" s="19" t="n"/>
      <c r="H584" s="19" t="n"/>
      <c r="I584" s="19" t="n"/>
      <c r="J584" s="19" t="n"/>
      <c r="K584" s="19" t="n"/>
      <c r="L584" s="19" t="n"/>
      <c r="M584" s="19" t="n"/>
      <c r="N584" s="19" t="n"/>
      <c r="O584" s="19" t="n"/>
      <c r="P584" s="19" t="n"/>
      <c r="Q584" s="19" t="n"/>
      <c r="R584" s="19" t="n"/>
    </row>
    <row r="585" ht="15.75" customHeight="1" s="545">
      <c r="A585" s="19" t="n"/>
      <c r="B585" s="19" t="n"/>
      <c r="C585" s="19" t="n"/>
      <c r="D585" s="19" t="n"/>
      <c r="E585" s="19" t="n"/>
      <c r="F585" s="19" t="n"/>
      <c r="G585" s="19" t="n"/>
      <c r="H585" s="19" t="n"/>
      <c r="I585" s="19" t="n"/>
      <c r="J585" s="19" t="n"/>
      <c r="K585" s="19" t="n"/>
      <c r="L585" s="19" t="n"/>
      <c r="M585" s="19" t="n"/>
      <c r="N585" s="19" t="n"/>
      <c r="O585" s="19" t="n"/>
      <c r="P585" s="19" t="n"/>
      <c r="Q585" s="19" t="n"/>
      <c r="R585" s="19" t="n"/>
    </row>
    <row r="586" ht="15.75" customHeight="1" s="545">
      <c r="A586" s="19" t="n"/>
      <c r="B586" s="19" t="n"/>
      <c r="C586" s="19" t="n"/>
      <c r="D586" s="19" t="n"/>
      <c r="E586" s="19" t="n"/>
      <c r="F586" s="19" t="n"/>
      <c r="G586" s="19" t="n"/>
      <c r="H586" s="19" t="n"/>
      <c r="I586" s="19" t="n"/>
      <c r="J586" s="19" t="n"/>
      <c r="K586" s="19" t="n"/>
      <c r="L586" s="19" t="n"/>
      <c r="M586" s="19" t="n"/>
      <c r="N586" s="19" t="n"/>
      <c r="O586" s="19" t="n"/>
      <c r="P586" s="19" t="n"/>
      <c r="Q586" s="19" t="n"/>
      <c r="R586" s="19" t="n"/>
    </row>
    <row r="587" ht="15.75" customHeight="1" s="545">
      <c r="A587" s="19" t="n"/>
      <c r="B587" s="19" t="n"/>
      <c r="C587" s="19" t="n"/>
      <c r="D587" s="19" t="n"/>
      <c r="E587" s="19" t="n"/>
      <c r="F587" s="19" t="n"/>
      <c r="G587" s="19" t="n"/>
      <c r="H587" s="19" t="n"/>
      <c r="I587" s="19" t="n"/>
      <c r="J587" s="19" t="n"/>
      <c r="K587" s="19" t="n"/>
      <c r="L587" s="19" t="n"/>
      <c r="M587" s="19" t="n"/>
      <c r="N587" s="19" t="n"/>
      <c r="O587" s="19" t="n"/>
      <c r="P587" s="19" t="n"/>
      <c r="Q587" s="19" t="n"/>
      <c r="R587" s="19" t="n"/>
    </row>
    <row r="588" ht="15.75" customHeight="1" s="545">
      <c r="A588" s="19" t="n"/>
      <c r="B588" s="19" t="n"/>
      <c r="C588" s="19" t="n"/>
      <c r="D588" s="19" t="n"/>
      <c r="E588" s="19" t="n"/>
      <c r="F588" s="19" t="n"/>
      <c r="G588" s="19" t="n"/>
      <c r="H588" s="19" t="n"/>
      <c r="I588" s="19" t="n"/>
      <c r="J588" s="19" t="n"/>
      <c r="K588" s="19" t="n"/>
      <c r="L588" s="19" t="n"/>
      <c r="M588" s="19" t="n"/>
      <c r="N588" s="19" t="n"/>
      <c r="O588" s="19" t="n"/>
      <c r="P588" s="19" t="n"/>
      <c r="Q588" s="19" t="n"/>
      <c r="R588" s="19" t="n"/>
    </row>
    <row r="589" ht="15.75" customHeight="1" s="545">
      <c r="A589" s="19" t="n"/>
      <c r="B589" s="19" t="n"/>
      <c r="C589" s="19" t="n"/>
      <c r="D589" s="19" t="n"/>
      <c r="E589" s="19" t="n"/>
      <c r="F589" s="19" t="n"/>
      <c r="G589" s="19" t="n"/>
      <c r="H589" s="19" t="n"/>
      <c r="I589" s="19" t="n"/>
      <c r="J589" s="19" t="n"/>
      <c r="K589" s="19" t="n"/>
      <c r="L589" s="19" t="n"/>
      <c r="M589" s="19" t="n"/>
      <c r="N589" s="19" t="n"/>
      <c r="O589" s="19" t="n"/>
      <c r="P589" s="19" t="n"/>
      <c r="Q589" s="19" t="n"/>
      <c r="R589" s="19" t="n"/>
    </row>
    <row r="590" ht="15.75" customHeight="1" s="545">
      <c r="A590" s="19" t="n"/>
      <c r="B590" s="19" t="n"/>
      <c r="C590" s="19" t="n"/>
      <c r="D590" s="19" t="n"/>
      <c r="E590" s="19" t="n"/>
      <c r="F590" s="19" t="n"/>
      <c r="G590" s="19" t="n"/>
      <c r="H590" s="19" t="n"/>
      <c r="I590" s="19" t="n"/>
      <c r="J590" s="19" t="n"/>
      <c r="K590" s="19" t="n"/>
      <c r="L590" s="19" t="n"/>
      <c r="M590" s="19" t="n"/>
      <c r="N590" s="19" t="n"/>
      <c r="O590" s="19" t="n"/>
      <c r="P590" s="19" t="n"/>
      <c r="Q590" s="19" t="n"/>
      <c r="R590" s="19" t="n"/>
    </row>
    <row r="591" ht="15.75" customHeight="1" s="545">
      <c r="A591" s="19" t="n"/>
      <c r="B591" s="19" t="n"/>
      <c r="C591" s="19" t="n"/>
      <c r="D591" s="19" t="n"/>
      <c r="E591" s="19" t="n"/>
      <c r="F591" s="19" t="n"/>
      <c r="G591" s="19" t="n"/>
      <c r="H591" s="19" t="n"/>
      <c r="I591" s="19" t="n"/>
      <c r="J591" s="19" t="n"/>
      <c r="K591" s="19" t="n"/>
      <c r="L591" s="19" t="n"/>
      <c r="M591" s="19" t="n"/>
      <c r="N591" s="19" t="n"/>
      <c r="O591" s="19" t="n"/>
      <c r="P591" s="19" t="n"/>
      <c r="Q591" s="19" t="n"/>
      <c r="R591" s="19" t="n"/>
    </row>
    <row r="592" ht="15.75" customHeight="1" s="545">
      <c r="A592" s="19" t="n"/>
      <c r="B592" s="19" t="n"/>
      <c r="C592" s="19" t="n"/>
      <c r="D592" s="19" t="n"/>
      <c r="E592" s="19" t="n"/>
      <c r="F592" s="19" t="n"/>
      <c r="G592" s="19" t="n"/>
      <c r="H592" s="19" t="n"/>
      <c r="I592" s="19" t="n"/>
      <c r="J592" s="19" t="n"/>
      <c r="K592" s="19" t="n"/>
      <c r="L592" s="19" t="n"/>
      <c r="M592" s="19" t="n"/>
      <c r="N592" s="19" t="n"/>
      <c r="O592" s="19" t="n"/>
      <c r="P592" s="19" t="n"/>
      <c r="Q592" s="19" t="n"/>
      <c r="R592" s="19" t="n"/>
    </row>
    <row r="593" ht="15.75" customHeight="1" s="545">
      <c r="A593" s="19" t="n"/>
      <c r="B593" s="19" t="n"/>
      <c r="C593" s="19" t="n"/>
      <c r="D593" s="19" t="n"/>
      <c r="E593" s="19" t="n"/>
      <c r="F593" s="19" t="n"/>
      <c r="G593" s="19" t="n"/>
      <c r="H593" s="19" t="n"/>
      <c r="I593" s="19" t="n"/>
      <c r="J593" s="19" t="n"/>
      <c r="K593" s="19" t="n"/>
      <c r="L593" s="19" t="n"/>
      <c r="M593" s="19" t="n"/>
      <c r="N593" s="19" t="n"/>
      <c r="O593" s="19" t="n"/>
      <c r="P593" s="19" t="n"/>
      <c r="Q593" s="19" t="n"/>
      <c r="R593" s="19" t="n"/>
    </row>
    <row r="594" ht="15.75" customHeight="1" s="545">
      <c r="A594" s="19" t="n"/>
      <c r="B594" s="19" t="n"/>
      <c r="C594" s="19" t="n"/>
      <c r="D594" s="19" t="n"/>
      <c r="E594" s="19" t="n"/>
      <c r="F594" s="19" t="n"/>
      <c r="G594" s="19" t="n"/>
      <c r="H594" s="19" t="n"/>
      <c r="I594" s="19" t="n"/>
      <c r="J594" s="19" t="n"/>
      <c r="K594" s="19" t="n"/>
      <c r="L594" s="19" t="n"/>
      <c r="M594" s="19" t="n"/>
      <c r="N594" s="19" t="n"/>
      <c r="O594" s="19" t="n"/>
      <c r="P594" s="19" t="n"/>
      <c r="Q594" s="19" t="n"/>
      <c r="R594" s="19" t="n"/>
    </row>
    <row r="595" ht="15.75" customHeight="1" s="545">
      <c r="A595" s="19" t="n"/>
      <c r="B595" s="19" t="n"/>
      <c r="C595" s="19" t="n"/>
      <c r="D595" s="19" t="n"/>
      <c r="E595" s="19" t="n"/>
      <c r="F595" s="19" t="n"/>
      <c r="G595" s="19" t="n"/>
      <c r="H595" s="19" t="n"/>
      <c r="I595" s="19" t="n"/>
      <c r="J595" s="19" t="n"/>
      <c r="K595" s="19" t="n"/>
      <c r="L595" s="19" t="n"/>
      <c r="M595" s="19" t="n"/>
      <c r="N595" s="19" t="n"/>
      <c r="O595" s="19" t="n"/>
      <c r="P595" s="19" t="n"/>
      <c r="Q595" s="19" t="n"/>
      <c r="R595" s="19" t="n"/>
    </row>
    <row r="596" ht="15.75" customHeight="1" s="545">
      <c r="A596" s="19" t="n"/>
      <c r="B596" s="19" t="n"/>
      <c r="C596" s="19" t="n"/>
      <c r="D596" s="19" t="n"/>
      <c r="E596" s="19" t="n"/>
      <c r="F596" s="19" t="n"/>
      <c r="G596" s="19" t="n"/>
      <c r="H596" s="19" t="n"/>
      <c r="I596" s="19" t="n"/>
      <c r="J596" s="19" t="n"/>
      <c r="K596" s="19" t="n"/>
      <c r="L596" s="19" t="n"/>
      <c r="M596" s="19" t="n"/>
      <c r="N596" s="19" t="n"/>
      <c r="O596" s="19" t="n"/>
      <c r="P596" s="19" t="n"/>
      <c r="Q596" s="19" t="n"/>
      <c r="R596" s="19" t="n"/>
    </row>
    <row r="597" ht="15.75" customHeight="1" s="545">
      <c r="A597" s="19" t="n"/>
      <c r="B597" s="19" t="n"/>
      <c r="C597" s="19" t="n"/>
      <c r="D597" s="19" t="n"/>
      <c r="E597" s="19" t="n"/>
      <c r="F597" s="19" t="n"/>
      <c r="G597" s="19" t="n"/>
      <c r="H597" s="19" t="n"/>
      <c r="I597" s="19" t="n"/>
      <c r="J597" s="19" t="n"/>
      <c r="K597" s="19" t="n"/>
      <c r="L597" s="19" t="n"/>
      <c r="M597" s="19" t="n"/>
      <c r="N597" s="19" t="n"/>
      <c r="O597" s="19" t="n"/>
      <c r="P597" s="19" t="n"/>
      <c r="Q597" s="19" t="n"/>
      <c r="R597" s="19" t="n"/>
    </row>
    <row r="598" ht="15.75" customHeight="1" s="545">
      <c r="A598" s="19" t="n"/>
      <c r="B598" s="19" t="n"/>
      <c r="C598" s="19" t="n"/>
      <c r="D598" s="19" t="n"/>
      <c r="E598" s="19" t="n"/>
      <c r="F598" s="19" t="n"/>
      <c r="G598" s="19" t="n"/>
      <c r="H598" s="19" t="n"/>
      <c r="I598" s="19" t="n"/>
      <c r="J598" s="19" t="n"/>
      <c r="K598" s="19" t="n"/>
      <c r="L598" s="19" t="n"/>
      <c r="M598" s="19" t="n"/>
      <c r="N598" s="19" t="n"/>
      <c r="O598" s="19" t="n"/>
      <c r="P598" s="19" t="n"/>
      <c r="Q598" s="19" t="n"/>
      <c r="R598" s="19" t="n"/>
    </row>
    <row r="599" ht="15.75" customHeight="1" s="545">
      <c r="A599" s="19" t="n"/>
      <c r="B599" s="19" t="n"/>
      <c r="C599" s="19" t="n"/>
      <c r="D599" s="19" t="n"/>
      <c r="E599" s="19" t="n"/>
      <c r="F599" s="19" t="n"/>
      <c r="G599" s="19" t="n"/>
      <c r="H599" s="19" t="n"/>
      <c r="I599" s="19" t="n"/>
      <c r="J599" s="19" t="n"/>
      <c r="K599" s="19" t="n"/>
      <c r="L599" s="19" t="n"/>
      <c r="M599" s="19" t="n"/>
      <c r="N599" s="19" t="n"/>
      <c r="O599" s="19" t="n"/>
      <c r="P599" s="19" t="n"/>
      <c r="Q599" s="19" t="n"/>
      <c r="R599" s="19" t="n"/>
    </row>
    <row r="600" ht="15.75" customHeight="1" s="545">
      <c r="A600" s="19" t="n"/>
      <c r="B600" s="19" t="n"/>
      <c r="C600" s="19" t="n"/>
      <c r="D600" s="19" t="n"/>
      <c r="E600" s="19" t="n"/>
      <c r="F600" s="19" t="n"/>
      <c r="G600" s="19" t="n"/>
      <c r="H600" s="19" t="n"/>
      <c r="I600" s="19" t="n"/>
      <c r="J600" s="19" t="n"/>
      <c r="K600" s="19" t="n"/>
      <c r="L600" s="19" t="n"/>
      <c r="M600" s="19" t="n"/>
      <c r="N600" s="19" t="n"/>
      <c r="O600" s="19" t="n"/>
      <c r="P600" s="19" t="n"/>
      <c r="Q600" s="19" t="n"/>
      <c r="R600" s="19" t="n"/>
    </row>
    <row r="601" ht="15.75" customHeight="1" s="545">
      <c r="A601" s="19" t="n"/>
      <c r="B601" s="19" t="n"/>
      <c r="C601" s="19" t="n"/>
      <c r="D601" s="19" t="n"/>
      <c r="E601" s="19" t="n"/>
      <c r="F601" s="19" t="n"/>
      <c r="G601" s="19" t="n"/>
      <c r="H601" s="19" t="n"/>
      <c r="I601" s="19" t="n"/>
      <c r="J601" s="19" t="n"/>
      <c r="K601" s="19" t="n"/>
      <c r="L601" s="19" t="n"/>
      <c r="M601" s="19" t="n"/>
      <c r="N601" s="19" t="n"/>
      <c r="O601" s="19" t="n"/>
      <c r="P601" s="19" t="n"/>
      <c r="Q601" s="19" t="n"/>
      <c r="R601" s="19" t="n"/>
    </row>
    <row r="602" ht="15.75" customHeight="1" s="545">
      <c r="A602" s="19" t="n"/>
      <c r="B602" s="19" t="n"/>
      <c r="C602" s="19" t="n"/>
      <c r="D602" s="19" t="n"/>
      <c r="E602" s="19" t="n"/>
      <c r="F602" s="19" t="n"/>
      <c r="G602" s="19" t="n"/>
      <c r="H602" s="19" t="n"/>
      <c r="I602" s="19" t="n"/>
      <c r="J602" s="19" t="n"/>
      <c r="K602" s="19" t="n"/>
      <c r="L602" s="19" t="n"/>
      <c r="M602" s="19" t="n"/>
      <c r="N602" s="19" t="n"/>
      <c r="O602" s="19" t="n"/>
      <c r="P602" s="19" t="n"/>
      <c r="Q602" s="19" t="n"/>
      <c r="R602" s="19" t="n"/>
    </row>
    <row r="603" ht="15.75" customHeight="1" s="545">
      <c r="A603" s="19" t="n"/>
      <c r="B603" s="19" t="n"/>
      <c r="C603" s="19" t="n"/>
      <c r="D603" s="19" t="n"/>
      <c r="E603" s="19" t="n"/>
      <c r="F603" s="19" t="n"/>
      <c r="G603" s="19" t="n"/>
      <c r="H603" s="19" t="n"/>
      <c r="I603" s="19" t="n"/>
      <c r="J603" s="19" t="n"/>
      <c r="K603" s="19" t="n"/>
      <c r="L603" s="19" t="n"/>
      <c r="M603" s="19" t="n"/>
      <c r="N603" s="19" t="n"/>
      <c r="O603" s="19" t="n"/>
      <c r="P603" s="19" t="n"/>
      <c r="Q603" s="19" t="n"/>
      <c r="R603" s="19" t="n"/>
    </row>
    <row r="604" ht="15.75" customHeight="1" s="545">
      <c r="A604" s="19" t="n"/>
      <c r="B604" s="19" t="n"/>
      <c r="C604" s="19" t="n"/>
      <c r="D604" s="19" t="n"/>
      <c r="E604" s="19" t="n"/>
      <c r="F604" s="19" t="n"/>
      <c r="G604" s="19" t="n"/>
      <c r="H604" s="19" t="n"/>
      <c r="I604" s="19" t="n"/>
      <c r="J604" s="19" t="n"/>
      <c r="K604" s="19" t="n"/>
      <c r="L604" s="19" t="n"/>
      <c r="M604" s="19" t="n"/>
      <c r="N604" s="19" t="n"/>
      <c r="O604" s="19" t="n"/>
      <c r="P604" s="19" t="n"/>
      <c r="Q604" s="19" t="n"/>
      <c r="R604" s="19" t="n"/>
    </row>
    <row r="605" ht="15.75" customHeight="1" s="545">
      <c r="A605" s="19" t="n"/>
      <c r="B605" s="19" t="n"/>
      <c r="C605" s="19" t="n"/>
      <c r="D605" s="19" t="n"/>
      <c r="E605" s="19" t="n"/>
      <c r="F605" s="19" t="n"/>
      <c r="G605" s="19" t="n"/>
      <c r="H605" s="19" t="n"/>
      <c r="I605" s="19" t="n"/>
      <c r="J605" s="19" t="n"/>
      <c r="K605" s="19" t="n"/>
      <c r="L605" s="19" t="n"/>
      <c r="M605" s="19" t="n"/>
      <c r="N605" s="19" t="n"/>
      <c r="O605" s="19" t="n"/>
      <c r="P605" s="19" t="n"/>
      <c r="Q605" s="19" t="n"/>
      <c r="R605" s="19" t="n"/>
    </row>
    <row r="606" ht="15.75" customHeight="1" s="545">
      <c r="A606" s="19" t="n"/>
      <c r="B606" s="19" t="n"/>
      <c r="C606" s="19" t="n"/>
      <c r="D606" s="19" t="n"/>
      <c r="E606" s="19" t="n"/>
      <c r="F606" s="19" t="n"/>
      <c r="G606" s="19" t="n"/>
      <c r="H606" s="19" t="n"/>
      <c r="I606" s="19" t="n"/>
      <c r="J606" s="19" t="n"/>
      <c r="K606" s="19" t="n"/>
      <c r="L606" s="19" t="n"/>
      <c r="M606" s="19" t="n"/>
      <c r="N606" s="19" t="n"/>
      <c r="O606" s="19" t="n"/>
      <c r="P606" s="19" t="n"/>
      <c r="Q606" s="19" t="n"/>
      <c r="R606" s="19" t="n"/>
    </row>
    <row r="607" ht="15.75" customHeight="1" s="545">
      <c r="A607" s="19" t="n"/>
      <c r="B607" s="19" t="n"/>
      <c r="C607" s="19" t="n"/>
      <c r="D607" s="19" t="n"/>
      <c r="E607" s="19" t="n"/>
      <c r="F607" s="19" t="n"/>
      <c r="G607" s="19" t="n"/>
      <c r="H607" s="19" t="n"/>
      <c r="I607" s="19" t="n"/>
      <c r="J607" s="19" t="n"/>
      <c r="K607" s="19" t="n"/>
      <c r="L607" s="19" t="n"/>
      <c r="M607" s="19" t="n"/>
      <c r="N607" s="19" t="n"/>
      <c r="O607" s="19" t="n"/>
      <c r="P607" s="19" t="n"/>
      <c r="Q607" s="19" t="n"/>
      <c r="R607" s="19" t="n"/>
    </row>
    <row r="608" ht="15.75" customHeight="1" s="545">
      <c r="A608" s="19" t="n"/>
      <c r="B608" s="19" t="n"/>
      <c r="C608" s="19" t="n"/>
      <c r="D608" s="19" t="n"/>
      <c r="E608" s="19" t="n"/>
      <c r="F608" s="19" t="n"/>
      <c r="G608" s="19" t="n"/>
      <c r="H608" s="19" t="n"/>
      <c r="I608" s="19" t="n"/>
      <c r="J608" s="19" t="n"/>
      <c r="K608" s="19" t="n"/>
      <c r="L608" s="19" t="n"/>
      <c r="M608" s="19" t="n"/>
      <c r="N608" s="19" t="n"/>
      <c r="O608" s="19" t="n"/>
      <c r="P608" s="19" t="n"/>
      <c r="Q608" s="19" t="n"/>
      <c r="R608" s="19" t="n"/>
    </row>
    <row r="609" ht="15.75" customHeight="1" s="545">
      <c r="A609" s="19" t="n"/>
      <c r="B609" s="19" t="n"/>
      <c r="C609" s="19" t="n"/>
      <c r="D609" s="19" t="n"/>
      <c r="E609" s="19" t="n"/>
      <c r="F609" s="19" t="n"/>
      <c r="G609" s="19" t="n"/>
      <c r="H609" s="19" t="n"/>
      <c r="I609" s="19" t="n"/>
      <c r="J609" s="19" t="n"/>
      <c r="K609" s="19" t="n"/>
      <c r="L609" s="19" t="n"/>
      <c r="M609" s="19" t="n"/>
      <c r="N609" s="19" t="n"/>
      <c r="O609" s="19" t="n"/>
      <c r="P609" s="19" t="n"/>
      <c r="Q609" s="19" t="n"/>
      <c r="R609" s="19" t="n"/>
    </row>
    <row r="610" ht="15.75" customHeight="1" s="545">
      <c r="A610" s="19" t="n"/>
      <c r="B610" s="19" t="n"/>
      <c r="C610" s="19" t="n"/>
      <c r="D610" s="19" t="n"/>
      <c r="E610" s="19" t="n"/>
      <c r="F610" s="19" t="n"/>
      <c r="G610" s="19" t="n"/>
      <c r="H610" s="19" t="n"/>
      <c r="I610" s="19" t="n"/>
      <c r="J610" s="19" t="n"/>
      <c r="K610" s="19" t="n"/>
      <c r="L610" s="19" t="n"/>
      <c r="M610" s="19" t="n"/>
      <c r="N610" s="19" t="n"/>
      <c r="O610" s="19" t="n"/>
      <c r="P610" s="19" t="n"/>
      <c r="Q610" s="19" t="n"/>
      <c r="R610" s="19" t="n"/>
    </row>
    <row r="611" ht="15.75" customHeight="1" s="545">
      <c r="A611" s="19" t="n"/>
      <c r="B611" s="19" t="n"/>
      <c r="C611" s="19" t="n"/>
      <c r="D611" s="19" t="n"/>
      <c r="E611" s="19" t="n"/>
      <c r="F611" s="19" t="n"/>
      <c r="G611" s="19" t="n"/>
      <c r="H611" s="19" t="n"/>
      <c r="I611" s="19" t="n"/>
      <c r="J611" s="19" t="n"/>
      <c r="K611" s="19" t="n"/>
      <c r="L611" s="19" t="n"/>
      <c r="M611" s="19" t="n"/>
      <c r="N611" s="19" t="n"/>
      <c r="O611" s="19" t="n"/>
      <c r="P611" s="19" t="n"/>
      <c r="Q611" s="19" t="n"/>
      <c r="R611" s="19" t="n"/>
    </row>
    <row r="612" ht="15.75" customHeight="1" s="545">
      <c r="A612" s="19" t="n"/>
      <c r="B612" s="19" t="n"/>
      <c r="C612" s="19" t="n"/>
      <c r="D612" s="19" t="n"/>
      <c r="E612" s="19" t="n"/>
      <c r="F612" s="19" t="n"/>
      <c r="G612" s="19" t="n"/>
      <c r="H612" s="19" t="n"/>
      <c r="I612" s="19" t="n"/>
      <c r="J612" s="19" t="n"/>
      <c r="K612" s="19" t="n"/>
      <c r="L612" s="19" t="n"/>
      <c r="M612" s="19" t="n"/>
      <c r="N612" s="19" t="n"/>
      <c r="O612" s="19" t="n"/>
      <c r="P612" s="19" t="n"/>
      <c r="Q612" s="19" t="n"/>
      <c r="R612" s="19" t="n"/>
    </row>
    <row r="613" ht="15.75" customHeight="1" s="545">
      <c r="A613" s="19" t="n"/>
      <c r="B613" s="19" t="n"/>
      <c r="C613" s="19" t="n"/>
      <c r="D613" s="19" t="n"/>
      <c r="E613" s="19" t="n"/>
      <c r="F613" s="19" t="n"/>
      <c r="G613" s="19" t="n"/>
      <c r="H613" s="19" t="n"/>
      <c r="I613" s="19" t="n"/>
      <c r="J613" s="19" t="n"/>
      <c r="K613" s="19" t="n"/>
      <c r="L613" s="19" t="n"/>
      <c r="M613" s="19" t="n"/>
      <c r="N613" s="19" t="n"/>
      <c r="O613" s="19" t="n"/>
      <c r="P613" s="19" t="n"/>
      <c r="Q613" s="19" t="n"/>
      <c r="R613" s="19" t="n"/>
    </row>
    <row r="614" ht="15.75" customHeight="1" s="545">
      <c r="A614" s="19" t="n"/>
      <c r="B614" s="19" t="n"/>
      <c r="C614" s="19" t="n"/>
      <c r="D614" s="19" t="n"/>
      <c r="E614" s="19" t="n"/>
      <c r="F614" s="19" t="n"/>
      <c r="G614" s="19" t="n"/>
      <c r="H614" s="19" t="n"/>
      <c r="I614" s="19" t="n"/>
      <c r="J614" s="19" t="n"/>
      <c r="K614" s="19" t="n"/>
      <c r="L614" s="19" t="n"/>
      <c r="M614" s="19" t="n"/>
      <c r="N614" s="19" t="n"/>
      <c r="O614" s="19" t="n"/>
      <c r="P614" s="19" t="n"/>
      <c r="Q614" s="19" t="n"/>
      <c r="R614" s="19" t="n"/>
    </row>
    <row r="615" ht="15.75" customHeight="1" s="545">
      <c r="A615" s="19" t="n"/>
      <c r="B615" s="19" t="n"/>
      <c r="C615" s="19" t="n"/>
      <c r="D615" s="19" t="n"/>
      <c r="E615" s="19" t="n"/>
      <c r="F615" s="19" t="n"/>
      <c r="G615" s="19" t="n"/>
      <c r="H615" s="19" t="n"/>
      <c r="I615" s="19" t="n"/>
      <c r="J615" s="19" t="n"/>
      <c r="K615" s="19" t="n"/>
      <c r="L615" s="19" t="n"/>
      <c r="M615" s="19" t="n"/>
      <c r="N615" s="19" t="n"/>
      <c r="O615" s="19" t="n"/>
      <c r="P615" s="19" t="n"/>
      <c r="Q615" s="19" t="n"/>
      <c r="R615" s="19" t="n"/>
    </row>
    <row r="616" ht="15.75" customHeight="1" s="545">
      <c r="A616" s="19" t="n"/>
      <c r="B616" s="19" t="n"/>
      <c r="C616" s="19" t="n"/>
      <c r="D616" s="19" t="n"/>
      <c r="E616" s="19" t="n"/>
      <c r="F616" s="19" t="n"/>
      <c r="G616" s="19" t="n"/>
      <c r="H616" s="19" t="n"/>
      <c r="I616" s="19" t="n"/>
      <c r="J616" s="19" t="n"/>
      <c r="K616" s="19" t="n"/>
      <c r="L616" s="19" t="n"/>
      <c r="M616" s="19" t="n"/>
      <c r="N616" s="19" t="n"/>
      <c r="O616" s="19" t="n"/>
      <c r="P616" s="19" t="n"/>
      <c r="Q616" s="19" t="n"/>
      <c r="R616" s="19" t="n"/>
    </row>
    <row r="617" ht="15.75" customHeight="1" s="545">
      <c r="A617" s="19" t="n"/>
      <c r="B617" s="19" t="n"/>
      <c r="C617" s="19" t="n"/>
      <c r="D617" s="19" t="n"/>
      <c r="E617" s="19" t="n"/>
      <c r="F617" s="19" t="n"/>
      <c r="G617" s="19" t="n"/>
      <c r="H617" s="19" t="n"/>
      <c r="I617" s="19" t="n"/>
      <c r="J617" s="19" t="n"/>
      <c r="K617" s="19" t="n"/>
      <c r="L617" s="19" t="n"/>
      <c r="M617" s="19" t="n"/>
      <c r="N617" s="19" t="n"/>
      <c r="O617" s="19" t="n"/>
      <c r="P617" s="19" t="n"/>
      <c r="Q617" s="19" t="n"/>
      <c r="R617" s="19" t="n"/>
    </row>
    <row r="618" ht="15.75" customHeight="1" s="545">
      <c r="A618" s="19" t="n"/>
      <c r="B618" s="19" t="n"/>
      <c r="C618" s="19" t="n"/>
      <c r="D618" s="19" t="n"/>
      <c r="E618" s="19" t="n"/>
      <c r="F618" s="19" t="n"/>
      <c r="G618" s="19" t="n"/>
      <c r="H618" s="19" t="n"/>
      <c r="I618" s="19" t="n"/>
      <c r="J618" s="19" t="n"/>
      <c r="K618" s="19" t="n"/>
      <c r="L618" s="19" t="n"/>
      <c r="M618" s="19" t="n"/>
      <c r="N618" s="19" t="n"/>
      <c r="O618" s="19" t="n"/>
      <c r="P618" s="19" t="n"/>
      <c r="Q618" s="19" t="n"/>
      <c r="R618" s="19" t="n"/>
    </row>
    <row r="619" ht="15.75" customHeight="1" s="545">
      <c r="A619" s="19" t="n"/>
      <c r="B619" s="19" t="n"/>
      <c r="C619" s="19" t="n"/>
      <c r="D619" s="19" t="n"/>
      <c r="E619" s="19" t="n"/>
      <c r="F619" s="19" t="n"/>
      <c r="G619" s="19" t="n"/>
      <c r="H619" s="19" t="n"/>
      <c r="I619" s="19" t="n"/>
      <c r="J619" s="19" t="n"/>
      <c r="K619" s="19" t="n"/>
      <c r="L619" s="19" t="n"/>
      <c r="M619" s="19" t="n"/>
      <c r="N619" s="19" t="n"/>
      <c r="O619" s="19" t="n"/>
      <c r="P619" s="19" t="n"/>
      <c r="Q619" s="19" t="n"/>
      <c r="R619" s="19" t="n"/>
    </row>
    <row r="620" ht="15.75" customHeight="1" s="545">
      <c r="A620" s="19" t="n"/>
      <c r="B620" s="19" t="n"/>
      <c r="C620" s="19" t="n"/>
      <c r="D620" s="19" t="n"/>
      <c r="E620" s="19" t="n"/>
      <c r="F620" s="19" t="n"/>
      <c r="G620" s="19" t="n"/>
      <c r="H620" s="19" t="n"/>
      <c r="I620" s="19" t="n"/>
      <c r="J620" s="19" t="n"/>
      <c r="K620" s="19" t="n"/>
      <c r="L620" s="19" t="n"/>
      <c r="M620" s="19" t="n"/>
      <c r="N620" s="19" t="n"/>
      <c r="O620" s="19" t="n"/>
      <c r="P620" s="19" t="n"/>
      <c r="Q620" s="19" t="n"/>
      <c r="R620" s="19" t="n"/>
    </row>
    <row r="621" ht="15.75" customHeight="1" s="545">
      <c r="A621" s="19" t="n"/>
      <c r="B621" s="19" t="n"/>
      <c r="C621" s="19" t="n"/>
      <c r="D621" s="19" t="n"/>
      <c r="E621" s="19" t="n"/>
      <c r="F621" s="19" t="n"/>
      <c r="G621" s="19" t="n"/>
      <c r="H621" s="19" t="n"/>
      <c r="I621" s="19" t="n"/>
      <c r="J621" s="19" t="n"/>
      <c r="K621" s="19" t="n"/>
      <c r="L621" s="19" t="n"/>
      <c r="M621" s="19" t="n"/>
      <c r="N621" s="19" t="n"/>
      <c r="O621" s="19" t="n"/>
      <c r="P621" s="19" t="n"/>
      <c r="Q621" s="19" t="n"/>
      <c r="R621" s="19" t="n"/>
    </row>
    <row r="622" ht="15.75" customHeight="1" s="545">
      <c r="A622" s="19" t="n"/>
      <c r="B622" s="19" t="n"/>
      <c r="C622" s="19" t="n"/>
      <c r="D622" s="19" t="n"/>
      <c r="E622" s="19" t="n"/>
      <c r="F622" s="19" t="n"/>
      <c r="G622" s="19" t="n"/>
      <c r="H622" s="19" t="n"/>
      <c r="I622" s="19" t="n"/>
      <c r="J622" s="19" t="n"/>
      <c r="K622" s="19" t="n"/>
      <c r="L622" s="19" t="n"/>
      <c r="M622" s="19" t="n"/>
      <c r="N622" s="19" t="n"/>
      <c r="O622" s="19" t="n"/>
      <c r="P622" s="19" t="n"/>
      <c r="Q622" s="19" t="n"/>
      <c r="R622" s="19" t="n"/>
    </row>
    <row r="623" ht="15.75" customHeight="1" s="545">
      <c r="A623" s="19" t="n"/>
      <c r="B623" s="19" t="n"/>
      <c r="C623" s="19" t="n"/>
      <c r="D623" s="19" t="n"/>
      <c r="E623" s="19" t="n"/>
      <c r="F623" s="19" t="n"/>
      <c r="G623" s="19" t="n"/>
      <c r="H623" s="19" t="n"/>
      <c r="I623" s="19" t="n"/>
      <c r="J623" s="19" t="n"/>
      <c r="K623" s="19" t="n"/>
      <c r="L623" s="19" t="n"/>
      <c r="M623" s="19" t="n"/>
      <c r="N623" s="19" t="n"/>
      <c r="O623" s="19" t="n"/>
      <c r="P623" s="19" t="n"/>
      <c r="Q623" s="19" t="n"/>
      <c r="R623" s="19" t="n"/>
    </row>
    <row r="624" ht="15.75" customHeight="1" s="545">
      <c r="A624" s="19" t="n"/>
      <c r="B624" s="19" t="n"/>
      <c r="C624" s="19" t="n"/>
      <c r="D624" s="19" t="n"/>
      <c r="E624" s="19" t="n"/>
      <c r="F624" s="19" t="n"/>
      <c r="G624" s="19" t="n"/>
      <c r="H624" s="19" t="n"/>
      <c r="I624" s="19" t="n"/>
      <c r="J624" s="19" t="n"/>
      <c r="K624" s="19" t="n"/>
      <c r="L624" s="19" t="n"/>
      <c r="M624" s="19" t="n"/>
      <c r="N624" s="19" t="n"/>
      <c r="O624" s="19" t="n"/>
      <c r="P624" s="19" t="n"/>
      <c r="Q624" s="19" t="n"/>
      <c r="R624" s="19" t="n"/>
    </row>
    <row r="625" ht="15.75" customHeight="1" s="545">
      <c r="A625" s="19" t="n"/>
      <c r="B625" s="19" t="n"/>
      <c r="C625" s="19" t="n"/>
      <c r="D625" s="19" t="n"/>
      <c r="E625" s="19" t="n"/>
      <c r="F625" s="19" t="n"/>
      <c r="G625" s="19" t="n"/>
      <c r="H625" s="19" t="n"/>
      <c r="I625" s="19" t="n"/>
      <c r="J625" s="19" t="n"/>
      <c r="K625" s="19" t="n"/>
      <c r="L625" s="19" t="n"/>
      <c r="M625" s="19" t="n"/>
      <c r="N625" s="19" t="n"/>
      <c r="O625" s="19" t="n"/>
      <c r="P625" s="19" t="n"/>
      <c r="Q625" s="19" t="n"/>
      <c r="R625" s="19" t="n"/>
    </row>
    <row r="626" ht="15.75" customHeight="1" s="545">
      <c r="A626" s="19" t="n"/>
      <c r="B626" s="19" t="n"/>
      <c r="C626" s="19" t="n"/>
      <c r="D626" s="19" t="n"/>
      <c r="E626" s="19" t="n"/>
      <c r="F626" s="19" t="n"/>
      <c r="G626" s="19" t="n"/>
      <c r="H626" s="19" t="n"/>
      <c r="I626" s="19" t="n"/>
      <c r="J626" s="19" t="n"/>
      <c r="K626" s="19" t="n"/>
      <c r="L626" s="19" t="n"/>
      <c r="M626" s="19" t="n"/>
      <c r="N626" s="19" t="n"/>
      <c r="O626" s="19" t="n"/>
      <c r="P626" s="19" t="n"/>
      <c r="Q626" s="19" t="n"/>
      <c r="R626" s="19" t="n"/>
    </row>
    <row r="627" ht="15.75" customHeight="1" s="545">
      <c r="A627" s="19" t="n"/>
      <c r="B627" s="19" t="n"/>
      <c r="C627" s="19" t="n"/>
      <c r="D627" s="19" t="n"/>
      <c r="E627" s="19" t="n"/>
      <c r="F627" s="19" t="n"/>
      <c r="G627" s="19" t="n"/>
      <c r="H627" s="19" t="n"/>
      <c r="I627" s="19" t="n"/>
      <c r="J627" s="19" t="n"/>
      <c r="K627" s="19" t="n"/>
      <c r="L627" s="19" t="n"/>
      <c r="M627" s="19" t="n"/>
      <c r="N627" s="19" t="n"/>
      <c r="O627" s="19" t="n"/>
      <c r="P627" s="19" t="n"/>
      <c r="Q627" s="19" t="n"/>
      <c r="R627" s="19" t="n"/>
    </row>
    <row r="628" ht="15.75" customHeight="1" s="545">
      <c r="A628" s="19" t="n"/>
      <c r="B628" s="19" t="n"/>
      <c r="C628" s="19" t="n"/>
      <c r="D628" s="19" t="n"/>
      <c r="E628" s="19" t="n"/>
      <c r="F628" s="19" t="n"/>
      <c r="G628" s="19" t="n"/>
      <c r="H628" s="19" t="n"/>
      <c r="I628" s="19" t="n"/>
      <c r="J628" s="19" t="n"/>
      <c r="K628" s="19" t="n"/>
      <c r="L628" s="19" t="n"/>
      <c r="M628" s="19" t="n"/>
      <c r="N628" s="19" t="n"/>
      <c r="O628" s="19" t="n"/>
      <c r="P628" s="19" t="n"/>
      <c r="Q628" s="19" t="n"/>
      <c r="R628" s="19" t="n"/>
    </row>
    <row r="629" ht="15.75" customHeight="1" s="545">
      <c r="A629" s="19" t="n"/>
      <c r="B629" s="19" t="n"/>
      <c r="C629" s="19" t="n"/>
      <c r="D629" s="19" t="n"/>
      <c r="E629" s="19" t="n"/>
      <c r="F629" s="19" t="n"/>
      <c r="G629" s="19" t="n"/>
      <c r="H629" s="19" t="n"/>
      <c r="I629" s="19" t="n"/>
      <c r="J629" s="19" t="n"/>
      <c r="K629" s="19" t="n"/>
      <c r="L629" s="19" t="n"/>
      <c r="M629" s="19" t="n"/>
      <c r="N629" s="19" t="n"/>
      <c r="O629" s="19" t="n"/>
      <c r="P629" s="19" t="n"/>
      <c r="Q629" s="19" t="n"/>
      <c r="R629" s="19" t="n"/>
    </row>
    <row r="630" ht="15.75" customHeight="1" s="545">
      <c r="A630" s="19" t="n"/>
      <c r="B630" s="19" t="n"/>
      <c r="C630" s="19" t="n"/>
      <c r="D630" s="19" t="n"/>
      <c r="E630" s="19" t="n"/>
      <c r="F630" s="19" t="n"/>
      <c r="G630" s="19" t="n"/>
      <c r="H630" s="19" t="n"/>
      <c r="I630" s="19" t="n"/>
      <c r="J630" s="19" t="n"/>
      <c r="K630" s="19" t="n"/>
      <c r="L630" s="19" t="n"/>
      <c r="M630" s="19" t="n"/>
      <c r="N630" s="19" t="n"/>
      <c r="O630" s="19" t="n"/>
      <c r="P630" s="19" t="n"/>
      <c r="Q630" s="19" t="n"/>
      <c r="R630" s="19" t="n"/>
    </row>
    <row r="631" ht="15.75" customHeight="1" s="545">
      <c r="A631" s="19" t="n"/>
      <c r="B631" s="19" t="n"/>
      <c r="C631" s="19" t="n"/>
      <c r="D631" s="19" t="n"/>
      <c r="E631" s="19" t="n"/>
      <c r="F631" s="19" t="n"/>
      <c r="G631" s="19" t="n"/>
      <c r="H631" s="19" t="n"/>
      <c r="I631" s="19" t="n"/>
      <c r="J631" s="19" t="n"/>
      <c r="K631" s="19" t="n"/>
      <c r="L631" s="19" t="n"/>
      <c r="M631" s="19" t="n"/>
      <c r="N631" s="19" t="n"/>
      <c r="O631" s="19" t="n"/>
      <c r="P631" s="19" t="n"/>
      <c r="Q631" s="19" t="n"/>
      <c r="R631" s="19" t="n"/>
    </row>
    <row r="632" ht="15.75" customHeight="1" s="545">
      <c r="A632" s="19" t="n"/>
      <c r="B632" s="19" t="n"/>
      <c r="C632" s="19" t="n"/>
      <c r="D632" s="19" t="n"/>
      <c r="E632" s="19" t="n"/>
      <c r="F632" s="19" t="n"/>
      <c r="G632" s="19" t="n"/>
      <c r="H632" s="19" t="n"/>
      <c r="I632" s="19" t="n"/>
      <c r="J632" s="19" t="n"/>
      <c r="K632" s="19" t="n"/>
      <c r="L632" s="19" t="n"/>
      <c r="M632" s="19" t="n"/>
      <c r="N632" s="19" t="n"/>
      <c r="O632" s="19" t="n"/>
      <c r="P632" s="19" t="n"/>
      <c r="Q632" s="19" t="n"/>
      <c r="R632" s="19" t="n"/>
    </row>
    <row r="633" ht="15.75" customHeight="1" s="545">
      <c r="A633" s="19" t="n"/>
      <c r="B633" s="19" t="n"/>
      <c r="C633" s="19" t="n"/>
      <c r="D633" s="19" t="n"/>
      <c r="E633" s="19" t="n"/>
      <c r="F633" s="19" t="n"/>
      <c r="G633" s="19" t="n"/>
      <c r="H633" s="19" t="n"/>
      <c r="I633" s="19" t="n"/>
      <c r="J633" s="19" t="n"/>
      <c r="K633" s="19" t="n"/>
      <c r="L633" s="19" t="n"/>
      <c r="M633" s="19" t="n"/>
      <c r="N633" s="19" t="n"/>
      <c r="O633" s="19" t="n"/>
      <c r="P633" s="19" t="n"/>
      <c r="Q633" s="19" t="n"/>
      <c r="R633" s="19" t="n"/>
    </row>
    <row r="634" ht="15.75" customHeight="1" s="545">
      <c r="A634" s="19" t="n"/>
      <c r="B634" s="19" t="n"/>
      <c r="C634" s="19" t="n"/>
      <c r="D634" s="19" t="n"/>
      <c r="E634" s="19" t="n"/>
      <c r="F634" s="19" t="n"/>
      <c r="G634" s="19" t="n"/>
      <c r="H634" s="19" t="n"/>
      <c r="I634" s="19" t="n"/>
      <c r="J634" s="19" t="n"/>
      <c r="K634" s="19" t="n"/>
      <c r="L634" s="19" t="n"/>
      <c r="M634" s="19" t="n"/>
      <c r="N634" s="19" t="n"/>
      <c r="O634" s="19" t="n"/>
      <c r="P634" s="19" t="n"/>
      <c r="Q634" s="19" t="n"/>
      <c r="R634" s="19" t="n"/>
    </row>
    <row r="635" ht="15.75" customHeight="1" s="545">
      <c r="A635" s="19" t="n"/>
      <c r="B635" s="19" t="n"/>
      <c r="C635" s="19" t="n"/>
      <c r="D635" s="19" t="n"/>
      <c r="E635" s="19" t="n"/>
      <c r="F635" s="19" t="n"/>
      <c r="G635" s="19" t="n"/>
      <c r="H635" s="19" t="n"/>
      <c r="I635" s="19" t="n"/>
      <c r="J635" s="19" t="n"/>
      <c r="K635" s="19" t="n"/>
      <c r="L635" s="19" t="n"/>
      <c r="M635" s="19" t="n"/>
      <c r="N635" s="19" t="n"/>
      <c r="O635" s="19" t="n"/>
      <c r="P635" s="19" t="n"/>
      <c r="Q635" s="19" t="n"/>
      <c r="R635" s="19" t="n"/>
    </row>
    <row r="636" ht="15.75" customHeight="1" s="545">
      <c r="A636" s="19" t="n"/>
      <c r="B636" s="19" t="n"/>
      <c r="C636" s="19" t="n"/>
      <c r="D636" s="19" t="n"/>
      <c r="E636" s="19" t="n"/>
      <c r="F636" s="19" t="n"/>
      <c r="G636" s="19" t="n"/>
      <c r="H636" s="19" t="n"/>
      <c r="I636" s="19" t="n"/>
      <c r="J636" s="19" t="n"/>
      <c r="K636" s="19" t="n"/>
      <c r="L636" s="19" t="n"/>
      <c r="M636" s="19" t="n"/>
      <c r="N636" s="19" t="n"/>
      <c r="O636" s="19" t="n"/>
      <c r="P636" s="19" t="n"/>
      <c r="Q636" s="19" t="n"/>
      <c r="R636" s="19" t="n"/>
    </row>
    <row r="637" ht="15.75" customHeight="1" s="545">
      <c r="A637" s="19" t="n"/>
      <c r="B637" s="19" t="n"/>
      <c r="C637" s="19" t="n"/>
      <c r="D637" s="19" t="n"/>
      <c r="E637" s="19" t="n"/>
      <c r="F637" s="19" t="n"/>
      <c r="G637" s="19" t="n"/>
      <c r="H637" s="19" t="n"/>
      <c r="I637" s="19" t="n"/>
      <c r="J637" s="19" t="n"/>
      <c r="K637" s="19" t="n"/>
      <c r="L637" s="19" t="n"/>
      <c r="M637" s="19" t="n"/>
      <c r="N637" s="19" t="n"/>
      <c r="O637" s="19" t="n"/>
      <c r="P637" s="19" t="n"/>
      <c r="Q637" s="19" t="n"/>
      <c r="R637" s="19" t="n"/>
    </row>
    <row r="638" ht="15.75" customHeight="1" s="545">
      <c r="A638" s="19" t="n"/>
      <c r="B638" s="19" t="n"/>
      <c r="C638" s="19" t="n"/>
      <c r="D638" s="19" t="n"/>
      <c r="E638" s="19" t="n"/>
      <c r="F638" s="19" t="n"/>
      <c r="G638" s="19" t="n"/>
      <c r="H638" s="19" t="n"/>
      <c r="I638" s="19" t="n"/>
      <c r="J638" s="19" t="n"/>
      <c r="K638" s="19" t="n"/>
      <c r="L638" s="19" t="n"/>
      <c r="M638" s="19" t="n"/>
      <c r="N638" s="19" t="n"/>
      <c r="O638" s="19" t="n"/>
      <c r="P638" s="19" t="n"/>
      <c r="Q638" s="19" t="n"/>
      <c r="R638" s="19" t="n"/>
    </row>
    <row r="639" ht="15.75" customHeight="1" s="545">
      <c r="A639" s="19" t="n"/>
      <c r="B639" s="19" t="n"/>
      <c r="C639" s="19" t="n"/>
      <c r="D639" s="19" t="n"/>
      <c r="E639" s="19" t="n"/>
      <c r="F639" s="19" t="n"/>
      <c r="G639" s="19" t="n"/>
      <c r="H639" s="19" t="n"/>
      <c r="I639" s="19" t="n"/>
      <c r="J639" s="19" t="n"/>
      <c r="K639" s="19" t="n"/>
      <c r="L639" s="19" t="n"/>
      <c r="M639" s="19" t="n"/>
      <c r="N639" s="19" t="n"/>
      <c r="O639" s="19" t="n"/>
      <c r="P639" s="19" t="n"/>
      <c r="Q639" s="19" t="n"/>
      <c r="R639" s="19" t="n"/>
    </row>
    <row r="640" ht="15.75" customHeight="1" s="545">
      <c r="A640" s="19" t="n"/>
      <c r="B640" s="19" t="n"/>
      <c r="C640" s="19" t="n"/>
      <c r="D640" s="19" t="n"/>
      <c r="E640" s="19" t="n"/>
      <c r="F640" s="19" t="n"/>
      <c r="G640" s="19" t="n"/>
      <c r="H640" s="19" t="n"/>
      <c r="I640" s="19" t="n"/>
      <c r="J640" s="19" t="n"/>
      <c r="K640" s="19" t="n"/>
      <c r="L640" s="19" t="n"/>
      <c r="M640" s="19" t="n"/>
      <c r="N640" s="19" t="n"/>
      <c r="O640" s="19" t="n"/>
      <c r="P640" s="19" t="n"/>
      <c r="Q640" s="19" t="n"/>
      <c r="R640" s="19" t="n"/>
    </row>
    <row r="641" ht="15.75" customHeight="1" s="545">
      <c r="A641" s="19" t="n"/>
      <c r="B641" s="19" t="n"/>
      <c r="C641" s="19" t="n"/>
      <c r="D641" s="19" t="n"/>
      <c r="E641" s="19" t="n"/>
      <c r="F641" s="19" t="n"/>
      <c r="G641" s="19" t="n"/>
      <c r="H641" s="19" t="n"/>
      <c r="I641" s="19" t="n"/>
      <c r="J641" s="19" t="n"/>
      <c r="K641" s="19" t="n"/>
      <c r="L641" s="19" t="n"/>
      <c r="M641" s="19" t="n"/>
      <c r="N641" s="19" t="n"/>
      <c r="O641" s="19" t="n"/>
      <c r="P641" s="19" t="n"/>
      <c r="Q641" s="19" t="n"/>
      <c r="R641" s="19" t="n"/>
    </row>
    <row r="642" ht="15.75" customHeight="1" s="545">
      <c r="A642" s="19" t="n"/>
      <c r="B642" s="19" t="n"/>
      <c r="C642" s="19" t="n"/>
      <c r="D642" s="19" t="n"/>
      <c r="E642" s="19" t="n"/>
      <c r="F642" s="19" t="n"/>
      <c r="G642" s="19" t="n"/>
      <c r="H642" s="19" t="n"/>
      <c r="I642" s="19" t="n"/>
      <c r="J642" s="19" t="n"/>
      <c r="K642" s="19" t="n"/>
      <c r="L642" s="19" t="n"/>
      <c r="M642" s="19" t="n"/>
      <c r="N642" s="19" t="n"/>
      <c r="O642" s="19" t="n"/>
      <c r="P642" s="19" t="n"/>
      <c r="Q642" s="19" t="n"/>
      <c r="R642" s="19" t="n"/>
    </row>
    <row r="643" ht="15.75" customHeight="1" s="545">
      <c r="A643" s="19" t="n"/>
      <c r="B643" s="19" t="n"/>
      <c r="C643" s="19" t="n"/>
      <c r="D643" s="19" t="n"/>
      <c r="E643" s="19" t="n"/>
      <c r="F643" s="19" t="n"/>
      <c r="G643" s="19" t="n"/>
      <c r="H643" s="19" t="n"/>
      <c r="I643" s="19" t="n"/>
      <c r="J643" s="19" t="n"/>
      <c r="K643" s="19" t="n"/>
      <c r="L643" s="19" t="n"/>
      <c r="M643" s="19" t="n"/>
      <c r="N643" s="19" t="n"/>
      <c r="O643" s="19" t="n"/>
      <c r="P643" s="19" t="n"/>
      <c r="Q643" s="19" t="n"/>
      <c r="R643" s="19" t="n"/>
    </row>
    <row r="644" ht="15.75" customHeight="1" s="545">
      <c r="A644" s="19" t="n"/>
      <c r="B644" s="19" t="n"/>
      <c r="C644" s="19" t="n"/>
      <c r="D644" s="19" t="n"/>
      <c r="E644" s="19" t="n"/>
      <c r="F644" s="19" t="n"/>
      <c r="G644" s="19" t="n"/>
      <c r="H644" s="19" t="n"/>
      <c r="I644" s="19" t="n"/>
      <c r="J644" s="19" t="n"/>
      <c r="K644" s="19" t="n"/>
      <c r="L644" s="19" t="n"/>
      <c r="M644" s="19" t="n"/>
      <c r="N644" s="19" t="n"/>
      <c r="O644" s="19" t="n"/>
      <c r="P644" s="19" t="n"/>
      <c r="Q644" s="19" t="n"/>
      <c r="R644" s="19" t="n"/>
    </row>
    <row r="645" ht="15.75" customHeight="1" s="545">
      <c r="A645" s="19" t="n"/>
      <c r="B645" s="19" t="n"/>
      <c r="C645" s="19" t="n"/>
      <c r="D645" s="19" t="n"/>
      <c r="E645" s="19" t="n"/>
      <c r="F645" s="19" t="n"/>
      <c r="G645" s="19" t="n"/>
      <c r="H645" s="19" t="n"/>
      <c r="I645" s="19" t="n"/>
      <c r="J645" s="19" t="n"/>
      <c r="K645" s="19" t="n"/>
      <c r="L645" s="19" t="n"/>
      <c r="M645" s="19" t="n"/>
      <c r="N645" s="19" t="n"/>
      <c r="O645" s="19" t="n"/>
      <c r="P645" s="19" t="n"/>
      <c r="Q645" s="19" t="n"/>
      <c r="R645" s="19" t="n"/>
    </row>
    <row r="646" ht="15.75" customHeight="1" s="545">
      <c r="A646" s="19" t="n"/>
      <c r="B646" s="19" t="n"/>
      <c r="C646" s="19" t="n"/>
      <c r="D646" s="19" t="n"/>
      <c r="E646" s="19" t="n"/>
      <c r="F646" s="19" t="n"/>
      <c r="G646" s="19" t="n"/>
      <c r="H646" s="19" t="n"/>
      <c r="I646" s="19" t="n"/>
      <c r="J646" s="19" t="n"/>
      <c r="K646" s="19" t="n"/>
      <c r="L646" s="19" t="n"/>
      <c r="M646" s="19" t="n"/>
      <c r="N646" s="19" t="n"/>
      <c r="O646" s="19" t="n"/>
      <c r="P646" s="19" t="n"/>
      <c r="Q646" s="19" t="n"/>
      <c r="R646" s="19" t="n"/>
    </row>
    <row r="647" ht="15.75" customHeight="1" s="545">
      <c r="A647" s="19" t="n"/>
      <c r="B647" s="19" t="n"/>
      <c r="C647" s="19" t="n"/>
      <c r="D647" s="19" t="n"/>
      <c r="E647" s="19" t="n"/>
      <c r="F647" s="19" t="n"/>
      <c r="G647" s="19" t="n"/>
      <c r="H647" s="19" t="n"/>
      <c r="I647" s="19" t="n"/>
      <c r="J647" s="19" t="n"/>
      <c r="K647" s="19" t="n"/>
      <c r="L647" s="19" t="n"/>
      <c r="M647" s="19" t="n"/>
      <c r="N647" s="19" t="n"/>
      <c r="O647" s="19" t="n"/>
      <c r="P647" s="19" t="n"/>
      <c r="Q647" s="19" t="n"/>
      <c r="R647" s="19" t="n"/>
    </row>
    <row r="648" ht="15.75" customHeight="1" s="545">
      <c r="A648" s="19" t="n"/>
      <c r="B648" s="19" t="n"/>
      <c r="C648" s="19" t="n"/>
      <c r="D648" s="19" t="n"/>
      <c r="E648" s="19" t="n"/>
      <c r="F648" s="19" t="n"/>
      <c r="G648" s="19" t="n"/>
      <c r="H648" s="19" t="n"/>
      <c r="I648" s="19" t="n"/>
      <c r="J648" s="19" t="n"/>
      <c r="K648" s="19" t="n"/>
      <c r="L648" s="19" t="n"/>
      <c r="M648" s="19" t="n"/>
      <c r="N648" s="19" t="n"/>
      <c r="O648" s="19" t="n"/>
      <c r="P648" s="19" t="n"/>
      <c r="Q648" s="19" t="n"/>
      <c r="R648" s="19" t="n"/>
    </row>
    <row r="649" ht="15.75" customHeight="1" s="545">
      <c r="A649" s="19" t="n"/>
      <c r="B649" s="19" t="n"/>
      <c r="C649" s="19" t="n"/>
      <c r="D649" s="19" t="n"/>
      <c r="E649" s="19" t="n"/>
      <c r="F649" s="19" t="n"/>
      <c r="G649" s="19" t="n"/>
      <c r="H649" s="19" t="n"/>
      <c r="I649" s="19" t="n"/>
      <c r="J649" s="19" t="n"/>
      <c r="K649" s="19" t="n"/>
      <c r="L649" s="19" t="n"/>
      <c r="M649" s="19" t="n"/>
      <c r="N649" s="19" t="n"/>
      <c r="O649" s="19" t="n"/>
      <c r="P649" s="19" t="n"/>
      <c r="Q649" s="19" t="n"/>
      <c r="R649" s="19" t="n"/>
    </row>
    <row r="650" ht="15.75" customHeight="1" s="545">
      <c r="A650" s="19" t="n"/>
      <c r="B650" s="19" t="n"/>
      <c r="C650" s="19" t="n"/>
      <c r="D650" s="19" t="n"/>
      <c r="E650" s="19" t="n"/>
      <c r="F650" s="19" t="n"/>
      <c r="G650" s="19" t="n"/>
      <c r="H650" s="19" t="n"/>
      <c r="I650" s="19" t="n"/>
      <c r="J650" s="19" t="n"/>
      <c r="K650" s="19" t="n"/>
      <c r="L650" s="19" t="n"/>
      <c r="M650" s="19" t="n"/>
      <c r="N650" s="19" t="n"/>
      <c r="O650" s="19" t="n"/>
      <c r="P650" s="19" t="n"/>
      <c r="Q650" s="19" t="n"/>
      <c r="R650" s="19" t="n"/>
    </row>
    <row r="651" ht="15.75" customHeight="1" s="545">
      <c r="A651" s="19" t="n"/>
      <c r="B651" s="19" t="n"/>
      <c r="C651" s="19" t="n"/>
      <c r="D651" s="19" t="n"/>
      <c r="E651" s="19" t="n"/>
      <c r="F651" s="19" t="n"/>
      <c r="G651" s="19" t="n"/>
      <c r="H651" s="19" t="n"/>
      <c r="I651" s="19" t="n"/>
      <c r="J651" s="19" t="n"/>
      <c r="K651" s="19" t="n"/>
      <c r="L651" s="19" t="n"/>
      <c r="M651" s="19" t="n"/>
      <c r="N651" s="19" t="n"/>
      <c r="O651" s="19" t="n"/>
      <c r="P651" s="19" t="n"/>
      <c r="Q651" s="19" t="n"/>
      <c r="R651" s="19" t="n"/>
    </row>
    <row r="652" ht="15.75" customHeight="1" s="545">
      <c r="A652" s="19" t="n"/>
      <c r="B652" s="19" t="n"/>
      <c r="C652" s="19" t="n"/>
      <c r="D652" s="19" t="n"/>
      <c r="E652" s="19" t="n"/>
      <c r="F652" s="19" t="n"/>
      <c r="G652" s="19" t="n"/>
      <c r="H652" s="19" t="n"/>
      <c r="I652" s="19" t="n"/>
      <c r="J652" s="19" t="n"/>
      <c r="K652" s="19" t="n"/>
      <c r="L652" s="19" t="n"/>
      <c r="M652" s="19" t="n"/>
      <c r="N652" s="19" t="n"/>
      <c r="O652" s="19" t="n"/>
      <c r="P652" s="19" t="n"/>
      <c r="Q652" s="19" t="n"/>
      <c r="R652" s="19" t="n"/>
    </row>
    <row r="653" ht="15.75" customHeight="1" s="545">
      <c r="A653" s="19" t="n"/>
      <c r="B653" s="19" t="n"/>
      <c r="C653" s="19" t="n"/>
      <c r="D653" s="19" t="n"/>
      <c r="E653" s="19" t="n"/>
      <c r="F653" s="19" t="n"/>
      <c r="G653" s="19" t="n"/>
      <c r="H653" s="19" t="n"/>
      <c r="I653" s="19" t="n"/>
      <c r="J653" s="19" t="n"/>
      <c r="K653" s="19" t="n"/>
      <c r="L653" s="19" t="n"/>
      <c r="M653" s="19" t="n"/>
      <c r="N653" s="19" t="n"/>
      <c r="O653" s="19" t="n"/>
      <c r="P653" s="19" t="n"/>
      <c r="Q653" s="19" t="n"/>
      <c r="R653" s="19" t="n"/>
    </row>
    <row r="654" ht="15.75" customHeight="1" s="545">
      <c r="A654" s="19" t="n"/>
      <c r="B654" s="19" t="n"/>
      <c r="C654" s="19" t="n"/>
      <c r="D654" s="19" t="n"/>
      <c r="E654" s="19" t="n"/>
      <c r="F654" s="19" t="n"/>
      <c r="G654" s="19" t="n"/>
      <c r="H654" s="19" t="n"/>
      <c r="I654" s="19" t="n"/>
      <c r="J654" s="19" t="n"/>
      <c r="K654" s="19" t="n"/>
      <c r="L654" s="19" t="n"/>
      <c r="M654" s="19" t="n"/>
      <c r="N654" s="19" t="n"/>
      <c r="O654" s="19" t="n"/>
      <c r="P654" s="19" t="n"/>
      <c r="Q654" s="19" t="n"/>
      <c r="R654" s="19" t="n"/>
    </row>
    <row r="655" ht="15.75" customHeight="1" s="545">
      <c r="A655" s="19" t="n"/>
      <c r="B655" s="19" t="n"/>
      <c r="C655" s="19" t="n"/>
      <c r="D655" s="19" t="n"/>
      <c r="E655" s="19" t="n"/>
      <c r="F655" s="19" t="n"/>
      <c r="G655" s="19" t="n"/>
      <c r="H655" s="19" t="n"/>
      <c r="I655" s="19" t="n"/>
      <c r="J655" s="19" t="n"/>
      <c r="K655" s="19" t="n"/>
      <c r="L655" s="19" t="n"/>
      <c r="M655" s="19" t="n"/>
      <c r="N655" s="19" t="n"/>
      <c r="O655" s="19" t="n"/>
      <c r="P655" s="19" t="n"/>
      <c r="Q655" s="19" t="n"/>
      <c r="R655" s="19" t="n"/>
    </row>
    <row r="656" ht="15.75" customHeight="1" s="545">
      <c r="A656" s="19" t="n"/>
      <c r="B656" s="19" t="n"/>
      <c r="C656" s="19" t="n"/>
      <c r="D656" s="19" t="n"/>
      <c r="E656" s="19" t="n"/>
      <c r="F656" s="19" t="n"/>
      <c r="G656" s="19" t="n"/>
      <c r="H656" s="19" t="n"/>
      <c r="I656" s="19" t="n"/>
      <c r="J656" s="19" t="n"/>
      <c r="K656" s="19" t="n"/>
      <c r="L656" s="19" t="n"/>
      <c r="M656" s="19" t="n"/>
      <c r="N656" s="19" t="n"/>
      <c r="O656" s="19" t="n"/>
      <c r="P656" s="19" t="n"/>
      <c r="Q656" s="19" t="n"/>
      <c r="R656" s="19" t="n"/>
    </row>
    <row r="657" ht="15.75" customHeight="1" s="545">
      <c r="A657" s="19" t="n"/>
      <c r="B657" s="19" t="n"/>
      <c r="C657" s="19" t="n"/>
      <c r="D657" s="19" t="n"/>
      <c r="E657" s="19" t="n"/>
      <c r="F657" s="19" t="n"/>
      <c r="G657" s="19" t="n"/>
      <c r="H657" s="19" t="n"/>
      <c r="I657" s="19" t="n"/>
      <c r="J657" s="19" t="n"/>
      <c r="K657" s="19" t="n"/>
      <c r="L657" s="19" t="n"/>
      <c r="M657" s="19" t="n"/>
      <c r="N657" s="19" t="n"/>
      <c r="O657" s="19" t="n"/>
      <c r="P657" s="19" t="n"/>
      <c r="Q657" s="19" t="n"/>
      <c r="R657" s="19" t="n"/>
    </row>
    <row r="658" ht="15.75" customHeight="1" s="545">
      <c r="A658" s="19" t="n"/>
      <c r="B658" s="19" t="n"/>
      <c r="C658" s="19" t="n"/>
      <c r="D658" s="19" t="n"/>
      <c r="E658" s="19" t="n"/>
      <c r="F658" s="19" t="n"/>
      <c r="G658" s="19" t="n"/>
      <c r="H658" s="19" t="n"/>
      <c r="I658" s="19" t="n"/>
      <c r="J658" s="19" t="n"/>
      <c r="K658" s="19" t="n"/>
      <c r="L658" s="19" t="n"/>
      <c r="M658" s="19" t="n"/>
      <c r="N658" s="19" t="n"/>
      <c r="O658" s="19" t="n"/>
      <c r="P658" s="19" t="n"/>
      <c r="Q658" s="19" t="n"/>
      <c r="R658" s="19" t="n"/>
    </row>
    <row r="659" ht="15.75" customHeight="1" s="545">
      <c r="A659" s="19" t="n"/>
      <c r="B659" s="19" t="n"/>
      <c r="C659" s="19" t="n"/>
      <c r="D659" s="19" t="n"/>
      <c r="E659" s="19" t="n"/>
      <c r="F659" s="19" t="n"/>
      <c r="G659" s="19" t="n"/>
      <c r="H659" s="19" t="n"/>
      <c r="I659" s="19" t="n"/>
      <c r="J659" s="19" t="n"/>
      <c r="K659" s="19" t="n"/>
      <c r="L659" s="19" t="n"/>
      <c r="M659" s="19" t="n"/>
      <c r="N659" s="19" t="n"/>
      <c r="O659" s="19" t="n"/>
      <c r="P659" s="19" t="n"/>
      <c r="Q659" s="19" t="n"/>
      <c r="R659" s="19" t="n"/>
    </row>
    <row r="660" ht="15.75" customHeight="1" s="545">
      <c r="A660" s="19" t="n"/>
      <c r="B660" s="19" t="n"/>
      <c r="C660" s="19" t="n"/>
      <c r="D660" s="19" t="n"/>
      <c r="E660" s="19" t="n"/>
      <c r="F660" s="19" t="n"/>
      <c r="G660" s="19" t="n"/>
      <c r="H660" s="19" t="n"/>
      <c r="I660" s="19" t="n"/>
      <c r="J660" s="19" t="n"/>
      <c r="K660" s="19" t="n"/>
      <c r="L660" s="19" t="n"/>
      <c r="M660" s="19" t="n"/>
      <c r="N660" s="19" t="n"/>
      <c r="O660" s="19" t="n"/>
      <c r="P660" s="19" t="n"/>
      <c r="Q660" s="19" t="n"/>
      <c r="R660" s="19" t="n"/>
    </row>
    <row r="661" ht="15.75" customHeight="1" s="545">
      <c r="A661" s="19" t="n"/>
      <c r="B661" s="19" t="n"/>
      <c r="C661" s="19" t="n"/>
      <c r="D661" s="19" t="n"/>
      <c r="E661" s="19" t="n"/>
      <c r="F661" s="19" t="n"/>
      <c r="G661" s="19" t="n"/>
      <c r="H661" s="19" t="n"/>
      <c r="I661" s="19" t="n"/>
      <c r="J661" s="19" t="n"/>
      <c r="K661" s="19" t="n"/>
      <c r="L661" s="19" t="n"/>
      <c r="M661" s="19" t="n"/>
      <c r="N661" s="19" t="n"/>
      <c r="O661" s="19" t="n"/>
      <c r="P661" s="19" t="n"/>
      <c r="Q661" s="19" t="n"/>
      <c r="R661" s="19" t="n"/>
    </row>
    <row r="662" ht="15.75" customHeight="1" s="545">
      <c r="A662" s="19" t="n"/>
      <c r="B662" s="19" t="n"/>
      <c r="C662" s="19" t="n"/>
      <c r="D662" s="19" t="n"/>
      <c r="E662" s="19" t="n"/>
      <c r="F662" s="19" t="n"/>
      <c r="G662" s="19" t="n"/>
      <c r="H662" s="19" t="n"/>
      <c r="I662" s="19" t="n"/>
      <c r="J662" s="19" t="n"/>
      <c r="K662" s="19" t="n"/>
      <c r="L662" s="19" t="n"/>
      <c r="M662" s="19" t="n"/>
      <c r="N662" s="19" t="n"/>
      <c r="O662" s="19" t="n"/>
      <c r="P662" s="19" t="n"/>
      <c r="Q662" s="19" t="n"/>
      <c r="R662" s="19" t="n"/>
    </row>
    <row r="663" ht="15.75" customHeight="1" s="545">
      <c r="A663" s="19" t="n"/>
      <c r="B663" s="19" t="n"/>
      <c r="C663" s="19" t="n"/>
      <c r="D663" s="19" t="n"/>
      <c r="E663" s="19" t="n"/>
      <c r="F663" s="19" t="n"/>
      <c r="G663" s="19" t="n"/>
      <c r="H663" s="19" t="n"/>
      <c r="I663" s="19" t="n"/>
      <c r="J663" s="19" t="n"/>
      <c r="K663" s="19" t="n"/>
      <c r="L663" s="19" t="n"/>
      <c r="M663" s="19" t="n"/>
      <c r="N663" s="19" t="n"/>
      <c r="O663" s="19" t="n"/>
      <c r="P663" s="19" t="n"/>
      <c r="Q663" s="19" t="n"/>
      <c r="R663" s="19" t="n"/>
    </row>
    <row r="664" ht="15.75" customHeight="1" s="545">
      <c r="A664" s="19" t="n"/>
      <c r="B664" s="19" t="n"/>
      <c r="C664" s="19" t="n"/>
      <c r="D664" s="19" t="n"/>
      <c r="E664" s="19" t="n"/>
      <c r="F664" s="19" t="n"/>
      <c r="G664" s="19" t="n"/>
      <c r="H664" s="19" t="n"/>
      <c r="I664" s="19" t="n"/>
      <c r="J664" s="19" t="n"/>
      <c r="K664" s="19" t="n"/>
      <c r="L664" s="19" t="n"/>
      <c r="M664" s="19" t="n"/>
      <c r="N664" s="19" t="n"/>
      <c r="O664" s="19" t="n"/>
      <c r="P664" s="19" t="n"/>
      <c r="Q664" s="19" t="n"/>
      <c r="R664" s="19" t="n"/>
    </row>
    <row r="665" ht="15.75" customHeight="1" s="545">
      <c r="A665" s="19" t="n"/>
      <c r="B665" s="19" t="n"/>
      <c r="C665" s="19" t="n"/>
      <c r="D665" s="19" t="n"/>
      <c r="E665" s="19" t="n"/>
      <c r="F665" s="19" t="n"/>
      <c r="G665" s="19" t="n"/>
      <c r="H665" s="19" t="n"/>
      <c r="I665" s="19" t="n"/>
      <c r="J665" s="19" t="n"/>
      <c r="K665" s="19" t="n"/>
      <c r="L665" s="19" t="n"/>
      <c r="M665" s="19" t="n"/>
      <c r="N665" s="19" t="n"/>
      <c r="O665" s="19" t="n"/>
      <c r="P665" s="19" t="n"/>
      <c r="Q665" s="19" t="n"/>
      <c r="R665" s="19" t="n"/>
    </row>
    <row r="666" ht="15.75" customHeight="1" s="545">
      <c r="A666" s="19" t="n"/>
      <c r="B666" s="19" t="n"/>
      <c r="C666" s="19" t="n"/>
      <c r="D666" s="19" t="n"/>
      <c r="E666" s="19" t="n"/>
      <c r="F666" s="19" t="n"/>
      <c r="G666" s="19" t="n"/>
      <c r="H666" s="19" t="n"/>
      <c r="I666" s="19" t="n"/>
      <c r="J666" s="19" t="n"/>
      <c r="K666" s="19" t="n"/>
      <c r="L666" s="19" t="n"/>
      <c r="M666" s="19" t="n"/>
      <c r="N666" s="19" t="n"/>
      <c r="O666" s="19" t="n"/>
      <c r="P666" s="19" t="n"/>
      <c r="Q666" s="19" t="n"/>
      <c r="R666" s="19" t="n"/>
    </row>
    <row r="667" ht="15.75" customHeight="1" s="545">
      <c r="A667" s="19" t="n"/>
      <c r="B667" s="19" t="n"/>
      <c r="C667" s="19" t="n"/>
      <c r="D667" s="19" t="n"/>
      <c r="E667" s="19" t="n"/>
      <c r="F667" s="19" t="n"/>
      <c r="G667" s="19" t="n"/>
      <c r="H667" s="19" t="n"/>
      <c r="I667" s="19" t="n"/>
      <c r="J667" s="19" t="n"/>
      <c r="K667" s="19" t="n"/>
      <c r="L667" s="19" t="n"/>
      <c r="M667" s="19" t="n"/>
      <c r="N667" s="19" t="n"/>
      <c r="O667" s="19" t="n"/>
      <c r="P667" s="19" t="n"/>
      <c r="Q667" s="19" t="n"/>
      <c r="R667" s="19" t="n"/>
    </row>
    <row r="668" ht="15.75" customHeight="1" s="545">
      <c r="A668" s="19" t="n"/>
      <c r="B668" s="19" t="n"/>
      <c r="C668" s="19" t="n"/>
      <c r="D668" s="19" t="n"/>
      <c r="E668" s="19" t="n"/>
      <c r="F668" s="19" t="n"/>
      <c r="G668" s="19" t="n"/>
      <c r="H668" s="19" t="n"/>
      <c r="I668" s="19" t="n"/>
      <c r="J668" s="19" t="n"/>
      <c r="K668" s="19" t="n"/>
      <c r="L668" s="19" t="n"/>
      <c r="M668" s="19" t="n"/>
      <c r="N668" s="19" t="n"/>
      <c r="O668" s="19" t="n"/>
      <c r="P668" s="19" t="n"/>
      <c r="Q668" s="19" t="n"/>
      <c r="R668" s="19" t="n"/>
    </row>
    <row r="669" ht="15.75" customHeight="1" s="545">
      <c r="A669" s="19" t="n"/>
      <c r="B669" s="19" t="n"/>
      <c r="C669" s="19" t="n"/>
      <c r="D669" s="19" t="n"/>
      <c r="E669" s="19" t="n"/>
      <c r="F669" s="19" t="n"/>
      <c r="G669" s="19" t="n"/>
      <c r="H669" s="19" t="n"/>
      <c r="I669" s="19" t="n"/>
      <c r="J669" s="19" t="n"/>
      <c r="K669" s="19" t="n"/>
      <c r="L669" s="19" t="n"/>
      <c r="M669" s="19" t="n"/>
      <c r="N669" s="19" t="n"/>
      <c r="O669" s="19" t="n"/>
      <c r="P669" s="19" t="n"/>
      <c r="Q669" s="19" t="n"/>
      <c r="R669" s="19" t="n"/>
    </row>
    <row r="670" ht="15.75" customHeight="1" s="545">
      <c r="A670" s="19" t="n"/>
      <c r="B670" s="19" t="n"/>
      <c r="C670" s="19" t="n"/>
      <c r="D670" s="19" t="n"/>
      <c r="E670" s="19" t="n"/>
      <c r="F670" s="19" t="n"/>
      <c r="G670" s="19" t="n"/>
      <c r="H670" s="19" t="n"/>
      <c r="I670" s="19" t="n"/>
      <c r="J670" s="19" t="n"/>
      <c r="K670" s="19" t="n"/>
      <c r="L670" s="19" t="n"/>
      <c r="M670" s="19" t="n"/>
      <c r="N670" s="19" t="n"/>
      <c r="O670" s="19" t="n"/>
      <c r="P670" s="19" t="n"/>
      <c r="Q670" s="19" t="n"/>
      <c r="R670" s="19" t="n"/>
    </row>
    <row r="671" ht="15.75" customHeight="1" s="545">
      <c r="A671" s="19" t="n"/>
      <c r="B671" s="19" t="n"/>
      <c r="C671" s="19" t="n"/>
      <c r="D671" s="19" t="n"/>
      <c r="E671" s="19" t="n"/>
      <c r="F671" s="19" t="n"/>
      <c r="G671" s="19" t="n"/>
      <c r="H671" s="19" t="n"/>
      <c r="I671" s="19" t="n"/>
      <c r="J671" s="19" t="n"/>
      <c r="K671" s="19" t="n"/>
      <c r="L671" s="19" t="n"/>
      <c r="M671" s="19" t="n"/>
      <c r="N671" s="19" t="n"/>
      <c r="O671" s="19" t="n"/>
      <c r="P671" s="19" t="n"/>
      <c r="Q671" s="19" t="n"/>
      <c r="R671" s="19" t="n"/>
    </row>
    <row r="672" ht="15.75" customHeight="1" s="545">
      <c r="A672" s="19" t="n"/>
      <c r="B672" s="19" t="n"/>
      <c r="C672" s="19" t="n"/>
      <c r="D672" s="19" t="n"/>
      <c r="E672" s="19" t="n"/>
      <c r="F672" s="19" t="n"/>
      <c r="G672" s="19" t="n"/>
      <c r="H672" s="19" t="n"/>
      <c r="I672" s="19" t="n"/>
      <c r="J672" s="19" t="n"/>
      <c r="K672" s="19" t="n"/>
      <c r="L672" s="19" t="n"/>
      <c r="M672" s="19" t="n"/>
      <c r="N672" s="19" t="n"/>
      <c r="O672" s="19" t="n"/>
      <c r="P672" s="19" t="n"/>
      <c r="Q672" s="19" t="n"/>
      <c r="R672" s="19" t="n"/>
    </row>
    <row r="673" ht="15.75" customHeight="1" s="545">
      <c r="A673" s="19" t="n"/>
      <c r="B673" s="19" t="n"/>
      <c r="C673" s="19" t="n"/>
      <c r="D673" s="19" t="n"/>
      <c r="E673" s="19" t="n"/>
      <c r="F673" s="19" t="n"/>
      <c r="G673" s="19" t="n"/>
      <c r="H673" s="19" t="n"/>
      <c r="I673" s="19" t="n"/>
      <c r="J673" s="19" t="n"/>
      <c r="K673" s="19" t="n"/>
      <c r="L673" s="19" t="n"/>
      <c r="M673" s="19" t="n"/>
      <c r="N673" s="19" t="n"/>
      <c r="O673" s="19" t="n"/>
      <c r="P673" s="19" t="n"/>
      <c r="Q673" s="19" t="n"/>
      <c r="R673" s="19" t="n"/>
    </row>
    <row r="674" ht="15.75" customHeight="1" s="545">
      <c r="A674" s="19" t="n"/>
      <c r="B674" s="19" t="n"/>
      <c r="C674" s="19" t="n"/>
      <c r="D674" s="19" t="n"/>
      <c r="E674" s="19" t="n"/>
      <c r="F674" s="19" t="n"/>
      <c r="G674" s="19" t="n"/>
      <c r="H674" s="19" t="n"/>
      <c r="I674" s="19" t="n"/>
      <c r="J674" s="19" t="n"/>
      <c r="K674" s="19" t="n"/>
      <c r="L674" s="19" t="n"/>
      <c r="M674" s="19" t="n"/>
      <c r="N674" s="19" t="n"/>
      <c r="O674" s="19" t="n"/>
      <c r="P674" s="19" t="n"/>
      <c r="Q674" s="19" t="n"/>
      <c r="R674" s="19" t="n"/>
    </row>
    <row r="675" ht="15.75" customHeight="1" s="545">
      <c r="A675" s="19" t="n"/>
      <c r="B675" s="19" t="n"/>
      <c r="C675" s="19" t="n"/>
      <c r="D675" s="19" t="n"/>
      <c r="E675" s="19" t="n"/>
      <c r="F675" s="19" t="n"/>
      <c r="G675" s="19" t="n"/>
      <c r="H675" s="19" t="n"/>
      <c r="I675" s="19" t="n"/>
      <c r="J675" s="19" t="n"/>
      <c r="K675" s="19" t="n"/>
      <c r="L675" s="19" t="n"/>
      <c r="M675" s="19" t="n"/>
      <c r="N675" s="19" t="n"/>
      <c r="O675" s="19" t="n"/>
      <c r="P675" s="19" t="n"/>
      <c r="Q675" s="19" t="n"/>
      <c r="R675" s="19" t="n"/>
    </row>
    <row r="676" ht="15.75" customHeight="1" s="545">
      <c r="A676" s="19" t="n"/>
      <c r="B676" s="19" t="n"/>
      <c r="C676" s="19" t="n"/>
      <c r="D676" s="19" t="n"/>
      <c r="E676" s="19" t="n"/>
      <c r="F676" s="19" t="n"/>
      <c r="G676" s="19" t="n"/>
      <c r="H676" s="19" t="n"/>
      <c r="I676" s="19" t="n"/>
      <c r="J676" s="19" t="n"/>
      <c r="K676" s="19" t="n"/>
      <c r="L676" s="19" t="n"/>
      <c r="M676" s="19" t="n"/>
      <c r="N676" s="19" t="n"/>
      <c r="O676" s="19" t="n"/>
      <c r="P676" s="19" t="n"/>
      <c r="Q676" s="19" t="n"/>
      <c r="R676" s="19" t="n"/>
    </row>
    <row r="677" ht="15.75" customHeight="1" s="545">
      <c r="A677" s="19" t="n"/>
      <c r="B677" s="19" t="n"/>
      <c r="C677" s="19" t="n"/>
      <c r="D677" s="19" t="n"/>
      <c r="E677" s="19" t="n"/>
      <c r="F677" s="19" t="n"/>
      <c r="G677" s="19" t="n"/>
      <c r="H677" s="19" t="n"/>
      <c r="I677" s="19" t="n"/>
      <c r="J677" s="19" t="n"/>
      <c r="K677" s="19" t="n"/>
      <c r="L677" s="19" t="n"/>
      <c r="M677" s="19" t="n"/>
      <c r="N677" s="19" t="n"/>
      <c r="O677" s="19" t="n"/>
      <c r="P677" s="19" t="n"/>
      <c r="Q677" s="19" t="n"/>
      <c r="R677" s="19" t="n"/>
    </row>
    <row r="678" ht="15.75" customHeight="1" s="545">
      <c r="A678" s="19" t="n"/>
      <c r="B678" s="19" t="n"/>
      <c r="C678" s="19" t="n"/>
      <c r="D678" s="19" t="n"/>
      <c r="E678" s="19" t="n"/>
      <c r="F678" s="19" t="n"/>
      <c r="G678" s="19" t="n"/>
      <c r="H678" s="19" t="n"/>
      <c r="I678" s="19" t="n"/>
      <c r="J678" s="19" t="n"/>
      <c r="K678" s="19" t="n"/>
      <c r="L678" s="19" t="n"/>
      <c r="M678" s="19" t="n"/>
      <c r="N678" s="19" t="n"/>
      <c r="O678" s="19" t="n"/>
      <c r="P678" s="19" t="n"/>
      <c r="Q678" s="19" t="n"/>
      <c r="R678" s="19" t="n"/>
    </row>
    <row r="679" ht="15.75" customHeight="1" s="545">
      <c r="A679" s="19" t="n"/>
      <c r="B679" s="19" t="n"/>
      <c r="C679" s="19" t="n"/>
      <c r="D679" s="19" t="n"/>
      <c r="E679" s="19" t="n"/>
      <c r="F679" s="19" t="n"/>
      <c r="G679" s="19" t="n"/>
      <c r="H679" s="19" t="n"/>
      <c r="I679" s="19" t="n"/>
      <c r="J679" s="19" t="n"/>
      <c r="K679" s="19" t="n"/>
      <c r="L679" s="19" t="n"/>
      <c r="M679" s="19" t="n"/>
      <c r="N679" s="19" t="n"/>
      <c r="O679" s="19" t="n"/>
      <c r="P679" s="19" t="n"/>
      <c r="Q679" s="19" t="n"/>
      <c r="R679" s="19" t="n"/>
    </row>
    <row r="680" ht="15.75" customHeight="1" s="545">
      <c r="A680" s="19" t="n"/>
      <c r="B680" s="19" t="n"/>
      <c r="C680" s="19" t="n"/>
      <c r="D680" s="19" t="n"/>
      <c r="E680" s="19" t="n"/>
      <c r="F680" s="19" t="n"/>
      <c r="G680" s="19" t="n"/>
      <c r="H680" s="19" t="n"/>
      <c r="I680" s="19" t="n"/>
      <c r="J680" s="19" t="n"/>
      <c r="K680" s="19" t="n"/>
      <c r="L680" s="19" t="n"/>
      <c r="M680" s="19" t="n"/>
      <c r="N680" s="19" t="n"/>
      <c r="O680" s="19" t="n"/>
      <c r="P680" s="19" t="n"/>
      <c r="Q680" s="19" t="n"/>
      <c r="R680" s="19" t="n"/>
    </row>
    <row r="681" ht="15.75" customHeight="1" s="545">
      <c r="A681" s="19" t="n"/>
      <c r="B681" s="19" t="n"/>
      <c r="C681" s="19" t="n"/>
      <c r="D681" s="19" t="n"/>
      <c r="E681" s="19" t="n"/>
      <c r="F681" s="19" t="n"/>
      <c r="G681" s="19" t="n"/>
      <c r="H681" s="19" t="n"/>
      <c r="I681" s="19" t="n"/>
      <c r="J681" s="19" t="n"/>
      <c r="K681" s="19" t="n"/>
      <c r="L681" s="19" t="n"/>
      <c r="M681" s="19" t="n"/>
      <c r="N681" s="19" t="n"/>
      <c r="O681" s="19" t="n"/>
      <c r="P681" s="19" t="n"/>
      <c r="Q681" s="19" t="n"/>
      <c r="R681" s="19" t="n"/>
    </row>
    <row r="682" ht="15.75" customHeight="1" s="545">
      <c r="A682" s="19" t="n"/>
      <c r="B682" s="19" t="n"/>
      <c r="C682" s="19" t="n"/>
      <c r="D682" s="19" t="n"/>
      <c r="E682" s="19" t="n"/>
      <c r="F682" s="19" t="n"/>
      <c r="G682" s="19" t="n"/>
      <c r="H682" s="19" t="n"/>
      <c r="I682" s="19" t="n"/>
      <c r="J682" s="19" t="n"/>
      <c r="K682" s="19" t="n"/>
      <c r="L682" s="19" t="n"/>
      <c r="M682" s="19" t="n"/>
      <c r="N682" s="19" t="n"/>
      <c r="O682" s="19" t="n"/>
      <c r="P682" s="19" t="n"/>
      <c r="Q682" s="19" t="n"/>
      <c r="R682" s="19" t="n"/>
    </row>
    <row r="683" ht="15.75" customHeight="1" s="545">
      <c r="A683" s="19" t="n"/>
      <c r="B683" s="19" t="n"/>
      <c r="C683" s="19" t="n"/>
      <c r="D683" s="19" t="n"/>
      <c r="E683" s="19" t="n"/>
      <c r="F683" s="19" t="n"/>
      <c r="G683" s="19" t="n"/>
      <c r="H683" s="19" t="n"/>
      <c r="I683" s="19" t="n"/>
      <c r="J683" s="19" t="n"/>
      <c r="K683" s="19" t="n"/>
      <c r="L683" s="19" t="n"/>
      <c r="M683" s="19" t="n"/>
      <c r="N683" s="19" t="n"/>
      <c r="O683" s="19" t="n"/>
      <c r="P683" s="19" t="n"/>
      <c r="Q683" s="19" t="n"/>
      <c r="R683" s="19" t="n"/>
    </row>
    <row r="684" ht="15.75" customHeight="1" s="545">
      <c r="A684" s="19" t="n"/>
      <c r="B684" s="19" t="n"/>
      <c r="C684" s="19" t="n"/>
      <c r="D684" s="19" t="n"/>
      <c r="E684" s="19" t="n"/>
      <c r="F684" s="19" t="n"/>
      <c r="G684" s="19" t="n"/>
      <c r="H684" s="19" t="n"/>
      <c r="I684" s="19" t="n"/>
      <c r="J684" s="19" t="n"/>
      <c r="K684" s="19" t="n"/>
      <c r="L684" s="19" t="n"/>
      <c r="M684" s="19" t="n"/>
      <c r="N684" s="19" t="n"/>
      <c r="O684" s="19" t="n"/>
      <c r="P684" s="19" t="n"/>
      <c r="Q684" s="19" t="n"/>
      <c r="R684" s="19" t="n"/>
    </row>
    <row r="685" ht="15.75" customHeight="1" s="545">
      <c r="A685" s="19" t="n"/>
      <c r="B685" s="19" t="n"/>
      <c r="C685" s="19" t="n"/>
      <c r="D685" s="19" t="n"/>
      <c r="E685" s="19" t="n"/>
      <c r="F685" s="19" t="n"/>
      <c r="G685" s="19" t="n"/>
      <c r="H685" s="19" t="n"/>
      <c r="I685" s="19" t="n"/>
      <c r="J685" s="19" t="n"/>
      <c r="K685" s="19" t="n"/>
      <c r="L685" s="19" t="n"/>
      <c r="M685" s="19" t="n"/>
      <c r="N685" s="19" t="n"/>
      <c r="O685" s="19" t="n"/>
      <c r="P685" s="19" t="n"/>
      <c r="Q685" s="19" t="n"/>
      <c r="R685" s="19" t="n"/>
    </row>
    <row r="686" ht="15.75" customHeight="1" s="545">
      <c r="A686" s="19" t="n"/>
      <c r="B686" s="19" t="n"/>
      <c r="C686" s="19" t="n"/>
      <c r="D686" s="19" t="n"/>
      <c r="E686" s="19" t="n"/>
      <c r="F686" s="19" t="n"/>
      <c r="G686" s="19" t="n"/>
      <c r="H686" s="19" t="n"/>
      <c r="I686" s="19" t="n"/>
      <c r="J686" s="19" t="n"/>
      <c r="K686" s="19" t="n"/>
      <c r="L686" s="19" t="n"/>
      <c r="M686" s="19" t="n"/>
      <c r="N686" s="19" t="n"/>
      <c r="O686" s="19" t="n"/>
      <c r="P686" s="19" t="n"/>
      <c r="Q686" s="19" t="n"/>
      <c r="R686" s="19" t="n"/>
    </row>
    <row r="687" ht="15.75" customHeight="1" s="545">
      <c r="A687" s="19" t="n"/>
      <c r="B687" s="19" t="n"/>
      <c r="C687" s="19" t="n"/>
      <c r="D687" s="19" t="n"/>
      <c r="E687" s="19" t="n"/>
      <c r="F687" s="19" t="n"/>
      <c r="G687" s="19" t="n"/>
      <c r="H687" s="19" t="n"/>
      <c r="I687" s="19" t="n"/>
      <c r="J687" s="19" t="n"/>
      <c r="K687" s="19" t="n"/>
      <c r="L687" s="19" t="n"/>
      <c r="M687" s="19" t="n"/>
      <c r="N687" s="19" t="n"/>
      <c r="O687" s="19" t="n"/>
      <c r="P687" s="19" t="n"/>
      <c r="Q687" s="19" t="n"/>
      <c r="R687" s="19" t="n"/>
    </row>
    <row r="688" ht="15.75" customHeight="1" s="545">
      <c r="A688" s="19" t="n"/>
      <c r="B688" s="19" t="n"/>
      <c r="C688" s="19" t="n"/>
      <c r="D688" s="19" t="n"/>
      <c r="E688" s="19" t="n"/>
      <c r="F688" s="19" t="n"/>
      <c r="G688" s="19" t="n"/>
      <c r="H688" s="19" t="n"/>
      <c r="I688" s="19" t="n"/>
      <c r="J688" s="19" t="n"/>
      <c r="K688" s="19" t="n"/>
      <c r="L688" s="19" t="n"/>
      <c r="M688" s="19" t="n"/>
      <c r="N688" s="19" t="n"/>
      <c r="O688" s="19" t="n"/>
      <c r="P688" s="19" t="n"/>
      <c r="Q688" s="19" t="n"/>
      <c r="R688" s="19" t="n"/>
    </row>
    <row r="689" ht="15.75" customHeight="1" s="545">
      <c r="A689" s="19" t="n"/>
      <c r="B689" s="19" t="n"/>
      <c r="C689" s="19" t="n"/>
      <c r="D689" s="19" t="n"/>
      <c r="E689" s="19" t="n"/>
      <c r="F689" s="19" t="n"/>
      <c r="G689" s="19" t="n"/>
      <c r="H689" s="19" t="n"/>
      <c r="I689" s="19" t="n"/>
      <c r="J689" s="19" t="n"/>
      <c r="K689" s="19" t="n"/>
      <c r="L689" s="19" t="n"/>
      <c r="M689" s="19" t="n"/>
      <c r="N689" s="19" t="n"/>
      <c r="O689" s="19" t="n"/>
      <c r="P689" s="19" t="n"/>
      <c r="Q689" s="19" t="n"/>
      <c r="R689" s="19" t="n"/>
    </row>
    <row r="690" ht="15.75" customHeight="1" s="545">
      <c r="A690" s="19" t="n"/>
      <c r="B690" s="19" t="n"/>
      <c r="C690" s="19" t="n"/>
      <c r="D690" s="19" t="n"/>
      <c r="E690" s="19" t="n"/>
      <c r="F690" s="19" t="n"/>
      <c r="G690" s="19" t="n"/>
      <c r="H690" s="19" t="n"/>
      <c r="I690" s="19" t="n"/>
      <c r="J690" s="19" t="n"/>
      <c r="K690" s="19" t="n"/>
      <c r="L690" s="19" t="n"/>
      <c r="M690" s="19" t="n"/>
      <c r="N690" s="19" t="n"/>
      <c r="O690" s="19" t="n"/>
      <c r="P690" s="19" t="n"/>
      <c r="Q690" s="19" t="n"/>
      <c r="R690" s="19" t="n"/>
    </row>
    <row r="691" ht="15.75" customHeight="1" s="545">
      <c r="A691" s="19" t="n"/>
      <c r="B691" s="19" t="n"/>
      <c r="C691" s="19" t="n"/>
      <c r="D691" s="19" t="n"/>
      <c r="E691" s="19" t="n"/>
      <c r="F691" s="19" t="n"/>
      <c r="G691" s="19" t="n"/>
      <c r="H691" s="19" t="n"/>
      <c r="I691" s="19" t="n"/>
      <c r="J691" s="19" t="n"/>
      <c r="K691" s="19" t="n"/>
      <c r="L691" s="19" t="n"/>
      <c r="M691" s="19" t="n"/>
      <c r="N691" s="19" t="n"/>
      <c r="O691" s="19" t="n"/>
      <c r="P691" s="19" t="n"/>
      <c r="Q691" s="19" t="n"/>
      <c r="R691" s="19" t="n"/>
    </row>
    <row r="692" ht="15.75" customHeight="1" s="545">
      <c r="A692" s="19" t="n"/>
      <c r="B692" s="19" t="n"/>
      <c r="C692" s="19" t="n"/>
      <c r="D692" s="19" t="n"/>
      <c r="E692" s="19" t="n"/>
      <c r="F692" s="19" t="n"/>
      <c r="G692" s="19" t="n"/>
      <c r="H692" s="19" t="n"/>
      <c r="I692" s="19" t="n"/>
      <c r="J692" s="19" t="n"/>
      <c r="K692" s="19" t="n"/>
      <c r="L692" s="19" t="n"/>
      <c r="M692" s="19" t="n"/>
      <c r="N692" s="19" t="n"/>
      <c r="O692" s="19" t="n"/>
      <c r="P692" s="19" t="n"/>
      <c r="Q692" s="19" t="n"/>
      <c r="R692" s="19" t="n"/>
    </row>
    <row r="693" ht="15.75" customHeight="1" s="545">
      <c r="A693" s="19" t="n"/>
      <c r="B693" s="19" t="n"/>
      <c r="C693" s="19" t="n"/>
      <c r="D693" s="19" t="n"/>
      <c r="E693" s="19" t="n"/>
      <c r="F693" s="19" t="n"/>
      <c r="G693" s="19" t="n"/>
      <c r="H693" s="19" t="n"/>
      <c r="I693" s="19" t="n"/>
      <c r="J693" s="19" t="n"/>
      <c r="K693" s="19" t="n"/>
      <c r="L693" s="19" t="n"/>
      <c r="M693" s="19" t="n"/>
      <c r="N693" s="19" t="n"/>
      <c r="O693" s="19" t="n"/>
      <c r="P693" s="19" t="n"/>
      <c r="Q693" s="19" t="n"/>
      <c r="R693" s="19" t="n"/>
    </row>
    <row r="694" ht="15.75" customHeight="1" s="545">
      <c r="A694" s="19" t="n"/>
      <c r="B694" s="19" t="n"/>
      <c r="C694" s="19" t="n"/>
      <c r="D694" s="19" t="n"/>
      <c r="E694" s="19" t="n"/>
      <c r="F694" s="19" t="n"/>
      <c r="G694" s="19" t="n"/>
      <c r="H694" s="19" t="n"/>
      <c r="I694" s="19" t="n"/>
      <c r="J694" s="19" t="n"/>
      <c r="K694" s="19" t="n"/>
      <c r="L694" s="19" t="n"/>
      <c r="M694" s="19" t="n"/>
      <c r="N694" s="19" t="n"/>
      <c r="O694" s="19" t="n"/>
      <c r="P694" s="19" t="n"/>
      <c r="Q694" s="19" t="n"/>
      <c r="R694" s="19" t="n"/>
    </row>
    <row r="695" ht="15.75" customHeight="1" s="545">
      <c r="A695" s="19" t="n"/>
      <c r="B695" s="19" t="n"/>
      <c r="C695" s="19" t="n"/>
      <c r="D695" s="19" t="n"/>
      <c r="E695" s="19" t="n"/>
      <c r="F695" s="19" t="n"/>
      <c r="G695" s="19" t="n"/>
      <c r="H695" s="19" t="n"/>
      <c r="I695" s="19" t="n"/>
      <c r="J695" s="19" t="n"/>
      <c r="K695" s="19" t="n"/>
      <c r="L695" s="19" t="n"/>
      <c r="M695" s="19" t="n"/>
      <c r="N695" s="19" t="n"/>
      <c r="O695" s="19" t="n"/>
      <c r="P695" s="19" t="n"/>
      <c r="Q695" s="19" t="n"/>
      <c r="R695" s="19" t="n"/>
    </row>
    <row r="696" ht="15.75" customHeight="1" s="545">
      <c r="A696" s="19" t="n"/>
      <c r="B696" s="19" t="n"/>
      <c r="C696" s="19" t="n"/>
      <c r="D696" s="19" t="n"/>
      <c r="E696" s="19" t="n"/>
      <c r="F696" s="19" t="n"/>
      <c r="G696" s="19" t="n"/>
      <c r="H696" s="19" t="n"/>
      <c r="I696" s="19" t="n"/>
      <c r="J696" s="19" t="n"/>
      <c r="K696" s="19" t="n"/>
      <c r="L696" s="19" t="n"/>
      <c r="M696" s="19" t="n"/>
      <c r="N696" s="19" t="n"/>
      <c r="O696" s="19" t="n"/>
      <c r="P696" s="19" t="n"/>
      <c r="Q696" s="19" t="n"/>
      <c r="R696" s="19" t="n"/>
    </row>
    <row r="697" ht="15.75" customHeight="1" s="545">
      <c r="A697" s="19" t="n"/>
      <c r="B697" s="19" t="n"/>
      <c r="C697" s="19" t="n"/>
      <c r="D697" s="19" t="n"/>
      <c r="E697" s="19" t="n"/>
      <c r="F697" s="19" t="n"/>
      <c r="G697" s="19" t="n"/>
      <c r="H697" s="19" t="n"/>
      <c r="I697" s="19" t="n"/>
      <c r="J697" s="19" t="n"/>
      <c r="K697" s="19" t="n"/>
      <c r="L697" s="19" t="n"/>
      <c r="M697" s="19" t="n"/>
      <c r="N697" s="19" t="n"/>
      <c r="O697" s="19" t="n"/>
      <c r="P697" s="19" t="n"/>
      <c r="Q697" s="19" t="n"/>
      <c r="R697" s="19" t="n"/>
    </row>
    <row r="698" ht="15.75" customHeight="1" s="545">
      <c r="A698" s="19" t="n"/>
      <c r="B698" s="19" t="n"/>
      <c r="C698" s="19" t="n"/>
      <c r="D698" s="19" t="n"/>
      <c r="E698" s="19" t="n"/>
      <c r="F698" s="19" t="n"/>
      <c r="G698" s="19" t="n"/>
      <c r="H698" s="19" t="n"/>
      <c r="I698" s="19" t="n"/>
      <c r="J698" s="19" t="n"/>
      <c r="K698" s="19" t="n"/>
      <c r="L698" s="19" t="n"/>
      <c r="M698" s="19" t="n"/>
      <c r="N698" s="19" t="n"/>
      <c r="O698" s="19" t="n"/>
      <c r="P698" s="19" t="n"/>
      <c r="Q698" s="19" t="n"/>
      <c r="R698" s="19" t="n"/>
    </row>
    <row r="699" ht="15.75" customHeight="1" s="545">
      <c r="A699" s="19" t="n"/>
      <c r="B699" s="19" t="n"/>
      <c r="C699" s="19" t="n"/>
      <c r="D699" s="19" t="n"/>
      <c r="E699" s="19" t="n"/>
      <c r="F699" s="19" t="n"/>
      <c r="G699" s="19" t="n"/>
      <c r="H699" s="19" t="n"/>
      <c r="I699" s="19" t="n"/>
      <c r="J699" s="19" t="n"/>
      <c r="K699" s="19" t="n"/>
      <c r="L699" s="19" t="n"/>
      <c r="M699" s="19" t="n"/>
      <c r="N699" s="19" t="n"/>
      <c r="O699" s="19" t="n"/>
      <c r="P699" s="19" t="n"/>
      <c r="Q699" s="19" t="n"/>
      <c r="R699" s="19" t="n"/>
    </row>
    <row r="700" ht="15.75" customHeight="1" s="545">
      <c r="A700" s="19" t="n"/>
      <c r="B700" s="19" t="n"/>
      <c r="C700" s="19" t="n"/>
      <c r="D700" s="19" t="n"/>
      <c r="E700" s="19" t="n"/>
      <c r="F700" s="19" t="n"/>
      <c r="G700" s="19" t="n"/>
      <c r="H700" s="19" t="n"/>
      <c r="I700" s="19" t="n"/>
      <c r="J700" s="19" t="n"/>
      <c r="K700" s="19" t="n"/>
      <c r="L700" s="19" t="n"/>
      <c r="M700" s="19" t="n"/>
      <c r="N700" s="19" t="n"/>
      <c r="O700" s="19" t="n"/>
      <c r="P700" s="19" t="n"/>
      <c r="Q700" s="19" t="n"/>
      <c r="R700" s="19" t="n"/>
    </row>
    <row r="701" ht="15.75" customHeight="1" s="545">
      <c r="A701" s="19" t="n"/>
      <c r="B701" s="19" t="n"/>
      <c r="C701" s="19" t="n"/>
      <c r="D701" s="19" t="n"/>
      <c r="E701" s="19" t="n"/>
      <c r="F701" s="19" t="n"/>
      <c r="G701" s="19" t="n"/>
      <c r="H701" s="19" t="n"/>
      <c r="I701" s="19" t="n"/>
      <c r="J701" s="19" t="n"/>
      <c r="K701" s="19" t="n"/>
      <c r="L701" s="19" t="n"/>
      <c r="M701" s="19" t="n"/>
      <c r="N701" s="19" t="n"/>
      <c r="O701" s="19" t="n"/>
      <c r="P701" s="19" t="n"/>
      <c r="Q701" s="19" t="n"/>
      <c r="R701" s="19" t="n"/>
    </row>
    <row r="702" ht="15.75" customHeight="1" s="545">
      <c r="A702" s="19" t="n"/>
      <c r="B702" s="19" t="n"/>
      <c r="C702" s="19" t="n"/>
      <c r="D702" s="19" t="n"/>
      <c r="E702" s="19" t="n"/>
      <c r="F702" s="19" t="n"/>
      <c r="G702" s="19" t="n"/>
      <c r="H702" s="19" t="n"/>
      <c r="I702" s="19" t="n"/>
      <c r="J702" s="19" t="n"/>
      <c r="K702" s="19" t="n"/>
      <c r="L702" s="19" t="n"/>
      <c r="M702" s="19" t="n"/>
      <c r="N702" s="19" t="n"/>
      <c r="O702" s="19" t="n"/>
      <c r="P702" s="19" t="n"/>
      <c r="Q702" s="19" t="n"/>
      <c r="R702" s="19" t="n"/>
    </row>
    <row r="703" ht="15.75" customHeight="1" s="545">
      <c r="A703" s="19" t="n"/>
      <c r="B703" s="19" t="n"/>
      <c r="C703" s="19" t="n"/>
      <c r="D703" s="19" t="n"/>
      <c r="E703" s="19" t="n"/>
      <c r="F703" s="19" t="n"/>
      <c r="G703" s="19" t="n"/>
      <c r="H703" s="19" t="n"/>
      <c r="I703" s="19" t="n"/>
      <c r="J703" s="19" t="n"/>
      <c r="K703" s="19" t="n"/>
      <c r="L703" s="19" t="n"/>
      <c r="M703" s="19" t="n"/>
      <c r="N703" s="19" t="n"/>
      <c r="O703" s="19" t="n"/>
      <c r="P703" s="19" t="n"/>
      <c r="Q703" s="19" t="n"/>
      <c r="R703" s="19" t="n"/>
    </row>
    <row r="704" ht="15.75" customHeight="1" s="545">
      <c r="A704" s="19" t="n"/>
      <c r="B704" s="19" t="n"/>
      <c r="C704" s="19" t="n"/>
      <c r="D704" s="19" t="n"/>
      <c r="E704" s="19" t="n"/>
      <c r="F704" s="19" t="n"/>
      <c r="G704" s="19" t="n"/>
      <c r="H704" s="19" t="n"/>
      <c r="I704" s="19" t="n"/>
      <c r="J704" s="19" t="n"/>
      <c r="K704" s="19" t="n"/>
      <c r="L704" s="19" t="n"/>
      <c r="M704" s="19" t="n"/>
      <c r="N704" s="19" t="n"/>
      <c r="O704" s="19" t="n"/>
      <c r="P704" s="19" t="n"/>
      <c r="Q704" s="19" t="n"/>
      <c r="R704" s="19" t="n"/>
    </row>
    <row r="705" ht="15.75" customHeight="1" s="545">
      <c r="A705" s="19" t="n"/>
      <c r="B705" s="19" t="n"/>
      <c r="C705" s="19" t="n"/>
      <c r="D705" s="19" t="n"/>
      <c r="E705" s="19" t="n"/>
      <c r="F705" s="19" t="n"/>
      <c r="G705" s="19" t="n"/>
      <c r="H705" s="19" t="n"/>
      <c r="I705" s="19" t="n"/>
      <c r="J705" s="19" t="n"/>
      <c r="K705" s="19" t="n"/>
      <c r="L705" s="19" t="n"/>
      <c r="M705" s="19" t="n"/>
      <c r="N705" s="19" t="n"/>
      <c r="O705" s="19" t="n"/>
      <c r="P705" s="19" t="n"/>
      <c r="Q705" s="19" t="n"/>
      <c r="R705" s="19" t="n"/>
    </row>
    <row r="706" ht="15.75" customHeight="1" s="545">
      <c r="A706" s="19" t="n"/>
      <c r="B706" s="19" t="n"/>
      <c r="C706" s="19" t="n"/>
      <c r="D706" s="19" t="n"/>
      <c r="E706" s="19" t="n"/>
      <c r="F706" s="19" t="n"/>
      <c r="G706" s="19" t="n"/>
      <c r="H706" s="19" t="n"/>
      <c r="I706" s="19" t="n"/>
      <c r="J706" s="19" t="n"/>
      <c r="K706" s="19" t="n"/>
      <c r="L706" s="19" t="n"/>
      <c r="M706" s="19" t="n"/>
      <c r="N706" s="19" t="n"/>
      <c r="O706" s="19" t="n"/>
      <c r="P706" s="19" t="n"/>
      <c r="Q706" s="19" t="n"/>
      <c r="R706" s="19" t="n"/>
    </row>
    <row r="707" ht="15.75" customHeight="1" s="545">
      <c r="A707" s="19" t="n"/>
      <c r="B707" s="19" t="n"/>
      <c r="C707" s="19" t="n"/>
      <c r="D707" s="19" t="n"/>
      <c r="E707" s="19" t="n"/>
      <c r="F707" s="19" t="n"/>
      <c r="G707" s="19" t="n"/>
      <c r="H707" s="19" t="n"/>
      <c r="I707" s="19" t="n"/>
      <c r="J707" s="19" t="n"/>
      <c r="K707" s="19" t="n"/>
      <c r="L707" s="19" t="n"/>
      <c r="M707" s="19" t="n"/>
      <c r="N707" s="19" t="n"/>
      <c r="O707" s="19" t="n"/>
      <c r="P707" s="19" t="n"/>
      <c r="Q707" s="19" t="n"/>
      <c r="R707" s="19" t="n"/>
    </row>
    <row r="708" ht="15.75" customHeight="1" s="545">
      <c r="A708" s="19" t="n"/>
      <c r="B708" s="19" t="n"/>
      <c r="C708" s="19" t="n"/>
      <c r="D708" s="19" t="n"/>
      <c r="E708" s="19" t="n"/>
      <c r="F708" s="19" t="n"/>
      <c r="G708" s="19" t="n"/>
      <c r="H708" s="19" t="n"/>
      <c r="I708" s="19" t="n"/>
      <c r="J708" s="19" t="n"/>
      <c r="K708" s="19" t="n"/>
      <c r="L708" s="19" t="n"/>
      <c r="M708" s="19" t="n"/>
      <c r="N708" s="19" t="n"/>
      <c r="O708" s="19" t="n"/>
      <c r="P708" s="19" t="n"/>
      <c r="Q708" s="19" t="n"/>
      <c r="R708" s="19" t="n"/>
    </row>
    <row r="709" ht="15.75" customHeight="1" s="545">
      <c r="A709" s="19" t="n"/>
      <c r="B709" s="19" t="n"/>
      <c r="C709" s="19" t="n"/>
      <c r="D709" s="19" t="n"/>
      <c r="E709" s="19" t="n"/>
      <c r="F709" s="19" t="n"/>
      <c r="G709" s="19" t="n"/>
      <c r="H709" s="19" t="n"/>
      <c r="I709" s="19" t="n"/>
      <c r="J709" s="19" t="n"/>
      <c r="K709" s="19" t="n"/>
      <c r="L709" s="19" t="n"/>
      <c r="M709" s="19" t="n"/>
      <c r="N709" s="19" t="n"/>
      <c r="O709" s="19" t="n"/>
      <c r="P709" s="19" t="n"/>
      <c r="Q709" s="19" t="n"/>
      <c r="R709" s="19" t="n"/>
    </row>
    <row r="710" ht="15.75" customHeight="1" s="545">
      <c r="A710" s="19" t="n"/>
      <c r="B710" s="19" t="n"/>
      <c r="C710" s="19" t="n"/>
      <c r="D710" s="19" t="n"/>
      <c r="E710" s="19" t="n"/>
      <c r="F710" s="19" t="n"/>
      <c r="G710" s="19" t="n"/>
      <c r="H710" s="19" t="n"/>
      <c r="I710" s="19" t="n"/>
      <c r="J710" s="19" t="n"/>
      <c r="K710" s="19" t="n"/>
      <c r="L710" s="19" t="n"/>
      <c r="M710" s="19" t="n"/>
      <c r="N710" s="19" t="n"/>
      <c r="O710" s="19" t="n"/>
      <c r="P710" s="19" t="n"/>
      <c r="Q710" s="19" t="n"/>
      <c r="R710" s="19" t="n"/>
    </row>
    <row r="711" ht="15.75" customHeight="1" s="545">
      <c r="A711" s="19" t="n"/>
      <c r="B711" s="19" t="n"/>
      <c r="C711" s="19" t="n"/>
      <c r="D711" s="19" t="n"/>
      <c r="E711" s="19" t="n"/>
      <c r="F711" s="19" t="n"/>
      <c r="G711" s="19" t="n"/>
      <c r="H711" s="19" t="n"/>
      <c r="I711" s="19" t="n"/>
      <c r="J711" s="19" t="n"/>
      <c r="K711" s="19" t="n"/>
      <c r="L711" s="19" t="n"/>
      <c r="M711" s="19" t="n"/>
      <c r="N711" s="19" t="n"/>
      <c r="O711" s="19" t="n"/>
      <c r="P711" s="19" t="n"/>
      <c r="Q711" s="19" t="n"/>
      <c r="R711" s="19" t="n"/>
    </row>
    <row r="712" ht="15.75" customHeight="1" s="545">
      <c r="A712" s="19" t="n"/>
      <c r="B712" s="19" t="n"/>
      <c r="C712" s="19" t="n"/>
      <c r="D712" s="19" t="n"/>
      <c r="E712" s="19" t="n"/>
      <c r="F712" s="19" t="n"/>
      <c r="G712" s="19" t="n"/>
      <c r="H712" s="19" t="n"/>
      <c r="I712" s="19" t="n"/>
      <c r="J712" s="19" t="n"/>
      <c r="K712" s="19" t="n"/>
      <c r="L712" s="19" t="n"/>
      <c r="M712" s="19" t="n"/>
      <c r="N712" s="19" t="n"/>
      <c r="O712" s="19" t="n"/>
      <c r="P712" s="19" t="n"/>
      <c r="Q712" s="19" t="n"/>
      <c r="R712" s="19" t="n"/>
    </row>
    <row r="713" ht="15.75" customHeight="1" s="545">
      <c r="A713" s="19" t="n"/>
      <c r="B713" s="19" t="n"/>
      <c r="C713" s="19" t="n"/>
      <c r="D713" s="19" t="n"/>
      <c r="E713" s="19" t="n"/>
      <c r="F713" s="19" t="n"/>
      <c r="G713" s="19" t="n"/>
      <c r="H713" s="19" t="n"/>
      <c r="I713" s="19" t="n"/>
      <c r="J713" s="19" t="n"/>
      <c r="K713" s="19" t="n"/>
      <c r="L713" s="19" t="n"/>
      <c r="M713" s="19" t="n"/>
      <c r="N713" s="19" t="n"/>
      <c r="O713" s="19" t="n"/>
      <c r="P713" s="19" t="n"/>
      <c r="Q713" s="19" t="n"/>
      <c r="R713" s="19" t="n"/>
    </row>
    <row r="714" ht="15.75" customHeight="1" s="545">
      <c r="A714" s="19" t="n"/>
      <c r="B714" s="19" t="n"/>
      <c r="C714" s="19" t="n"/>
      <c r="D714" s="19" t="n"/>
      <c r="E714" s="19" t="n"/>
      <c r="F714" s="19" t="n"/>
      <c r="G714" s="19" t="n"/>
      <c r="H714" s="19" t="n"/>
      <c r="I714" s="19" t="n"/>
      <c r="J714" s="19" t="n"/>
      <c r="K714" s="19" t="n"/>
      <c r="L714" s="19" t="n"/>
      <c r="M714" s="19" t="n"/>
      <c r="N714" s="19" t="n"/>
      <c r="O714" s="19" t="n"/>
      <c r="P714" s="19" t="n"/>
      <c r="Q714" s="19" t="n"/>
      <c r="R714" s="19" t="n"/>
    </row>
    <row r="715" ht="15.75" customHeight="1" s="545">
      <c r="A715" s="19" t="n"/>
      <c r="B715" s="19" t="n"/>
      <c r="C715" s="19" t="n"/>
      <c r="D715" s="19" t="n"/>
      <c r="E715" s="19" t="n"/>
      <c r="F715" s="19" t="n"/>
      <c r="G715" s="19" t="n"/>
      <c r="H715" s="19" t="n"/>
      <c r="I715" s="19" t="n"/>
      <c r="J715" s="19" t="n"/>
      <c r="K715" s="19" t="n"/>
      <c r="L715" s="19" t="n"/>
      <c r="M715" s="19" t="n"/>
      <c r="N715" s="19" t="n"/>
      <c r="O715" s="19" t="n"/>
      <c r="P715" s="19" t="n"/>
      <c r="Q715" s="19" t="n"/>
      <c r="R715" s="19" t="n"/>
    </row>
    <row r="716" ht="15.75" customHeight="1" s="545">
      <c r="A716" s="19" t="n"/>
      <c r="B716" s="19" t="n"/>
      <c r="C716" s="19" t="n"/>
      <c r="D716" s="19" t="n"/>
      <c r="E716" s="19" t="n"/>
      <c r="F716" s="19" t="n"/>
      <c r="G716" s="19" t="n"/>
      <c r="H716" s="19" t="n"/>
      <c r="I716" s="19" t="n"/>
      <c r="J716" s="19" t="n"/>
      <c r="K716" s="19" t="n"/>
      <c r="L716" s="19" t="n"/>
      <c r="M716" s="19" t="n"/>
      <c r="N716" s="19" t="n"/>
      <c r="O716" s="19" t="n"/>
      <c r="P716" s="19" t="n"/>
      <c r="Q716" s="19" t="n"/>
      <c r="R716" s="19" t="n"/>
    </row>
    <row r="717" ht="15.75" customHeight="1" s="545">
      <c r="A717" s="19" t="n"/>
      <c r="B717" s="19" t="n"/>
      <c r="C717" s="19" t="n"/>
      <c r="D717" s="19" t="n"/>
      <c r="E717" s="19" t="n"/>
      <c r="F717" s="19" t="n"/>
      <c r="G717" s="19" t="n"/>
      <c r="H717" s="19" t="n"/>
      <c r="I717" s="19" t="n"/>
      <c r="J717" s="19" t="n"/>
      <c r="K717" s="19" t="n"/>
      <c r="L717" s="19" t="n"/>
      <c r="M717" s="19" t="n"/>
      <c r="N717" s="19" t="n"/>
      <c r="O717" s="19" t="n"/>
      <c r="P717" s="19" t="n"/>
      <c r="Q717" s="19" t="n"/>
      <c r="R717" s="19" t="n"/>
    </row>
    <row r="718" ht="15.75" customHeight="1" s="545">
      <c r="A718" s="19" t="n"/>
      <c r="B718" s="19" t="n"/>
      <c r="C718" s="19" t="n"/>
      <c r="D718" s="19" t="n"/>
      <c r="E718" s="19" t="n"/>
      <c r="F718" s="19" t="n"/>
      <c r="G718" s="19" t="n"/>
      <c r="H718" s="19" t="n"/>
      <c r="I718" s="19" t="n"/>
      <c r="J718" s="19" t="n"/>
      <c r="K718" s="19" t="n"/>
      <c r="L718" s="19" t="n"/>
      <c r="M718" s="19" t="n"/>
      <c r="N718" s="19" t="n"/>
      <c r="O718" s="19" t="n"/>
      <c r="P718" s="19" t="n"/>
      <c r="Q718" s="19" t="n"/>
      <c r="R718" s="19" t="n"/>
    </row>
    <row r="719" ht="15.75" customHeight="1" s="545">
      <c r="A719" s="19" t="n"/>
      <c r="B719" s="19" t="n"/>
      <c r="C719" s="19" t="n"/>
      <c r="D719" s="19" t="n"/>
      <c r="E719" s="19" t="n"/>
      <c r="F719" s="19" t="n"/>
      <c r="G719" s="19" t="n"/>
      <c r="H719" s="19" t="n"/>
      <c r="I719" s="19" t="n"/>
      <c r="J719" s="19" t="n"/>
      <c r="K719" s="19" t="n"/>
      <c r="L719" s="19" t="n"/>
      <c r="M719" s="19" t="n"/>
      <c r="N719" s="19" t="n"/>
      <c r="O719" s="19" t="n"/>
      <c r="P719" s="19" t="n"/>
      <c r="Q719" s="19" t="n"/>
      <c r="R719" s="19" t="n"/>
    </row>
    <row r="720" ht="15.75" customHeight="1" s="545">
      <c r="A720" s="19" t="n"/>
      <c r="B720" s="19" t="n"/>
      <c r="C720" s="19" t="n"/>
      <c r="D720" s="19" t="n"/>
      <c r="E720" s="19" t="n"/>
      <c r="F720" s="19" t="n"/>
      <c r="G720" s="19" t="n"/>
      <c r="H720" s="19" t="n"/>
      <c r="I720" s="19" t="n"/>
      <c r="J720" s="19" t="n"/>
      <c r="K720" s="19" t="n"/>
      <c r="L720" s="19" t="n"/>
      <c r="M720" s="19" t="n"/>
      <c r="N720" s="19" t="n"/>
      <c r="O720" s="19" t="n"/>
      <c r="P720" s="19" t="n"/>
      <c r="Q720" s="19" t="n"/>
      <c r="R720" s="19" t="n"/>
    </row>
    <row r="721" ht="15.75" customHeight="1" s="545">
      <c r="A721" s="19" t="n"/>
      <c r="B721" s="19" t="n"/>
      <c r="C721" s="19" t="n"/>
      <c r="D721" s="19" t="n"/>
      <c r="E721" s="19" t="n"/>
      <c r="F721" s="19" t="n"/>
      <c r="G721" s="19" t="n"/>
      <c r="H721" s="19" t="n"/>
      <c r="I721" s="19" t="n"/>
      <c r="J721" s="19" t="n"/>
      <c r="K721" s="19" t="n"/>
      <c r="L721" s="19" t="n"/>
      <c r="M721" s="19" t="n"/>
      <c r="N721" s="19" t="n"/>
      <c r="O721" s="19" t="n"/>
      <c r="P721" s="19" t="n"/>
      <c r="Q721" s="19" t="n"/>
      <c r="R721" s="19" t="n"/>
    </row>
    <row r="722" ht="15.75" customHeight="1" s="545">
      <c r="A722" s="19" t="n"/>
      <c r="B722" s="19" t="n"/>
      <c r="C722" s="19" t="n"/>
      <c r="D722" s="19" t="n"/>
      <c r="E722" s="19" t="n"/>
      <c r="F722" s="19" t="n"/>
      <c r="G722" s="19" t="n"/>
      <c r="H722" s="19" t="n"/>
      <c r="I722" s="19" t="n"/>
      <c r="J722" s="19" t="n"/>
      <c r="K722" s="19" t="n"/>
      <c r="L722" s="19" t="n"/>
      <c r="M722" s="19" t="n"/>
      <c r="N722" s="19" t="n"/>
      <c r="O722" s="19" t="n"/>
      <c r="P722" s="19" t="n"/>
      <c r="Q722" s="19" t="n"/>
      <c r="R722" s="19" t="n"/>
    </row>
    <row r="723" ht="15.75" customHeight="1" s="545">
      <c r="A723" s="19" t="n"/>
      <c r="B723" s="19" t="n"/>
      <c r="C723" s="19" t="n"/>
      <c r="D723" s="19" t="n"/>
      <c r="E723" s="19" t="n"/>
      <c r="F723" s="19" t="n"/>
      <c r="G723" s="19" t="n"/>
      <c r="H723" s="19" t="n"/>
      <c r="I723" s="19" t="n"/>
      <c r="J723" s="19" t="n"/>
      <c r="K723" s="19" t="n"/>
      <c r="L723" s="19" t="n"/>
      <c r="M723" s="19" t="n"/>
      <c r="N723" s="19" t="n"/>
      <c r="O723" s="19" t="n"/>
      <c r="P723" s="19" t="n"/>
      <c r="Q723" s="19" t="n"/>
      <c r="R723" s="19" t="n"/>
    </row>
    <row r="724" ht="15.75" customHeight="1" s="545">
      <c r="A724" s="19" t="n"/>
      <c r="B724" s="19" t="n"/>
      <c r="C724" s="19" t="n"/>
      <c r="D724" s="19" t="n"/>
      <c r="E724" s="19" t="n"/>
      <c r="F724" s="19" t="n"/>
      <c r="G724" s="19" t="n"/>
      <c r="H724" s="19" t="n"/>
      <c r="I724" s="19" t="n"/>
      <c r="J724" s="19" t="n"/>
      <c r="K724" s="19" t="n"/>
      <c r="L724" s="19" t="n"/>
      <c r="M724" s="19" t="n"/>
      <c r="N724" s="19" t="n"/>
      <c r="O724" s="19" t="n"/>
      <c r="P724" s="19" t="n"/>
      <c r="Q724" s="19" t="n"/>
      <c r="R724" s="19" t="n"/>
    </row>
    <row r="725" ht="15.75" customHeight="1" s="545">
      <c r="A725" s="19" t="n"/>
      <c r="B725" s="19" t="n"/>
      <c r="C725" s="19" t="n"/>
      <c r="D725" s="19" t="n"/>
      <c r="E725" s="19" t="n"/>
      <c r="F725" s="19" t="n"/>
      <c r="G725" s="19" t="n"/>
      <c r="H725" s="19" t="n"/>
      <c r="I725" s="19" t="n"/>
      <c r="J725" s="19" t="n"/>
      <c r="K725" s="19" t="n"/>
      <c r="L725" s="19" t="n"/>
      <c r="M725" s="19" t="n"/>
      <c r="N725" s="19" t="n"/>
      <c r="O725" s="19" t="n"/>
      <c r="P725" s="19" t="n"/>
      <c r="Q725" s="19" t="n"/>
      <c r="R725" s="19" t="n"/>
    </row>
    <row r="726" ht="15.75" customHeight="1" s="545">
      <c r="A726" s="19" t="n"/>
      <c r="B726" s="19" t="n"/>
      <c r="C726" s="19" t="n"/>
      <c r="D726" s="19" t="n"/>
      <c r="E726" s="19" t="n"/>
      <c r="F726" s="19" t="n"/>
      <c r="G726" s="19" t="n"/>
      <c r="H726" s="19" t="n"/>
      <c r="I726" s="19" t="n"/>
      <c r="J726" s="19" t="n"/>
      <c r="K726" s="19" t="n"/>
      <c r="L726" s="19" t="n"/>
      <c r="M726" s="19" t="n"/>
      <c r="N726" s="19" t="n"/>
      <c r="O726" s="19" t="n"/>
      <c r="P726" s="19" t="n"/>
      <c r="Q726" s="19" t="n"/>
      <c r="R726" s="19" t="n"/>
    </row>
    <row r="727" ht="15.75" customHeight="1" s="545">
      <c r="A727" s="19" t="n"/>
      <c r="B727" s="19" t="n"/>
      <c r="C727" s="19" t="n"/>
      <c r="D727" s="19" t="n"/>
      <c r="E727" s="19" t="n"/>
      <c r="F727" s="19" t="n"/>
      <c r="G727" s="19" t="n"/>
      <c r="H727" s="19" t="n"/>
      <c r="I727" s="19" t="n"/>
      <c r="J727" s="19" t="n"/>
      <c r="K727" s="19" t="n"/>
      <c r="L727" s="19" t="n"/>
      <c r="M727" s="19" t="n"/>
      <c r="N727" s="19" t="n"/>
      <c r="O727" s="19" t="n"/>
      <c r="P727" s="19" t="n"/>
      <c r="Q727" s="19" t="n"/>
      <c r="R727" s="19" t="n"/>
    </row>
    <row r="728" ht="15.75" customHeight="1" s="545">
      <c r="A728" s="19" t="n"/>
      <c r="B728" s="19" t="n"/>
      <c r="C728" s="19" t="n"/>
      <c r="D728" s="19" t="n"/>
      <c r="E728" s="19" t="n"/>
      <c r="F728" s="19" t="n"/>
      <c r="G728" s="19" t="n"/>
      <c r="H728" s="19" t="n"/>
      <c r="I728" s="19" t="n"/>
      <c r="J728" s="19" t="n"/>
      <c r="K728" s="19" t="n"/>
      <c r="L728" s="19" t="n"/>
      <c r="M728" s="19" t="n"/>
      <c r="N728" s="19" t="n"/>
      <c r="O728" s="19" t="n"/>
      <c r="P728" s="19" t="n"/>
      <c r="Q728" s="19" t="n"/>
      <c r="R728" s="19" t="n"/>
    </row>
    <row r="729" ht="15.75" customHeight="1" s="545">
      <c r="A729" s="19" t="n"/>
      <c r="B729" s="19" t="n"/>
      <c r="C729" s="19" t="n"/>
      <c r="D729" s="19" t="n"/>
      <c r="E729" s="19" t="n"/>
      <c r="F729" s="19" t="n"/>
      <c r="G729" s="19" t="n"/>
      <c r="H729" s="19" t="n"/>
      <c r="I729" s="19" t="n"/>
      <c r="J729" s="19" t="n"/>
      <c r="K729" s="19" t="n"/>
      <c r="L729" s="19" t="n"/>
      <c r="M729" s="19" t="n"/>
      <c r="N729" s="19" t="n"/>
      <c r="O729" s="19" t="n"/>
      <c r="P729" s="19" t="n"/>
      <c r="Q729" s="19" t="n"/>
      <c r="R729" s="19" t="n"/>
    </row>
    <row r="730" ht="15.75" customHeight="1" s="545">
      <c r="A730" s="19" t="n"/>
      <c r="B730" s="19" t="n"/>
      <c r="C730" s="19" t="n"/>
      <c r="D730" s="19" t="n"/>
      <c r="E730" s="19" t="n"/>
      <c r="F730" s="19" t="n"/>
      <c r="G730" s="19" t="n"/>
      <c r="H730" s="19" t="n"/>
      <c r="I730" s="19" t="n"/>
      <c r="J730" s="19" t="n"/>
      <c r="K730" s="19" t="n"/>
      <c r="L730" s="19" t="n"/>
      <c r="M730" s="19" t="n"/>
      <c r="N730" s="19" t="n"/>
      <c r="O730" s="19" t="n"/>
      <c r="P730" s="19" t="n"/>
      <c r="Q730" s="19" t="n"/>
      <c r="R730" s="19" t="n"/>
    </row>
    <row r="731" ht="15.75" customHeight="1" s="545">
      <c r="A731" s="19" t="n"/>
      <c r="B731" s="19" t="n"/>
      <c r="C731" s="19" t="n"/>
      <c r="D731" s="19" t="n"/>
      <c r="E731" s="19" t="n"/>
      <c r="F731" s="19" t="n"/>
      <c r="G731" s="19" t="n"/>
      <c r="H731" s="19" t="n"/>
      <c r="I731" s="19" t="n"/>
      <c r="J731" s="19" t="n"/>
      <c r="K731" s="19" t="n"/>
      <c r="L731" s="19" t="n"/>
      <c r="M731" s="19" t="n"/>
      <c r="N731" s="19" t="n"/>
      <c r="O731" s="19" t="n"/>
      <c r="P731" s="19" t="n"/>
      <c r="Q731" s="19" t="n"/>
      <c r="R731" s="19" t="n"/>
    </row>
    <row r="732" ht="15.75" customHeight="1" s="545">
      <c r="A732" s="19" t="n"/>
      <c r="B732" s="19" t="n"/>
      <c r="C732" s="19" t="n"/>
      <c r="D732" s="19" t="n"/>
      <c r="E732" s="19" t="n"/>
      <c r="F732" s="19" t="n"/>
      <c r="G732" s="19" t="n"/>
      <c r="H732" s="19" t="n"/>
      <c r="I732" s="19" t="n"/>
      <c r="J732" s="19" t="n"/>
      <c r="K732" s="19" t="n"/>
      <c r="L732" s="19" t="n"/>
      <c r="M732" s="19" t="n"/>
      <c r="N732" s="19" t="n"/>
      <c r="O732" s="19" t="n"/>
      <c r="P732" s="19" t="n"/>
      <c r="Q732" s="19" t="n"/>
      <c r="R732" s="19" t="n"/>
    </row>
    <row r="733" ht="15.75" customHeight="1" s="545">
      <c r="A733" s="19" t="n"/>
      <c r="B733" s="19" t="n"/>
      <c r="C733" s="19" t="n"/>
      <c r="D733" s="19" t="n"/>
      <c r="E733" s="19" t="n"/>
      <c r="F733" s="19" t="n"/>
      <c r="G733" s="19" t="n"/>
      <c r="H733" s="19" t="n"/>
      <c r="I733" s="19" t="n"/>
      <c r="J733" s="19" t="n"/>
      <c r="K733" s="19" t="n"/>
      <c r="L733" s="19" t="n"/>
      <c r="M733" s="19" t="n"/>
      <c r="N733" s="19" t="n"/>
      <c r="O733" s="19" t="n"/>
      <c r="P733" s="19" t="n"/>
      <c r="Q733" s="19" t="n"/>
      <c r="R733" s="19" t="n"/>
    </row>
    <row r="734" ht="15.75" customHeight="1" s="545">
      <c r="A734" s="19" t="n"/>
      <c r="B734" s="19" t="n"/>
      <c r="C734" s="19" t="n"/>
      <c r="D734" s="19" t="n"/>
      <c r="E734" s="19" t="n"/>
      <c r="F734" s="19" t="n"/>
      <c r="G734" s="19" t="n"/>
      <c r="H734" s="19" t="n"/>
      <c r="I734" s="19" t="n"/>
      <c r="J734" s="19" t="n"/>
      <c r="K734" s="19" t="n"/>
      <c r="L734" s="19" t="n"/>
      <c r="M734" s="19" t="n"/>
      <c r="N734" s="19" t="n"/>
      <c r="O734" s="19" t="n"/>
      <c r="P734" s="19" t="n"/>
      <c r="Q734" s="19" t="n"/>
      <c r="R734" s="19" t="n"/>
    </row>
    <row r="735" ht="15.75" customHeight="1" s="545">
      <c r="A735" s="19" t="n"/>
      <c r="B735" s="19" t="n"/>
      <c r="C735" s="19" t="n"/>
      <c r="D735" s="19" t="n"/>
      <c r="E735" s="19" t="n"/>
      <c r="F735" s="19" t="n"/>
      <c r="G735" s="19" t="n"/>
      <c r="H735" s="19" t="n"/>
      <c r="I735" s="19" t="n"/>
      <c r="J735" s="19" t="n"/>
      <c r="K735" s="19" t="n"/>
      <c r="L735" s="19" t="n"/>
      <c r="M735" s="19" t="n"/>
      <c r="N735" s="19" t="n"/>
      <c r="O735" s="19" t="n"/>
      <c r="P735" s="19" t="n"/>
      <c r="Q735" s="19" t="n"/>
      <c r="R735" s="19" t="n"/>
    </row>
    <row r="736" ht="15.75" customHeight="1" s="545">
      <c r="A736" s="19" t="n"/>
      <c r="B736" s="19" t="n"/>
      <c r="C736" s="19" t="n"/>
      <c r="D736" s="19" t="n"/>
      <c r="E736" s="19" t="n"/>
      <c r="F736" s="19" t="n"/>
      <c r="G736" s="19" t="n"/>
      <c r="H736" s="19" t="n"/>
      <c r="I736" s="19" t="n"/>
      <c r="J736" s="19" t="n"/>
      <c r="K736" s="19" t="n"/>
      <c r="L736" s="19" t="n"/>
      <c r="M736" s="19" t="n"/>
      <c r="N736" s="19" t="n"/>
      <c r="O736" s="19" t="n"/>
      <c r="P736" s="19" t="n"/>
      <c r="Q736" s="19" t="n"/>
      <c r="R736" s="19" t="n"/>
    </row>
    <row r="737" ht="15.75" customHeight="1" s="545">
      <c r="A737" s="19" t="n"/>
      <c r="B737" s="19" t="n"/>
      <c r="C737" s="19" t="n"/>
      <c r="D737" s="19" t="n"/>
      <c r="E737" s="19" t="n"/>
      <c r="F737" s="19" t="n"/>
      <c r="G737" s="19" t="n"/>
      <c r="H737" s="19" t="n"/>
      <c r="I737" s="19" t="n"/>
      <c r="J737" s="19" t="n"/>
      <c r="K737" s="19" t="n"/>
      <c r="L737" s="19" t="n"/>
      <c r="M737" s="19" t="n"/>
      <c r="N737" s="19" t="n"/>
      <c r="O737" s="19" t="n"/>
      <c r="P737" s="19" t="n"/>
      <c r="Q737" s="19" t="n"/>
      <c r="R737" s="19" t="n"/>
    </row>
    <row r="738" ht="15.75" customHeight="1" s="545">
      <c r="A738" s="19" t="n"/>
      <c r="B738" s="19" t="n"/>
      <c r="C738" s="19" t="n"/>
      <c r="D738" s="19" t="n"/>
      <c r="E738" s="19" t="n"/>
      <c r="F738" s="19" t="n"/>
      <c r="G738" s="19" t="n"/>
      <c r="H738" s="19" t="n"/>
      <c r="I738" s="19" t="n"/>
      <c r="J738" s="19" t="n"/>
      <c r="K738" s="19" t="n"/>
      <c r="L738" s="19" t="n"/>
      <c r="M738" s="19" t="n"/>
      <c r="N738" s="19" t="n"/>
      <c r="O738" s="19" t="n"/>
      <c r="P738" s="19" t="n"/>
      <c r="Q738" s="19" t="n"/>
      <c r="R738" s="19" t="n"/>
    </row>
    <row r="739" ht="15.75" customHeight="1" s="545">
      <c r="A739" s="19" t="n"/>
      <c r="B739" s="19" t="n"/>
      <c r="C739" s="19" t="n"/>
      <c r="D739" s="19" t="n"/>
      <c r="E739" s="19" t="n"/>
      <c r="F739" s="19" t="n"/>
      <c r="G739" s="19" t="n"/>
      <c r="H739" s="19" t="n"/>
      <c r="I739" s="19" t="n"/>
      <c r="J739" s="19" t="n"/>
      <c r="K739" s="19" t="n"/>
      <c r="L739" s="19" t="n"/>
      <c r="M739" s="19" t="n"/>
      <c r="N739" s="19" t="n"/>
      <c r="O739" s="19" t="n"/>
      <c r="P739" s="19" t="n"/>
      <c r="Q739" s="19" t="n"/>
      <c r="R739" s="19" t="n"/>
    </row>
    <row r="740" ht="15.75" customHeight="1" s="545">
      <c r="A740" s="19" t="n"/>
      <c r="B740" s="19" t="n"/>
      <c r="C740" s="19" t="n"/>
      <c r="D740" s="19" t="n"/>
      <c r="E740" s="19" t="n"/>
      <c r="F740" s="19" t="n"/>
      <c r="G740" s="19" t="n"/>
      <c r="H740" s="19" t="n"/>
      <c r="I740" s="19" t="n"/>
      <c r="J740" s="19" t="n"/>
      <c r="K740" s="19" t="n"/>
      <c r="L740" s="19" t="n"/>
      <c r="M740" s="19" t="n"/>
      <c r="N740" s="19" t="n"/>
      <c r="O740" s="19" t="n"/>
      <c r="P740" s="19" t="n"/>
      <c r="Q740" s="19" t="n"/>
      <c r="R740" s="19" t="n"/>
    </row>
    <row r="741" ht="15.75" customHeight="1" s="545">
      <c r="A741" s="19" t="n"/>
      <c r="B741" s="19" t="n"/>
      <c r="C741" s="19" t="n"/>
      <c r="D741" s="19" t="n"/>
      <c r="E741" s="19" t="n"/>
      <c r="F741" s="19" t="n"/>
      <c r="G741" s="19" t="n"/>
      <c r="H741" s="19" t="n"/>
      <c r="I741" s="19" t="n"/>
      <c r="J741" s="19" t="n"/>
      <c r="K741" s="19" t="n"/>
      <c r="L741" s="19" t="n"/>
      <c r="M741" s="19" t="n"/>
      <c r="N741" s="19" t="n"/>
      <c r="O741" s="19" t="n"/>
      <c r="P741" s="19" t="n"/>
      <c r="Q741" s="19" t="n"/>
      <c r="R741" s="19" t="n"/>
    </row>
    <row r="742" ht="15.75" customHeight="1" s="545">
      <c r="A742" s="19" t="n"/>
      <c r="B742" s="19" t="n"/>
      <c r="C742" s="19" t="n"/>
      <c r="D742" s="19" t="n"/>
      <c r="E742" s="19" t="n"/>
      <c r="F742" s="19" t="n"/>
      <c r="G742" s="19" t="n"/>
      <c r="H742" s="19" t="n"/>
      <c r="I742" s="19" t="n"/>
      <c r="J742" s="19" t="n"/>
      <c r="K742" s="19" t="n"/>
      <c r="L742" s="19" t="n"/>
      <c r="M742" s="19" t="n"/>
      <c r="N742" s="19" t="n"/>
      <c r="O742" s="19" t="n"/>
      <c r="P742" s="19" t="n"/>
      <c r="Q742" s="19" t="n"/>
      <c r="R742" s="19" t="n"/>
    </row>
    <row r="743" ht="15.75" customHeight="1" s="545">
      <c r="A743" s="19" t="n"/>
      <c r="B743" s="19" t="n"/>
      <c r="C743" s="19" t="n"/>
      <c r="D743" s="19" t="n"/>
      <c r="E743" s="19" t="n"/>
      <c r="F743" s="19" t="n"/>
      <c r="G743" s="19" t="n"/>
      <c r="H743" s="19" t="n"/>
      <c r="I743" s="19" t="n"/>
      <c r="J743" s="19" t="n"/>
      <c r="K743" s="19" t="n"/>
      <c r="L743" s="19" t="n"/>
      <c r="M743" s="19" t="n"/>
      <c r="N743" s="19" t="n"/>
      <c r="O743" s="19" t="n"/>
      <c r="P743" s="19" t="n"/>
      <c r="Q743" s="19" t="n"/>
      <c r="R743" s="19" t="n"/>
    </row>
    <row r="744" ht="15.75" customHeight="1" s="545">
      <c r="A744" s="19" t="n"/>
      <c r="B744" s="19" t="n"/>
      <c r="C744" s="19" t="n"/>
      <c r="D744" s="19" t="n"/>
      <c r="E744" s="19" t="n"/>
      <c r="F744" s="19" t="n"/>
      <c r="G744" s="19" t="n"/>
      <c r="H744" s="19" t="n"/>
      <c r="I744" s="19" t="n"/>
      <c r="J744" s="19" t="n"/>
      <c r="K744" s="19" t="n"/>
      <c r="L744" s="19" t="n"/>
      <c r="M744" s="19" t="n"/>
      <c r="N744" s="19" t="n"/>
      <c r="O744" s="19" t="n"/>
      <c r="P744" s="19" t="n"/>
      <c r="Q744" s="19" t="n"/>
      <c r="R744" s="19" t="n"/>
    </row>
    <row r="745" ht="15.75" customHeight="1" s="545">
      <c r="A745" s="19" t="n"/>
      <c r="B745" s="19" t="n"/>
      <c r="C745" s="19" t="n"/>
      <c r="D745" s="19" t="n"/>
      <c r="E745" s="19" t="n"/>
      <c r="F745" s="19" t="n"/>
      <c r="G745" s="19" t="n"/>
      <c r="H745" s="19" t="n"/>
      <c r="I745" s="19" t="n"/>
      <c r="J745" s="19" t="n"/>
      <c r="K745" s="19" t="n"/>
      <c r="L745" s="19" t="n"/>
      <c r="M745" s="19" t="n"/>
      <c r="N745" s="19" t="n"/>
      <c r="O745" s="19" t="n"/>
      <c r="P745" s="19" t="n"/>
      <c r="Q745" s="19" t="n"/>
      <c r="R745" s="19" t="n"/>
    </row>
    <row r="746" ht="15.75" customHeight="1" s="545">
      <c r="A746" s="19" t="n"/>
      <c r="B746" s="19" t="n"/>
      <c r="C746" s="19" t="n"/>
      <c r="D746" s="19" t="n"/>
      <c r="E746" s="19" t="n"/>
      <c r="F746" s="19" t="n"/>
      <c r="G746" s="19" t="n"/>
      <c r="H746" s="19" t="n"/>
      <c r="I746" s="19" t="n"/>
      <c r="J746" s="19" t="n"/>
      <c r="K746" s="19" t="n"/>
      <c r="L746" s="19" t="n"/>
      <c r="M746" s="19" t="n"/>
      <c r="N746" s="19" t="n"/>
      <c r="O746" s="19" t="n"/>
      <c r="P746" s="19" t="n"/>
      <c r="Q746" s="19" t="n"/>
      <c r="R746" s="19" t="n"/>
    </row>
    <row r="747" ht="15.75" customHeight="1" s="545">
      <c r="A747" s="19" t="n"/>
      <c r="B747" s="19" t="n"/>
      <c r="C747" s="19" t="n"/>
      <c r="D747" s="19" t="n"/>
      <c r="E747" s="19" t="n"/>
      <c r="F747" s="19" t="n"/>
      <c r="G747" s="19" t="n"/>
      <c r="H747" s="19" t="n"/>
      <c r="I747" s="19" t="n"/>
      <c r="J747" s="19" t="n"/>
      <c r="K747" s="19" t="n"/>
      <c r="L747" s="19" t="n"/>
      <c r="M747" s="19" t="n"/>
      <c r="N747" s="19" t="n"/>
      <c r="O747" s="19" t="n"/>
      <c r="P747" s="19" t="n"/>
      <c r="Q747" s="19" t="n"/>
      <c r="R747" s="19" t="n"/>
    </row>
    <row r="748" ht="15.75" customHeight="1" s="545">
      <c r="A748" s="19" t="n"/>
      <c r="B748" s="19" t="n"/>
      <c r="C748" s="19" t="n"/>
      <c r="D748" s="19" t="n"/>
      <c r="E748" s="19" t="n"/>
      <c r="F748" s="19" t="n"/>
      <c r="G748" s="19" t="n"/>
      <c r="H748" s="19" t="n"/>
      <c r="I748" s="19" t="n"/>
      <c r="J748" s="19" t="n"/>
      <c r="K748" s="19" t="n"/>
      <c r="L748" s="19" t="n"/>
      <c r="M748" s="19" t="n"/>
      <c r="N748" s="19" t="n"/>
      <c r="O748" s="19" t="n"/>
      <c r="P748" s="19" t="n"/>
      <c r="Q748" s="19" t="n"/>
      <c r="R748" s="19" t="n"/>
    </row>
    <row r="749" ht="15.75" customHeight="1" s="545">
      <c r="A749" s="19" t="n"/>
      <c r="B749" s="19" t="n"/>
      <c r="C749" s="19" t="n"/>
      <c r="D749" s="19" t="n"/>
      <c r="E749" s="19" t="n"/>
      <c r="F749" s="19" t="n"/>
      <c r="G749" s="19" t="n"/>
      <c r="H749" s="19" t="n"/>
      <c r="I749" s="19" t="n"/>
      <c r="J749" s="19" t="n"/>
      <c r="K749" s="19" t="n"/>
      <c r="L749" s="19" t="n"/>
      <c r="M749" s="19" t="n"/>
      <c r="N749" s="19" t="n"/>
      <c r="O749" s="19" t="n"/>
      <c r="P749" s="19" t="n"/>
      <c r="Q749" s="19" t="n"/>
      <c r="R749" s="19" t="n"/>
    </row>
    <row r="750" ht="15.75" customHeight="1" s="545">
      <c r="A750" s="19" t="n"/>
      <c r="B750" s="19" t="n"/>
      <c r="C750" s="19" t="n"/>
      <c r="D750" s="19" t="n"/>
      <c r="E750" s="19" t="n"/>
      <c r="F750" s="19" t="n"/>
      <c r="G750" s="19" t="n"/>
      <c r="H750" s="19" t="n"/>
      <c r="I750" s="19" t="n"/>
      <c r="J750" s="19" t="n"/>
      <c r="K750" s="19" t="n"/>
      <c r="L750" s="19" t="n"/>
      <c r="M750" s="19" t="n"/>
      <c r="N750" s="19" t="n"/>
      <c r="O750" s="19" t="n"/>
      <c r="P750" s="19" t="n"/>
      <c r="Q750" s="19" t="n"/>
      <c r="R750" s="19" t="n"/>
    </row>
    <row r="751" ht="15.75" customHeight="1" s="545">
      <c r="A751" s="19" t="n"/>
      <c r="B751" s="19" t="n"/>
      <c r="C751" s="19" t="n"/>
      <c r="D751" s="19" t="n"/>
      <c r="E751" s="19" t="n"/>
      <c r="F751" s="19" t="n"/>
      <c r="G751" s="19" t="n"/>
      <c r="H751" s="19" t="n"/>
      <c r="I751" s="19" t="n"/>
      <c r="J751" s="19" t="n"/>
      <c r="K751" s="19" t="n"/>
      <c r="L751" s="19" t="n"/>
      <c r="M751" s="19" t="n"/>
      <c r="N751" s="19" t="n"/>
      <c r="O751" s="19" t="n"/>
      <c r="P751" s="19" t="n"/>
      <c r="Q751" s="19" t="n"/>
      <c r="R751" s="19" t="n"/>
    </row>
    <row r="752" ht="15.75" customHeight="1" s="545">
      <c r="A752" s="19" t="n"/>
      <c r="B752" s="19" t="n"/>
      <c r="C752" s="19" t="n"/>
      <c r="D752" s="19" t="n"/>
      <c r="E752" s="19" t="n"/>
      <c r="F752" s="19" t="n"/>
      <c r="G752" s="19" t="n"/>
      <c r="H752" s="19" t="n"/>
      <c r="I752" s="19" t="n"/>
      <c r="J752" s="19" t="n"/>
      <c r="K752" s="19" t="n"/>
      <c r="L752" s="19" t="n"/>
      <c r="M752" s="19" t="n"/>
      <c r="N752" s="19" t="n"/>
      <c r="O752" s="19" t="n"/>
      <c r="P752" s="19" t="n"/>
      <c r="Q752" s="19" t="n"/>
      <c r="R752" s="19" t="n"/>
    </row>
    <row r="753" ht="15.75" customHeight="1" s="545">
      <c r="A753" s="19" t="n"/>
      <c r="B753" s="19" t="n"/>
      <c r="C753" s="19" t="n"/>
      <c r="D753" s="19" t="n"/>
      <c r="E753" s="19" t="n"/>
      <c r="F753" s="19" t="n"/>
      <c r="G753" s="19" t="n"/>
      <c r="H753" s="19" t="n"/>
      <c r="I753" s="19" t="n"/>
      <c r="J753" s="19" t="n"/>
      <c r="K753" s="19" t="n"/>
      <c r="L753" s="19" t="n"/>
      <c r="M753" s="19" t="n"/>
      <c r="N753" s="19" t="n"/>
      <c r="O753" s="19" t="n"/>
      <c r="P753" s="19" t="n"/>
      <c r="Q753" s="19" t="n"/>
      <c r="R753" s="19" t="n"/>
    </row>
    <row r="754" ht="15.75" customHeight="1" s="545">
      <c r="A754" s="19" t="n"/>
      <c r="B754" s="19" t="n"/>
      <c r="C754" s="19" t="n"/>
      <c r="D754" s="19" t="n"/>
      <c r="E754" s="19" t="n"/>
      <c r="F754" s="19" t="n"/>
      <c r="G754" s="19" t="n"/>
      <c r="H754" s="19" t="n"/>
      <c r="I754" s="19" t="n"/>
      <c r="J754" s="19" t="n"/>
      <c r="K754" s="19" t="n"/>
      <c r="L754" s="19" t="n"/>
      <c r="M754" s="19" t="n"/>
      <c r="N754" s="19" t="n"/>
      <c r="O754" s="19" t="n"/>
      <c r="P754" s="19" t="n"/>
      <c r="Q754" s="19" t="n"/>
      <c r="R754" s="19" t="n"/>
    </row>
    <row r="755" ht="15.75" customHeight="1" s="545">
      <c r="A755" s="19" t="n"/>
      <c r="B755" s="19" t="n"/>
      <c r="C755" s="19" t="n"/>
      <c r="D755" s="19" t="n"/>
      <c r="E755" s="19" t="n"/>
      <c r="F755" s="19" t="n"/>
      <c r="G755" s="19" t="n"/>
      <c r="H755" s="19" t="n"/>
      <c r="I755" s="19" t="n"/>
      <c r="J755" s="19" t="n"/>
      <c r="K755" s="19" t="n"/>
      <c r="L755" s="19" t="n"/>
      <c r="M755" s="19" t="n"/>
      <c r="N755" s="19" t="n"/>
      <c r="O755" s="19" t="n"/>
      <c r="P755" s="19" t="n"/>
      <c r="Q755" s="19" t="n"/>
      <c r="R755" s="19" t="n"/>
    </row>
    <row r="756" ht="15.75" customHeight="1" s="545">
      <c r="A756" s="19" t="n"/>
      <c r="B756" s="19" t="n"/>
      <c r="C756" s="19" t="n"/>
      <c r="D756" s="19" t="n"/>
      <c r="E756" s="19" t="n"/>
      <c r="F756" s="19" t="n"/>
      <c r="G756" s="19" t="n"/>
      <c r="H756" s="19" t="n"/>
      <c r="I756" s="19" t="n"/>
      <c r="J756" s="19" t="n"/>
      <c r="K756" s="19" t="n"/>
      <c r="L756" s="19" t="n"/>
      <c r="M756" s="19" t="n"/>
      <c r="N756" s="19" t="n"/>
      <c r="O756" s="19" t="n"/>
      <c r="P756" s="19" t="n"/>
      <c r="Q756" s="19" t="n"/>
      <c r="R756" s="19" t="n"/>
    </row>
    <row r="757" ht="15.75" customHeight="1" s="545">
      <c r="A757" s="19" t="n"/>
      <c r="B757" s="19" t="n"/>
      <c r="C757" s="19" t="n"/>
      <c r="D757" s="19" t="n"/>
      <c r="E757" s="19" t="n"/>
      <c r="F757" s="19" t="n"/>
      <c r="G757" s="19" t="n"/>
      <c r="H757" s="19" t="n"/>
      <c r="I757" s="19" t="n"/>
      <c r="J757" s="19" t="n"/>
      <c r="K757" s="19" t="n"/>
      <c r="L757" s="19" t="n"/>
      <c r="M757" s="19" t="n"/>
      <c r="N757" s="19" t="n"/>
      <c r="O757" s="19" t="n"/>
      <c r="P757" s="19" t="n"/>
      <c r="Q757" s="19" t="n"/>
      <c r="R757" s="19" t="n"/>
    </row>
    <row r="758" ht="15.75" customHeight="1" s="545">
      <c r="A758" s="19" t="n"/>
      <c r="B758" s="19" t="n"/>
      <c r="C758" s="19" t="n"/>
      <c r="D758" s="19" t="n"/>
      <c r="E758" s="19" t="n"/>
      <c r="F758" s="19" t="n"/>
      <c r="G758" s="19" t="n"/>
      <c r="H758" s="19" t="n"/>
      <c r="I758" s="19" t="n"/>
      <c r="J758" s="19" t="n"/>
      <c r="K758" s="19" t="n"/>
      <c r="L758" s="19" t="n"/>
      <c r="M758" s="19" t="n"/>
      <c r="N758" s="19" t="n"/>
      <c r="O758" s="19" t="n"/>
      <c r="P758" s="19" t="n"/>
      <c r="Q758" s="19" t="n"/>
      <c r="R758" s="19" t="n"/>
    </row>
    <row r="759" ht="15.75" customHeight="1" s="545">
      <c r="A759" s="19" t="n"/>
      <c r="B759" s="19" t="n"/>
      <c r="C759" s="19" t="n"/>
      <c r="D759" s="19" t="n"/>
      <c r="E759" s="19" t="n"/>
      <c r="F759" s="19" t="n"/>
      <c r="G759" s="19" t="n"/>
      <c r="H759" s="19" t="n"/>
      <c r="I759" s="19" t="n"/>
      <c r="J759" s="19" t="n"/>
      <c r="K759" s="19" t="n"/>
      <c r="L759" s="19" t="n"/>
      <c r="M759" s="19" t="n"/>
      <c r="N759" s="19" t="n"/>
      <c r="O759" s="19" t="n"/>
      <c r="P759" s="19" t="n"/>
      <c r="Q759" s="19" t="n"/>
      <c r="R759" s="19" t="n"/>
    </row>
    <row r="760" ht="15.75" customHeight="1" s="545">
      <c r="A760" s="19" t="n"/>
      <c r="B760" s="19" t="n"/>
      <c r="C760" s="19" t="n"/>
      <c r="D760" s="19" t="n"/>
      <c r="E760" s="19" t="n"/>
      <c r="F760" s="19" t="n"/>
      <c r="G760" s="19" t="n"/>
      <c r="H760" s="19" t="n"/>
      <c r="I760" s="19" t="n"/>
      <c r="J760" s="19" t="n"/>
      <c r="K760" s="19" t="n"/>
      <c r="L760" s="19" t="n"/>
      <c r="M760" s="19" t="n"/>
      <c r="N760" s="19" t="n"/>
      <c r="O760" s="19" t="n"/>
      <c r="P760" s="19" t="n"/>
      <c r="Q760" s="19" t="n"/>
      <c r="R760" s="19" t="n"/>
    </row>
    <row r="761" ht="15.75" customHeight="1" s="545">
      <c r="A761" s="19" t="n"/>
      <c r="B761" s="19" t="n"/>
      <c r="C761" s="19" t="n"/>
      <c r="D761" s="19" t="n"/>
      <c r="E761" s="19" t="n"/>
      <c r="F761" s="19" t="n"/>
      <c r="G761" s="19" t="n"/>
      <c r="H761" s="19" t="n"/>
      <c r="I761" s="19" t="n"/>
      <c r="J761" s="19" t="n"/>
      <c r="K761" s="19" t="n"/>
      <c r="L761" s="19" t="n"/>
      <c r="M761" s="19" t="n"/>
      <c r="N761" s="19" t="n"/>
      <c r="O761" s="19" t="n"/>
      <c r="P761" s="19" t="n"/>
      <c r="Q761" s="19" t="n"/>
      <c r="R761" s="19" t="n"/>
    </row>
    <row r="762" ht="15.75" customHeight="1" s="545">
      <c r="A762" s="19" t="n"/>
      <c r="B762" s="19" t="n"/>
      <c r="C762" s="19" t="n"/>
      <c r="D762" s="19" t="n"/>
      <c r="E762" s="19" t="n"/>
      <c r="F762" s="19" t="n"/>
      <c r="G762" s="19" t="n"/>
      <c r="H762" s="19" t="n"/>
      <c r="I762" s="19" t="n"/>
      <c r="J762" s="19" t="n"/>
      <c r="K762" s="19" t="n"/>
      <c r="L762" s="19" t="n"/>
      <c r="M762" s="19" t="n"/>
      <c r="N762" s="19" t="n"/>
      <c r="O762" s="19" t="n"/>
      <c r="P762" s="19" t="n"/>
      <c r="Q762" s="19" t="n"/>
      <c r="R762" s="19" t="n"/>
    </row>
    <row r="763" ht="15.75" customHeight="1" s="545">
      <c r="A763" s="19" t="n"/>
      <c r="B763" s="19" t="n"/>
      <c r="C763" s="19" t="n"/>
      <c r="D763" s="19" t="n"/>
      <c r="E763" s="19" t="n"/>
      <c r="F763" s="19" t="n"/>
      <c r="G763" s="19" t="n"/>
      <c r="H763" s="19" t="n"/>
      <c r="I763" s="19" t="n"/>
      <c r="J763" s="19" t="n"/>
      <c r="K763" s="19" t="n"/>
      <c r="L763" s="19" t="n"/>
      <c r="M763" s="19" t="n"/>
      <c r="N763" s="19" t="n"/>
      <c r="O763" s="19" t="n"/>
      <c r="P763" s="19" t="n"/>
      <c r="Q763" s="19" t="n"/>
      <c r="R763" s="19" t="n"/>
    </row>
    <row r="764" ht="15.75" customHeight="1" s="545">
      <c r="A764" s="19" t="n"/>
      <c r="B764" s="19" t="n"/>
      <c r="C764" s="19" t="n"/>
      <c r="D764" s="19" t="n"/>
      <c r="E764" s="19" t="n"/>
      <c r="F764" s="19" t="n"/>
      <c r="G764" s="19" t="n"/>
      <c r="H764" s="19" t="n"/>
      <c r="I764" s="19" t="n"/>
      <c r="J764" s="19" t="n"/>
      <c r="K764" s="19" t="n"/>
      <c r="L764" s="19" t="n"/>
      <c r="M764" s="19" t="n"/>
      <c r="N764" s="19" t="n"/>
      <c r="O764" s="19" t="n"/>
      <c r="P764" s="19" t="n"/>
      <c r="Q764" s="19" t="n"/>
      <c r="R764" s="19" t="n"/>
    </row>
    <row r="765" ht="15.75" customHeight="1" s="545">
      <c r="A765" s="19" t="n"/>
      <c r="B765" s="19" t="n"/>
      <c r="C765" s="19" t="n"/>
      <c r="D765" s="19" t="n"/>
      <c r="E765" s="19" t="n"/>
      <c r="F765" s="19" t="n"/>
      <c r="G765" s="19" t="n"/>
      <c r="H765" s="19" t="n"/>
      <c r="I765" s="19" t="n"/>
      <c r="J765" s="19" t="n"/>
      <c r="K765" s="19" t="n"/>
      <c r="L765" s="19" t="n"/>
      <c r="M765" s="19" t="n"/>
      <c r="N765" s="19" t="n"/>
      <c r="O765" s="19" t="n"/>
      <c r="P765" s="19" t="n"/>
      <c r="Q765" s="19" t="n"/>
      <c r="R765" s="19" t="n"/>
    </row>
    <row r="766" ht="15.75" customHeight="1" s="545">
      <c r="A766" s="19" t="n"/>
      <c r="B766" s="19" t="n"/>
      <c r="C766" s="19" t="n"/>
      <c r="D766" s="19" t="n"/>
      <c r="E766" s="19" t="n"/>
      <c r="F766" s="19" t="n"/>
      <c r="G766" s="19" t="n"/>
      <c r="H766" s="19" t="n"/>
      <c r="I766" s="19" t="n"/>
      <c r="J766" s="19" t="n"/>
      <c r="K766" s="19" t="n"/>
      <c r="L766" s="19" t="n"/>
      <c r="M766" s="19" t="n"/>
      <c r="N766" s="19" t="n"/>
      <c r="O766" s="19" t="n"/>
      <c r="P766" s="19" t="n"/>
      <c r="Q766" s="19" t="n"/>
      <c r="R766" s="19" t="n"/>
    </row>
    <row r="767" ht="15.75" customHeight="1" s="545">
      <c r="A767" s="19" t="n"/>
      <c r="B767" s="19" t="n"/>
      <c r="C767" s="19" t="n"/>
      <c r="D767" s="19" t="n"/>
      <c r="E767" s="19" t="n"/>
      <c r="F767" s="19" t="n"/>
      <c r="G767" s="19" t="n"/>
      <c r="H767" s="19" t="n"/>
      <c r="I767" s="19" t="n"/>
      <c r="J767" s="19" t="n"/>
      <c r="K767" s="19" t="n"/>
      <c r="L767" s="19" t="n"/>
      <c r="M767" s="19" t="n"/>
      <c r="N767" s="19" t="n"/>
      <c r="O767" s="19" t="n"/>
      <c r="P767" s="19" t="n"/>
      <c r="Q767" s="19" t="n"/>
      <c r="R767" s="19" t="n"/>
    </row>
    <row r="768" ht="15.75" customHeight="1" s="545">
      <c r="A768" s="19" t="n"/>
      <c r="B768" s="19" t="n"/>
      <c r="C768" s="19" t="n"/>
      <c r="D768" s="19" t="n"/>
      <c r="E768" s="19" t="n"/>
      <c r="F768" s="19" t="n"/>
      <c r="G768" s="19" t="n"/>
      <c r="H768" s="19" t="n"/>
      <c r="I768" s="19" t="n"/>
      <c r="J768" s="19" t="n"/>
      <c r="K768" s="19" t="n"/>
      <c r="L768" s="19" t="n"/>
      <c r="M768" s="19" t="n"/>
      <c r="N768" s="19" t="n"/>
      <c r="O768" s="19" t="n"/>
      <c r="P768" s="19" t="n"/>
      <c r="Q768" s="19" t="n"/>
      <c r="R768" s="19" t="n"/>
    </row>
    <row r="769" ht="15.75" customHeight="1" s="545">
      <c r="A769" s="19" t="n"/>
      <c r="B769" s="19" t="n"/>
      <c r="C769" s="19" t="n"/>
      <c r="D769" s="19" t="n"/>
      <c r="E769" s="19" t="n"/>
      <c r="F769" s="19" t="n"/>
      <c r="G769" s="19" t="n"/>
      <c r="H769" s="19" t="n"/>
      <c r="I769" s="19" t="n"/>
      <c r="J769" s="19" t="n"/>
      <c r="K769" s="19" t="n"/>
      <c r="L769" s="19" t="n"/>
      <c r="M769" s="19" t="n"/>
      <c r="N769" s="19" t="n"/>
      <c r="O769" s="19" t="n"/>
      <c r="P769" s="19" t="n"/>
      <c r="Q769" s="19" t="n"/>
      <c r="R769" s="19" t="n"/>
    </row>
    <row r="770" ht="15.75" customHeight="1" s="545">
      <c r="A770" s="19" t="n"/>
      <c r="B770" s="19" t="n"/>
      <c r="C770" s="19" t="n"/>
      <c r="D770" s="19" t="n"/>
      <c r="E770" s="19" t="n"/>
      <c r="F770" s="19" t="n"/>
      <c r="G770" s="19" t="n"/>
      <c r="H770" s="19" t="n"/>
      <c r="I770" s="19" t="n"/>
      <c r="J770" s="19" t="n"/>
      <c r="K770" s="19" t="n"/>
      <c r="L770" s="19" t="n"/>
      <c r="M770" s="19" t="n"/>
      <c r="N770" s="19" t="n"/>
      <c r="O770" s="19" t="n"/>
      <c r="P770" s="19" t="n"/>
      <c r="Q770" s="19" t="n"/>
      <c r="R770" s="19" t="n"/>
    </row>
    <row r="771" ht="15.75" customHeight="1" s="545">
      <c r="A771" s="19" t="n"/>
      <c r="B771" s="19" t="n"/>
      <c r="C771" s="19" t="n"/>
      <c r="D771" s="19" t="n"/>
      <c r="E771" s="19" t="n"/>
      <c r="F771" s="19" t="n"/>
      <c r="G771" s="19" t="n"/>
      <c r="H771" s="19" t="n"/>
      <c r="I771" s="19" t="n"/>
      <c r="J771" s="19" t="n"/>
      <c r="K771" s="19" t="n"/>
      <c r="L771" s="19" t="n"/>
      <c r="M771" s="19" t="n"/>
      <c r="N771" s="19" t="n"/>
      <c r="O771" s="19" t="n"/>
      <c r="P771" s="19" t="n"/>
      <c r="Q771" s="19" t="n"/>
      <c r="R771" s="19" t="n"/>
    </row>
    <row r="772" ht="15.75" customHeight="1" s="545">
      <c r="A772" s="19" t="n"/>
      <c r="B772" s="19" t="n"/>
      <c r="C772" s="19" t="n"/>
      <c r="D772" s="19" t="n"/>
      <c r="E772" s="19" t="n"/>
      <c r="F772" s="19" t="n"/>
      <c r="G772" s="19" t="n"/>
      <c r="H772" s="19" t="n"/>
      <c r="I772" s="19" t="n"/>
      <c r="J772" s="19" t="n"/>
      <c r="K772" s="19" t="n"/>
      <c r="L772" s="19" t="n"/>
      <c r="M772" s="19" t="n"/>
      <c r="N772" s="19" t="n"/>
      <c r="O772" s="19" t="n"/>
      <c r="P772" s="19" t="n"/>
      <c r="Q772" s="19" t="n"/>
      <c r="R772" s="19" t="n"/>
    </row>
    <row r="773" ht="15.75" customHeight="1" s="545">
      <c r="A773" s="19" t="n"/>
      <c r="B773" s="19" t="n"/>
      <c r="C773" s="19" t="n"/>
      <c r="D773" s="19" t="n"/>
      <c r="E773" s="19" t="n"/>
      <c r="F773" s="19" t="n"/>
      <c r="G773" s="19" t="n"/>
      <c r="H773" s="19" t="n"/>
      <c r="I773" s="19" t="n"/>
      <c r="J773" s="19" t="n"/>
      <c r="K773" s="19" t="n"/>
      <c r="L773" s="19" t="n"/>
      <c r="M773" s="19" t="n"/>
      <c r="N773" s="19" t="n"/>
      <c r="O773" s="19" t="n"/>
      <c r="P773" s="19" t="n"/>
      <c r="Q773" s="19" t="n"/>
      <c r="R773" s="19" t="n"/>
    </row>
    <row r="774" ht="15.75" customHeight="1" s="545">
      <c r="A774" s="19" t="n"/>
      <c r="B774" s="19" t="n"/>
      <c r="C774" s="19" t="n"/>
      <c r="D774" s="19" t="n"/>
      <c r="E774" s="19" t="n"/>
      <c r="F774" s="19" t="n"/>
      <c r="G774" s="19" t="n"/>
      <c r="H774" s="19" t="n"/>
      <c r="I774" s="19" t="n"/>
      <c r="J774" s="19" t="n"/>
      <c r="K774" s="19" t="n"/>
      <c r="L774" s="19" t="n"/>
      <c r="M774" s="19" t="n"/>
      <c r="N774" s="19" t="n"/>
      <c r="O774" s="19" t="n"/>
      <c r="P774" s="19" t="n"/>
      <c r="Q774" s="19" t="n"/>
      <c r="R774" s="19" t="n"/>
    </row>
    <row r="775" ht="15.75" customHeight="1" s="545">
      <c r="A775" s="19" t="n"/>
      <c r="B775" s="19" t="n"/>
      <c r="C775" s="19" t="n"/>
      <c r="D775" s="19" t="n"/>
      <c r="E775" s="19" t="n"/>
      <c r="F775" s="19" t="n"/>
      <c r="G775" s="19" t="n"/>
      <c r="H775" s="19" t="n"/>
      <c r="I775" s="19" t="n"/>
      <c r="J775" s="19" t="n"/>
      <c r="K775" s="19" t="n"/>
      <c r="L775" s="19" t="n"/>
      <c r="M775" s="19" t="n"/>
      <c r="N775" s="19" t="n"/>
      <c r="O775" s="19" t="n"/>
      <c r="P775" s="19" t="n"/>
      <c r="Q775" s="19" t="n"/>
      <c r="R775" s="19" t="n"/>
    </row>
    <row r="776" ht="15.75" customHeight="1" s="545">
      <c r="A776" s="19" t="n"/>
      <c r="B776" s="19" t="n"/>
      <c r="C776" s="19" t="n"/>
      <c r="D776" s="19" t="n"/>
      <c r="E776" s="19" t="n"/>
      <c r="F776" s="19" t="n"/>
      <c r="G776" s="19" t="n"/>
      <c r="H776" s="19" t="n"/>
      <c r="I776" s="19" t="n"/>
      <c r="J776" s="19" t="n"/>
      <c r="K776" s="19" t="n"/>
      <c r="L776" s="19" t="n"/>
      <c r="M776" s="19" t="n"/>
      <c r="N776" s="19" t="n"/>
      <c r="O776" s="19" t="n"/>
      <c r="P776" s="19" t="n"/>
      <c r="Q776" s="19" t="n"/>
      <c r="R776" s="19" t="n"/>
    </row>
    <row r="777" ht="15.75" customHeight="1" s="545">
      <c r="A777" s="19" t="n"/>
      <c r="B777" s="19" t="n"/>
      <c r="C777" s="19" t="n"/>
      <c r="D777" s="19" t="n"/>
      <c r="E777" s="19" t="n"/>
      <c r="F777" s="19" t="n"/>
      <c r="G777" s="19" t="n"/>
      <c r="H777" s="19" t="n"/>
      <c r="I777" s="19" t="n"/>
      <c r="J777" s="19" t="n"/>
      <c r="K777" s="19" t="n"/>
      <c r="L777" s="19" t="n"/>
      <c r="M777" s="19" t="n"/>
      <c r="N777" s="19" t="n"/>
      <c r="O777" s="19" t="n"/>
      <c r="P777" s="19" t="n"/>
      <c r="Q777" s="19" t="n"/>
      <c r="R777" s="19" t="n"/>
    </row>
    <row r="778" ht="15.75" customHeight="1" s="545">
      <c r="A778" s="19" t="n"/>
      <c r="B778" s="19" t="n"/>
      <c r="C778" s="19" t="n"/>
      <c r="D778" s="19" t="n"/>
      <c r="E778" s="19" t="n"/>
      <c r="F778" s="19" t="n"/>
      <c r="G778" s="19" t="n"/>
      <c r="H778" s="19" t="n"/>
      <c r="I778" s="19" t="n"/>
      <c r="J778" s="19" t="n"/>
      <c r="K778" s="19" t="n"/>
      <c r="L778" s="19" t="n"/>
      <c r="M778" s="19" t="n"/>
      <c r="N778" s="19" t="n"/>
      <c r="O778" s="19" t="n"/>
      <c r="P778" s="19" t="n"/>
      <c r="Q778" s="19" t="n"/>
      <c r="R778" s="19" t="n"/>
    </row>
    <row r="779" ht="15.75" customHeight="1" s="545">
      <c r="A779" s="19" t="n"/>
      <c r="B779" s="19" t="n"/>
      <c r="C779" s="19" t="n"/>
      <c r="D779" s="19" t="n"/>
      <c r="E779" s="19" t="n"/>
      <c r="F779" s="19" t="n"/>
      <c r="G779" s="19" t="n"/>
      <c r="H779" s="19" t="n"/>
      <c r="I779" s="19" t="n"/>
      <c r="J779" s="19" t="n"/>
      <c r="K779" s="19" t="n"/>
      <c r="L779" s="19" t="n"/>
      <c r="M779" s="19" t="n"/>
      <c r="N779" s="19" t="n"/>
      <c r="O779" s="19" t="n"/>
      <c r="P779" s="19" t="n"/>
      <c r="Q779" s="19" t="n"/>
      <c r="R779" s="19" t="n"/>
    </row>
    <row r="780" ht="15.75" customHeight="1" s="545">
      <c r="A780" s="19" t="n"/>
      <c r="B780" s="19" t="n"/>
      <c r="C780" s="19" t="n"/>
      <c r="D780" s="19" t="n"/>
      <c r="E780" s="19" t="n"/>
      <c r="F780" s="19" t="n"/>
      <c r="G780" s="19" t="n"/>
      <c r="H780" s="19" t="n"/>
      <c r="I780" s="19" t="n"/>
      <c r="J780" s="19" t="n"/>
      <c r="K780" s="19" t="n"/>
      <c r="L780" s="19" t="n"/>
      <c r="M780" s="19" t="n"/>
      <c r="N780" s="19" t="n"/>
      <c r="O780" s="19" t="n"/>
      <c r="P780" s="19" t="n"/>
      <c r="Q780" s="19" t="n"/>
      <c r="R780" s="19" t="n"/>
    </row>
    <row r="781" ht="15.75" customHeight="1" s="545">
      <c r="A781" s="19" t="n"/>
      <c r="B781" s="19" t="n"/>
      <c r="C781" s="19" t="n"/>
      <c r="D781" s="19" t="n"/>
      <c r="E781" s="19" t="n"/>
      <c r="F781" s="19" t="n"/>
      <c r="G781" s="19" t="n"/>
      <c r="H781" s="19" t="n"/>
      <c r="I781" s="19" t="n"/>
      <c r="J781" s="19" t="n"/>
      <c r="K781" s="19" t="n"/>
      <c r="L781" s="19" t="n"/>
      <c r="M781" s="19" t="n"/>
      <c r="N781" s="19" t="n"/>
      <c r="O781" s="19" t="n"/>
      <c r="P781" s="19" t="n"/>
      <c r="Q781" s="19" t="n"/>
      <c r="R781" s="19" t="n"/>
    </row>
    <row r="782" ht="15.75" customHeight="1" s="545">
      <c r="A782" s="19" t="n"/>
      <c r="B782" s="19" t="n"/>
      <c r="C782" s="19" t="n"/>
      <c r="D782" s="19" t="n"/>
      <c r="E782" s="19" t="n"/>
      <c r="F782" s="19" t="n"/>
      <c r="G782" s="19" t="n"/>
      <c r="H782" s="19" t="n"/>
      <c r="I782" s="19" t="n"/>
      <c r="J782" s="19" t="n"/>
      <c r="K782" s="19" t="n"/>
      <c r="L782" s="19" t="n"/>
      <c r="M782" s="19" t="n"/>
      <c r="N782" s="19" t="n"/>
      <c r="O782" s="19" t="n"/>
      <c r="P782" s="19" t="n"/>
      <c r="Q782" s="19" t="n"/>
      <c r="R782" s="19" t="n"/>
    </row>
    <row r="783" ht="15.75" customHeight="1" s="545">
      <c r="A783" s="19" t="n"/>
      <c r="B783" s="19" t="n"/>
      <c r="C783" s="19" t="n"/>
      <c r="D783" s="19" t="n"/>
      <c r="E783" s="19" t="n"/>
      <c r="F783" s="19" t="n"/>
      <c r="G783" s="19" t="n"/>
      <c r="H783" s="19" t="n"/>
      <c r="I783" s="19" t="n"/>
      <c r="J783" s="19" t="n"/>
      <c r="K783" s="19" t="n"/>
      <c r="L783" s="19" t="n"/>
      <c r="M783" s="19" t="n"/>
      <c r="N783" s="19" t="n"/>
      <c r="O783" s="19" t="n"/>
      <c r="P783" s="19" t="n"/>
      <c r="Q783" s="19" t="n"/>
      <c r="R783" s="19" t="n"/>
    </row>
    <row r="784" ht="15.75" customHeight="1" s="545">
      <c r="A784" s="19" t="n"/>
      <c r="B784" s="19" t="n"/>
      <c r="C784" s="19" t="n"/>
      <c r="D784" s="19" t="n"/>
      <c r="E784" s="19" t="n"/>
      <c r="F784" s="19" t="n"/>
      <c r="G784" s="19" t="n"/>
      <c r="H784" s="19" t="n"/>
      <c r="I784" s="19" t="n"/>
      <c r="J784" s="19" t="n"/>
      <c r="K784" s="19" t="n"/>
      <c r="L784" s="19" t="n"/>
      <c r="M784" s="19" t="n"/>
      <c r="N784" s="19" t="n"/>
      <c r="O784" s="19" t="n"/>
      <c r="P784" s="19" t="n"/>
      <c r="Q784" s="19" t="n"/>
      <c r="R784" s="19" t="n"/>
    </row>
    <row r="785" ht="15.75" customHeight="1" s="545">
      <c r="A785" s="19" t="n"/>
      <c r="B785" s="19" t="n"/>
      <c r="C785" s="19" t="n"/>
      <c r="D785" s="19" t="n"/>
      <c r="E785" s="19" t="n"/>
      <c r="F785" s="19" t="n"/>
      <c r="G785" s="19" t="n"/>
      <c r="H785" s="19" t="n"/>
      <c r="I785" s="19" t="n"/>
      <c r="J785" s="19" t="n"/>
      <c r="K785" s="19" t="n"/>
      <c r="L785" s="19" t="n"/>
      <c r="M785" s="19" t="n"/>
      <c r="N785" s="19" t="n"/>
      <c r="O785" s="19" t="n"/>
      <c r="P785" s="19" t="n"/>
      <c r="Q785" s="19" t="n"/>
      <c r="R785" s="19" t="n"/>
    </row>
    <row r="786" ht="15.75" customHeight="1" s="545">
      <c r="A786" s="19" t="n"/>
      <c r="B786" s="19" t="n"/>
      <c r="C786" s="19" t="n"/>
      <c r="D786" s="19" t="n"/>
      <c r="E786" s="19" t="n"/>
      <c r="F786" s="19" t="n"/>
      <c r="G786" s="19" t="n"/>
      <c r="H786" s="19" t="n"/>
      <c r="I786" s="19" t="n"/>
      <c r="J786" s="19" t="n"/>
      <c r="K786" s="19" t="n"/>
      <c r="L786" s="19" t="n"/>
      <c r="M786" s="19" t="n"/>
      <c r="N786" s="19" t="n"/>
      <c r="O786" s="19" t="n"/>
      <c r="P786" s="19" t="n"/>
      <c r="Q786" s="19" t="n"/>
      <c r="R786" s="19" t="n"/>
    </row>
    <row r="787" ht="15.75" customHeight="1" s="545">
      <c r="A787" s="19" t="n"/>
      <c r="B787" s="19" t="n"/>
      <c r="C787" s="19" t="n"/>
      <c r="D787" s="19" t="n"/>
      <c r="E787" s="19" t="n"/>
      <c r="F787" s="19" t="n"/>
      <c r="G787" s="19" t="n"/>
      <c r="H787" s="19" t="n"/>
      <c r="I787" s="19" t="n"/>
      <c r="J787" s="19" t="n"/>
      <c r="K787" s="19" t="n"/>
      <c r="L787" s="19" t="n"/>
      <c r="M787" s="19" t="n"/>
      <c r="N787" s="19" t="n"/>
      <c r="O787" s="19" t="n"/>
      <c r="P787" s="19" t="n"/>
      <c r="Q787" s="19" t="n"/>
      <c r="R787" s="19" t="n"/>
    </row>
    <row r="788" ht="15.75" customHeight="1" s="545">
      <c r="A788" s="19" t="n"/>
      <c r="B788" s="19" t="n"/>
      <c r="C788" s="19" t="n"/>
      <c r="D788" s="19" t="n"/>
      <c r="E788" s="19" t="n"/>
      <c r="F788" s="19" t="n"/>
      <c r="G788" s="19" t="n"/>
      <c r="H788" s="19" t="n"/>
      <c r="I788" s="19" t="n"/>
      <c r="J788" s="19" t="n"/>
      <c r="K788" s="19" t="n"/>
      <c r="L788" s="19" t="n"/>
      <c r="M788" s="19" t="n"/>
      <c r="N788" s="19" t="n"/>
      <c r="O788" s="19" t="n"/>
      <c r="P788" s="19" t="n"/>
      <c r="Q788" s="19" t="n"/>
      <c r="R788" s="19" t="n"/>
    </row>
    <row r="789" ht="15.75" customHeight="1" s="545">
      <c r="A789" s="19" t="n"/>
      <c r="B789" s="19" t="n"/>
      <c r="C789" s="19" t="n"/>
      <c r="D789" s="19" t="n"/>
      <c r="E789" s="19" t="n"/>
      <c r="F789" s="19" t="n"/>
      <c r="G789" s="19" t="n"/>
      <c r="H789" s="19" t="n"/>
      <c r="I789" s="19" t="n"/>
      <c r="J789" s="19" t="n"/>
      <c r="K789" s="19" t="n"/>
      <c r="L789" s="19" t="n"/>
      <c r="M789" s="19" t="n"/>
      <c r="N789" s="19" t="n"/>
      <c r="O789" s="19" t="n"/>
      <c r="P789" s="19" t="n"/>
      <c r="Q789" s="19" t="n"/>
      <c r="R789" s="19" t="n"/>
    </row>
    <row r="790" ht="15.75" customHeight="1" s="545">
      <c r="A790" s="19" t="n"/>
      <c r="B790" s="19" t="n"/>
      <c r="C790" s="19" t="n"/>
      <c r="D790" s="19" t="n"/>
      <c r="E790" s="19" t="n"/>
      <c r="F790" s="19" t="n"/>
      <c r="G790" s="19" t="n"/>
      <c r="H790" s="19" t="n"/>
      <c r="I790" s="19" t="n"/>
      <c r="J790" s="19" t="n"/>
      <c r="K790" s="19" t="n"/>
      <c r="L790" s="19" t="n"/>
      <c r="M790" s="19" t="n"/>
      <c r="N790" s="19" t="n"/>
      <c r="O790" s="19" t="n"/>
      <c r="P790" s="19" t="n"/>
      <c r="Q790" s="19" t="n"/>
      <c r="R790" s="19" t="n"/>
    </row>
    <row r="791" ht="15.75" customHeight="1" s="545">
      <c r="A791" s="19" t="n"/>
      <c r="B791" s="19" t="n"/>
      <c r="C791" s="19" t="n"/>
      <c r="D791" s="19" t="n"/>
      <c r="E791" s="19" t="n"/>
      <c r="F791" s="19" t="n"/>
      <c r="G791" s="19" t="n"/>
      <c r="H791" s="19" t="n"/>
      <c r="I791" s="19" t="n"/>
      <c r="J791" s="19" t="n"/>
      <c r="K791" s="19" t="n"/>
      <c r="L791" s="19" t="n"/>
      <c r="M791" s="19" t="n"/>
      <c r="N791" s="19" t="n"/>
      <c r="O791" s="19" t="n"/>
      <c r="P791" s="19" t="n"/>
      <c r="Q791" s="19" t="n"/>
      <c r="R791" s="19" t="n"/>
    </row>
    <row r="792" ht="15.75" customHeight="1" s="545">
      <c r="A792" s="19" t="n"/>
      <c r="B792" s="19" t="n"/>
      <c r="C792" s="19" t="n"/>
      <c r="D792" s="19" t="n"/>
      <c r="E792" s="19" t="n"/>
      <c r="F792" s="19" t="n"/>
      <c r="G792" s="19" t="n"/>
      <c r="H792" s="19" t="n"/>
      <c r="I792" s="19" t="n"/>
      <c r="J792" s="19" t="n"/>
      <c r="K792" s="19" t="n"/>
      <c r="L792" s="19" t="n"/>
      <c r="M792" s="19" t="n"/>
      <c r="N792" s="19" t="n"/>
      <c r="O792" s="19" t="n"/>
      <c r="P792" s="19" t="n"/>
      <c r="Q792" s="19" t="n"/>
      <c r="R792" s="19" t="n"/>
    </row>
    <row r="793" ht="15.75" customHeight="1" s="545">
      <c r="A793" s="19" t="n"/>
      <c r="B793" s="19" t="n"/>
      <c r="C793" s="19" t="n"/>
      <c r="D793" s="19" t="n"/>
      <c r="E793" s="19" t="n"/>
      <c r="F793" s="19" t="n"/>
      <c r="G793" s="19" t="n"/>
      <c r="H793" s="19" t="n"/>
      <c r="I793" s="19" t="n"/>
      <c r="J793" s="19" t="n"/>
      <c r="K793" s="19" t="n"/>
      <c r="L793" s="19" t="n"/>
      <c r="M793" s="19" t="n"/>
      <c r="N793" s="19" t="n"/>
      <c r="O793" s="19" t="n"/>
      <c r="P793" s="19" t="n"/>
      <c r="Q793" s="19" t="n"/>
      <c r="R793" s="19" t="n"/>
    </row>
    <row r="794" ht="15.75" customHeight="1" s="545">
      <c r="A794" s="19" t="n"/>
      <c r="B794" s="19" t="n"/>
      <c r="C794" s="19" t="n"/>
      <c r="D794" s="19" t="n"/>
      <c r="E794" s="19" t="n"/>
      <c r="F794" s="19" t="n"/>
      <c r="G794" s="19" t="n"/>
      <c r="H794" s="19" t="n"/>
      <c r="I794" s="19" t="n"/>
      <c r="J794" s="19" t="n"/>
      <c r="K794" s="19" t="n"/>
      <c r="L794" s="19" t="n"/>
      <c r="M794" s="19" t="n"/>
      <c r="N794" s="19" t="n"/>
      <c r="O794" s="19" t="n"/>
      <c r="P794" s="19" t="n"/>
      <c r="Q794" s="19" t="n"/>
      <c r="R794" s="19" t="n"/>
    </row>
    <row r="795" ht="15.75" customHeight="1" s="545">
      <c r="A795" s="19" t="n"/>
      <c r="B795" s="19" t="n"/>
      <c r="C795" s="19" t="n"/>
      <c r="D795" s="19" t="n"/>
      <c r="E795" s="19" t="n"/>
      <c r="F795" s="19" t="n"/>
      <c r="G795" s="19" t="n"/>
      <c r="H795" s="19" t="n"/>
      <c r="I795" s="19" t="n"/>
      <c r="J795" s="19" t="n"/>
      <c r="K795" s="19" t="n"/>
      <c r="L795" s="19" t="n"/>
      <c r="M795" s="19" t="n"/>
      <c r="N795" s="19" t="n"/>
      <c r="O795" s="19" t="n"/>
      <c r="P795" s="19" t="n"/>
      <c r="Q795" s="19" t="n"/>
      <c r="R795" s="19" t="n"/>
    </row>
    <row r="796" ht="15.75" customHeight="1" s="545">
      <c r="A796" s="19" t="n"/>
      <c r="B796" s="19" t="n"/>
      <c r="C796" s="19" t="n"/>
      <c r="D796" s="19" t="n"/>
      <c r="E796" s="19" t="n"/>
      <c r="F796" s="19" t="n"/>
      <c r="G796" s="19" t="n"/>
      <c r="H796" s="19" t="n"/>
      <c r="I796" s="19" t="n"/>
      <c r="J796" s="19" t="n"/>
      <c r="K796" s="19" t="n"/>
      <c r="L796" s="19" t="n"/>
      <c r="M796" s="19" t="n"/>
      <c r="N796" s="19" t="n"/>
      <c r="O796" s="19" t="n"/>
      <c r="P796" s="19" t="n"/>
      <c r="Q796" s="19" t="n"/>
      <c r="R796" s="19" t="n"/>
    </row>
    <row r="797" ht="15.75" customHeight="1" s="545">
      <c r="A797" s="19" t="n"/>
      <c r="B797" s="19" t="n"/>
      <c r="C797" s="19" t="n"/>
      <c r="D797" s="19" t="n"/>
      <c r="E797" s="19" t="n"/>
      <c r="F797" s="19" t="n"/>
      <c r="G797" s="19" t="n"/>
      <c r="H797" s="19" t="n"/>
      <c r="I797" s="19" t="n"/>
      <c r="J797" s="19" t="n"/>
      <c r="K797" s="19" t="n"/>
      <c r="L797" s="19" t="n"/>
      <c r="M797" s="19" t="n"/>
      <c r="N797" s="19" t="n"/>
      <c r="O797" s="19" t="n"/>
      <c r="P797" s="19" t="n"/>
      <c r="Q797" s="19" t="n"/>
      <c r="R797" s="19" t="n"/>
    </row>
    <row r="798" ht="15.75" customHeight="1" s="545">
      <c r="A798" s="19" t="n"/>
      <c r="B798" s="19" t="n"/>
      <c r="C798" s="19" t="n"/>
      <c r="D798" s="19" t="n"/>
      <c r="E798" s="19" t="n"/>
      <c r="F798" s="19" t="n"/>
      <c r="G798" s="19" t="n"/>
      <c r="H798" s="19" t="n"/>
      <c r="I798" s="19" t="n"/>
      <c r="J798" s="19" t="n"/>
      <c r="K798" s="19" t="n"/>
      <c r="L798" s="19" t="n"/>
      <c r="M798" s="19" t="n"/>
      <c r="N798" s="19" t="n"/>
      <c r="O798" s="19" t="n"/>
      <c r="P798" s="19" t="n"/>
      <c r="Q798" s="19" t="n"/>
      <c r="R798" s="19" t="n"/>
    </row>
    <row r="799" ht="15.75" customHeight="1" s="545">
      <c r="A799" s="19" t="n"/>
      <c r="B799" s="19" t="n"/>
      <c r="C799" s="19" t="n"/>
      <c r="D799" s="19" t="n"/>
      <c r="E799" s="19" t="n"/>
      <c r="F799" s="19" t="n"/>
      <c r="G799" s="19" t="n"/>
      <c r="H799" s="19" t="n"/>
      <c r="I799" s="19" t="n"/>
      <c r="J799" s="19" t="n"/>
      <c r="K799" s="19" t="n"/>
      <c r="L799" s="19" t="n"/>
      <c r="M799" s="19" t="n"/>
      <c r="N799" s="19" t="n"/>
      <c r="O799" s="19" t="n"/>
      <c r="P799" s="19" t="n"/>
      <c r="Q799" s="19" t="n"/>
      <c r="R799" s="19" t="n"/>
    </row>
    <row r="800" ht="15.75" customHeight="1" s="545">
      <c r="A800" s="19" t="n"/>
      <c r="B800" s="19" t="n"/>
      <c r="C800" s="19" t="n"/>
      <c r="D800" s="19" t="n"/>
      <c r="E800" s="19" t="n"/>
      <c r="F800" s="19" t="n"/>
      <c r="G800" s="19" t="n"/>
      <c r="H800" s="19" t="n"/>
      <c r="I800" s="19" t="n"/>
      <c r="J800" s="19" t="n"/>
      <c r="K800" s="19" t="n"/>
      <c r="L800" s="19" t="n"/>
      <c r="M800" s="19" t="n"/>
      <c r="N800" s="19" t="n"/>
      <c r="O800" s="19" t="n"/>
      <c r="P800" s="19" t="n"/>
      <c r="Q800" s="19" t="n"/>
      <c r="R800" s="19" t="n"/>
    </row>
    <row r="801" ht="15.75" customHeight="1" s="545">
      <c r="A801" s="19" t="n"/>
      <c r="B801" s="19" t="n"/>
      <c r="C801" s="19" t="n"/>
      <c r="D801" s="19" t="n"/>
      <c r="E801" s="19" t="n"/>
      <c r="F801" s="19" t="n"/>
      <c r="G801" s="19" t="n"/>
      <c r="H801" s="19" t="n"/>
      <c r="I801" s="19" t="n"/>
      <c r="J801" s="19" t="n"/>
      <c r="K801" s="19" t="n"/>
      <c r="L801" s="19" t="n"/>
      <c r="M801" s="19" t="n"/>
      <c r="N801" s="19" t="n"/>
      <c r="O801" s="19" t="n"/>
      <c r="P801" s="19" t="n"/>
      <c r="Q801" s="19" t="n"/>
      <c r="R801" s="19" t="n"/>
    </row>
    <row r="802" ht="15.75" customHeight="1" s="545">
      <c r="A802" s="19" t="n"/>
      <c r="B802" s="19" t="n"/>
      <c r="C802" s="19" t="n"/>
      <c r="D802" s="19" t="n"/>
      <c r="E802" s="19" t="n"/>
      <c r="F802" s="19" t="n"/>
      <c r="G802" s="19" t="n"/>
      <c r="H802" s="19" t="n"/>
      <c r="I802" s="19" t="n"/>
      <c r="J802" s="19" t="n"/>
      <c r="K802" s="19" t="n"/>
      <c r="L802" s="19" t="n"/>
      <c r="M802" s="19" t="n"/>
      <c r="N802" s="19" t="n"/>
      <c r="O802" s="19" t="n"/>
      <c r="P802" s="19" t="n"/>
      <c r="Q802" s="19" t="n"/>
      <c r="R802" s="19" t="n"/>
    </row>
    <row r="803" ht="15.75" customHeight="1" s="545">
      <c r="A803" s="19" t="n"/>
      <c r="B803" s="19" t="n"/>
      <c r="C803" s="19" t="n"/>
      <c r="D803" s="19" t="n"/>
      <c r="E803" s="19" t="n"/>
      <c r="F803" s="19" t="n"/>
      <c r="G803" s="19" t="n"/>
      <c r="H803" s="19" t="n"/>
      <c r="I803" s="19" t="n"/>
      <c r="J803" s="19" t="n"/>
      <c r="K803" s="19" t="n"/>
      <c r="L803" s="19" t="n"/>
      <c r="M803" s="19" t="n"/>
      <c r="N803" s="19" t="n"/>
      <c r="O803" s="19" t="n"/>
      <c r="P803" s="19" t="n"/>
      <c r="Q803" s="19" t="n"/>
      <c r="R803" s="19" t="n"/>
    </row>
    <row r="804" ht="15.75" customHeight="1" s="545">
      <c r="A804" s="19" t="n"/>
      <c r="B804" s="19" t="n"/>
      <c r="C804" s="19" t="n"/>
      <c r="D804" s="19" t="n"/>
      <c r="E804" s="19" t="n"/>
      <c r="F804" s="19" t="n"/>
      <c r="G804" s="19" t="n"/>
      <c r="H804" s="19" t="n"/>
      <c r="I804" s="19" t="n"/>
      <c r="J804" s="19" t="n"/>
      <c r="K804" s="19" t="n"/>
      <c r="L804" s="19" t="n"/>
      <c r="M804" s="19" t="n"/>
      <c r="N804" s="19" t="n"/>
      <c r="O804" s="19" t="n"/>
      <c r="P804" s="19" t="n"/>
      <c r="Q804" s="19" t="n"/>
      <c r="R804" s="19" t="n"/>
    </row>
    <row r="805" ht="15.75" customHeight="1" s="545">
      <c r="A805" s="19" t="n"/>
      <c r="B805" s="19" t="n"/>
      <c r="C805" s="19" t="n"/>
      <c r="D805" s="19" t="n"/>
      <c r="E805" s="19" t="n"/>
      <c r="F805" s="19" t="n"/>
      <c r="G805" s="19" t="n"/>
      <c r="H805" s="19" t="n"/>
      <c r="I805" s="19" t="n"/>
      <c r="J805" s="19" t="n"/>
      <c r="K805" s="19" t="n"/>
      <c r="L805" s="19" t="n"/>
      <c r="M805" s="19" t="n"/>
      <c r="N805" s="19" t="n"/>
      <c r="O805" s="19" t="n"/>
      <c r="P805" s="19" t="n"/>
      <c r="Q805" s="19" t="n"/>
      <c r="R805" s="19" t="n"/>
    </row>
    <row r="806" ht="15.75" customHeight="1" s="545">
      <c r="A806" s="19" t="n"/>
      <c r="B806" s="19" t="n"/>
      <c r="C806" s="19" t="n"/>
      <c r="D806" s="19" t="n"/>
      <c r="E806" s="19" t="n"/>
      <c r="F806" s="19" t="n"/>
      <c r="G806" s="19" t="n"/>
      <c r="H806" s="19" t="n"/>
      <c r="I806" s="19" t="n"/>
      <c r="J806" s="19" t="n"/>
      <c r="K806" s="19" t="n"/>
      <c r="L806" s="19" t="n"/>
      <c r="M806" s="19" t="n"/>
      <c r="N806" s="19" t="n"/>
      <c r="O806" s="19" t="n"/>
      <c r="P806" s="19" t="n"/>
      <c r="Q806" s="19" t="n"/>
      <c r="R806" s="19" t="n"/>
    </row>
    <row r="807" ht="15.75" customHeight="1" s="545">
      <c r="A807" s="19" t="n"/>
      <c r="B807" s="19" t="n"/>
      <c r="C807" s="19" t="n"/>
      <c r="D807" s="19" t="n"/>
      <c r="E807" s="19" t="n"/>
      <c r="F807" s="19" t="n"/>
      <c r="G807" s="19" t="n"/>
      <c r="H807" s="19" t="n"/>
      <c r="I807" s="19" t="n"/>
      <c r="J807" s="19" t="n"/>
      <c r="K807" s="19" t="n"/>
      <c r="L807" s="19" t="n"/>
      <c r="M807" s="19" t="n"/>
      <c r="N807" s="19" t="n"/>
      <c r="O807" s="19" t="n"/>
      <c r="P807" s="19" t="n"/>
      <c r="Q807" s="19" t="n"/>
      <c r="R807" s="19" t="n"/>
    </row>
    <row r="808" ht="15.75" customHeight="1" s="545">
      <c r="A808" s="19" t="n"/>
      <c r="B808" s="19" t="n"/>
      <c r="C808" s="19" t="n"/>
      <c r="D808" s="19" t="n"/>
      <c r="E808" s="19" t="n"/>
      <c r="F808" s="19" t="n"/>
      <c r="G808" s="19" t="n"/>
      <c r="H808" s="19" t="n"/>
      <c r="I808" s="19" t="n"/>
      <c r="J808" s="19" t="n"/>
      <c r="K808" s="19" t="n"/>
      <c r="L808" s="19" t="n"/>
      <c r="M808" s="19" t="n"/>
      <c r="N808" s="19" t="n"/>
      <c r="O808" s="19" t="n"/>
      <c r="P808" s="19" t="n"/>
      <c r="Q808" s="19" t="n"/>
      <c r="R808" s="19" t="n"/>
    </row>
    <row r="809" ht="15.75" customHeight="1" s="545">
      <c r="A809" s="19" t="n"/>
      <c r="B809" s="19" t="n"/>
      <c r="C809" s="19" t="n"/>
      <c r="D809" s="19" t="n"/>
      <c r="E809" s="19" t="n"/>
      <c r="F809" s="19" t="n"/>
      <c r="G809" s="19" t="n"/>
      <c r="H809" s="19" t="n"/>
      <c r="I809" s="19" t="n"/>
      <c r="J809" s="19" t="n"/>
      <c r="K809" s="19" t="n"/>
      <c r="L809" s="19" t="n"/>
      <c r="M809" s="19" t="n"/>
      <c r="N809" s="19" t="n"/>
      <c r="O809" s="19" t="n"/>
      <c r="P809" s="19" t="n"/>
      <c r="Q809" s="19" t="n"/>
      <c r="R809" s="19" t="n"/>
    </row>
    <row r="810" ht="15.75" customHeight="1" s="545">
      <c r="A810" s="19" t="n"/>
      <c r="B810" s="19" t="n"/>
      <c r="C810" s="19" t="n"/>
      <c r="D810" s="19" t="n"/>
      <c r="E810" s="19" t="n"/>
      <c r="F810" s="19" t="n"/>
      <c r="G810" s="19" t="n"/>
      <c r="H810" s="19" t="n"/>
      <c r="I810" s="19" t="n"/>
      <c r="J810" s="19" t="n"/>
      <c r="K810" s="19" t="n"/>
      <c r="L810" s="19" t="n"/>
      <c r="M810" s="19" t="n"/>
      <c r="N810" s="19" t="n"/>
      <c r="O810" s="19" t="n"/>
      <c r="P810" s="19" t="n"/>
      <c r="Q810" s="19" t="n"/>
      <c r="R810" s="19" t="n"/>
    </row>
    <row r="811" ht="15.75" customHeight="1" s="545">
      <c r="A811" s="19" t="n"/>
      <c r="B811" s="19" t="n"/>
      <c r="C811" s="19" t="n"/>
      <c r="D811" s="19" t="n"/>
      <c r="E811" s="19" t="n"/>
      <c r="F811" s="19" t="n"/>
      <c r="G811" s="19" t="n"/>
      <c r="H811" s="19" t="n"/>
      <c r="I811" s="19" t="n"/>
      <c r="J811" s="19" t="n"/>
      <c r="K811" s="19" t="n"/>
      <c r="L811" s="19" t="n"/>
      <c r="M811" s="19" t="n"/>
      <c r="N811" s="19" t="n"/>
      <c r="O811" s="19" t="n"/>
      <c r="P811" s="19" t="n"/>
      <c r="Q811" s="19" t="n"/>
      <c r="R811" s="19" t="n"/>
    </row>
    <row r="812" ht="15.75" customHeight="1" s="545">
      <c r="A812" s="19" t="n"/>
      <c r="B812" s="19" t="n"/>
      <c r="C812" s="19" t="n"/>
      <c r="D812" s="19" t="n"/>
      <c r="E812" s="19" t="n"/>
      <c r="F812" s="19" t="n"/>
      <c r="G812" s="19" t="n"/>
      <c r="H812" s="19" t="n"/>
      <c r="I812" s="19" t="n"/>
      <c r="J812" s="19" t="n"/>
      <c r="K812" s="19" t="n"/>
      <c r="L812" s="19" t="n"/>
      <c r="M812" s="19" t="n"/>
      <c r="N812" s="19" t="n"/>
      <c r="O812" s="19" t="n"/>
      <c r="P812" s="19" t="n"/>
      <c r="Q812" s="19" t="n"/>
      <c r="R812" s="19" t="n"/>
    </row>
    <row r="813" ht="15.75" customHeight="1" s="545">
      <c r="A813" s="19" t="n"/>
      <c r="B813" s="19" t="n"/>
      <c r="C813" s="19" t="n"/>
      <c r="D813" s="19" t="n"/>
      <c r="E813" s="19" t="n"/>
      <c r="F813" s="19" t="n"/>
      <c r="G813" s="19" t="n"/>
      <c r="H813" s="19" t="n"/>
      <c r="I813" s="19" t="n"/>
      <c r="J813" s="19" t="n"/>
      <c r="K813" s="19" t="n"/>
      <c r="L813" s="19" t="n"/>
      <c r="M813" s="19" t="n"/>
      <c r="N813" s="19" t="n"/>
      <c r="O813" s="19" t="n"/>
      <c r="P813" s="19" t="n"/>
      <c r="Q813" s="19" t="n"/>
      <c r="R813" s="19" t="n"/>
    </row>
    <row r="814" ht="15.75" customHeight="1" s="545">
      <c r="A814" s="19" t="n"/>
      <c r="B814" s="19" t="n"/>
      <c r="C814" s="19" t="n"/>
      <c r="D814" s="19" t="n"/>
      <c r="E814" s="19" t="n"/>
      <c r="F814" s="19" t="n"/>
      <c r="G814" s="19" t="n"/>
      <c r="H814" s="19" t="n"/>
      <c r="I814" s="19" t="n"/>
      <c r="J814" s="19" t="n"/>
      <c r="K814" s="19" t="n"/>
      <c r="L814" s="19" t="n"/>
      <c r="M814" s="19" t="n"/>
      <c r="N814" s="19" t="n"/>
      <c r="O814" s="19" t="n"/>
      <c r="P814" s="19" t="n"/>
      <c r="Q814" s="19" t="n"/>
      <c r="R814" s="19" t="n"/>
    </row>
    <row r="815" ht="15.75" customHeight="1" s="545">
      <c r="A815" s="19" t="n"/>
      <c r="B815" s="19" t="n"/>
      <c r="C815" s="19" t="n"/>
      <c r="D815" s="19" t="n"/>
      <c r="E815" s="19" t="n"/>
      <c r="F815" s="19" t="n"/>
      <c r="G815" s="19" t="n"/>
      <c r="H815" s="19" t="n"/>
      <c r="I815" s="19" t="n"/>
      <c r="J815" s="19" t="n"/>
      <c r="K815" s="19" t="n"/>
      <c r="L815" s="19" t="n"/>
      <c r="M815" s="19" t="n"/>
      <c r="N815" s="19" t="n"/>
      <c r="O815" s="19" t="n"/>
      <c r="P815" s="19" t="n"/>
      <c r="Q815" s="19" t="n"/>
      <c r="R815" s="19" t="n"/>
    </row>
    <row r="816" ht="15.75" customHeight="1" s="545">
      <c r="A816" s="19" t="n"/>
      <c r="B816" s="19" t="n"/>
      <c r="C816" s="19" t="n"/>
      <c r="D816" s="19" t="n"/>
      <c r="E816" s="19" t="n"/>
      <c r="F816" s="19" t="n"/>
      <c r="G816" s="19" t="n"/>
      <c r="H816" s="19" t="n"/>
      <c r="I816" s="19" t="n"/>
      <c r="J816" s="19" t="n"/>
      <c r="K816" s="19" t="n"/>
      <c r="L816" s="19" t="n"/>
      <c r="M816" s="19" t="n"/>
      <c r="N816" s="19" t="n"/>
      <c r="O816" s="19" t="n"/>
      <c r="P816" s="19" t="n"/>
      <c r="Q816" s="19" t="n"/>
      <c r="R816" s="19" t="n"/>
    </row>
    <row r="817" ht="15.75" customHeight="1" s="545">
      <c r="A817" s="19" t="n"/>
      <c r="B817" s="19" t="n"/>
      <c r="C817" s="19" t="n"/>
      <c r="D817" s="19" t="n"/>
      <c r="E817" s="19" t="n"/>
      <c r="F817" s="19" t="n"/>
      <c r="G817" s="19" t="n"/>
      <c r="H817" s="19" t="n"/>
      <c r="I817" s="19" t="n"/>
      <c r="J817" s="19" t="n"/>
      <c r="K817" s="19" t="n"/>
      <c r="L817" s="19" t="n"/>
      <c r="M817" s="19" t="n"/>
      <c r="N817" s="19" t="n"/>
      <c r="O817" s="19" t="n"/>
      <c r="P817" s="19" t="n"/>
      <c r="Q817" s="19" t="n"/>
      <c r="R817" s="19" t="n"/>
    </row>
    <row r="818" ht="15.75" customHeight="1" s="545">
      <c r="A818" s="19" t="n"/>
      <c r="B818" s="19" t="n"/>
      <c r="C818" s="19" t="n"/>
      <c r="D818" s="19" t="n"/>
      <c r="E818" s="19" t="n"/>
      <c r="F818" s="19" t="n"/>
      <c r="G818" s="19" t="n"/>
      <c r="H818" s="19" t="n"/>
      <c r="I818" s="19" t="n"/>
      <c r="J818" s="19" t="n"/>
      <c r="K818" s="19" t="n"/>
      <c r="L818" s="19" t="n"/>
      <c r="M818" s="19" t="n"/>
      <c r="N818" s="19" t="n"/>
      <c r="O818" s="19" t="n"/>
      <c r="P818" s="19" t="n"/>
      <c r="Q818" s="19" t="n"/>
      <c r="R818" s="19" t="n"/>
    </row>
    <row r="819" ht="15.75" customHeight="1" s="545">
      <c r="A819" s="19" t="n"/>
      <c r="B819" s="19" t="n"/>
      <c r="C819" s="19" t="n"/>
      <c r="D819" s="19" t="n"/>
      <c r="E819" s="19" t="n"/>
      <c r="F819" s="19" t="n"/>
      <c r="G819" s="19" t="n"/>
      <c r="H819" s="19" t="n"/>
      <c r="I819" s="19" t="n"/>
      <c r="J819" s="19" t="n"/>
      <c r="K819" s="19" t="n"/>
      <c r="L819" s="19" t="n"/>
      <c r="M819" s="19" t="n"/>
      <c r="N819" s="19" t="n"/>
      <c r="O819" s="19" t="n"/>
      <c r="P819" s="19" t="n"/>
      <c r="Q819" s="19" t="n"/>
      <c r="R819" s="19" t="n"/>
    </row>
    <row r="820" ht="15.75" customHeight="1" s="545">
      <c r="A820" s="19" t="n"/>
      <c r="B820" s="19" t="n"/>
      <c r="C820" s="19" t="n"/>
      <c r="D820" s="19" t="n"/>
      <c r="E820" s="19" t="n"/>
      <c r="F820" s="19" t="n"/>
      <c r="G820" s="19" t="n"/>
      <c r="H820" s="19" t="n"/>
      <c r="I820" s="19" t="n"/>
      <c r="J820" s="19" t="n"/>
      <c r="K820" s="19" t="n"/>
      <c r="L820" s="19" t="n"/>
      <c r="M820" s="19" t="n"/>
      <c r="N820" s="19" t="n"/>
      <c r="O820" s="19" t="n"/>
      <c r="P820" s="19" t="n"/>
      <c r="Q820" s="19" t="n"/>
      <c r="R820" s="19" t="n"/>
    </row>
    <row r="821" ht="15.75" customHeight="1" s="545">
      <c r="A821" s="19" t="n"/>
      <c r="B821" s="19" t="n"/>
      <c r="C821" s="19" t="n"/>
      <c r="D821" s="19" t="n"/>
      <c r="E821" s="19" t="n"/>
      <c r="F821" s="19" t="n"/>
      <c r="G821" s="19" t="n"/>
      <c r="H821" s="19" t="n"/>
      <c r="I821" s="19" t="n"/>
      <c r="J821" s="19" t="n"/>
      <c r="K821" s="19" t="n"/>
      <c r="L821" s="19" t="n"/>
      <c r="M821" s="19" t="n"/>
      <c r="N821" s="19" t="n"/>
      <c r="O821" s="19" t="n"/>
      <c r="P821" s="19" t="n"/>
      <c r="Q821" s="19" t="n"/>
      <c r="R821" s="19" t="n"/>
    </row>
    <row r="822" ht="15.75" customHeight="1" s="545">
      <c r="A822" s="19" t="n"/>
      <c r="B822" s="19" t="n"/>
      <c r="C822" s="19" t="n"/>
      <c r="D822" s="19" t="n"/>
      <c r="E822" s="19" t="n"/>
      <c r="F822" s="19" t="n"/>
      <c r="G822" s="19" t="n"/>
      <c r="H822" s="19" t="n"/>
      <c r="I822" s="19" t="n"/>
      <c r="J822" s="19" t="n"/>
      <c r="K822" s="19" t="n"/>
      <c r="L822" s="19" t="n"/>
      <c r="M822" s="19" t="n"/>
      <c r="N822" s="19" t="n"/>
      <c r="O822" s="19" t="n"/>
      <c r="P822" s="19" t="n"/>
      <c r="Q822" s="19" t="n"/>
      <c r="R822" s="19" t="n"/>
    </row>
    <row r="823" ht="15.75" customHeight="1" s="545">
      <c r="A823" s="19" t="n"/>
      <c r="B823" s="19" t="n"/>
      <c r="C823" s="19" t="n"/>
      <c r="D823" s="19" t="n"/>
      <c r="E823" s="19" t="n"/>
      <c r="F823" s="19" t="n"/>
      <c r="G823" s="19" t="n"/>
      <c r="H823" s="19" t="n"/>
      <c r="I823" s="19" t="n"/>
      <c r="J823" s="19" t="n"/>
      <c r="K823" s="19" t="n"/>
      <c r="L823" s="19" t="n"/>
      <c r="M823" s="19" t="n"/>
      <c r="N823" s="19" t="n"/>
      <c r="O823" s="19" t="n"/>
      <c r="P823" s="19" t="n"/>
      <c r="Q823" s="19" t="n"/>
      <c r="R823" s="19" t="n"/>
    </row>
    <row r="824" ht="15.75" customHeight="1" s="545">
      <c r="A824" s="19" t="n"/>
      <c r="B824" s="19" t="n"/>
      <c r="C824" s="19" t="n"/>
      <c r="D824" s="19" t="n"/>
      <c r="E824" s="19" t="n"/>
      <c r="F824" s="19" t="n"/>
      <c r="G824" s="19" t="n"/>
      <c r="H824" s="19" t="n"/>
      <c r="I824" s="19" t="n"/>
      <c r="J824" s="19" t="n"/>
      <c r="K824" s="19" t="n"/>
      <c r="L824" s="19" t="n"/>
      <c r="M824" s="19" t="n"/>
      <c r="N824" s="19" t="n"/>
      <c r="O824" s="19" t="n"/>
      <c r="P824" s="19" t="n"/>
      <c r="Q824" s="19" t="n"/>
      <c r="R824" s="19" t="n"/>
    </row>
    <row r="825" ht="15.75" customHeight="1" s="545">
      <c r="A825" s="19" t="n"/>
      <c r="B825" s="19" t="n"/>
      <c r="C825" s="19" t="n"/>
      <c r="D825" s="19" t="n"/>
      <c r="E825" s="19" t="n"/>
      <c r="F825" s="19" t="n"/>
      <c r="G825" s="19" t="n"/>
      <c r="H825" s="19" t="n"/>
      <c r="I825" s="19" t="n"/>
      <c r="J825" s="19" t="n"/>
      <c r="K825" s="19" t="n"/>
      <c r="L825" s="19" t="n"/>
      <c r="M825" s="19" t="n"/>
      <c r="N825" s="19" t="n"/>
      <c r="O825" s="19" t="n"/>
      <c r="P825" s="19" t="n"/>
      <c r="Q825" s="19" t="n"/>
      <c r="R825" s="19" t="n"/>
    </row>
    <row r="826" ht="15.75" customHeight="1" s="545">
      <c r="A826" s="19" t="n"/>
      <c r="B826" s="19" t="n"/>
      <c r="C826" s="19" t="n"/>
      <c r="D826" s="19" t="n"/>
      <c r="E826" s="19" t="n"/>
      <c r="F826" s="19" t="n"/>
      <c r="G826" s="19" t="n"/>
      <c r="H826" s="19" t="n"/>
      <c r="I826" s="19" t="n"/>
      <c r="J826" s="19" t="n"/>
      <c r="K826" s="19" t="n"/>
      <c r="L826" s="19" t="n"/>
      <c r="M826" s="19" t="n"/>
      <c r="N826" s="19" t="n"/>
      <c r="O826" s="19" t="n"/>
      <c r="P826" s="19" t="n"/>
      <c r="Q826" s="19" t="n"/>
      <c r="R826" s="19" t="n"/>
    </row>
    <row r="827" ht="15.75" customHeight="1" s="545">
      <c r="A827" s="19" t="n"/>
      <c r="B827" s="19" t="n"/>
      <c r="C827" s="19" t="n"/>
      <c r="D827" s="19" t="n"/>
      <c r="E827" s="19" t="n"/>
      <c r="F827" s="19" t="n"/>
      <c r="G827" s="19" t="n"/>
      <c r="H827" s="19" t="n"/>
      <c r="I827" s="19" t="n"/>
      <c r="J827" s="19" t="n"/>
      <c r="K827" s="19" t="n"/>
      <c r="L827" s="19" t="n"/>
      <c r="M827" s="19" t="n"/>
      <c r="N827" s="19" t="n"/>
      <c r="O827" s="19" t="n"/>
      <c r="P827" s="19" t="n"/>
      <c r="Q827" s="19" t="n"/>
      <c r="R827" s="19" t="n"/>
    </row>
    <row r="828" ht="15.75" customHeight="1" s="545">
      <c r="A828" s="19" t="n"/>
      <c r="B828" s="19" t="n"/>
      <c r="C828" s="19" t="n"/>
      <c r="D828" s="19" t="n"/>
      <c r="E828" s="19" t="n"/>
      <c r="F828" s="19" t="n"/>
      <c r="G828" s="19" t="n"/>
      <c r="H828" s="19" t="n"/>
      <c r="I828" s="19" t="n"/>
      <c r="J828" s="19" t="n"/>
      <c r="K828" s="19" t="n"/>
      <c r="L828" s="19" t="n"/>
      <c r="M828" s="19" t="n"/>
      <c r="N828" s="19" t="n"/>
      <c r="O828" s="19" t="n"/>
      <c r="P828" s="19" t="n"/>
      <c r="Q828" s="19" t="n"/>
      <c r="R828" s="19" t="n"/>
    </row>
    <row r="829" ht="15.75" customHeight="1" s="545">
      <c r="A829" s="19" t="n"/>
      <c r="B829" s="19" t="n"/>
      <c r="C829" s="19" t="n"/>
      <c r="D829" s="19" t="n"/>
      <c r="E829" s="19" t="n"/>
      <c r="F829" s="19" t="n"/>
      <c r="G829" s="19" t="n"/>
      <c r="H829" s="19" t="n"/>
      <c r="I829" s="19" t="n"/>
      <c r="J829" s="19" t="n"/>
      <c r="K829" s="19" t="n"/>
      <c r="L829" s="19" t="n"/>
      <c r="M829" s="19" t="n"/>
      <c r="N829" s="19" t="n"/>
      <c r="O829" s="19" t="n"/>
      <c r="P829" s="19" t="n"/>
      <c r="Q829" s="19" t="n"/>
      <c r="R829" s="19" t="n"/>
    </row>
    <row r="830" ht="15.75" customHeight="1" s="545">
      <c r="A830" s="19" t="n"/>
      <c r="B830" s="19" t="n"/>
      <c r="C830" s="19" t="n"/>
      <c r="D830" s="19" t="n"/>
      <c r="E830" s="19" t="n"/>
      <c r="F830" s="19" t="n"/>
      <c r="G830" s="19" t="n"/>
      <c r="H830" s="19" t="n"/>
      <c r="I830" s="19" t="n"/>
      <c r="J830" s="19" t="n"/>
      <c r="K830" s="19" t="n"/>
      <c r="L830" s="19" t="n"/>
      <c r="M830" s="19" t="n"/>
      <c r="N830" s="19" t="n"/>
      <c r="O830" s="19" t="n"/>
      <c r="P830" s="19" t="n"/>
      <c r="Q830" s="19" t="n"/>
      <c r="R830" s="19" t="n"/>
    </row>
    <row r="831" ht="15.75" customHeight="1" s="545">
      <c r="A831" s="19" t="n"/>
      <c r="B831" s="19" t="n"/>
      <c r="C831" s="19" t="n"/>
      <c r="D831" s="19" t="n"/>
      <c r="E831" s="19" t="n"/>
      <c r="F831" s="19" t="n"/>
      <c r="G831" s="19" t="n"/>
      <c r="H831" s="19" t="n"/>
      <c r="I831" s="19" t="n"/>
      <c r="J831" s="19" t="n"/>
      <c r="K831" s="19" t="n"/>
      <c r="L831" s="19" t="n"/>
      <c r="M831" s="19" t="n"/>
      <c r="N831" s="19" t="n"/>
      <c r="O831" s="19" t="n"/>
      <c r="P831" s="19" t="n"/>
      <c r="Q831" s="19" t="n"/>
      <c r="R831" s="19" t="n"/>
    </row>
    <row r="832" ht="15.75" customHeight="1" s="545">
      <c r="A832" s="19" t="n"/>
      <c r="B832" s="19" t="n"/>
      <c r="C832" s="19" t="n"/>
      <c r="D832" s="19" t="n"/>
      <c r="E832" s="19" t="n"/>
      <c r="F832" s="19" t="n"/>
      <c r="G832" s="19" t="n"/>
      <c r="H832" s="19" t="n"/>
      <c r="I832" s="19" t="n"/>
      <c r="J832" s="19" t="n"/>
      <c r="K832" s="19" t="n"/>
      <c r="L832" s="19" t="n"/>
      <c r="M832" s="19" t="n"/>
      <c r="N832" s="19" t="n"/>
      <c r="O832" s="19" t="n"/>
      <c r="P832" s="19" t="n"/>
      <c r="Q832" s="19" t="n"/>
      <c r="R832" s="19" t="n"/>
    </row>
    <row r="833" ht="15.75" customHeight="1" s="545">
      <c r="A833" s="19" t="n"/>
      <c r="B833" s="19" t="n"/>
      <c r="C833" s="19" t="n"/>
      <c r="D833" s="19" t="n"/>
      <c r="E833" s="19" t="n"/>
      <c r="F833" s="19" t="n"/>
      <c r="G833" s="19" t="n"/>
      <c r="H833" s="19" t="n"/>
      <c r="I833" s="19" t="n"/>
      <c r="J833" s="19" t="n"/>
      <c r="K833" s="19" t="n"/>
      <c r="L833" s="19" t="n"/>
      <c r="M833" s="19" t="n"/>
      <c r="N833" s="19" t="n"/>
      <c r="O833" s="19" t="n"/>
      <c r="P833" s="19" t="n"/>
      <c r="Q833" s="19" t="n"/>
      <c r="R833" s="19" t="n"/>
    </row>
    <row r="834" ht="15.75" customHeight="1" s="545">
      <c r="A834" s="19" t="n"/>
      <c r="B834" s="19" t="n"/>
      <c r="C834" s="19" t="n"/>
      <c r="D834" s="19" t="n"/>
      <c r="E834" s="19" t="n"/>
      <c r="F834" s="19" t="n"/>
      <c r="G834" s="19" t="n"/>
      <c r="H834" s="19" t="n"/>
      <c r="I834" s="19" t="n"/>
      <c r="J834" s="19" t="n"/>
      <c r="K834" s="19" t="n"/>
      <c r="L834" s="19" t="n"/>
      <c r="M834" s="19" t="n"/>
      <c r="N834" s="19" t="n"/>
      <c r="O834" s="19" t="n"/>
      <c r="P834" s="19" t="n"/>
      <c r="Q834" s="19" t="n"/>
      <c r="R834" s="19" t="n"/>
    </row>
    <row r="835" ht="15.75" customHeight="1" s="545">
      <c r="A835" s="19" t="n"/>
      <c r="B835" s="19" t="n"/>
      <c r="C835" s="19" t="n"/>
      <c r="D835" s="19" t="n"/>
      <c r="E835" s="19" t="n"/>
      <c r="F835" s="19" t="n"/>
      <c r="G835" s="19" t="n"/>
      <c r="H835" s="19" t="n"/>
      <c r="I835" s="19" t="n"/>
      <c r="J835" s="19" t="n"/>
      <c r="K835" s="19" t="n"/>
      <c r="L835" s="19" t="n"/>
      <c r="M835" s="19" t="n"/>
      <c r="N835" s="19" t="n"/>
      <c r="O835" s="19" t="n"/>
      <c r="P835" s="19" t="n"/>
      <c r="Q835" s="19" t="n"/>
      <c r="R835" s="19" t="n"/>
    </row>
    <row r="836" ht="15.75" customHeight="1" s="545">
      <c r="A836" s="19" t="n"/>
      <c r="B836" s="19" t="n"/>
      <c r="C836" s="19" t="n"/>
      <c r="D836" s="19" t="n"/>
      <c r="E836" s="19" t="n"/>
      <c r="F836" s="19" t="n"/>
      <c r="G836" s="19" t="n"/>
      <c r="H836" s="19" t="n"/>
      <c r="I836" s="19" t="n"/>
      <c r="J836" s="19" t="n"/>
      <c r="K836" s="19" t="n"/>
      <c r="L836" s="19" t="n"/>
      <c r="M836" s="19" t="n"/>
      <c r="N836" s="19" t="n"/>
      <c r="O836" s="19" t="n"/>
      <c r="P836" s="19" t="n"/>
      <c r="Q836" s="19" t="n"/>
      <c r="R836" s="19" t="n"/>
    </row>
    <row r="837" ht="15.75" customHeight="1" s="545">
      <c r="A837" s="19" t="n"/>
      <c r="B837" s="19" t="n"/>
      <c r="C837" s="19" t="n"/>
      <c r="D837" s="19" t="n"/>
      <c r="E837" s="19" t="n"/>
      <c r="F837" s="19" t="n"/>
      <c r="G837" s="19" t="n"/>
      <c r="H837" s="19" t="n"/>
      <c r="I837" s="19" t="n"/>
      <c r="J837" s="19" t="n"/>
      <c r="K837" s="19" t="n"/>
      <c r="L837" s="19" t="n"/>
      <c r="M837" s="19" t="n"/>
      <c r="N837" s="19" t="n"/>
      <c r="O837" s="19" t="n"/>
      <c r="P837" s="19" t="n"/>
      <c r="Q837" s="19" t="n"/>
      <c r="R837" s="19" t="n"/>
    </row>
    <row r="838" ht="15.75" customHeight="1" s="545">
      <c r="A838" s="19" t="n"/>
      <c r="B838" s="19" t="n"/>
      <c r="C838" s="19" t="n"/>
      <c r="D838" s="19" t="n"/>
      <c r="E838" s="19" t="n"/>
      <c r="F838" s="19" t="n"/>
      <c r="G838" s="19" t="n"/>
      <c r="H838" s="19" t="n"/>
      <c r="I838" s="19" t="n"/>
      <c r="J838" s="19" t="n"/>
      <c r="K838" s="19" t="n"/>
      <c r="L838" s="19" t="n"/>
      <c r="M838" s="19" t="n"/>
      <c r="N838" s="19" t="n"/>
      <c r="O838" s="19" t="n"/>
      <c r="P838" s="19" t="n"/>
      <c r="Q838" s="19" t="n"/>
      <c r="R838" s="19" t="n"/>
    </row>
    <row r="839" ht="15.75" customHeight="1" s="545">
      <c r="A839" s="19" t="n"/>
      <c r="B839" s="19" t="n"/>
      <c r="C839" s="19" t="n"/>
      <c r="D839" s="19" t="n"/>
      <c r="E839" s="19" t="n"/>
      <c r="F839" s="19" t="n"/>
      <c r="G839" s="19" t="n"/>
      <c r="H839" s="19" t="n"/>
      <c r="I839" s="19" t="n"/>
      <c r="J839" s="19" t="n"/>
      <c r="K839" s="19" t="n"/>
      <c r="L839" s="19" t="n"/>
      <c r="M839" s="19" t="n"/>
      <c r="N839" s="19" t="n"/>
      <c r="O839" s="19" t="n"/>
      <c r="P839" s="19" t="n"/>
      <c r="Q839" s="19" t="n"/>
      <c r="R839" s="19" t="n"/>
    </row>
    <row r="840" ht="15.75" customHeight="1" s="545">
      <c r="A840" s="19" t="n"/>
      <c r="B840" s="19" t="n"/>
      <c r="C840" s="19" t="n"/>
      <c r="D840" s="19" t="n"/>
      <c r="E840" s="19" t="n"/>
      <c r="F840" s="19" t="n"/>
      <c r="G840" s="19" t="n"/>
      <c r="H840" s="19" t="n"/>
      <c r="I840" s="19" t="n"/>
      <c r="J840" s="19" t="n"/>
      <c r="K840" s="19" t="n"/>
      <c r="L840" s="19" t="n"/>
      <c r="M840" s="19" t="n"/>
      <c r="N840" s="19" t="n"/>
      <c r="O840" s="19" t="n"/>
      <c r="P840" s="19" t="n"/>
      <c r="Q840" s="19" t="n"/>
      <c r="R840" s="19" t="n"/>
    </row>
    <row r="841" ht="15.75" customHeight="1" s="545">
      <c r="A841" s="19" t="n"/>
      <c r="B841" s="19" t="n"/>
      <c r="C841" s="19" t="n"/>
      <c r="D841" s="19" t="n"/>
      <c r="E841" s="19" t="n"/>
      <c r="F841" s="19" t="n"/>
      <c r="G841" s="19" t="n"/>
      <c r="H841" s="19" t="n"/>
      <c r="I841" s="19" t="n"/>
      <c r="J841" s="19" t="n"/>
      <c r="K841" s="19" t="n"/>
      <c r="L841" s="19" t="n"/>
      <c r="M841" s="19" t="n"/>
      <c r="N841" s="19" t="n"/>
      <c r="O841" s="19" t="n"/>
      <c r="P841" s="19" t="n"/>
      <c r="Q841" s="19" t="n"/>
      <c r="R841" s="19" t="n"/>
    </row>
    <row r="842" ht="15.75" customHeight="1" s="545">
      <c r="A842" s="19" t="n"/>
      <c r="B842" s="19" t="n"/>
      <c r="C842" s="19" t="n"/>
      <c r="D842" s="19" t="n"/>
      <c r="E842" s="19" t="n"/>
      <c r="F842" s="19" t="n"/>
      <c r="G842" s="19" t="n"/>
      <c r="H842" s="19" t="n"/>
      <c r="I842" s="19" t="n"/>
      <c r="J842" s="19" t="n"/>
      <c r="K842" s="19" t="n"/>
      <c r="L842" s="19" t="n"/>
      <c r="M842" s="19" t="n"/>
      <c r="N842" s="19" t="n"/>
      <c r="O842" s="19" t="n"/>
      <c r="P842" s="19" t="n"/>
      <c r="Q842" s="19" t="n"/>
      <c r="R842" s="19" t="n"/>
    </row>
    <row r="843" ht="15.75" customHeight="1" s="545">
      <c r="A843" s="19" t="n"/>
      <c r="B843" s="19" t="n"/>
      <c r="C843" s="19" t="n"/>
      <c r="D843" s="19" t="n"/>
      <c r="E843" s="19" t="n"/>
      <c r="F843" s="19" t="n"/>
      <c r="G843" s="19" t="n"/>
      <c r="H843" s="19" t="n"/>
      <c r="I843" s="19" t="n"/>
      <c r="J843" s="19" t="n"/>
      <c r="K843" s="19" t="n"/>
      <c r="L843" s="19" t="n"/>
      <c r="M843" s="19" t="n"/>
      <c r="N843" s="19" t="n"/>
      <c r="O843" s="19" t="n"/>
      <c r="P843" s="19" t="n"/>
      <c r="Q843" s="19" t="n"/>
      <c r="R843" s="19" t="n"/>
    </row>
    <row r="844" ht="15.75" customHeight="1" s="545">
      <c r="A844" s="19" t="n"/>
      <c r="B844" s="19" t="n"/>
      <c r="C844" s="19" t="n"/>
      <c r="D844" s="19" t="n"/>
      <c r="E844" s="19" t="n"/>
      <c r="F844" s="19" t="n"/>
      <c r="G844" s="19" t="n"/>
      <c r="H844" s="19" t="n"/>
      <c r="I844" s="19" t="n"/>
      <c r="J844" s="19" t="n"/>
      <c r="K844" s="19" t="n"/>
      <c r="L844" s="19" t="n"/>
      <c r="M844" s="19" t="n"/>
      <c r="N844" s="19" t="n"/>
      <c r="O844" s="19" t="n"/>
      <c r="P844" s="19" t="n"/>
      <c r="Q844" s="19" t="n"/>
      <c r="R844" s="19" t="n"/>
    </row>
    <row r="845" ht="15.75" customHeight="1" s="545">
      <c r="A845" s="19" t="n"/>
      <c r="B845" s="19" t="n"/>
      <c r="C845" s="19" t="n"/>
      <c r="D845" s="19" t="n"/>
      <c r="E845" s="19" t="n"/>
      <c r="F845" s="19" t="n"/>
      <c r="G845" s="19" t="n"/>
      <c r="H845" s="19" t="n"/>
      <c r="I845" s="19" t="n"/>
      <c r="J845" s="19" t="n"/>
      <c r="K845" s="19" t="n"/>
      <c r="L845" s="19" t="n"/>
      <c r="M845" s="19" t="n"/>
      <c r="N845" s="19" t="n"/>
      <c r="O845" s="19" t="n"/>
      <c r="P845" s="19" t="n"/>
      <c r="Q845" s="19" t="n"/>
      <c r="R845" s="19" t="n"/>
    </row>
    <row r="846" ht="15.75" customHeight="1" s="545">
      <c r="A846" s="19" t="n"/>
      <c r="B846" s="19" t="n"/>
      <c r="C846" s="19" t="n"/>
      <c r="D846" s="19" t="n"/>
      <c r="E846" s="19" t="n"/>
      <c r="F846" s="19" t="n"/>
      <c r="G846" s="19" t="n"/>
      <c r="H846" s="19" t="n"/>
      <c r="I846" s="19" t="n"/>
      <c r="J846" s="19" t="n"/>
      <c r="K846" s="19" t="n"/>
      <c r="L846" s="19" t="n"/>
      <c r="M846" s="19" t="n"/>
      <c r="N846" s="19" t="n"/>
      <c r="O846" s="19" t="n"/>
      <c r="P846" s="19" t="n"/>
      <c r="Q846" s="19" t="n"/>
      <c r="R846" s="19" t="n"/>
    </row>
    <row r="847" ht="15.75" customHeight="1" s="545">
      <c r="A847" s="19" t="n"/>
      <c r="B847" s="19" t="n"/>
      <c r="C847" s="19" t="n"/>
      <c r="D847" s="19" t="n"/>
      <c r="E847" s="19" t="n"/>
      <c r="F847" s="19" t="n"/>
      <c r="G847" s="19" t="n"/>
      <c r="H847" s="19" t="n"/>
      <c r="I847" s="19" t="n"/>
      <c r="J847" s="19" t="n"/>
      <c r="K847" s="19" t="n"/>
      <c r="L847" s="19" t="n"/>
      <c r="M847" s="19" t="n"/>
      <c r="N847" s="19" t="n"/>
      <c r="O847" s="19" t="n"/>
      <c r="P847" s="19" t="n"/>
      <c r="Q847" s="19" t="n"/>
      <c r="R847" s="19" t="n"/>
    </row>
    <row r="848" ht="15.75" customHeight="1" s="545">
      <c r="A848" s="19" t="n"/>
      <c r="B848" s="19" t="n"/>
      <c r="C848" s="19" t="n"/>
      <c r="D848" s="19" t="n"/>
      <c r="E848" s="19" t="n"/>
      <c r="F848" s="19" t="n"/>
      <c r="G848" s="19" t="n"/>
      <c r="H848" s="19" t="n"/>
      <c r="I848" s="19" t="n"/>
      <c r="J848" s="19" t="n"/>
      <c r="K848" s="19" t="n"/>
      <c r="L848" s="19" t="n"/>
      <c r="M848" s="19" t="n"/>
      <c r="N848" s="19" t="n"/>
      <c r="O848" s="19" t="n"/>
      <c r="P848" s="19" t="n"/>
      <c r="Q848" s="19" t="n"/>
      <c r="R848" s="19" t="n"/>
    </row>
    <row r="849" ht="15.75" customHeight="1" s="545">
      <c r="A849" s="19" t="n"/>
      <c r="B849" s="19" t="n"/>
      <c r="C849" s="19" t="n"/>
      <c r="D849" s="19" t="n"/>
      <c r="E849" s="19" t="n"/>
      <c r="F849" s="19" t="n"/>
      <c r="G849" s="19" t="n"/>
      <c r="H849" s="19" t="n"/>
      <c r="I849" s="19" t="n"/>
      <c r="J849" s="19" t="n"/>
      <c r="K849" s="19" t="n"/>
      <c r="L849" s="19" t="n"/>
      <c r="M849" s="19" t="n"/>
      <c r="N849" s="19" t="n"/>
      <c r="O849" s="19" t="n"/>
      <c r="P849" s="19" t="n"/>
      <c r="Q849" s="19" t="n"/>
      <c r="R849" s="19" t="n"/>
    </row>
    <row r="850" ht="15.75" customHeight="1" s="545">
      <c r="A850" s="19" t="n"/>
      <c r="B850" s="19" t="n"/>
      <c r="C850" s="19" t="n"/>
      <c r="D850" s="19" t="n"/>
      <c r="E850" s="19" t="n"/>
      <c r="F850" s="19" t="n"/>
      <c r="G850" s="19" t="n"/>
      <c r="H850" s="19" t="n"/>
      <c r="I850" s="19" t="n"/>
      <c r="J850" s="19" t="n"/>
      <c r="K850" s="19" t="n"/>
      <c r="L850" s="19" t="n"/>
      <c r="M850" s="19" t="n"/>
      <c r="N850" s="19" t="n"/>
      <c r="O850" s="19" t="n"/>
      <c r="P850" s="19" t="n"/>
      <c r="Q850" s="19" t="n"/>
      <c r="R850" s="19" t="n"/>
    </row>
    <row r="851" ht="15.75" customHeight="1" s="545">
      <c r="A851" s="19" t="n"/>
      <c r="B851" s="19" t="n"/>
      <c r="C851" s="19" t="n"/>
      <c r="D851" s="19" t="n"/>
      <c r="E851" s="19" t="n"/>
      <c r="F851" s="19" t="n"/>
      <c r="G851" s="19" t="n"/>
      <c r="H851" s="19" t="n"/>
      <c r="I851" s="19" t="n"/>
      <c r="J851" s="19" t="n"/>
      <c r="K851" s="19" t="n"/>
      <c r="L851" s="19" t="n"/>
      <c r="M851" s="19" t="n"/>
      <c r="N851" s="19" t="n"/>
      <c r="O851" s="19" t="n"/>
      <c r="P851" s="19" t="n"/>
      <c r="Q851" s="19" t="n"/>
      <c r="R851" s="19" t="n"/>
    </row>
    <row r="852" ht="15.75" customHeight="1" s="545">
      <c r="A852" s="19" t="n"/>
      <c r="B852" s="19" t="n"/>
      <c r="C852" s="19" t="n"/>
      <c r="D852" s="19" t="n"/>
      <c r="E852" s="19" t="n"/>
      <c r="F852" s="19" t="n"/>
      <c r="G852" s="19" t="n"/>
      <c r="H852" s="19" t="n"/>
      <c r="I852" s="19" t="n"/>
      <c r="J852" s="19" t="n"/>
      <c r="K852" s="19" t="n"/>
      <c r="L852" s="19" t="n"/>
      <c r="M852" s="19" t="n"/>
      <c r="N852" s="19" t="n"/>
      <c r="O852" s="19" t="n"/>
      <c r="P852" s="19" t="n"/>
      <c r="Q852" s="19" t="n"/>
      <c r="R852" s="19" t="n"/>
    </row>
    <row r="853" ht="15.75" customHeight="1" s="545">
      <c r="A853" s="19" t="n"/>
      <c r="B853" s="19" t="n"/>
      <c r="C853" s="19" t="n"/>
      <c r="D853" s="19" t="n"/>
      <c r="E853" s="19" t="n"/>
      <c r="F853" s="19" t="n"/>
      <c r="G853" s="19" t="n"/>
      <c r="H853" s="19" t="n"/>
      <c r="I853" s="19" t="n"/>
      <c r="J853" s="19" t="n"/>
      <c r="K853" s="19" t="n"/>
      <c r="L853" s="19" t="n"/>
      <c r="M853" s="19" t="n"/>
      <c r="N853" s="19" t="n"/>
      <c r="O853" s="19" t="n"/>
      <c r="P853" s="19" t="n"/>
      <c r="Q853" s="19" t="n"/>
      <c r="R853" s="19" t="n"/>
    </row>
    <row r="854" ht="15.75" customHeight="1" s="545">
      <c r="A854" s="19" t="n"/>
      <c r="B854" s="19" t="n"/>
      <c r="C854" s="19" t="n"/>
      <c r="D854" s="19" t="n"/>
      <c r="E854" s="19" t="n"/>
      <c r="F854" s="19" t="n"/>
      <c r="G854" s="19" t="n"/>
      <c r="H854" s="19" t="n"/>
      <c r="I854" s="19" t="n"/>
      <c r="J854" s="19" t="n"/>
      <c r="K854" s="19" t="n"/>
      <c r="L854" s="19" t="n"/>
      <c r="M854" s="19" t="n"/>
      <c r="N854" s="19" t="n"/>
      <c r="O854" s="19" t="n"/>
      <c r="P854" s="19" t="n"/>
      <c r="Q854" s="19" t="n"/>
      <c r="R854" s="19" t="n"/>
    </row>
    <row r="855" ht="15.75" customHeight="1" s="545">
      <c r="A855" s="19" t="n"/>
      <c r="B855" s="19" t="n"/>
      <c r="C855" s="19" t="n"/>
      <c r="D855" s="19" t="n"/>
      <c r="E855" s="19" t="n"/>
      <c r="F855" s="19" t="n"/>
      <c r="G855" s="19" t="n"/>
      <c r="H855" s="19" t="n"/>
      <c r="I855" s="19" t="n"/>
      <c r="J855" s="19" t="n"/>
      <c r="K855" s="19" t="n"/>
      <c r="L855" s="19" t="n"/>
      <c r="M855" s="19" t="n"/>
      <c r="N855" s="19" t="n"/>
      <c r="O855" s="19" t="n"/>
      <c r="P855" s="19" t="n"/>
      <c r="Q855" s="19" t="n"/>
      <c r="R855" s="19" t="n"/>
    </row>
    <row r="856" ht="15.75" customHeight="1" s="545">
      <c r="A856" s="19" t="n"/>
      <c r="B856" s="19" t="n"/>
      <c r="C856" s="19" t="n"/>
      <c r="D856" s="19" t="n"/>
      <c r="E856" s="19" t="n"/>
      <c r="F856" s="19" t="n"/>
      <c r="G856" s="19" t="n"/>
      <c r="H856" s="19" t="n"/>
      <c r="I856" s="19" t="n"/>
      <c r="J856" s="19" t="n"/>
      <c r="K856" s="19" t="n"/>
      <c r="L856" s="19" t="n"/>
      <c r="M856" s="19" t="n"/>
      <c r="N856" s="19" t="n"/>
      <c r="O856" s="19" t="n"/>
      <c r="P856" s="19" t="n"/>
      <c r="Q856" s="19" t="n"/>
      <c r="R856" s="19" t="n"/>
    </row>
    <row r="857" ht="15.75" customHeight="1" s="545">
      <c r="A857" s="19" t="n"/>
      <c r="B857" s="19" t="n"/>
      <c r="C857" s="19" t="n"/>
      <c r="D857" s="19" t="n"/>
      <c r="E857" s="19" t="n"/>
      <c r="F857" s="19" t="n"/>
      <c r="G857" s="19" t="n"/>
      <c r="H857" s="19" t="n"/>
      <c r="I857" s="19" t="n"/>
      <c r="J857" s="19" t="n"/>
      <c r="K857" s="19" t="n"/>
      <c r="L857" s="19" t="n"/>
      <c r="M857" s="19" t="n"/>
      <c r="N857" s="19" t="n"/>
      <c r="O857" s="19" t="n"/>
      <c r="P857" s="19" t="n"/>
      <c r="Q857" s="19" t="n"/>
      <c r="R857" s="19" t="n"/>
    </row>
    <row r="858" ht="15.75" customHeight="1" s="545">
      <c r="A858" s="19" t="n"/>
      <c r="B858" s="19" t="n"/>
      <c r="C858" s="19" t="n"/>
      <c r="D858" s="19" t="n"/>
      <c r="E858" s="19" t="n"/>
      <c r="F858" s="19" t="n"/>
      <c r="G858" s="19" t="n"/>
      <c r="H858" s="19" t="n"/>
      <c r="I858" s="19" t="n"/>
      <c r="J858" s="19" t="n"/>
      <c r="K858" s="19" t="n"/>
      <c r="L858" s="19" t="n"/>
      <c r="M858" s="19" t="n"/>
      <c r="N858" s="19" t="n"/>
      <c r="O858" s="19" t="n"/>
      <c r="P858" s="19" t="n"/>
      <c r="Q858" s="19" t="n"/>
      <c r="R858" s="19" t="n"/>
    </row>
    <row r="859" ht="15.75" customHeight="1" s="545">
      <c r="A859" s="19" t="n"/>
      <c r="B859" s="19" t="n"/>
      <c r="C859" s="19" t="n"/>
      <c r="D859" s="19" t="n"/>
      <c r="E859" s="19" t="n"/>
      <c r="F859" s="19" t="n"/>
      <c r="G859" s="19" t="n"/>
      <c r="H859" s="19" t="n"/>
      <c r="I859" s="19" t="n"/>
      <c r="J859" s="19" t="n"/>
      <c r="K859" s="19" t="n"/>
      <c r="L859" s="19" t="n"/>
      <c r="M859" s="19" t="n"/>
      <c r="N859" s="19" t="n"/>
      <c r="O859" s="19" t="n"/>
      <c r="P859" s="19" t="n"/>
      <c r="Q859" s="19" t="n"/>
      <c r="R859" s="19" t="n"/>
    </row>
    <row r="860" ht="15.75" customHeight="1" s="545">
      <c r="A860" s="19" t="n"/>
      <c r="B860" s="19" t="n"/>
      <c r="C860" s="19" t="n"/>
      <c r="D860" s="19" t="n"/>
      <c r="E860" s="19" t="n"/>
      <c r="F860" s="19" t="n"/>
      <c r="G860" s="19" t="n"/>
      <c r="H860" s="19" t="n"/>
      <c r="I860" s="19" t="n"/>
      <c r="J860" s="19" t="n"/>
      <c r="K860" s="19" t="n"/>
      <c r="L860" s="19" t="n"/>
      <c r="M860" s="19" t="n"/>
      <c r="N860" s="19" t="n"/>
      <c r="O860" s="19" t="n"/>
      <c r="P860" s="19" t="n"/>
      <c r="Q860" s="19" t="n"/>
      <c r="R860" s="19" t="n"/>
    </row>
    <row r="861" ht="15.75" customHeight="1" s="545">
      <c r="A861" s="19" t="n"/>
      <c r="B861" s="19" t="n"/>
      <c r="C861" s="19" t="n"/>
      <c r="D861" s="19" t="n"/>
      <c r="E861" s="19" t="n"/>
      <c r="F861" s="19" t="n"/>
      <c r="G861" s="19" t="n"/>
      <c r="H861" s="19" t="n"/>
      <c r="I861" s="19" t="n"/>
      <c r="J861" s="19" t="n"/>
      <c r="K861" s="19" t="n"/>
      <c r="L861" s="19" t="n"/>
      <c r="M861" s="19" t="n"/>
      <c r="N861" s="19" t="n"/>
      <c r="O861" s="19" t="n"/>
      <c r="P861" s="19" t="n"/>
      <c r="Q861" s="19" t="n"/>
      <c r="R861" s="19" t="n"/>
    </row>
    <row r="862" ht="15.75" customHeight="1" s="545">
      <c r="A862" s="19" t="n"/>
      <c r="B862" s="19" t="n"/>
      <c r="C862" s="19" t="n"/>
      <c r="D862" s="19" t="n"/>
      <c r="E862" s="19" t="n"/>
      <c r="F862" s="19" t="n"/>
      <c r="G862" s="19" t="n"/>
      <c r="H862" s="19" t="n"/>
      <c r="I862" s="19" t="n"/>
      <c r="J862" s="19" t="n"/>
      <c r="K862" s="19" t="n"/>
      <c r="L862" s="19" t="n"/>
      <c r="M862" s="19" t="n"/>
      <c r="N862" s="19" t="n"/>
      <c r="O862" s="19" t="n"/>
      <c r="P862" s="19" t="n"/>
      <c r="Q862" s="19" t="n"/>
      <c r="R862" s="19" t="n"/>
    </row>
    <row r="863" ht="15.75" customHeight="1" s="545">
      <c r="A863" s="19" t="n"/>
      <c r="B863" s="19" t="n"/>
      <c r="C863" s="19" t="n"/>
      <c r="D863" s="19" t="n"/>
      <c r="E863" s="19" t="n"/>
      <c r="F863" s="19" t="n"/>
      <c r="G863" s="19" t="n"/>
      <c r="H863" s="19" t="n"/>
      <c r="I863" s="19" t="n"/>
      <c r="J863" s="19" t="n"/>
      <c r="K863" s="19" t="n"/>
      <c r="L863" s="19" t="n"/>
      <c r="M863" s="19" t="n"/>
      <c r="N863" s="19" t="n"/>
      <c r="O863" s="19" t="n"/>
      <c r="P863" s="19" t="n"/>
      <c r="Q863" s="19" t="n"/>
      <c r="R863" s="19" t="n"/>
    </row>
    <row r="864" ht="15.75" customHeight="1" s="545">
      <c r="A864" s="19" t="n"/>
      <c r="B864" s="19" t="n"/>
      <c r="C864" s="19" t="n"/>
      <c r="D864" s="19" t="n"/>
      <c r="E864" s="19" t="n"/>
      <c r="F864" s="19" t="n"/>
      <c r="G864" s="19" t="n"/>
      <c r="H864" s="19" t="n"/>
      <c r="I864" s="19" t="n"/>
      <c r="J864" s="19" t="n"/>
      <c r="K864" s="19" t="n"/>
      <c r="L864" s="19" t="n"/>
      <c r="M864" s="19" t="n"/>
      <c r="N864" s="19" t="n"/>
      <c r="O864" s="19" t="n"/>
      <c r="P864" s="19" t="n"/>
      <c r="Q864" s="19" t="n"/>
      <c r="R864" s="19" t="n"/>
    </row>
    <row r="865" ht="15.75" customHeight="1" s="545">
      <c r="A865" s="19" t="n"/>
      <c r="B865" s="19" t="n"/>
      <c r="C865" s="19" t="n"/>
      <c r="D865" s="19" t="n"/>
      <c r="E865" s="19" t="n"/>
      <c r="F865" s="19" t="n"/>
      <c r="G865" s="19" t="n"/>
      <c r="H865" s="19" t="n"/>
      <c r="I865" s="19" t="n"/>
      <c r="J865" s="19" t="n"/>
      <c r="K865" s="19" t="n"/>
      <c r="L865" s="19" t="n"/>
      <c r="M865" s="19" t="n"/>
      <c r="N865" s="19" t="n"/>
      <c r="O865" s="19" t="n"/>
      <c r="P865" s="19" t="n"/>
      <c r="Q865" s="19" t="n"/>
      <c r="R865" s="19" t="n"/>
    </row>
    <row r="866" ht="15.75" customHeight="1" s="545">
      <c r="A866" s="19" t="n"/>
      <c r="B866" s="19" t="n"/>
      <c r="C866" s="19" t="n"/>
      <c r="D866" s="19" t="n"/>
      <c r="E866" s="19" t="n"/>
      <c r="F866" s="19" t="n"/>
      <c r="G866" s="19" t="n"/>
      <c r="H866" s="19" t="n"/>
      <c r="I866" s="19" t="n"/>
      <c r="J866" s="19" t="n"/>
      <c r="K866" s="19" t="n"/>
      <c r="L866" s="19" t="n"/>
      <c r="M866" s="19" t="n"/>
      <c r="N866" s="19" t="n"/>
      <c r="O866" s="19" t="n"/>
      <c r="P866" s="19" t="n"/>
      <c r="Q866" s="19" t="n"/>
      <c r="R866" s="19" t="n"/>
    </row>
    <row r="867" ht="15.75" customHeight="1" s="545">
      <c r="A867" s="19" t="n"/>
      <c r="B867" s="19" t="n"/>
      <c r="C867" s="19" t="n"/>
      <c r="D867" s="19" t="n"/>
      <c r="E867" s="19" t="n"/>
      <c r="F867" s="19" t="n"/>
      <c r="G867" s="19" t="n"/>
      <c r="H867" s="19" t="n"/>
      <c r="I867" s="19" t="n"/>
      <c r="J867" s="19" t="n"/>
      <c r="K867" s="19" t="n"/>
      <c r="L867" s="19" t="n"/>
      <c r="M867" s="19" t="n"/>
      <c r="N867" s="19" t="n"/>
      <c r="O867" s="19" t="n"/>
      <c r="P867" s="19" t="n"/>
      <c r="Q867" s="19" t="n"/>
      <c r="R867" s="19" t="n"/>
    </row>
    <row r="868" ht="15.75" customHeight="1" s="545">
      <c r="A868" s="19" t="n"/>
      <c r="B868" s="19" t="n"/>
      <c r="C868" s="19" t="n"/>
      <c r="D868" s="19" t="n"/>
      <c r="E868" s="19" t="n"/>
      <c r="F868" s="19" t="n"/>
      <c r="G868" s="19" t="n"/>
      <c r="H868" s="19" t="n"/>
      <c r="I868" s="19" t="n"/>
      <c r="J868" s="19" t="n"/>
      <c r="K868" s="19" t="n"/>
      <c r="L868" s="19" t="n"/>
      <c r="M868" s="19" t="n"/>
      <c r="N868" s="19" t="n"/>
      <c r="O868" s="19" t="n"/>
      <c r="P868" s="19" t="n"/>
      <c r="Q868" s="19" t="n"/>
      <c r="R868" s="19" t="n"/>
    </row>
    <row r="869" ht="15.75" customHeight="1" s="545">
      <c r="A869" s="19" t="n"/>
      <c r="B869" s="19" t="n"/>
      <c r="C869" s="19" t="n"/>
      <c r="D869" s="19" t="n"/>
      <c r="E869" s="19" t="n"/>
      <c r="F869" s="19" t="n"/>
      <c r="G869" s="19" t="n"/>
      <c r="H869" s="19" t="n"/>
      <c r="I869" s="19" t="n"/>
      <c r="J869" s="19" t="n"/>
      <c r="K869" s="19" t="n"/>
      <c r="L869" s="19" t="n"/>
      <c r="M869" s="19" t="n"/>
      <c r="N869" s="19" t="n"/>
      <c r="O869" s="19" t="n"/>
      <c r="P869" s="19" t="n"/>
      <c r="Q869" s="19" t="n"/>
      <c r="R869" s="19" t="n"/>
    </row>
    <row r="870" ht="15.75" customHeight="1" s="545">
      <c r="A870" s="19" t="n"/>
      <c r="B870" s="19" t="n"/>
      <c r="C870" s="19" t="n"/>
      <c r="D870" s="19" t="n"/>
      <c r="E870" s="19" t="n"/>
      <c r="F870" s="19" t="n"/>
      <c r="G870" s="19" t="n"/>
      <c r="H870" s="19" t="n"/>
      <c r="I870" s="19" t="n"/>
      <c r="J870" s="19" t="n"/>
      <c r="K870" s="19" t="n"/>
      <c r="L870" s="19" t="n"/>
      <c r="M870" s="19" t="n"/>
      <c r="N870" s="19" t="n"/>
      <c r="O870" s="19" t="n"/>
      <c r="P870" s="19" t="n"/>
      <c r="Q870" s="19" t="n"/>
      <c r="R870" s="19" t="n"/>
    </row>
    <row r="871" ht="15.75" customHeight="1" s="545">
      <c r="A871" s="19" t="n"/>
      <c r="B871" s="19" t="n"/>
      <c r="C871" s="19" t="n"/>
      <c r="D871" s="19" t="n"/>
      <c r="E871" s="19" t="n"/>
      <c r="F871" s="19" t="n"/>
      <c r="G871" s="19" t="n"/>
      <c r="H871" s="19" t="n"/>
      <c r="I871" s="19" t="n"/>
      <c r="J871" s="19" t="n"/>
      <c r="K871" s="19" t="n"/>
      <c r="L871" s="19" t="n"/>
      <c r="M871" s="19" t="n"/>
      <c r="N871" s="19" t="n"/>
      <c r="O871" s="19" t="n"/>
      <c r="P871" s="19" t="n"/>
      <c r="Q871" s="19" t="n"/>
      <c r="R871" s="19" t="n"/>
    </row>
    <row r="872" ht="15.75" customHeight="1" s="545">
      <c r="A872" s="19" t="n"/>
      <c r="B872" s="19" t="n"/>
      <c r="C872" s="19" t="n"/>
      <c r="D872" s="19" t="n"/>
      <c r="E872" s="19" t="n"/>
      <c r="F872" s="19" t="n"/>
      <c r="G872" s="19" t="n"/>
      <c r="H872" s="19" t="n"/>
      <c r="I872" s="19" t="n"/>
      <c r="J872" s="19" t="n"/>
      <c r="K872" s="19" t="n"/>
      <c r="L872" s="19" t="n"/>
      <c r="M872" s="19" t="n"/>
      <c r="N872" s="19" t="n"/>
      <c r="O872" s="19" t="n"/>
      <c r="P872" s="19" t="n"/>
      <c r="Q872" s="19" t="n"/>
      <c r="R872" s="19" t="n"/>
    </row>
    <row r="873" ht="15.75" customHeight="1" s="545">
      <c r="A873" s="19" t="n"/>
      <c r="B873" s="19" t="n"/>
      <c r="C873" s="19" t="n"/>
      <c r="D873" s="19" t="n"/>
      <c r="E873" s="19" t="n"/>
      <c r="F873" s="19" t="n"/>
      <c r="G873" s="19" t="n"/>
      <c r="H873" s="19" t="n"/>
      <c r="I873" s="19" t="n"/>
      <c r="J873" s="19" t="n"/>
      <c r="K873" s="19" t="n"/>
      <c r="L873" s="19" t="n"/>
      <c r="M873" s="19" t="n"/>
      <c r="N873" s="19" t="n"/>
      <c r="O873" s="19" t="n"/>
      <c r="P873" s="19" t="n"/>
      <c r="Q873" s="19" t="n"/>
      <c r="R873" s="19" t="n"/>
    </row>
    <row r="874" ht="15.75" customHeight="1" s="545">
      <c r="A874" s="19" t="n"/>
      <c r="B874" s="19" t="n"/>
      <c r="C874" s="19" t="n"/>
      <c r="D874" s="19" t="n"/>
      <c r="E874" s="19" t="n"/>
      <c r="F874" s="19" t="n"/>
      <c r="G874" s="19" t="n"/>
      <c r="H874" s="19" t="n"/>
      <c r="I874" s="19" t="n"/>
      <c r="J874" s="19" t="n"/>
      <c r="K874" s="19" t="n"/>
      <c r="L874" s="19" t="n"/>
      <c r="M874" s="19" t="n"/>
      <c r="N874" s="19" t="n"/>
      <c r="O874" s="19" t="n"/>
      <c r="P874" s="19" t="n"/>
      <c r="Q874" s="19" t="n"/>
      <c r="R874" s="19" t="n"/>
    </row>
    <row r="875" ht="15.75" customHeight="1" s="545">
      <c r="A875" s="19" t="n"/>
      <c r="B875" s="19" t="n"/>
      <c r="C875" s="19" t="n"/>
      <c r="D875" s="19" t="n"/>
      <c r="E875" s="19" t="n"/>
      <c r="F875" s="19" t="n"/>
      <c r="G875" s="19" t="n"/>
      <c r="H875" s="19" t="n"/>
      <c r="I875" s="19" t="n"/>
      <c r="J875" s="19" t="n"/>
      <c r="K875" s="19" t="n"/>
      <c r="L875" s="19" t="n"/>
      <c r="M875" s="19" t="n"/>
      <c r="N875" s="19" t="n"/>
      <c r="O875" s="19" t="n"/>
      <c r="P875" s="19" t="n"/>
      <c r="Q875" s="19" t="n"/>
      <c r="R875" s="19" t="n"/>
    </row>
    <row r="876" ht="15.75" customHeight="1" s="545">
      <c r="A876" s="19" t="n"/>
      <c r="B876" s="19" t="n"/>
      <c r="C876" s="19" t="n"/>
      <c r="D876" s="19" t="n"/>
      <c r="E876" s="19" t="n"/>
      <c r="F876" s="19" t="n"/>
      <c r="G876" s="19" t="n"/>
      <c r="H876" s="19" t="n"/>
      <c r="I876" s="19" t="n"/>
      <c r="J876" s="19" t="n"/>
      <c r="K876" s="19" t="n"/>
      <c r="L876" s="19" t="n"/>
      <c r="M876" s="19" t="n"/>
      <c r="N876" s="19" t="n"/>
      <c r="O876" s="19" t="n"/>
      <c r="P876" s="19" t="n"/>
      <c r="Q876" s="19" t="n"/>
      <c r="R876" s="19" t="n"/>
    </row>
    <row r="877" ht="15.75" customHeight="1" s="545">
      <c r="A877" s="19" t="n"/>
      <c r="B877" s="19" t="n"/>
      <c r="C877" s="19" t="n"/>
      <c r="D877" s="19" t="n"/>
      <c r="E877" s="19" t="n"/>
      <c r="F877" s="19" t="n"/>
      <c r="G877" s="19" t="n"/>
      <c r="H877" s="19" t="n"/>
      <c r="I877" s="19" t="n"/>
      <c r="J877" s="19" t="n"/>
      <c r="K877" s="19" t="n"/>
      <c r="L877" s="19" t="n"/>
      <c r="M877" s="19" t="n"/>
      <c r="N877" s="19" t="n"/>
      <c r="O877" s="19" t="n"/>
      <c r="P877" s="19" t="n"/>
      <c r="Q877" s="19" t="n"/>
      <c r="R877" s="19" t="n"/>
    </row>
    <row r="878" ht="15.75" customHeight="1" s="545">
      <c r="A878" s="19" t="n"/>
      <c r="B878" s="19" t="n"/>
      <c r="C878" s="19" t="n"/>
      <c r="D878" s="19" t="n"/>
      <c r="E878" s="19" t="n"/>
      <c r="F878" s="19" t="n"/>
      <c r="G878" s="19" t="n"/>
      <c r="H878" s="19" t="n"/>
      <c r="I878" s="19" t="n"/>
      <c r="J878" s="19" t="n"/>
      <c r="K878" s="19" t="n"/>
      <c r="L878" s="19" t="n"/>
      <c r="M878" s="19" t="n"/>
      <c r="N878" s="19" t="n"/>
      <c r="O878" s="19" t="n"/>
      <c r="P878" s="19" t="n"/>
      <c r="Q878" s="19" t="n"/>
      <c r="R878" s="19" t="n"/>
    </row>
    <row r="879" ht="15.75" customHeight="1" s="545">
      <c r="A879" s="19" t="n"/>
      <c r="B879" s="19" t="n"/>
      <c r="C879" s="19" t="n"/>
      <c r="D879" s="19" t="n"/>
      <c r="E879" s="19" t="n"/>
      <c r="F879" s="19" t="n"/>
      <c r="G879" s="19" t="n"/>
      <c r="H879" s="19" t="n"/>
      <c r="I879" s="19" t="n"/>
      <c r="J879" s="19" t="n"/>
      <c r="K879" s="19" t="n"/>
      <c r="L879" s="19" t="n"/>
      <c r="M879" s="19" t="n"/>
      <c r="N879" s="19" t="n"/>
      <c r="O879" s="19" t="n"/>
      <c r="P879" s="19" t="n"/>
      <c r="Q879" s="19" t="n"/>
      <c r="R879" s="19" t="n"/>
    </row>
    <row r="880" ht="15.75" customHeight="1" s="545">
      <c r="A880" s="19" t="n"/>
      <c r="B880" s="19" t="n"/>
      <c r="C880" s="19" t="n"/>
      <c r="D880" s="19" t="n"/>
      <c r="E880" s="19" t="n"/>
      <c r="F880" s="19" t="n"/>
      <c r="G880" s="19" t="n"/>
      <c r="H880" s="19" t="n"/>
      <c r="I880" s="19" t="n"/>
      <c r="J880" s="19" t="n"/>
      <c r="K880" s="19" t="n"/>
      <c r="L880" s="19" t="n"/>
      <c r="M880" s="19" t="n"/>
      <c r="N880" s="19" t="n"/>
      <c r="O880" s="19" t="n"/>
      <c r="P880" s="19" t="n"/>
      <c r="Q880" s="19" t="n"/>
      <c r="R880" s="19" t="n"/>
    </row>
    <row r="881" ht="15.75" customHeight="1" s="545">
      <c r="A881" s="19" t="n"/>
      <c r="B881" s="19" t="n"/>
      <c r="C881" s="19" t="n"/>
      <c r="D881" s="19" t="n"/>
      <c r="E881" s="19" t="n"/>
      <c r="F881" s="19" t="n"/>
      <c r="G881" s="19" t="n"/>
      <c r="H881" s="19" t="n"/>
      <c r="I881" s="19" t="n"/>
      <c r="J881" s="19" t="n"/>
      <c r="K881" s="19" t="n"/>
      <c r="L881" s="19" t="n"/>
      <c r="M881" s="19" t="n"/>
      <c r="N881" s="19" t="n"/>
      <c r="O881" s="19" t="n"/>
      <c r="P881" s="19" t="n"/>
      <c r="Q881" s="19" t="n"/>
      <c r="R881" s="19" t="n"/>
    </row>
    <row r="882" ht="15.75" customHeight="1" s="545">
      <c r="A882" s="19" t="n"/>
      <c r="B882" s="19" t="n"/>
      <c r="C882" s="19" t="n"/>
      <c r="D882" s="19" t="n"/>
      <c r="E882" s="19" t="n"/>
      <c r="F882" s="19" t="n"/>
      <c r="G882" s="19" t="n"/>
      <c r="H882" s="19" t="n"/>
      <c r="I882" s="19" t="n"/>
      <c r="J882" s="19" t="n"/>
      <c r="K882" s="19" t="n"/>
      <c r="L882" s="19" t="n"/>
      <c r="M882" s="19" t="n"/>
      <c r="N882" s="19" t="n"/>
      <c r="O882" s="19" t="n"/>
      <c r="P882" s="19" t="n"/>
      <c r="Q882" s="19" t="n"/>
      <c r="R882" s="19" t="n"/>
    </row>
    <row r="883" ht="15.75" customHeight="1" s="545">
      <c r="A883" s="19" t="n"/>
      <c r="B883" s="19" t="n"/>
      <c r="C883" s="19" t="n"/>
      <c r="D883" s="19" t="n"/>
      <c r="E883" s="19" t="n"/>
      <c r="F883" s="19" t="n"/>
      <c r="G883" s="19" t="n"/>
      <c r="H883" s="19" t="n"/>
      <c r="I883" s="19" t="n"/>
      <c r="J883" s="19" t="n"/>
      <c r="K883" s="19" t="n"/>
      <c r="L883" s="19" t="n"/>
      <c r="M883" s="19" t="n"/>
      <c r="N883" s="19" t="n"/>
      <c r="O883" s="19" t="n"/>
      <c r="P883" s="19" t="n"/>
      <c r="Q883" s="19" t="n"/>
      <c r="R883" s="19" t="n"/>
    </row>
    <row r="884" ht="15.75" customHeight="1" s="545">
      <c r="A884" s="19" t="n"/>
      <c r="B884" s="19" t="n"/>
      <c r="C884" s="19" t="n"/>
      <c r="D884" s="19" t="n"/>
      <c r="E884" s="19" t="n"/>
      <c r="F884" s="19" t="n"/>
      <c r="G884" s="19" t="n"/>
      <c r="H884" s="19" t="n"/>
      <c r="I884" s="19" t="n"/>
      <c r="J884" s="19" t="n"/>
      <c r="K884" s="19" t="n"/>
      <c r="L884" s="19" t="n"/>
      <c r="M884" s="19" t="n"/>
      <c r="N884" s="19" t="n"/>
      <c r="O884" s="19" t="n"/>
      <c r="P884" s="19" t="n"/>
      <c r="Q884" s="19" t="n"/>
      <c r="R884" s="19" t="n"/>
    </row>
    <row r="885" ht="15.75" customHeight="1" s="545">
      <c r="A885" s="19" t="n"/>
      <c r="B885" s="19" t="n"/>
      <c r="C885" s="19" t="n"/>
      <c r="D885" s="19" t="n"/>
      <c r="E885" s="19" t="n"/>
      <c r="F885" s="19" t="n"/>
      <c r="G885" s="19" t="n"/>
      <c r="H885" s="19" t="n"/>
      <c r="I885" s="19" t="n"/>
      <c r="J885" s="19" t="n"/>
      <c r="K885" s="19" t="n"/>
      <c r="L885" s="19" t="n"/>
      <c r="M885" s="19" t="n"/>
      <c r="N885" s="19" t="n"/>
      <c r="O885" s="19" t="n"/>
      <c r="P885" s="19" t="n"/>
      <c r="Q885" s="19" t="n"/>
      <c r="R885" s="19" t="n"/>
    </row>
    <row r="886" ht="15.75" customHeight="1" s="545">
      <c r="A886" s="19" t="n"/>
      <c r="B886" s="19" t="n"/>
      <c r="C886" s="19" t="n"/>
      <c r="D886" s="19" t="n"/>
      <c r="E886" s="19" t="n"/>
      <c r="F886" s="19" t="n"/>
      <c r="G886" s="19" t="n"/>
      <c r="H886" s="19" t="n"/>
      <c r="I886" s="19" t="n"/>
      <c r="J886" s="19" t="n"/>
      <c r="K886" s="19" t="n"/>
      <c r="L886" s="19" t="n"/>
      <c r="M886" s="19" t="n"/>
      <c r="N886" s="19" t="n"/>
      <c r="O886" s="19" t="n"/>
      <c r="P886" s="19" t="n"/>
      <c r="Q886" s="19" t="n"/>
      <c r="R886" s="19" t="n"/>
    </row>
    <row r="887" ht="15.75" customHeight="1" s="545">
      <c r="A887" s="19" t="n"/>
      <c r="B887" s="19" t="n"/>
      <c r="C887" s="19" t="n"/>
      <c r="D887" s="19" t="n"/>
      <c r="E887" s="19" t="n"/>
      <c r="F887" s="19" t="n"/>
      <c r="G887" s="19" t="n"/>
      <c r="H887" s="19" t="n"/>
      <c r="I887" s="19" t="n"/>
      <c r="J887" s="19" t="n"/>
      <c r="K887" s="19" t="n"/>
      <c r="L887" s="19" t="n"/>
      <c r="M887" s="19" t="n"/>
      <c r="N887" s="19" t="n"/>
      <c r="O887" s="19" t="n"/>
      <c r="P887" s="19" t="n"/>
      <c r="Q887" s="19" t="n"/>
      <c r="R887" s="19" t="n"/>
    </row>
    <row r="888" ht="15.75" customHeight="1" s="545">
      <c r="A888" s="19" t="n"/>
      <c r="B888" s="19" t="n"/>
      <c r="C888" s="19" t="n"/>
      <c r="D888" s="19" t="n"/>
      <c r="E888" s="19" t="n"/>
      <c r="F888" s="19" t="n"/>
      <c r="G888" s="19" t="n"/>
      <c r="H888" s="19" t="n"/>
      <c r="I888" s="19" t="n"/>
      <c r="J888" s="19" t="n"/>
      <c r="K888" s="19" t="n"/>
      <c r="L888" s="19" t="n"/>
      <c r="M888" s="19" t="n"/>
      <c r="N888" s="19" t="n"/>
      <c r="O888" s="19" t="n"/>
      <c r="P888" s="19" t="n"/>
      <c r="Q888" s="19" t="n"/>
      <c r="R888" s="19" t="n"/>
    </row>
    <row r="889" ht="15.75" customHeight="1" s="545">
      <c r="A889" s="19" t="n"/>
      <c r="B889" s="19" t="n"/>
      <c r="C889" s="19" t="n"/>
      <c r="D889" s="19" t="n"/>
      <c r="E889" s="19" t="n"/>
      <c r="F889" s="19" t="n"/>
      <c r="G889" s="19" t="n"/>
      <c r="H889" s="19" t="n"/>
      <c r="I889" s="19" t="n"/>
      <c r="J889" s="19" t="n"/>
      <c r="K889" s="19" t="n"/>
      <c r="L889" s="19" t="n"/>
      <c r="M889" s="19" t="n"/>
      <c r="N889" s="19" t="n"/>
      <c r="O889" s="19" t="n"/>
      <c r="P889" s="19" t="n"/>
      <c r="Q889" s="19" t="n"/>
      <c r="R889" s="19" t="n"/>
    </row>
    <row r="890" ht="15.75" customHeight="1" s="545">
      <c r="A890" s="19" t="n"/>
      <c r="B890" s="19" t="n"/>
      <c r="C890" s="19" t="n"/>
      <c r="D890" s="19" t="n"/>
      <c r="E890" s="19" t="n"/>
      <c r="F890" s="19" t="n"/>
      <c r="G890" s="19" t="n"/>
      <c r="H890" s="19" t="n"/>
      <c r="I890" s="19" t="n"/>
      <c r="J890" s="19" t="n"/>
      <c r="K890" s="19" t="n"/>
      <c r="L890" s="19" t="n"/>
      <c r="M890" s="19" t="n"/>
      <c r="N890" s="19" t="n"/>
      <c r="O890" s="19" t="n"/>
      <c r="P890" s="19" t="n"/>
      <c r="Q890" s="19" t="n"/>
      <c r="R890" s="19" t="n"/>
    </row>
    <row r="891" ht="15.75" customHeight="1" s="545">
      <c r="A891" s="19" t="n"/>
      <c r="B891" s="19" t="n"/>
      <c r="C891" s="19" t="n"/>
      <c r="D891" s="19" t="n"/>
      <c r="E891" s="19" t="n"/>
      <c r="F891" s="19" t="n"/>
      <c r="G891" s="19" t="n"/>
      <c r="H891" s="19" t="n"/>
      <c r="I891" s="19" t="n"/>
      <c r="J891" s="19" t="n"/>
      <c r="K891" s="19" t="n"/>
      <c r="L891" s="19" t="n"/>
      <c r="M891" s="19" t="n"/>
      <c r="N891" s="19" t="n"/>
      <c r="O891" s="19" t="n"/>
      <c r="P891" s="19" t="n"/>
      <c r="Q891" s="19" t="n"/>
      <c r="R891" s="19" t="n"/>
    </row>
    <row r="892" ht="15.75" customHeight="1" s="545">
      <c r="A892" s="19" t="n"/>
      <c r="B892" s="19" t="n"/>
      <c r="C892" s="19" t="n"/>
      <c r="D892" s="19" t="n"/>
      <c r="E892" s="19" t="n"/>
      <c r="F892" s="19" t="n"/>
      <c r="G892" s="19" t="n"/>
      <c r="H892" s="19" t="n"/>
      <c r="I892" s="19" t="n"/>
      <c r="J892" s="19" t="n"/>
      <c r="K892" s="19" t="n"/>
      <c r="L892" s="19" t="n"/>
      <c r="M892" s="19" t="n"/>
      <c r="N892" s="19" t="n"/>
      <c r="O892" s="19" t="n"/>
      <c r="P892" s="19" t="n"/>
      <c r="Q892" s="19" t="n"/>
      <c r="R892" s="19" t="n"/>
    </row>
    <row r="893" ht="15.75" customHeight="1" s="545">
      <c r="A893" s="19" t="n"/>
      <c r="B893" s="19" t="n"/>
      <c r="C893" s="19" t="n"/>
      <c r="D893" s="19" t="n"/>
      <c r="E893" s="19" t="n"/>
      <c r="F893" s="19" t="n"/>
      <c r="G893" s="19" t="n"/>
      <c r="H893" s="19" t="n"/>
      <c r="I893" s="19" t="n"/>
      <c r="J893" s="19" t="n"/>
      <c r="K893" s="19" t="n"/>
      <c r="L893" s="19" t="n"/>
      <c r="M893" s="19" t="n"/>
      <c r="N893" s="19" t="n"/>
      <c r="O893" s="19" t="n"/>
      <c r="P893" s="19" t="n"/>
      <c r="Q893" s="19" t="n"/>
      <c r="R893" s="19" t="n"/>
    </row>
    <row r="894" ht="15.75" customHeight="1" s="545">
      <c r="A894" s="19" t="n"/>
      <c r="B894" s="19" t="n"/>
      <c r="C894" s="19" t="n"/>
      <c r="D894" s="19" t="n"/>
      <c r="E894" s="19" t="n"/>
      <c r="F894" s="19" t="n"/>
      <c r="G894" s="19" t="n"/>
      <c r="H894" s="19" t="n"/>
      <c r="I894" s="19" t="n"/>
      <c r="J894" s="19" t="n"/>
      <c r="K894" s="19" t="n"/>
      <c r="L894" s="19" t="n"/>
      <c r="M894" s="19" t="n"/>
      <c r="N894" s="19" t="n"/>
      <c r="O894" s="19" t="n"/>
      <c r="P894" s="19" t="n"/>
      <c r="Q894" s="19" t="n"/>
      <c r="R894" s="19" t="n"/>
    </row>
    <row r="895" ht="15.75" customHeight="1" s="545">
      <c r="A895" s="19" t="n"/>
      <c r="B895" s="19" t="n"/>
      <c r="C895" s="19" t="n"/>
      <c r="D895" s="19" t="n"/>
      <c r="E895" s="19" t="n"/>
      <c r="F895" s="19" t="n"/>
      <c r="G895" s="19" t="n"/>
      <c r="H895" s="19" t="n"/>
      <c r="I895" s="19" t="n"/>
      <c r="J895" s="19" t="n"/>
      <c r="K895" s="19" t="n"/>
      <c r="L895" s="19" t="n"/>
      <c r="M895" s="19" t="n"/>
      <c r="N895" s="19" t="n"/>
      <c r="O895" s="19" t="n"/>
      <c r="P895" s="19" t="n"/>
      <c r="Q895" s="19" t="n"/>
      <c r="R895" s="19" t="n"/>
    </row>
    <row r="896" ht="15.75" customHeight="1" s="545">
      <c r="A896" s="19" t="n"/>
      <c r="B896" s="19" t="n"/>
      <c r="C896" s="19" t="n"/>
      <c r="D896" s="19" t="n"/>
      <c r="E896" s="19" t="n"/>
      <c r="F896" s="19" t="n"/>
      <c r="G896" s="19" t="n"/>
      <c r="H896" s="19" t="n"/>
      <c r="I896" s="19" t="n"/>
      <c r="J896" s="19" t="n"/>
      <c r="K896" s="19" t="n"/>
      <c r="L896" s="19" t="n"/>
      <c r="M896" s="19" t="n"/>
      <c r="N896" s="19" t="n"/>
      <c r="O896" s="19" t="n"/>
      <c r="P896" s="19" t="n"/>
      <c r="Q896" s="19" t="n"/>
      <c r="R896" s="19" t="n"/>
    </row>
    <row r="897" ht="15.75" customHeight="1" s="545">
      <c r="A897" s="19" t="n"/>
      <c r="B897" s="19" t="n"/>
      <c r="C897" s="19" t="n"/>
      <c r="D897" s="19" t="n"/>
      <c r="E897" s="19" t="n"/>
      <c r="F897" s="19" t="n"/>
      <c r="G897" s="19" t="n"/>
      <c r="H897" s="19" t="n"/>
      <c r="I897" s="19" t="n"/>
      <c r="J897" s="19" t="n"/>
      <c r="K897" s="19" t="n"/>
      <c r="L897" s="19" t="n"/>
      <c r="M897" s="19" t="n"/>
      <c r="N897" s="19" t="n"/>
      <c r="O897" s="19" t="n"/>
      <c r="P897" s="19" t="n"/>
      <c r="Q897" s="19" t="n"/>
      <c r="R897" s="19" t="n"/>
    </row>
    <row r="898" ht="15.75" customHeight="1" s="545">
      <c r="A898" s="19" t="n"/>
      <c r="B898" s="19" t="n"/>
      <c r="C898" s="19" t="n"/>
      <c r="D898" s="19" t="n"/>
      <c r="E898" s="19" t="n"/>
      <c r="F898" s="19" t="n"/>
      <c r="G898" s="19" t="n"/>
      <c r="H898" s="19" t="n"/>
      <c r="I898" s="19" t="n"/>
      <c r="J898" s="19" t="n"/>
      <c r="K898" s="19" t="n"/>
      <c r="L898" s="19" t="n"/>
      <c r="M898" s="19" t="n"/>
      <c r="N898" s="19" t="n"/>
      <c r="O898" s="19" t="n"/>
      <c r="P898" s="19" t="n"/>
      <c r="Q898" s="19" t="n"/>
      <c r="R898" s="19" t="n"/>
    </row>
    <row r="899" ht="15.75" customHeight="1" s="545">
      <c r="A899" s="19" t="n"/>
      <c r="B899" s="19" t="n"/>
      <c r="C899" s="19" t="n"/>
      <c r="D899" s="19" t="n"/>
      <c r="E899" s="19" t="n"/>
      <c r="F899" s="19" t="n"/>
      <c r="G899" s="19" t="n"/>
      <c r="H899" s="19" t="n"/>
      <c r="I899" s="19" t="n"/>
      <c r="J899" s="19" t="n"/>
      <c r="K899" s="19" t="n"/>
      <c r="L899" s="19" t="n"/>
      <c r="M899" s="19" t="n"/>
      <c r="N899" s="19" t="n"/>
      <c r="O899" s="19" t="n"/>
      <c r="P899" s="19" t="n"/>
      <c r="Q899" s="19" t="n"/>
      <c r="R899" s="19" t="n"/>
    </row>
    <row r="900" ht="15.75" customHeight="1" s="545">
      <c r="A900" s="19" t="n"/>
      <c r="B900" s="19" t="n"/>
      <c r="C900" s="19" t="n"/>
      <c r="D900" s="19" t="n"/>
      <c r="E900" s="19" t="n"/>
      <c r="F900" s="19" t="n"/>
      <c r="G900" s="19" t="n"/>
      <c r="H900" s="19" t="n"/>
      <c r="I900" s="19" t="n"/>
      <c r="J900" s="19" t="n"/>
      <c r="K900" s="19" t="n"/>
      <c r="L900" s="19" t="n"/>
      <c r="M900" s="19" t="n"/>
      <c r="N900" s="19" t="n"/>
      <c r="O900" s="19" t="n"/>
      <c r="P900" s="19" t="n"/>
      <c r="Q900" s="19" t="n"/>
      <c r="R900" s="19" t="n"/>
    </row>
    <row r="901" ht="15.75" customHeight="1" s="545">
      <c r="A901" s="19" t="n"/>
      <c r="B901" s="19" t="n"/>
      <c r="C901" s="19" t="n"/>
      <c r="D901" s="19" t="n"/>
      <c r="E901" s="19" t="n"/>
      <c r="F901" s="19" t="n"/>
      <c r="G901" s="19" t="n"/>
      <c r="H901" s="19" t="n"/>
      <c r="I901" s="19" t="n"/>
      <c r="J901" s="19" t="n"/>
      <c r="K901" s="19" t="n"/>
      <c r="L901" s="19" t="n"/>
      <c r="M901" s="19" t="n"/>
      <c r="N901" s="19" t="n"/>
      <c r="O901" s="19" t="n"/>
      <c r="P901" s="19" t="n"/>
      <c r="Q901" s="19" t="n"/>
      <c r="R901" s="19" t="n"/>
    </row>
    <row r="902" ht="15.75" customHeight="1" s="545">
      <c r="A902" s="19" t="n"/>
      <c r="B902" s="19" t="n"/>
      <c r="C902" s="19" t="n"/>
      <c r="D902" s="19" t="n"/>
      <c r="E902" s="19" t="n"/>
      <c r="F902" s="19" t="n"/>
      <c r="G902" s="19" t="n"/>
      <c r="H902" s="19" t="n"/>
      <c r="I902" s="19" t="n"/>
      <c r="J902" s="19" t="n"/>
      <c r="K902" s="19" t="n"/>
      <c r="L902" s="19" t="n"/>
      <c r="M902" s="19" t="n"/>
      <c r="N902" s="19" t="n"/>
      <c r="O902" s="19" t="n"/>
      <c r="P902" s="19" t="n"/>
      <c r="Q902" s="19" t="n"/>
      <c r="R902" s="19" t="n"/>
    </row>
    <row r="903" ht="15.75" customHeight="1" s="545">
      <c r="A903" s="19" t="n"/>
      <c r="B903" s="19" t="n"/>
      <c r="C903" s="19" t="n"/>
      <c r="D903" s="19" t="n"/>
      <c r="E903" s="19" t="n"/>
      <c r="F903" s="19" t="n"/>
      <c r="G903" s="19" t="n"/>
      <c r="H903" s="19" t="n"/>
      <c r="I903" s="19" t="n"/>
      <c r="J903" s="19" t="n"/>
      <c r="K903" s="19" t="n"/>
      <c r="L903" s="19" t="n"/>
      <c r="M903" s="19" t="n"/>
      <c r="N903" s="19" t="n"/>
      <c r="O903" s="19" t="n"/>
      <c r="P903" s="19" t="n"/>
      <c r="Q903" s="19" t="n"/>
      <c r="R903" s="19" t="n"/>
    </row>
    <row r="904" ht="15.75" customHeight="1" s="545">
      <c r="A904" s="19" t="n"/>
      <c r="B904" s="19" t="n"/>
      <c r="C904" s="19" t="n"/>
      <c r="D904" s="19" t="n"/>
      <c r="E904" s="19" t="n"/>
      <c r="F904" s="19" t="n"/>
      <c r="G904" s="19" t="n"/>
      <c r="H904" s="19" t="n"/>
      <c r="I904" s="19" t="n"/>
      <c r="J904" s="19" t="n"/>
      <c r="K904" s="19" t="n"/>
      <c r="L904" s="19" t="n"/>
      <c r="M904" s="19" t="n"/>
      <c r="N904" s="19" t="n"/>
      <c r="O904" s="19" t="n"/>
      <c r="P904" s="19" t="n"/>
      <c r="Q904" s="19" t="n"/>
      <c r="R904" s="19" t="n"/>
    </row>
    <row r="905" ht="15.75" customHeight="1" s="545">
      <c r="A905" s="19" t="n"/>
      <c r="B905" s="19" t="n"/>
      <c r="C905" s="19" t="n"/>
      <c r="D905" s="19" t="n"/>
      <c r="E905" s="19" t="n"/>
      <c r="F905" s="19" t="n"/>
      <c r="G905" s="19" t="n"/>
      <c r="H905" s="19" t="n"/>
      <c r="I905" s="19" t="n"/>
      <c r="J905" s="19" t="n"/>
      <c r="K905" s="19" t="n"/>
      <c r="L905" s="19" t="n"/>
      <c r="M905" s="19" t="n"/>
      <c r="N905" s="19" t="n"/>
      <c r="O905" s="19" t="n"/>
      <c r="P905" s="19" t="n"/>
      <c r="Q905" s="19" t="n"/>
      <c r="R905" s="19" t="n"/>
    </row>
    <row r="906" ht="15.75" customHeight="1" s="545">
      <c r="A906" s="19" t="n"/>
      <c r="B906" s="19" t="n"/>
      <c r="C906" s="19" t="n"/>
      <c r="D906" s="19" t="n"/>
      <c r="E906" s="19" t="n"/>
      <c r="F906" s="19" t="n"/>
      <c r="G906" s="19" t="n"/>
      <c r="H906" s="19" t="n"/>
      <c r="I906" s="19" t="n"/>
      <c r="J906" s="19" t="n"/>
      <c r="K906" s="19" t="n"/>
      <c r="L906" s="19" t="n"/>
      <c r="M906" s="19" t="n"/>
      <c r="N906" s="19" t="n"/>
      <c r="O906" s="19" t="n"/>
      <c r="P906" s="19" t="n"/>
      <c r="Q906" s="19" t="n"/>
      <c r="R906" s="19" t="n"/>
    </row>
    <row r="907" ht="15.75" customHeight="1" s="545">
      <c r="A907" s="19" t="n"/>
      <c r="B907" s="19" t="n"/>
      <c r="C907" s="19" t="n"/>
      <c r="D907" s="19" t="n"/>
      <c r="E907" s="19" t="n"/>
      <c r="F907" s="19" t="n"/>
      <c r="G907" s="19" t="n"/>
      <c r="H907" s="19" t="n"/>
      <c r="I907" s="19" t="n"/>
      <c r="J907" s="19" t="n"/>
      <c r="K907" s="19" t="n"/>
      <c r="L907" s="19" t="n"/>
      <c r="M907" s="19" t="n"/>
      <c r="N907" s="19" t="n"/>
      <c r="O907" s="19" t="n"/>
      <c r="P907" s="19" t="n"/>
      <c r="Q907" s="19" t="n"/>
      <c r="R907" s="19" t="n"/>
    </row>
    <row r="908" ht="15.75" customHeight="1" s="545">
      <c r="A908" s="19" t="n"/>
      <c r="B908" s="19" t="n"/>
      <c r="C908" s="19" t="n"/>
      <c r="D908" s="19" t="n"/>
      <c r="E908" s="19" t="n"/>
      <c r="F908" s="19" t="n"/>
      <c r="G908" s="19" t="n"/>
      <c r="H908" s="19" t="n"/>
      <c r="I908" s="19" t="n"/>
      <c r="J908" s="19" t="n"/>
      <c r="K908" s="19" t="n"/>
      <c r="L908" s="19" t="n"/>
      <c r="M908" s="19" t="n"/>
      <c r="N908" s="19" t="n"/>
      <c r="O908" s="19" t="n"/>
      <c r="P908" s="19" t="n"/>
      <c r="Q908" s="19" t="n"/>
      <c r="R908" s="19" t="n"/>
    </row>
    <row r="909" ht="15.75" customHeight="1" s="545">
      <c r="A909" s="19" t="n"/>
      <c r="B909" s="19" t="n"/>
      <c r="C909" s="19" t="n"/>
      <c r="D909" s="19" t="n"/>
      <c r="E909" s="19" t="n"/>
      <c r="F909" s="19" t="n"/>
      <c r="G909" s="19" t="n"/>
      <c r="H909" s="19" t="n"/>
      <c r="I909" s="19" t="n"/>
      <c r="J909" s="19" t="n"/>
      <c r="K909" s="19" t="n"/>
      <c r="L909" s="19" t="n"/>
      <c r="M909" s="19" t="n"/>
      <c r="N909" s="19" t="n"/>
      <c r="O909" s="19" t="n"/>
      <c r="P909" s="19" t="n"/>
      <c r="Q909" s="19" t="n"/>
      <c r="R909" s="19" t="n"/>
    </row>
    <row r="910" ht="15.75" customHeight="1" s="545">
      <c r="A910" s="19" t="n"/>
      <c r="B910" s="19" t="n"/>
      <c r="C910" s="19" t="n"/>
      <c r="D910" s="19" t="n"/>
      <c r="E910" s="19" t="n"/>
      <c r="F910" s="19" t="n"/>
      <c r="G910" s="19" t="n"/>
      <c r="H910" s="19" t="n"/>
      <c r="I910" s="19" t="n"/>
      <c r="J910" s="19" t="n"/>
      <c r="K910" s="19" t="n"/>
      <c r="L910" s="19" t="n"/>
      <c r="M910" s="19" t="n"/>
      <c r="N910" s="19" t="n"/>
      <c r="O910" s="19" t="n"/>
      <c r="P910" s="19" t="n"/>
      <c r="Q910" s="19" t="n"/>
      <c r="R910" s="19" t="n"/>
    </row>
    <row r="911" ht="15.75" customHeight="1" s="545">
      <c r="A911" s="19" t="n"/>
      <c r="B911" s="19" t="n"/>
      <c r="C911" s="19" t="n"/>
      <c r="D911" s="19" t="n"/>
      <c r="E911" s="19" t="n"/>
      <c r="F911" s="19" t="n"/>
      <c r="G911" s="19" t="n"/>
      <c r="H911" s="19" t="n"/>
      <c r="I911" s="19" t="n"/>
      <c r="J911" s="19" t="n"/>
      <c r="K911" s="19" t="n"/>
      <c r="L911" s="19" t="n"/>
      <c r="M911" s="19" t="n"/>
      <c r="N911" s="19" t="n"/>
      <c r="O911" s="19" t="n"/>
      <c r="P911" s="19" t="n"/>
      <c r="Q911" s="19" t="n"/>
      <c r="R911" s="19" t="n"/>
    </row>
    <row r="912" ht="15.75" customHeight="1" s="545">
      <c r="A912" s="19" t="n"/>
      <c r="B912" s="19" t="n"/>
      <c r="C912" s="19" t="n"/>
      <c r="D912" s="19" t="n"/>
      <c r="E912" s="19" t="n"/>
      <c r="F912" s="19" t="n"/>
      <c r="G912" s="19" t="n"/>
      <c r="H912" s="19" t="n"/>
      <c r="I912" s="19" t="n"/>
      <c r="J912" s="19" t="n"/>
      <c r="K912" s="19" t="n"/>
      <c r="L912" s="19" t="n"/>
      <c r="M912" s="19" t="n"/>
      <c r="N912" s="19" t="n"/>
      <c r="O912" s="19" t="n"/>
      <c r="P912" s="19" t="n"/>
      <c r="Q912" s="19" t="n"/>
      <c r="R912" s="19" t="n"/>
    </row>
    <row r="913" ht="15.75" customHeight="1" s="545">
      <c r="A913" s="19" t="n"/>
      <c r="B913" s="19" t="n"/>
      <c r="C913" s="19" t="n"/>
      <c r="D913" s="19" t="n"/>
      <c r="E913" s="19" t="n"/>
      <c r="F913" s="19" t="n"/>
      <c r="G913" s="19" t="n"/>
      <c r="H913" s="19" t="n"/>
      <c r="I913" s="19" t="n"/>
      <c r="J913" s="19" t="n"/>
      <c r="K913" s="19" t="n"/>
      <c r="L913" s="19" t="n"/>
      <c r="M913" s="19" t="n"/>
      <c r="N913" s="19" t="n"/>
      <c r="O913" s="19" t="n"/>
      <c r="P913" s="19" t="n"/>
      <c r="Q913" s="19" t="n"/>
      <c r="R913" s="19" t="n"/>
    </row>
    <row r="914" ht="15.75" customHeight="1" s="545">
      <c r="A914" s="19" t="n"/>
      <c r="B914" s="19" t="n"/>
      <c r="C914" s="19" t="n"/>
      <c r="D914" s="19" t="n"/>
      <c r="E914" s="19" t="n"/>
      <c r="F914" s="19" t="n"/>
      <c r="G914" s="19" t="n"/>
      <c r="H914" s="19" t="n"/>
      <c r="I914" s="19" t="n"/>
      <c r="J914" s="19" t="n"/>
      <c r="K914" s="19" t="n"/>
      <c r="L914" s="19" t="n"/>
      <c r="M914" s="19" t="n"/>
      <c r="N914" s="19" t="n"/>
      <c r="O914" s="19" t="n"/>
      <c r="P914" s="19" t="n"/>
      <c r="Q914" s="19" t="n"/>
      <c r="R914" s="19" t="n"/>
    </row>
    <row r="915" ht="15.75" customHeight="1" s="545">
      <c r="A915" s="19" t="n"/>
      <c r="B915" s="19" t="n"/>
      <c r="C915" s="19" t="n"/>
      <c r="D915" s="19" t="n"/>
      <c r="E915" s="19" t="n"/>
      <c r="F915" s="19" t="n"/>
      <c r="G915" s="19" t="n"/>
      <c r="H915" s="19" t="n"/>
      <c r="I915" s="19" t="n"/>
      <c r="J915" s="19" t="n"/>
      <c r="K915" s="19" t="n"/>
      <c r="L915" s="19" t="n"/>
      <c r="M915" s="19" t="n"/>
      <c r="N915" s="19" t="n"/>
      <c r="O915" s="19" t="n"/>
      <c r="P915" s="19" t="n"/>
      <c r="Q915" s="19" t="n"/>
      <c r="R915" s="19" t="n"/>
    </row>
    <row r="916" ht="15.75" customHeight="1" s="545">
      <c r="A916" s="19" t="n"/>
      <c r="B916" s="19" t="n"/>
      <c r="C916" s="19" t="n"/>
      <c r="D916" s="19" t="n"/>
      <c r="E916" s="19" t="n"/>
      <c r="F916" s="19" t="n"/>
      <c r="G916" s="19" t="n"/>
      <c r="H916" s="19" t="n"/>
      <c r="I916" s="19" t="n"/>
      <c r="J916" s="19" t="n"/>
      <c r="K916" s="19" t="n"/>
      <c r="L916" s="19" t="n"/>
      <c r="M916" s="19" t="n"/>
      <c r="N916" s="19" t="n"/>
      <c r="O916" s="19" t="n"/>
      <c r="P916" s="19" t="n"/>
      <c r="Q916" s="19" t="n"/>
      <c r="R916" s="19" t="n"/>
    </row>
    <row r="917" ht="15.75" customHeight="1" s="545">
      <c r="A917" s="19" t="n"/>
      <c r="B917" s="19" t="n"/>
      <c r="C917" s="19" t="n"/>
      <c r="D917" s="19" t="n"/>
      <c r="E917" s="19" t="n"/>
      <c r="F917" s="19" t="n"/>
      <c r="G917" s="19" t="n"/>
      <c r="H917" s="19" t="n"/>
      <c r="I917" s="19" t="n"/>
      <c r="J917" s="19" t="n"/>
      <c r="K917" s="19" t="n"/>
      <c r="L917" s="19" t="n"/>
      <c r="M917" s="19" t="n"/>
      <c r="N917" s="19" t="n"/>
      <c r="O917" s="19" t="n"/>
      <c r="P917" s="19" t="n"/>
      <c r="Q917" s="19" t="n"/>
      <c r="R917" s="19" t="n"/>
    </row>
    <row r="918" ht="15.75" customHeight="1" s="545">
      <c r="A918" s="19" t="n"/>
      <c r="B918" s="19" t="n"/>
      <c r="C918" s="19" t="n"/>
      <c r="D918" s="19" t="n"/>
      <c r="E918" s="19" t="n"/>
      <c r="F918" s="19" t="n"/>
      <c r="G918" s="19" t="n"/>
      <c r="H918" s="19" t="n"/>
      <c r="I918" s="19" t="n"/>
      <c r="J918" s="19" t="n"/>
      <c r="K918" s="19" t="n"/>
      <c r="L918" s="19" t="n"/>
      <c r="M918" s="19" t="n"/>
      <c r="N918" s="19" t="n"/>
      <c r="O918" s="19" t="n"/>
      <c r="P918" s="19" t="n"/>
      <c r="Q918" s="19" t="n"/>
      <c r="R918" s="19" t="n"/>
    </row>
    <row r="919" ht="15.75" customHeight="1" s="545">
      <c r="A919" s="19" t="n"/>
      <c r="B919" s="19" t="n"/>
      <c r="C919" s="19" t="n"/>
      <c r="D919" s="19" t="n"/>
      <c r="E919" s="19" t="n"/>
      <c r="F919" s="19" t="n"/>
      <c r="G919" s="19" t="n"/>
      <c r="H919" s="19" t="n"/>
      <c r="I919" s="19" t="n"/>
      <c r="J919" s="19" t="n"/>
      <c r="K919" s="19" t="n"/>
      <c r="L919" s="19" t="n"/>
      <c r="M919" s="19" t="n"/>
      <c r="N919" s="19" t="n"/>
      <c r="O919" s="19" t="n"/>
      <c r="P919" s="19" t="n"/>
      <c r="Q919" s="19" t="n"/>
      <c r="R919" s="19" t="n"/>
    </row>
    <row r="920" ht="15.75" customHeight="1" s="545">
      <c r="A920" s="19" t="n"/>
      <c r="B920" s="19" t="n"/>
      <c r="C920" s="19" t="n"/>
      <c r="D920" s="19" t="n"/>
      <c r="E920" s="19" t="n"/>
      <c r="F920" s="19" t="n"/>
      <c r="G920" s="19" t="n"/>
      <c r="H920" s="19" t="n"/>
      <c r="I920" s="19" t="n"/>
      <c r="J920" s="19" t="n"/>
      <c r="K920" s="19" t="n"/>
      <c r="L920" s="19" t="n"/>
      <c r="M920" s="19" t="n"/>
      <c r="N920" s="19" t="n"/>
      <c r="O920" s="19" t="n"/>
      <c r="P920" s="19" t="n"/>
      <c r="Q920" s="19" t="n"/>
      <c r="R920" s="19" t="n"/>
    </row>
    <row r="921" ht="15.75" customHeight="1" s="545">
      <c r="A921" s="19" t="n"/>
      <c r="B921" s="19" t="n"/>
      <c r="C921" s="19" t="n"/>
      <c r="D921" s="19" t="n"/>
      <c r="E921" s="19" t="n"/>
      <c r="F921" s="19" t="n"/>
      <c r="G921" s="19" t="n"/>
      <c r="H921" s="19" t="n"/>
      <c r="I921" s="19" t="n"/>
      <c r="J921" s="19" t="n"/>
      <c r="K921" s="19" t="n"/>
      <c r="L921" s="19" t="n"/>
      <c r="M921" s="19" t="n"/>
      <c r="N921" s="19" t="n"/>
      <c r="O921" s="19" t="n"/>
      <c r="P921" s="19" t="n"/>
      <c r="Q921" s="19" t="n"/>
      <c r="R921" s="19" t="n"/>
    </row>
    <row r="922" ht="15.75" customHeight="1" s="545">
      <c r="A922" s="19" t="n"/>
      <c r="B922" s="19" t="n"/>
      <c r="C922" s="19" t="n"/>
      <c r="D922" s="19" t="n"/>
      <c r="E922" s="19" t="n"/>
      <c r="F922" s="19" t="n"/>
      <c r="G922" s="19" t="n"/>
      <c r="H922" s="19" t="n"/>
      <c r="I922" s="19" t="n"/>
      <c r="J922" s="19" t="n"/>
      <c r="K922" s="19" t="n"/>
      <c r="L922" s="19" t="n"/>
      <c r="M922" s="19" t="n"/>
      <c r="N922" s="19" t="n"/>
      <c r="O922" s="19" t="n"/>
      <c r="P922" s="19" t="n"/>
      <c r="Q922" s="19" t="n"/>
      <c r="R922" s="19" t="n"/>
    </row>
    <row r="923" ht="15.75" customHeight="1" s="545">
      <c r="A923" s="19" t="n"/>
      <c r="B923" s="19" t="n"/>
      <c r="C923" s="19" t="n"/>
      <c r="D923" s="19" t="n"/>
      <c r="E923" s="19" t="n"/>
      <c r="F923" s="19" t="n"/>
      <c r="G923" s="19" t="n"/>
      <c r="H923" s="19" t="n"/>
      <c r="I923" s="19" t="n"/>
      <c r="J923" s="19" t="n"/>
      <c r="K923" s="19" t="n"/>
      <c r="L923" s="19" t="n"/>
      <c r="M923" s="19" t="n"/>
      <c r="N923" s="19" t="n"/>
      <c r="O923" s="19" t="n"/>
      <c r="P923" s="19" t="n"/>
      <c r="Q923" s="19" t="n"/>
      <c r="R923" s="19" t="n"/>
    </row>
    <row r="924" ht="15.75" customHeight="1" s="545">
      <c r="A924" s="19" t="n"/>
      <c r="B924" s="19" t="n"/>
      <c r="C924" s="19" t="n"/>
      <c r="D924" s="19" t="n"/>
      <c r="E924" s="19" t="n"/>
      <c r="F924" s="19" t="n"/>
      <c r="G924" s="19" t="n"/>
      <c r="H924" s="19" t="n"/>
      <c r="I924" s="19" t="n"/>
      <c r="J924" s="19" t="n"/>
      <c r="K924" s="19" t="n"/>
      <c r="L924" s="19" t="n"/>
      <c r="M924" s="19" t="n"/>
      <c r="N924" s="19" t="n"/>
      <c r="O924" s="19" t="n"/>
      <c r="P924" s="19" t="n"/>
      <c r="Q924" s="19" t="n"/>
      <c r="R924" s="19" t="n"/>
    </row>
    <row r="925" ht="15.75" customHeight="1" s="545">
      <c r="A925" s="19" t="n"/>
      <c r="B925" s="19" t="n"/>
      <c r="C925" s="19" t="n"/>
      <c r="D925" s="19" t="n"/>
      <c r="E925" s="19" t="n"/>
      <c r="F925" s="19" t="n"/>
      <c r="G925" s="19" t="n"/>
      <c r="H925" s="19" t="n"/>
      <c r="I925" s="19" t="n"/>
      <c r="J925" s="19" t="n"/>
      <c r="K925" s="19" t="n"/>
      <c r="L925" s="19" t="n"/>
      <c r="M925" s="19" t="n"/>
      <c r="N925" s="19" t="n"/>
      <c r="O925" s="19" t="n"/>
      <c r="P925" s="19" t="n"/>
      <c r="Q925" s="19" t="n"/>
      <c r="R925" s="19" t="n"/>
    </row>
    <row r="926" ht="15.75" customHeight="1" s="545">
      <c r="A926" s="19" t="n"/>
      <c r="B926" s="19" t="n"/>
      <c r="C926" s="19" t="n"/>
      <c r="D926" s="19" t="n"/>
      <c r="E926" s="19" t="n"/>
      <c r="F926" s="19" t="n"/>
      <c r="G926" s="19" t="n"/>
      <c r="H926" s="19" t="n"/>
      <c r="I926" s="19" t="n"/>
      <c r="J926" s="19" t="n"/>
      <c r="K926" s="19" t="n"/>
      <c r="L926" s="19" t="n"/>
      <c r="M926" s="19" t="n"/>
      <c r="N926" s="19" t="n"/>
      <c r="O926" s="19" t="n"/>
      <c r="P926" s="19" t="n"/>
      <c r="Q926" s="19" t="n"/>
      <c r="R926" s="19" t="n"/>
    </row>
    <row r="927" ht="15.75" customHeight="1" s="545">
      <c r="A927" s="19" t="n"/>
      <c r="B927" s="19" t="n"/>
      <c r="C927" s="19" t="n"/>
      <c r="D927" s="19" t="n"/>
      <c r="E927" s="19" t="n"/>
      <c r="F927" s="19" t="n"/>
      <c r="G927" s="19" t="n"/>
      <c r="H927" s="19" t="n"/>
      <c r="I927" s="19" t="n"/>
      <c r="J927" s="19" t="n"/>
      <c r="K927" s="19" t="n"/>
      <c r="L927" s="19" t="n"/>
      <c r="M927" s="19" t="n"/>
      <c r="N927" s="19" t="n"/>
      <c r="O927" s="19" t="n"/>
      <c r="P927" s="19" t="n"/>
      <c r="Q927" s="19" t="n"/>
      <c r="R927" s="19" t="n"/>
    </row>
    <row r="928" ht="15.75" customHeight="1" s="545">
      <c r="A928" s="19" t="n"/>
      <c r="B928" s="19" t="n"/>
      <c r="C928" s="19" t="n"/>
      <c r="D928" s="19" t="n"/>
      <c r="E928" s="19" t="n"/>
      <c r="F928" s="19" t="n"/>
      <c r="G928" s="19" t="n"/>
      <c r="H928" s="19" t="n"/>
      <c r="I928" s="19" t="n"/>
      <c r="J928" s="19" t="n"/>
      <c r="K928" s="19" t="n"/>
      <c r="L928" s="19" t="n"/>
      <c r="M928" s="19" t="n"/>
      <c r="N928" s="19" t="n"/>
      <c r="O928" s="19" t="n"/>
      <c r="P928" s="19" t="n"/>
      <c r="Q928" s="19" t="n"/>
      <c r="R928" s="19" t="n"/>
    </row>
    <row r="929" ht="15.75" customHeight="1" s="545">
      <c r="A929" s="19" t="n"/>
      <c r="B929" s="19" t="n"/>
      <c r="C929" s="19" t="n"/>
      <c r="D929" s="19" t="n"/>
      <c r="E929" s="19" t="n"/>
      <c r="F929" s="19" t="n"/>
      <c r="G929" s="19" t="n"/>
      <c r="H929" s="19" t="n"/>
      <c r="I929" s="19" t="n"/>
      <c r="J929" s="19" t="n"/>
      <c r="K929" s="19" t="n"/>
      <c r="L929" s="19" t="n"/>
      <c r="M929" s="19" t="n"/>
      <c r="N929" s="19" t="n"/>
      <c r="O929" s="19" t="n"/>
      <c r="P929" s="19" t="n"/>
      <c r="Q929" s="19" t="n"/>
      <c r="R929" s="19" t="n"/>
    </row>
    <row r="930" ht="15.75" customHeight="1" s="545">
      <c r="A930" s="19" t="n"/>
      <c r="B930" s="19" t="n"/>
      <c r="C930" s="19" t="n"/>
      <c r="D930" s="19" t="n"/>
      <c r="E930" s="19" t="n"/>
      <c r="F930" s="19" t="n"/>
      <c r="G930" s="19" t="n"/>
      <c r="H930" s="19" t="n"/>
      <c r="I930" s="19" t="n"/>
      <c r="J930" s="19" t="n"/>
      <c r="K930" s="19" t="n"/>
      <c r="L930" s="19" t="n"/>
      <c r="M930" s="19" t="n"/>
      <c r="N930" s="19" t="n"/>
      <c r="O930" s="19" t="n"/>
      <c r="P930" s="19" t="n"/>
      <c r="Q930" s="19" t="n"/>
      <c r="R930" s="19" t="n"/>
    </row>
    <row r="931" ht="15.75" customHeight="1" s="545">
      <c r="A931" s="19" t="n"/>
      <c r="B931" s="19" t="n"/>
      <c r="C931" s="19" t="n"/>
      <c r="D931" s="19" t="n"/>
      <c r="E931" s="19" t="n"/>
      <c r="F931" s="19" t="n"/>
      <c r="G931" s="19" t="n"/>
      <c r="H931" s="19" t="n"/>
      <c r="I931" s="19" t="n"/>
      <c r="J931" s="19" t="n"/>
      <c r="K931" s="19" t="n"/>
      <c r="L931" s="19" t="n"/>
      <c r="M931" s="19" t="n"/>
      <c r="N931" s="19" t="n"/>
      <c r="O931" s="19" t="n"/>
      <c r="P931" s="19" t="n"/>
      <c r="Q931" s="19" t="n"/>
      <c r="R931" s="19" t="n"/>
    </row>
    <row r="932" ht="15.75" customHeight="1" s="545">
      <c r="A932" s="19" t="n"/>
      <c r="B932" s="19" t="n"/>
      <c r="C932" s="19" t="n"/>
      <c r="D932" s="19" t="n"/>
      <c r="E932" s="19" t="n"/>
      <c r="F932" s="19" t="n"/>
      <c r="G932" s="19" t="n"/>
      <c r="H932" s="19" t="n"/>
      <c r="I932" s="19" t="n"/>
      <c r="J932" s="19" t="n"/>
      <c r="K932" s="19" t="n"/>
      <c r="L932" s="19" t="n"/>
      <c r="M932" s="19" t="n"/>
      <c r="N932" s="19" t="n"/>
      <c r="O932" s="19" t="n"/>
      <c r="P932" s="19" t="n"/>
      <c r="Q932" s="19" t="n"/>
      <c r="R932" s="19" t="n"/>
    </row>
    <row r="933" ht="15.75" customHeight="1" s="545">
      <c r="A933" s="19" t="n"/>
      <c r="B933" s="19" t="n"/>
      <c r="C933" s="19" t="n"/>
      <c r="D933" s="19" t="n"/>
      <c r="E933" s="19" t="n"/>
      <c r="F933" s="19" t="n"/>
      <c r="G933" s="19" t="n"/>
      <c r="H933" s="19" t="n"/>
      <c r="I933" s="19" t="n"/>
      <c r="J933" s="19" t="n"/>
      <c r="K933" s="19" t="n"/>
      <c r="L933" s="19" t="n"/>
      <c r="M933" s="19" t="n"/>
      <c r="N933" s="19" t="n"/>
      <c r="O933" s="19" t="n"/>
      <c r="P933" s="19" t="n"/>
      <c r="Q933" s="19" t="n"/>
      <c r="R933" s="19" t="n"/>
    </row>
    <row r="934" ht="15.75" customHeight="1" s="545">
      <c r="A934" s="19" t="n"/>
      <c r="B934" s="19" t="n"/>
      <c r="C934" s="19" t="n"/>
      <c r="D934" s="19" t="n"/>
      <c r="E934" s="19" t="n"/>
      <c r="F934" s="19" t="n"/>
      <c r="G934" s="19" t="n"/>
      <c r="H934" s="19" t="n"/>
      <c r="I934" s="19" t="n"/>
      <c r="J934" s="19" t="n"/>
      <c r="K934" s="19" t="n"/>
      <c r="L934" s="19" t="n"/>
      <c r="M934" s="19" t="n"/>
      <c r="N934" s="19" t="n"/>
      <c r="O934" s="19" t="n"/>
      <c r="P934" s="19" t="n"/>
      <c r="Q934" s="19" t="n"/>
      <c r="R934" s="19" t="n"/>
    </row>
    <row r="935" ht="15.75" customHeight="1" s="545">
      <c r="A935" s="19" t="n"/>
      <c r="B935" s="19" t="n"/>
      <c r="C935" s="19" t="n"/>
      <c r="D935" s="19" t="n"/>
      <c r="E935" s="19" t="n"/>
      <c r="F935" s="19" t="n"/>
      <c r="G935" s="19" t="n"/>
      <c r="H935" s="19" t="n"/>
      <c r="I935" s="19" t="n"/>
      <c r="J935" s="19" t="n"/>
      <c r="K935" s="19" t="n"/>
      <c r="L935" s="19" t="n"/>
      <c r="M935" s="19" t="n"/>
      <c r="N935" s="19" t="n"/>
      <c r="O935" s="19" t="n"/>
      <c r="P935" s="19" t="n"/>
      <c r="Q935" s="19" t="n"/>
      <c r="R935" s="19" t="n"/>
    </row>
    <row r="936" ht="15.75" customHeight="1" s="545">
      <c r="A936" s="19" t="n"/>
      <c r="B936" s="19" t="n"/>
      <c r="C936" s="19" t="n"/>
      <c r="D936" s="19" t="n"/>
      <c r="E936" s="19" t="n"/>
      <c r="F936" s="19" t="n"/>
      <c r="G936" s="19" t="n"/>
      <c r="H936" s="19" t="n"/>
      <c r="I936" s="19" t="n"/>
      <c r="J936" s="19" t="n"/>
      <c r="K936" s="19" t="n"/>
      <c r="L936" s="19" t="n"/>
      <c r="M936" s="19" t="n"/>
      <c r="N936" s="19" t="n"/>
      <c r="O936" s="19" t="n"/>
      <c r="P936" s="19" t="n"/>
      <c r="Q936" s="19" t="n"/>
      <c r="R936" s="19" t="n"/>
    </row>
    <row r="937" ht="15.75" customHeight="1" s="545">
      <c r="A937" s="19" t="n"/>
      <c r="B937" s="19" t="n"/>
      <c r="C937" s="19" t="n"/>
      <c r="D937" s="19" t="n"/>
      <c r="E937" s="19" t="n"/>
      <c r="F937" s="19" t="n"/>
      <c r="G937" s="19" t="n"/>
      <c r="H937" s="19" t="n"/>
      <c r="I937" s="19" t="n"/>
      <c r="J937" s="19" t="n"/>
      <c r="K937" s="19" t="n"/>
      <c r="L937" s="19" t="n"/>
      <c r="M937" s="19" t="n"/>
      <c r="N937" s="19" t="n"/>
      <c r="O937" s="19" t="n"/>
      <c r="P937" s="19" t="n"/>
      <c r="Q937" s="19" t="n"/>
      <c r="R937" s="19" t="n"/>
    </row>
    <row r="938" ht="15.75" customHeight="1" s="545">
      <c r="A938" s="19" t="n"/>
      <c r="B938" s="19" t="n"/>
      <c r="C938" s="19" t="n"/>
      <c r="D938" s="19" t="n"/>
      <c r="E938" s="19" t="n"/>
      <c r="F938" s="19" t="n"/>
      <c r="G938" s="19" t="n"/>
      <c r="H938" s="19" t="n"/>
      <c r="I938" s="19" t="n"/>
      <c r="J938" s="19" t="n"/>
      <c r="K938" s="19" t="n"/>
      <c r="L938" s="19" t="n"/>
      <c r="M938" s="19" t="n"/>
      <c r="N938" s="19" t="n"/>
      <c r="O938" s="19" t="n"/>
      <c r="P938" s="19" t="n"/>
      <c r="Q938" s="19" t="n"/>
      <c r="R938" s="19" t="n"/>
    </row>
    <row r="939" ht="15.75" customHeight="1" s="545">
      <c r="A939" s="19" t="n"/>
      <c r="B939" s="19" t="n"/>
      <c r="C939" s="19" t="n"/>
      <c r="D939" s="19" t="n"/>
      <c r="E939" s="19" t="n"/>
      <c r="F939" s="19" t="n"/>
      <c r="G939" s="19" t="n"/>
      <c r="H939" s="19" t="n"/>
      <c r="I939" s="19" t="n"/>
      <c r="J939" s="19" t="n"/>
      <c r="K939" s="19" t="n"/>
      <c r="L939" s="19" t="n"/>
      <c r="M939" s="19" t="n"/>
      <c r="N939" s="19" t="n"/>
      <c r="O939" s="19" t="n"/>
      <c r="P939" s="19" t="n"/>
      <c r="Q939" s="19" t="n"/>
      <c r="R939" s="19" t="n"/>
    </row>
    <row r="940" ht="15.75" customHeight="1" s="545">
      <c r="A940" s="19" t="n"/>
      <c r="B940" s="19" t="n"/>
      <c r="C940" s="19" t="n"/>
      <c r="D940" s="19" t="n"/>
      <c r="E940" s="19" t="n"/>
      <c r="F940" s="19" t="n"/>
      <c r="G940" s="19" t="n"/>
      <c r="H940" s="19" t="n"/>
      <c r="I940" s="19" t="n"/>
      <c r="J940" s="19" t="n"/>
      <c r="K940" s="19" t="n"/>
      <c r="L940" s="19" t="n"/>
      <c r="M940" s="19" t="n"/>
      <c r="N940" s="19" t="n"/>
      <c r="O940" s="19" t="n"/>
      <c r="P940" s="19" t="n"/>
      <c r="Q940" s="19" t="n"/>
      <c r="R940" s="19" t="n"/>
    </row>
    <row r="941" ht="15.75" customHeight="1" s="545">
      <c r="A941" s="19" t="n"/>
      <c r="B941" s="19" t="n"/>
      <c r="C941" s="19" t="n"/>
      <c r="D941" s="19" t="n"/>
      <c r="E941" s="19" t="n"/>
      <c r="F941" s="19" t="n"/>
      <c r="G941" s="19" t="n"/>
      <c r="H941" s="19" t="n"/>
      <c r="I941" s="19" t="n"/>
      <c r="J941" s="19" t="n"/>
      <c r="K941" s="19" t="n"/>
      <c r="L941" s="19" t="n"/>
      <c r="M941" s="19" t="n"/>
      <c r="N941" s="19" t="n"/>
      <c r="O941" s="19" t="n"/>
      <c r="P941" s="19" t="n"/>
      <c r="Q941" s="19" t="n"/>
      <c r="R941" s="19" t="n"/>
    </row>
    <row r="942" ht="15.75" customHeight="1" s="545">
      <c r="A942" s="19" t="n"/>
      <c r="B942" s="19" t="n"/>
      <c r="C942" s="19" t="n"/>
      <c r="D942" s="19" t="n"/>
      <c r="E942" s="19" t="n"/>
      <c r="F942" s="19" t="n"/>
      <c r="G942" s="19" t="n"/>
      <c r="H942" s="19" t="n"/>
      <c r="I942" s="19" t="n"/>
      <c r="J942" s="19" t="n"/>
      <c r="K942" s="19" t="n"/>
      <c r="L942" s="19" t="n"/>
      <c r="M942" s="19" t="n"/>
      <c r="N942" s="19" t="n"/>
      <c r="O942" s="19" t="n"/>
      <c r="P942" s="19" t="n"/>
      <c r="Q942" s="19" t="n"/>
      <c r="R942" s="19" t="n"/>
    </row>
    <row r="943" ht="15.75" customHeight="1" s="545">
      <c r="A943" s="19" t="n"/>
      <c r="B943" s="19" t="n"/>
      <c r="C943" s="19" t="n"/>
      <c r="D943" s="19" t="n"/>
      <c r="E943" s="19" t="n"/>
      <c r="F943" s="19" t="n"/>
      <c r="G943" s="19" t="n"/>
      <c r="H943" s="19" t="n"/>
      <c r="I943" s="19" t="n"/>
      <c r="J943" s="19" t="n"/>
      <c r="K943" s="19" t="n"/>
      <c r="L943" s="19" t="n"/>
      <c r="M943" s="19" t="n"/>
      <c r="N943" s="19" t="n"/>
      <c r="O943" s="19" t="n"/>
      <c r="P943" s="19" t="n"/>
      <c r="Q943" s="19" t="n"/>
      <c r="R943" s="19" t="n"/>
    </row>
    <row r="944" ht="15.75" customHeight="1" s="545">
      <c r="A944" s="19" t="n"/>
      <c r="B944" s="19" t="n"/>
      <c r="C944" s="19" t="n"/>
      <c r="D944" s="19" t="n"/>
      <c r="E944" s="19" t="n"/>
      <c r="F944" s="19" t="n"/>
      <c r="G944" s="19" t="n"/>
      <c r="H944" s="19" t="n"/>
      <c r="I944" s="19" t="n"/>
      <c r="J944" s="19" t="n"/>
      <c r="K944" s="19" t="n"/>
      <c r="L944" s="19" t="n"/>
      <c r="M944" s="19" t="n"/>
      <c r="N944" s="19" t="n"/>
      <c r="O944" s="19" t="n"/>
      <c r="P944" s="19" t="n"/>
      <c r="Q944" s="19" t="n"/>
      <c r="R944" s="19" t="n"/>
    </row>
    <row r="945" ht="15.75" customHeight="1" s="545">
      <c r="A945" s="19" t="n"/>
      <c r="B945" s="19" t="n"/>
      <c r="C945" s="19" t="n"/>
      <c r="D945" s="19" t="n"/>
      <c r="E945" s="19" t="n"/>
      <c r="F945" s="19" t="n"/>
      <c r="G945" s="19" t="n"/>
      <c r="H945" s="19" t="n"/>
      <c r="I945" s="19" t="n"/>
      <c r="J945" s="19" t="n"/>
      <c r="K945" s="19" t="n"/>
      <c r="L945" s="19" t="n"/>
      <c r="M945" s="19" t="n"/>
      <c r="N945" s="19" t="n"/>
      <c r="O945" s="19" t="n"/>
      <c r="P945" s="19" t="n"/>
      <c r="Q945" s="19" t="n"/>
      <c r="R945" s="19" t="n"/>
    </row>
    <row r="946" ht="15.75" customHeight="1" s="545">
      <c r="A946" s="19" t="n"/>
      <c r="B946" s="19" t="n"/>
      <c r="C946" s="19" t="n"/>
      <c r="D946" s="19" t="n"/>
      <c r="E946" s="19" t="n"/>
      <c r="F946" s="19" t="n"/>
      <c r="G946" s="19" t="n"/>
      <c r="H946" s="19" t="n"/>
      <c r="I946" s="19" t="n"/>
      <c r="J946" s="19" t="n"/>
      <c r="K946" s="19" t="n"/>
      <c r="L946" s="19" t="n"/>
      <c r="M946" s="19" t="n"/>
      <c r="N946" s="19" t="n"/>
      <c r="O946" s="19" t="n"/>
      <c r="P946" s="19" t="n"/>
      <c r="Q946" s="19" t="n"/>
      <c r="R946" s="19" t="n"/>
    </row>
    <row r="947" ht="15.75" customHeight="1" s="545">
      <c r="A947" s="19" t="n"/>
      <c r="B947" s="19" t="n"/>
      <c r="C947" s="19" t="n"/>
      <c r="D947" s="19" t="n"/>
      <c r="E947" s="19" t="n"/>
      <c r="F947" s="19" t="n"/>
      <c r="G947" s="19" t="n"/>
      <c r="H947" s="19" t="n"/>
      <c r="I947" s="19" t="n"/>
      <c r="J947" s="19" t="n"/>
      <c r="K947" s="19" t="n"/>
      <c r="L947" s="19" t="n"/>
      <c r="M947" s="19" t="n"/>
      <c r="N947" s="19" t="n"/>
      <c r="O947" s="19" t="n"/>
      <c r="P947" s="19" t="n"/>
      <c r="Q947" s="19" t="n"/>
      <c r="R947" s="19" t="n"/>
    </row>
    <row r="948" ht="15.75" customHeight="1" s="545">
      <c r="A948" s="19" t="n"/>
      <c r="B948" s="19" t="n"/>
      <c r="C948" s="19" t="n"/>
      <c r="D948" s="19" t="n"/>
      <c r="E948" s="19" t="n"/>
      <c r="F948" s="19" t="n"/>
      <c r="G948" s="19" t="n"/>
      <c r="H948" s="19" t="n"/>
      <c r="I948" s="19" t="n"/>
      <c r="J948" s="19" t="n"/>
      <c r="K948" s="19" t="n"/>
      <c r="L948" s="19" t="n"/>
      <c r="M948" s="19" t="n"/>
      <c r="N948" s="19" t="n"/>
      <c r="O948" s="19" t="n"/>
      <c r="P948" s="19" t="n"/>
      <c r="Q948" s="19" t="n"/>
      <c r="R948" s="19" t="n"/>
    </row>
    <row r="949" ht="15.75" customHeight="1" s="545">
      <c r="A949" s="19" t="n"/>
      <c r="B949" s="19" t="n"/>
      <c r="C949" s="19" t="n"/>
      <c r="D949" s="19" t="n"/>
      <c r="E949" s="19" t="n"/>
      <c r="F949" s="19" t="n"/>
      <c r="G949" s="19" t="n"/>
      <c r="H949" s="19" t="n"/>
      <c r="I949" s="19" t="n"/>
      <c r="J949" s="19" t="n"/>
      <c r="K949" s="19" t="n"/>
      <c r="L949" s="19" t="n"/>
      <c r="M949" s="19" t="n"/>
      <c r="N949" s="19" t="n"/>
      <c r="O949" s="19" t="n"/>
      <c r="P949" s="19" t="n"/>
      <c r="Q949" s="19" t="n"/>
      <c r="R949" s="19" t="n"/>
    </row>
    <row r="950" ht="15.75" customHeight="1" s="545">
      <c r="A950" s="19" t="n"/>
      <c r="B950" s="19" t="n"/>
      <c r="C950" s="19" t="n"/>
      <c r="D950" s="19" t="n"/>
      <c r="E950" s="19" t="n"/>
      <c r="F950" s="19" t="n"/>
      <c r="G950" s="19" t="n"/>
      <c r="H950" s="19" t="n"/>
      <c r="I950" s="19" t="n"/>
      <c r="J950" s="19" t="n"/>
      <c r="K950" s="19" t="n"/>
      <c r="L950" s="19" t="n"/>
      <c r="M950" s="19" t="n"/>
      <c r="N950" s="19" t="n"/>
      <c r="O950" s="19" t="n"/>
      <c r="P950" s="19" t="n"/>
      <c r="Q950" s="19" t="n"/>
      <c r="R950" s="19" t="n"/>
    </row>
    <row r="951" ht="15.75" customHeight="1" s="545">
      <c r="A951" s="19" t="n"/>
      <c r="B951" s="19" t="n"/>
      <c r="C951" s="19" t="n"/>
      <c r="D951" s="19" t="n"/>
      <c r="E951" s="19" t="n"/>
      <c r="F951" s="19" t="n"/>
      <c r="G951" s="19" t="n"/>
      <c r="H951" s="19" t="n"/>
      <c r="I951" s="19" t="n"/>
      <c r="J951" s="19" t="n"/>
      <c r="K951" s="19" t="n"/>
      <c r="L951" s="19" t="n"/>
      <c r="M951" s="19" t="n"/>
      <c r="N951" s="19" t="n"/>
      <c r="O951" s="19" t="n"/>
      <c r="P951" s="19" t="n"/>
      <c r="Q951" s="19" t="n"/>
      <c r="R951" s="19" t="n"/>
    </row>
    <row r="952" ht="15.75" customHeight="1" s="545">
      <c r="A952" s="19" t="n"/>
      <c r="B952" s="19" t="n"/>
      <c r="C952" s="19" t="n"/>
      <c r="D952" s="19" t="n"/>
      <c r="E952" s="19" t="n"/>
      <c r="F952" s="19" t="n"/>
      <c r="G952" s="19" t="n"/>
      <c r="H952" s="19" t="n"/>
      <c r="I952" s="19" t="n"/>
      <c r="J952" s="19" t="n"/>
      <c r="K952" s="19" t="n"/>
      <c r="L952" s="19" t="n"/>
      <c r="M952" s="19" t="n"/>
      <c r="N952" s="19" t="n"/>
      <c r="O952" s="19" t="n"/>
      <c r="P952" s="19" t="n"/>
      <c r="Q952" s="19" t="n"/>
      <c r="R952" s="19" t="n"/>
    </row>
    <row r="953" ht="15.75" customHeight="1" s="545">
      <c r="A953" s="19" t="n"/>
      <c r="B953" s="19" t="n"/>
      <c r="C953" s="19" t="n"/>
      <c r="D953" s="19" t="n"/>
      <c r="E953" s="19" t="n"/>
      <c r="F953" s="19" t="n"/>
      <c r="G953" s="19" t="n"/>
      <c r="H953" s="19" t="n"/>
      <c r="I953" s="19" t="n"/>
      <c r="J953" s="19" t="n"/>
      <c r="K953" s="19" t="n"/>
      <c r="L953" s="19" t="n"/>
      <c r="M953" s="19" t="n"/>
      <c r="N953" s="19" t="n"/>
      <c r="O953" s="19" t="n"/>
      <c r="P953" s="19" t="n"/>
      <c r="Q953" s="19" t="n"/>
      <c r="R953" s="19" t="n"/>
    </row>
    <row r="954" ht="15.75" customHeight="1" s="545">
      <c r="A954" s="19" t="n"/>
      <c r="B954" s="19" t="n"/>
      <c r="C954" s="19" t="n"/>
      <c r="D954" s="19" t="n"/>
      <c r="E954" s="19" t="n"/>
      <c r="F954" s="19" t="n"/>
      <c r="G954" s="19" t="n"/>
      <c r="H954" s="19" t="n"/>
      <c r="I954" s="19" t="n"/>
      <c r="J954" s="19" t="n"/>
      <c r="K954" s="19" t="n"/>
      <c r="L954" s="19" t="n"/>
      <c r="M954" s="19" t="n"/>
      <c r="N954" s="19" t="n"/>
      <c r="O954" s="19" t="n"/>
      <c r="P954" s="19" t="n"/>
      <c r="Q954" s="19" t="n"/>
      <c r="R954" s="19" t="n"/>
    </row>
    <row r="955" ht="15.75" customHeight="1" s="545">
      <c r="A955" s="19" t="n"/>
      <c r="B955" s="19" t="n"/>
      <c r="C955" s="19" t="n"/>
      <c r="D955" s="19" t="n"/>
      <c r="E955" s="19" t="n"/>
      <c r="F955" s="19" t="n"/>
      <c r="G955" s="19" t="n"/>
      <c r="H955" s="19" t="n"/>
      <c r="I955" s="19" t="n"/>
      <c r="J955" s="19" t="n"/>
      <c r="K955" s="19" t="n"/>
      <c r="L955" s="19" t="n"/>
      <c r="M955" s="19" t="n"/>
      <c r="N955" s="19" t="n"/>
      <c r="O955" s="19" t="n"/>
      <c r="P955" s="19" t="n"/>
      <c r="Q955" s="19" t="n"/>
      <c r="R955" s="19" t="n"/>
    </row>
    <row r="956" ht="15.75" customHeight="1" s="545">
      <c r="A956" s="19" t="n"/>
      <c r="B956" s="19" t="n"/>
      <c r="C956" s="19" t="n"/>
      <c r="D956" s="19" t="n"/>
      <c r="E956" s="19" t="n"/>
      <c r="F956" s="19" t="n"/>
      <c r="G956" s="19" t="n"/>
      <c r="H956" s="19" t="n"/>
      <c r="I956" s="19" t="n"/>
      <c r="J956" s="19" t="n"/>
      <c r="K956" s="19" t="n"/>
      <c r="L956" s="19" t="n"/>
      <c r="M956" s="19" t="n"/>
      <c r="N956" s="19" t="n"/>
      <c r="O956" s="19" t="n"/>
      <c r="P956" s="19" t="n"/>
      <c r="Q956" s="19" t="n"/>
      <c r="R956" s="19" t="n"/>
    </row>
    <row r="957" ht="15.75" customHeight="1" s="545">
      <c r="A957" s="19" t="n"/>
      <c r="B957" s="19" t="n"/>
      <c r="C957" s="19" t="n"/>
      <c r="D957" s="19" t="n"/>
      <c r="E957" s="19" t="n"/>
      <c r="F957" s="19" t="n"/>
      <c r="G957" s="19" t="n"/>
      <c r="H957" s="19" t="n"/>
      <c r="I957" s="19" t="n"/>
      <c r="J957" s="19" t="n"/>
      <c r="K957" s="19" t="n"/>
      <c r="L957" s="19" t="n"/>
      <c r="M957" s="19" t="n"/>
      <c r="N957" s="19" t="n"/>
      <c r="O957" s="19" t="n"/>
      <c r="P957" s="19" t="n"/>
      <c r="Q957" s="19" t="n"/>
      <c r="R957" s="19" t="n"/>
    </row>
    <row r="958" ht="15.75" customHeight="1" s="545">
      <c r="A958" s="19" t="n"/>
      <c r="B958" s="19" t="n"/>
      <c r="C958" s="19" t="n"/>
      <c r="D958" s="19" t="n"/>
      <c r="E958" s="19" t="n"/>
      <c r="F958" s="19" t="n"/>
      <c r="G958" s="19" t="n"/>
      <c r="H958" s="19" t="n"/>
      <c r="I958" s="19" t="n"/>
      <c r="J958" s="19" t="n"/>
      <c r="K958" s="19" t="n"/>
      <c r="L958" s="19" t="n"/>
      <c r="M958" s="19" t="n"/>
      <c r="N958" s="19" t="n"/>
      <c r="O958" s="19" t="n"/>
      <c r="P958" s="19" t="n"/>
      <c r="Q958" s="19" t="n"/>
      <c r="R958" s="19" t="n"/>
    </row>
    <row r="959" ht="15.75" customHeight="1" s="545">
      <c r="A959" s="19" t="n"/>
      <c r="B959" s="19" t="n"/>
      <c r="C959" s="19" t="n"/>
      <c r="D959" s="19" t="n"/>
      <c r="E959" s="19" t="n"/>
      <c r="F959" s="19" t="n"/>
      <c r="G959" s="19" t="n"/>
      <c r="H959" s="19" t="n"/>
      <c r="I959" s="19" t="n"/>
      <c r="J959" s="19" t="n"/>
      <c r="K959" s="19" t="n"/>
      <c r="L959" s="19" t="n"/>
      <c r="M959" s="19" t="n"/>
      <c r="N959" s="19" t="n"/>
      <c r="O959" s="19" t="n"/>
      <c r="P959" s="19" t="n"/>
      <c r="Q959" s="19" t="n"/>
      <c r="R959" s="19" t="n"/>
    </row>
    <row r="960" ht="15.75" customHeight="1" s="545">
      <c r="A960" s="19" t="n"/>
      <c r="B960" s="19" t="n"/>
      <c r="C960" s="19" t="n"/>
      <c r="D960" s="19" t="n"/>
      <c r="E960" s="19" t="n"/>
      <c r="F960" s="19" t="n"/>
      <c r="G960" s="19" t="n"/>
      <c r="H960" s="19" t="n"/>
      <c r="I960" s="19" t="n"/>
      <c r="J960" s="19" t="n"/>
      <c r="K960" s="19" t="n"/>
      <c r="L960" s="19" t="n"/>
      <c r="M960" s="19" t="n"/>
      <c r="N960" s="19" t="n"/>
      <c r="O960" s="19" t="n"/>
      <c r="P960" s="19" t="n"/>
      <c r="Q960" s="19" t="n"/>
      <c r="R960" s="19" t="n"/>
    </row>
    <row r="961" ht="15.75" customHeight="1" s="545">
      <c r="A961" s="19" t="n"/>
      <c r="B961" s="19" t="n"/>
      <c r="C961" s="19" t="n"/>
      <c r="D961" s="19" t="n"/>
      <c r="E961" s="19" t="n"/>
      <c r="F961" s="19" t="n"/>
      <c r="G961" s="19" t="n"/>
      <c r="H961" s="19" t="n"/>
      <c r="I961" s="19" t="n"/>
      <c r="J961" s="19" t="n"/>
      <c r="K961" s="19" t="n"/>
      <c r="L961" s="19" t="n"/>
      <c r="M961" s="19" t="n"/>
      <c r="N961" s="19" t="n"/>
      <c r="O961" s="19" t="n"/>
      <c r="P961" s="19" t="n"/>
      <c r="Q961" s="19" t="n"/>
      <c r="R961" s="19" t="n"/>
    </row>
    <row r="962" ht="15.75" customHeight="1" s="545">
      <c r="A962" s="19" t="n"/>
      <c r="B962" s="19" t="n"/>
      <c r="C962" s="19" t="n"/>
      <c r="D962" s="19" t="n"/>
      <c r="E962" s="19" t="n"/>
      <c r="F962" s="19" t="n"/>
      <c r="G962" s="19" t="n"/>
      <c r="H962" s="19" t="n"/>
      <c r="I962" s="19" t="n"/>
      <c r="J962" s="19" t="n"/>
      <c r="K962" s="19" t="n"/>
      <c r="L962" s="19" t="n"/>
      <c r="M962" s="19" t="n"/>
      <c r="N962" s="19" t="n"/>
      <c r="O962" s="19" t="n"/>
      <c r="P962" s="19" t="n"/>
      <c r="Q962" s="19" t="n"/>
      <c r="R962" s="19" t="n"/>
    </row>
    <row r="963" ht="15.75" customHeight="1" s="545">
      <c r="A963" s="19" t="n"/>
      <c r="B963" s="19" t="n"/>
      <c r="C963" s="19" t="n"/>
      <c r="D963" s="19" t="n"/>
      <c r="E963" s="19" t="n"/>
      <c r="F963" s="19" t="n"/>
      <c r="G963" s="19" t="n"/>
      <c r="H963" s="19" t="n"/>
      <c r="I963" s="19" t="n"/>
      <c r="J963" s="19" t="n"/>
      <c r="K963" s="19" t="n"/>
      <c r="L963" s="19" t="n"/>
      <c r="M963" s="19" t="n"/>
      <c r="N963" s="19" t="n"/>
      <c r="O963" s="19" t="n"/>
      <c r="P963" s="19" t="n"/>
      <c r="Q963" s="19" t="n"/>
      <c r="R963" s="19" t="n"/>
    </row>
    <row r="964" ht="15.75" customHeight="1" s="545">
      <c r="A964" s="19" t="n"/>
      <c r="B964" s="19" t="n"/>
      <c r="C964" s="19" t="n"/>
      <c r="D964" s="19" t="n"/>
      <c r="E964" s="19" t="n"/>
      <c r="F964" s="19" t="n"/>
      <c r="G964" s="19" t="n"/>
      <c r="H964" s="19" t="n"/>
      <c r="I964" s="19" t="n"/>
      <c r="J964" s="19" t="n"/>
      <c r="K964" s="19" t="n"/>
      <c r="L964" s="19" t="n"/>
      <c r="M964" s="19" t="n"/>
      <c r="N964" s="19" t="n"/>
      <c r="O964" s="19" t="n"/>
      <c r="P964" s="19" t="n"/>
      <c r="Q964" s="19" t="n"/>
      <c r="R964" s="19" t="n"/>
    </row>
    <row r="965" ht="15.75" customHeight="1" s="545">
      <c r="A965" s="19" t="n"/>
      <c r="B965" s="19" t="n"/>
      <c r="C965" s="19" t="n"/>
      <c r="D965" s="19" t="n"/>
      <c r="E965" s="19" t="n"/>
      <c r="F965" s="19" t="n"/>
      <c r="G965" s="19" t="n"/>
      <c r="H965" s="19" t="n"/>
      <c r="I965" s="19" t="n"/>
      <c r="J965" s="19" t="n"/>
      <c r="K965" s="19" t="n"/>
      <c r="L965" s="19" t="n"/>
      <c r="M965" s="19" t="n"/>
      <c r="N965" s="19" t="n"/>
      <c r="O965" s="19" t="n"/>
      <c r="P965" s="19" t="n"/>
      <c r="Q965" s="19" t="n"/>
      <c r="R965" s="19" t="n"/>
    </row>
    <row r="966" ht="15.75" customHeight="1" s="545">
      <c r="A966" s="19" t="n"/>
      <c r="B966" s="19" t="n"/>
      <c r="C966" s="19" t="n"/>
      <c r="D966" s="19" t="n"/>
      <c r="E966" s="19" t="n"/>
      <c r="F966" s="19" t="n"/>
      <c r="G966" s="19" t="n"/>
      <c r="H966" s="19" t="n"/>
      <c r="I966" s="19" t="n"/>
      <c r="J966" s="19" t="n"/>
      <c r="K966" s="19" t="n"/>
      <c r="L966" s="19" t="n"/>
      <c r="M966" s="19" t="n"/>
      <c r="N966" s="19" t="n"/>
      <c r="O966" s="19" t="n"/>
      <c r="P966" s="19" t="n"/>
      <c r="Q966" s="19" t="n"/>
      <c r="R966" s="19" t="n"/>
    </row>
    <row r="967" ht="15.75" customHeight="1" s="545">
      <c r="A967" s="19" t="n"/>
      <c r="B967" s="19" t="n"/>
      <c r="C967" s="19" t="n"/>
      <c r="D967" s="19" t="n"/>
      <c r="E967" s="19" t="n"/>
      <c r="F967" s="19" t="n"/>
      <c r="G967" s="19" t="n"/>
      <c r="H967" s="19" t="n"/>
      <c r="I967" s="19" t="n"/>
      <c r="J967" s="19" t="n"/>
      <c r="K967" s="19" t="n"/>
      <c r="L967" s="19" t="n"/>
      <c r="M967" s="19" t="n"/>
      <c r="N967" s="19" t="n"/>
      <c r="O967" s="19" t="n"/>
      <c r="P967" s="19" t="n"/>
      <c r="Q967" s="19" t="n"/>
      <c r="R967" s="19" t="n"/>
    </row>
    <row r="968" ht="15.75" customHeight="1" s="545">
      <c r="A968" s="19" t="n"/>
      <c r="B968" s="19" t="n"/>
      <c r="C968" s="19" t="n"/>
      <c r="D968" s="19" t="n"/>
      <c r="E968" s="19" t="n"/>
      <c r="F968" s="19" t="n"/>
      <c r="G968" s="19" t="n"/>
      <c r="H968" s="19" t="n"/>
      <c r="I968" s="19" t="n"/>
      <c r="J968" s="19" t="n"/>
      <c r="K968" s="19" t="n"/>
      <c r="L968" s="19" t="n"/>
      <c r="M968" s="19" t="n"/>
      <c r="N968" s="19" t="n"/>
      <c r="O968" s="19" t="n"/>
      <c r="P968" s="19" t="n"/>
      <c r="Q968" s="19" t="n"/>
      <c r="R968" s="19" t="n"/>
    </row>
    <row r="969" ht="15.75" customHeight="1" s="545">
      <c r="A969" s="19" t="n"/>
      <c r="B969" s="19" t="n"/>
      <c r="C969" s="19" t="n"/>
      <c r="D969" s="19" t="n"/>
      <c r="E969" s="19" t="n"/>
      <c r="F969" s="19" t="n"/>
      <c r="G969" s="19" t="n"/>
      <c r="H969" s="19" t="n"/>
      <c r="I969" s="19" t="n"/>
      <c r="J969" s="19" t="n"/>
      <c r="K969" s="19" t="n"/>
      <c r="L969" s="19" t="n"/>
      <c r="M969" s="19" t="n"/>
      <c r="N969" s="19" t="n"/>
      <c r="O969" s="19" t="n"/>
      <c r="P969" s="19" t="n"/>
      <c r="Q969" s="19" t="n"/>
      <c r="R969" s="19" t="n"/>
    </row>
    <row r="970" ht="15.75" customHeight="1" s="545">
      <c r="A970" s="19" t="n"/>
      <c r="B970" s="19" t="n"/>
      <c r="C970" s="19" t="n"/>
      <c r="D970" s="19" t="n"/>
      <c r="E970" s="19" t="n"/>
      <c r="F970" s="19" t="n"/>
      <c r="G970" s="19" t="n"/>
      <c r="H970" s="19" t="n"/>
      <c r="I970" s="19" t="n"/>
      <c r="J970" s="19" t="n"/>
      <c r="K970" s="19" t="n"/>
      <c r="L970" s="19" t="n"/>
      <c r="M970" s="19" t="n"/>
      <c r="N970" s="19" t="n"/>
      <c r="O970" s="19" t="n"/>
      <c r="P970" s="19" t="n"/>
      <c r="Q970" s="19" t="n"/>
      <c r="R970" s="19" t="n"/>
    </row>
    <row r="971" ht="15.75" customHeight="1" s="545">
      <c r="A971" s="19" t="n"/>
      <c r="B971" s="19" t="n"/>
      <c r="C971" s="19" t="n"/>
      <c r="D971" s="19" t="n"/>
      <c r="E971" s="19" t="n"/>
      <c r="F971" s="19" t="n"/>
      <c r="G971" s="19" t="n"/>
      <c r="H971" s="19" t="n"/>
      <c r="I971" s="19" t="n"/>
      <c r="J971" s="19" t="n"/>
      <c r="K971" s="19" t="n"/>
      <c r="L971" s="19" t="n"/>
      <c r="M971" s="19" t="n"/>
      <c r="N971" s="19" t="n"/>
      <c r="O971" s="19" t="n"/>
      <c r="P971" s="19" t="n"/>
      <c r="Q971" s="19" t="n"/>
      <c r="R971" s="19" t="n"/>
    </row>
    <row r="972" ht="15.75" customHeight="1" s="545">
      <c r="A972" s="19" t="n"/>
      <c r="B972" s="19" t="n"/>
      <c r="C972" s="19" t="n"/>
      <c r="D972" s="19" t="n"/>
      <c r="E972" s="19" t="n"/>
      <c r="F972" s="19" t="n"/>
      <c r="G972" s="19" t="n"/>
      <c r="H972" s="19" t="n"/>
      <c r="I972" s="19" t="n"/>
      <c r="J972" s="19" t="n"/>
      <c r="K972" s="19" t="n"/>
      <c r="L972" s="19" t="n"/>
      <c r="M972" s="19" t="n"/>
      <c r="N972" s="19" t="n"/>
      <c r="O972" s="19" t="n"/>
      <c r="P972" s="19" t="n"/>
      <c r="Q972" s="19" t="n"/>
      <c r="R972" s="19" t="n"/>
    </row>
    <row r="973" ht="15.75" customHeight="1" s="545">
      <c r="A973" s="19" t="n"/>
      <c r="B973" s="19" t="n"/>
      <c r="C973" s="19" t="n"/>
      <c r="D973" s="19" t="n"/>
      <c r="E973" s="19" t="n"/>
      <c r="F973" s="19" t="n"/>
      <c r="G973" s="19" t="n"/>
      <c r="H973" s="19" t="n"/>
      <c r="I973" s="19" t="n"/>
      <c r="J973" s="19" t="n"/>
      <c r="K973" s="19" t="n"/>
      <c r="L973" s="19" t="n"/>
      <c r="M973" s="19" t="n"/>
      <c r="N973" s="19" t="n"/>
      <c r="O973" s="19" t="n"/>
      <c r="P973" s="19" t="n"/>
      <c r="Q973" s="19" t="n"/>
      <c r="R973" s="19" t="n"/>
    </row>
    <row r="974" ht="15.75" customHeight="1" s="545">
      <c r="A974" s="19" t="n"/>
      <c r="B974" s="19" t="n"/>
      <c r="C974" s="19" t="n"/>
      <c r="D974" s="19" t="n"/>
      <c r="E974" s="19" t="n"/>
      <c r="F974" s="19" t="n"/>
      <c r="G974" s="19" t="n"/>
      <c r="H974" s="19" t="n"/>
      <c r="I974" s="19" t="n"/>
      <c r="J974" s="19" t="n"/>
      <c r="K974" s="19" t="n"/>
      <c r="L974" s="19" t="n"/>
      <c r="M974" s="19" t="n"/>
      <c r="N974" s="19" t="n"/>
      <c r="O974" s="19" t="n"/>
      <c r="P974" s="19" t="n"/>
      <c r="Q974" s="19" t="n"/>
      <c r="R974" s="19" t="n"/>
    </row>
    <row r="975" ht="15.75" customHeight="1" s="545">
      <c r="A975" s="19" t="n"/>
      <c r="B975" s="19" t="n"/>
      <c r="C975" s="19" t="n"/>
      <c r="D975" s="19" t="n"/>
      <c r="E975" s="19" t="n"/>
      <c r="F975" s="19" t="n"/>
      <c r="G975" s="19" t="n"/>
      <c r="H975" s="19" t="n"/>
      <c r="I975" s="19" t="n"/>
      <c r="J975" s="19" t="n"/>
      <c r="K975" s="19" t="n"/>
      <c r="L975" s="19" t="n"/>
      <c r="M975" s="19" t="n"/>
      <c r="N975" s="19" t="n"/>
      <c r="O975" s="19" t="n"/>
      <c r="P975" s="19" t="n"/>
      <c r="Q975" s="19" t="n"/>
      <c r="R975" s="19" t="n"/>
    </row>
    <row r="976" ht="15.75" customHeight="1" s="545">
      <c r="A976" s="19" t="n"/>
      <c r="B976" s="19" t="n"/>
      <c r="C976" s="19" t="n"/>
      <c r="D976" s="19" t="n"/>
      <c r="E976" s="19" t="n"/>
      <c r="F976" s="19" t="n"/>
      <c r="G976" s="19" t="n"/>
      <c r="H976" s="19" t="n"/>
      <c r="I976" s="19" t="n"/>
      <c r="J976" s="19" t="n"/>
      <c r="K976" s="19" t="n"/>
      <c r="L976" s="19" t="n"/>
      <c r="M976" s="19" t="n"/>
      <c r="N976" s="19" t="n"/>
      <c r="O976" s="19" t="n"/>
      <c r="P976" s="19" t="n"/>
      <c r="Q976" s="19" t="n"/>
      <c r="R976" s="19" t="n"/>
    </row>
    <row r="977" ht="15.75" customHeight="1" s="545">
      <c r="A977" s="19" t="n"/>
      <c r="B977" s="19" t="n"/>
      <c r="C977" s="19" t="n"/>
      <c r="D977" s="19" t="n"/>
      <c r="E977" s="19" t="n"/>
      <c r="F977" s="19" t="n"/>
      <c r="G977" s="19" t="n"/>
      <c r="H977" s="19" t="n"/>
      <c r="I977" s="19" t="n"/>
      <c r="J977" s="19" t="n"/>
      <c r="K977" s="19" t="n"/>
      <c r="L977" s="19" t="n"/>
      <c r="M977" s="19" t="n"/>
      <c r="N977" s="19" t="n"/>
      <c r="O977" s="19" t="n"/>
      <c r="P977" s="19" t="n"/>
      <c r="Q977" s="19" t="n"/>
      <c r="R977" s="19" t="n"/>
    </row>
    <row r="978" ht="15.75" customHeight="1" s="545">
      <c r="A978" s="19" t="n"/>
      <c r="B978" s="19" t="n"/>
      <c r="C978" s="19" t="n"/>
      <c r="D978" s="19" t="n"/>
      <c r="E978" s="19" t="n"/>
      <c r="F978" s="19" t="n"/>
      <c r="G978" s="19" t="n"/>
      <c r="H978" s="19" t="n"/>
      <c r="I978" s="19" t="n"/>
      <c r="J978" s="19" t="n"/>
      <c r="K978" s="19" t="n"/>
      <c r="L978" s="19" t="n"/>
      <c r="M978" s="19" t="n"/>
      <c r="N978" s="19" t="n"/>
      <c r="O978" s="19" t="n"/>
      <c r="P978" s="19" t="n"/>
      <c r="Q978" s="19" t="n"/>
      <c r="R978" s="19" t="n"/>
    </row>
    <row r="979" ht="15.75" customHeight="1" s="545">
      <c r="A979" s="19" t="n"/>
      <c r="B979" s="19" t="n"/>
      <c r="C979" s="19" t="n"/>
      <c r="D979" s="19" t="n"/>
      <c r="E979" s="19" t="n"/>
      <c r="F979" s="19" t="n"/>
      <c r="G979" s="19" t="n"/>
      <c r="H979" s="19" t="n"/>
      <c r="I979" s="19" t="n"/>
      <c r="J979" s="19" t="n"/>
      <c r="K979" s="19" t="n"/>
      <c r="L979" s="19" t="n"/>
      <c r="M979" s="19" t="n"/>
      <c r="N979" s="19" t="n"/>
      <c r="O979" s="19" t="n"/>
      <c r="P979" s="19" t="n"/>
      <c r="Q979" s="19" t="n"/>
      <c r="R979" s="19" t="n"/>
    </row>
    <row r="980" ht="15.75" customHeight="1" s="545">
      <c r="A980" s="19" t="n"/>
      <c r="B980" s="19" t="n"/>
      <c r="C980" s="19" t="n"/>
      <c r="D980" s="19" t="n"/>
      <c r="E980" s="19" t="n"/>
      <c r="F980" s="19" t="n"/>
      <c r="G980" s="19" t="n"/>
      <c r="H980" s="19" t="n"/>
      <c r="I980" s="19" t="n"/>
      <c r="J980" s="19" t="n"/>
      <c r="K980" s="19" t="n"/>
      <c r="L980" s="19" t="n"/>
      <c r="M980" s="19" t="n"/>
      <c r="N980" s="19" t="n"/>
      <c r="O980" s="19" t="n"/>
      <c r="P980" s="19" t="n"/>
      <c r="Q980" s="19" t="n"/>
      <c r="R980" s="19" t="n"/>
    </row>
    <row r="981" ht="15.75" customHeight="1" s="545">
      <c r="A981" s="19" t="n"/>
      <c r="B981" s="19" t="n"/>
      <c r="C981" s="19" t="n"/>
      <c r="D981" s="19" t="n"/>
      <c r="E981" s="19" t="n"/>
      <c r="F981" s="19" t="n"/>
      <c r="G981" s="19" t="n"/>
      <c r="H981" s="19" t="n"/>
      <c r="I981" s="19" t="n"/>
      <c r="J981" s="19" t="n"/>
      <c r="K981" s="19" t="n"/>
      <c r="L981" s="19" t="n"/>
      <c r="M981" s="19" t="n"/>
      <c r="N981" s="19" t="n"/>
      <c r="O981" s="19" t="n"/>
      <c r="P981" s="19" t="n"/>
      <c r="Q981" s="19" t="n"/>
      <c r="R981" s="19" t="n"/>
    </row>
    <row r="982" ht="15.75" customHeight="1" s="545">
      <c r="A982" s="19" t="n"/>
      <c r="B982" s="19" t="n"/>
      <c r="C982" s="19" t="n"/>
      <c r="D982" s="19" t="n"/>
      <c r="E982" s="19" t="n"/>
      <c r="F982" s="19" t="n"/>
      <c r="G982" s="19" t="n"/>
      <c r="H982" s="19" t="n"/>
      <c r="I982" s="19" t="n"/>
      <c r="J982" s="19" t="n"/>
      <c r="K982" s="19" t="n"/>
      <c r="L982" s="19" t="n"/>
      <c r="M982" s="19" t="n"/>
      <c r="N982" s="19" t="n"/>
      <c r="O982" s="19" t="n"/>
      <c r="P982" s="19" t="n"/>
      <c r="Q982" s="19" t="n"/>
      <c r="R982" s="19" t="n"/>
    </row>
    <row r="983" ht="15.75" customHeight="1" s="545">
      <c r="A983" s="19" t="n"/>
      <c r="B983" s="19" t="n"/>
      <c r="C983" s="19" t="n"/>
      <c r="D983" s="19" t="n"/>
      <c r="E983" s="19" t="n"/>
      <c r="F983" s="19" t="n"/>
      <c r="G983" s="19" t="n"/>
      <c r="H983" s="19" t="n"/>
      <c r="I983" s="19" t="n"/>
      <c r="J983" s="19" t="n"/>
      <c r="K983" s="19" t="n"/>
      <c r="L983" s="19" t="n"/>
      <c r="M983" s="19" t="n"/>
      <c r="N983" s="19" t="n"/>
      <c r="O983" s="19" t="n"/>
      <c r="P983" s="19" t="n"/>
      <c r="Q983" s="19" t="n"/>
      <c r="R983" s="19" t="n"/>
    </row>
    <row r="984" ht="15.75" customHeight="1" s="545">
      <c r="A984" s="19" t="n"/>
      <c r="B984" s="19" t="n"/>
      <c r="C984" s="19" t="n"/>
      <c r="D984" s="19" t="n"/>
      <c r="E984" s="19" t="n"/>
      <c r="F984" s="19" t="n"/>
      <c r="G984" s="19" t="n"/>
      <c r="H984" s="19" t="n"/>
      <c r="I984" s="19" t="n"/>
      <c r="J984" s="19" t="n"/>
      <c r="K984" s="19" t="n"/>
      <c r="L984" s="19" t="n"/>
      <c r="M984" s="19" t="n"/>
      <c r="N984" s="19" t="n"/>
      <c r="O984" s="19" t="n"/>
      <c r="P984" s="19" t="n"/>
      <c r="Q984" s="19" t="n"/>
      <c r="R984" s="19" t="n"/>
    </row>
    <row r="985" ht="15.75" customHeight="1" s="545">
      <c r="A985" s="19" t="n"/>
      <c r="B985" s="19" t="n"/>
      <c r="C985" s="19" t="n"/>
      <c r="D985" s="19" t="n"/>
      <c r="E985" s="19" t="n"/>
      <c r="F985" s="19" t="n"/>
      <c r="G985" s="19" t="n"/>
      <c r="H985" s="19" t="n"/>
      <c r="I985" s="19" t="n"/>
      <c r="J985" s="19" t="n"/>
      <c r="K985" s="19" t="n"/>
      <c r="L985" s="19" t="n"/>
      <c r="M985" s="19" t="n"/>
      <c r="N985" s="19" t="n"/>
      <c r="O985" s="19" t="n"/>
      <c r="P985" s="19" t="n"/>
      <c r="Q985" s="19" t="n"/>
      <c r="R985" s="19" t="n"/>
    </row>
    <row r="986" ht="15.75" customHeight="1" s="545">
      <c r="A986" s="19" t="n"/>
      <c r="B986" s="19" t="n"/>
      <c r="C986" s="19" t="n"/>
      <c r="D986" s="19" t="n"/>
      <c r="E986" s="19" t="n"/>
      <c r="F986" s="19" t="n"/>
      <c r="G986" s="19" t="n"/>
      <c r="H986" s="19" t="n"/>
      <c r="I986" s="19" t="n"/>
      <c r="J986" s="19" t="n"/>
      <c r="K986" s="19" t="n"/>
      <c r="L986" s="19" t="n"/>
      <c r="M986" s="19" t="n"/>
      <c r="N986" s="19" t="n"/>
      <c r="O986" s="19" t="n"/>
      <c r="P986" s="19" t="n"/>
      <c r="Q986" s="19" t="n"/>
      <c r="R986" s="19" t="n"/>
    </row>
    <row r="987" ht="15.75" customHeight="1" s="545">
      <c r="A987" s="19" t="n"/>
      <c r="B987" s="19" t="n"/>
      <c r="C987" s="19" t="n"/>
      <c r="D987" s="19" t="n"/>
      <c r="E987" s="19" t="n"/>
      <c r="F987" s="19" t="n"/>
      <c r="G987" s="19" t="n"/>
      <c r="H987" s="19" t="n"/>
      <c r="I987" s="19" t="n"/>
      <c r="J987" s="19" t="n"/>
      <c r="K987" s="19" t="n"/>
      <c r="L987" s="19" t="n"/>
      <c r="M987" s="19" t="n"/>
      <c r="N987" s="19" t="n"/>
      <c r="O987" s="19" t="n"/>
      <c r="P987" s="19" t="n"/>
      <c r="Q987" s="19" t="n"/>
      <c r="R987" s="19" t="n"/>
    </row>
    <row r="988" ht="15.75" customHeight="1" s="545">
      <c r="A988" s="19" t="n"/>
      <c r="B988" s="19" t="n"/>
      <c r="C988" s="19" t="n"/>
      <c r="D988" s="19" t="n"/>
      <c r="E988" s="19" t="n"/>
      <c r="F988" s="19" t="n"/>
      <c r="G988" s="19" t="n"/>
      <c r="H988" s="19" t="n"/>
      <c r="I988" s="19" t="n"/>
      <c r="J988" s="19" t="n"/>
      <c r="K988" s="19" t="n"/>
      <c r="L988" s="19" t="n"/>
      <c r="M988" s="19" t="n"/>
      <c r="N988" s="19" t="n"/>
      <c r="O988" s="19" t="n"/>
      <c r="P988" s="19" t="n"/>
      <c r="Q988" s="19" t="n"/>
      <c r="R988" s="19" t="n"/>
    </row>
    <row r="989" ht="15.75" customHeight="1" s="545">
      <c r="A989" s="19" t="n"/>
      <c r="B989" s="19" t="n"/>
      <c r="C989" s="19" t="n"/>
      <c r="D989" s="19" t="n"/>
      <c r="E989" s="19" t="n"/>
      <c r="F989" s="19" t="n"/>
      <c r="G989" s="19" t="n"/>
      <c r="H989" s="19" t="n"/>
      <c r="I989" s="19" t="n"/>
      <c r="J989" s="19" t="n"/>
      <c r="K989" s="19" t="n"/>
      <c r="L989" s="19" t="n"/>
      <c r="M989" s="19" t="n"/>
      <c r="N989" s="19" t="n"/>
      <c r="O989" s="19" t="n"/>
      <c r="P989" s="19" t="n"/>
      <c r="Q989" s="19" t="n"/>
      <c r="R989" s="19" t="n"/>
    </row>
    <row r="990" ht="15.75" customHeight="1" s="545">
      <c r="A990" s="19" t="n"/>
      <c r="B990" s="19" t="n"/>
      <c r="C990" s="19" t="n"/>
      <c r="D990" s="19" t="n"/>
      <c r="E990" s="19" t="n"/>
      <c r="F990" s="19" t="n"/>
      <c r="G990" s="19" t="n"/>
      <c r="H990" s="19" t="n"/>
      <c r="I990" s="19" t="n"/>
      <c r="J990" s="19" t="n"/>
      <c r="K990" s="19" t="n"/>
      <c r="L990" s="19" t="n"/>
      <c r="M990" s="19" t="n"/>
      <c r="N990" s="19" t="n"/>
      <c r="O990" s="19" t="n"/>
      <c r="P990" s="19" t="n"/>
      <c r="Q990" s="19" t="n"/>
      <c r="R990" s="19" t="n"/>
    </row>
    <row r="991" ht="15.75" customHeight="1" s="545">
      <c r="A991" s="19" t="n"/>
      <c r="B991" s="19" t="n"/>
      <c r="C991" s="19" t="n"/>
      <c r="D991" s="19" t="n"/>
      <c r="E991" s="19" t="n"/>
      <c r="F991" s="19" t="n"/>
      <c r="G991" s="19" t="n"/>
      <c r="H991" s="19" t="n"/>
      <c r="I991" s="19" t="n"/>
      <c r="J991" s="19" t="n"/>
      <c r="K991" s="19" t="n"/>
      <c r="L991" s="19" t="n"/>
      <c r="M991" s="19" t="n"/>
      <c r="N991" s="19" t="n"/>
      <c r="O991" s="19" t="n"/>
      <c r="P991" s="19" t="n"/>
      <c r="Q991" s="19" t="n"/>
      <c r="R991" s="19" t="n"/>
    </row>
    <row r="992" ht="15.75" customHeight="1" s="545">
      <c r="A992" s="19" t="n"/>
      <c r="B992" s="19" t="n"/>
      <c r="C992" s="19" t="n"/>
      <c r="D992" s="19" t="n"/>
      <c r="E992" s="19" t="n"/>
      <c r="F992" s="19" t="n"/>
      <c r="G992" s="19" t="n"/>
      <c r="H992" s="19" t="n"/>
      <c r="I992" s="19" t="n"/>
      <c r="J992" s="19" t="n"/>
      <c r="K992" s="19" t="n"/>
      <c r="L992" s="19" t="n"/>
      <c r="M992" s="19" t="n"/>
      <c r="N992" s="19" t="n"/>
      <c r="O992" s="19" t="n"/>
      <c r="P992" s="19" t="n"/>
      <c r="Q992" s="19" t="n"/>
      <c r="R992" s="19" t="n"/>
    </row>
    <row r="993" ht="15.75" customHeight="1" s="545">
      <c r="A993" s="19" t="n"/>
      <c r="B993" s="19" t="n"/>
      <c r="C993" s="19" t="n"/>
      <c r="D993" s="19" t="n"/>
      <c r="E993" s="19" t="n"/>
      <c r="F993" s="19" t="n"/>
      <c r="G993" s="19" t="n"/>
      <c r="H993" s="19" t="n"/>
      <c r="I993" s="19" t="n"/>
      <c r="J993" s="19" t="n"/>
      <c r="K993" s="19" t="n"/>
      <c r="L993" s="19" t="n"/>
      <c r="M993" s="19" t="n"/>
      <c r="N993" s="19" t="n"/>
      <c r="O993" s="19" t="n"/>
      <c r="P993" s="19" t="n"/>
      <c r="Q993" s="19" t="n"/>
      <c r="R993" s="19" t="n"/>
    </row>
    <row r="994" ht="15.75" customHeight="1" s="545">
      <c r="A994" s="19" t="n"/>
      <c r="B994" s="19" t="n"/>
      <c r="C994" s="19" t="n"/>
      <c r="D994" s="19" t="n"/>
      <c r="E994" s="19" t="n"/>
      <c r="F994" s="19" t="n"/>
      <c r="G994" s="19" t="n"/>
      <c r="H994" s="19" t="n"/>
      <c r="I994" s="19" t="n"/>
      <c r="J994" s="19" t="n"/>
      <c r="K994" s="19" t="n"/>
      <c r="L994" s="19" t="n"/>
      <c r="M994" s="19" t="n"/>
      <c r="N994" s="19" t="n"/>
      <c r="O994" s="19" t="n"/>
      <c r="P994" s="19" t="n"/>
      <c r="Q994" s="19" t="n"/>
      <c r="R994" s="19" t="n"/>
    </row>
    <row r="995" ht="15.75" customHeight="1" s="545">
      <c r="A995" s="19" t="n"/>
      <c r="B995" s="19" t="n"/>
      <c r="C995" s="19" t="n"/>
      <c r="D995" s="19" t="n"/>
      <c r="E995" s="19" t="n"/>
      <c r="F995" s="19" t="n"/>
      <c r="G995" s="19" t="n"/>
      <c r="H995" s="19" t="n"/>
      <c r="I995" s="19" t="n"/>
      <c r="J995" s="19" t="n"/>
      <c r="K995" s="19" t="n"/>
      <c r="L995" s="19" t="n"/>
      <c r="M995" s="19" t="n"/>
      <c r="N995" s="19" t="n"/>
      <c r="O995" s="19" t="n"/>
      <c r="P995" s="19" t="n"/>
      <c r="Q995" s="19" t="n"/>
      <c r="R995" s="19" t="n"/>
    </row>
    <row r="996" ht="15.75" customHeight="1" s="545">
      <c r="A996" s="19" t="n"/>
      <c r="B996" s="19" t="n"/>
      <c r="C996" s="19" t="n"/>
      <c r="D996" s="19" t="n"/>
      <c r="E996" s="19" t="n"/>
      <c r="F996" s="19" t="n"/>
      <c r="G996" s="19" t="n"/>
      <c r="H996" s="19" t="n"/>
      <c r="I996" s="19" t="n"/>
      <c r="J996" s="19" t="n"/>
      <c r="K996" s="19" t="n"/>
      <c r="L996" s="19" t="n"/>
      <c r="M996" s="19" t="n"/>
      <c r="N996" s="19" t="n"/>
      <c r="O996" s="19" t="n"/>
      <c r="P996" s="19" t="n"/>
      <c r="Q996" s="19" t="n"/>
      <c r="R996" s="19" t="n"/>
    </row>
    <row r="997" ht="15.75" customHeight="1" s="545">
      <c r="A997" s="19" t="n"/>
      <c r="B997" s="19" t="n"/>
      <c r="C997" s="19" t="n"/>
      <c r="D997" s="19" t="n"/>
      <c r="E997" s="19" t="n"/>
      <c r="F997" s="19" t="n"/>
      <c r="G997" s="19" t="n"/>
      <c r="H997" s="19" t="n"/>
      <c r="I997" s="19" t="n"/>
      <c r="J997" s="19" t="n"/>
      <c r="K997" s="19" t="n"/>
      <c r="L997" s="19" t="n"/>
      <c r="M997" s="19" t="n"/>
      <c r="N997" s="19" t="n"/>
      <c r="O997" s="19" t="n"/>
      <c r="P997" s="19" t="n"/>
      <c r="Q997" s="19" t="n"/>
      <c r="R997" s="19" t="n"/>
    </row>
    <row r="998" ht="15.75" customHeight="1" s="545">
      <c r="A998" s="19" t="n"/>
      <c r="B998" s="19" t="n"/>
      <c r="C998" s="19" t="n"/>
      <c r="D998" s="19" t="n"/>
      <c r="E998" s="19" t="n"/>
      <c r="F998" s="19" t="n"/>
      <c r="G998" s="19" t="n"/>
      <c r="H998" s="19" t="n"/>
      <c r="I998" s="19" t="n"/>
      <c r="J998" s="19" t="n"/>
      <c r="K998" s="19" t="n"/>
      <c r="L998" s="19" t="n"/>
      <c r="M998" s="19" t="n"/>
      <c r="N998" s="19" t="n"/>
      <c r="O998" s="19" t="n"/>
      <c r="P998" s="19" t="n"/>
      <c r="Q998" s="19" t="n"/>
      <c r="R998" s="19" t="n"/>
    </row>
    <row r="999" ht="15.75" customHeight="1" s="545">
      <c r="A999" s="19" t="n"/>
      <c r="B999" s="19" t="n"/>
      <c r="C999" s="19" t="n"/>
      <c r="D999" s="19" t="n"/>
      <c r="E999" s="19" t="n"/>
      <c r="F999" s="19" t="n"/>
      <c r="G999" s="19" t="n"/>
      <c r="H999" s="19" t="n"/>
      <c r="I999" s="19" t="n"/>
      <c r="J999" s="19" t="n"/>
      <c r="K999" s="19" t="n"/>
      <c r="L999" s="19" t="n"/>
      <c r="M999" s="19" t="n"/>
      <c r="N999" s="19" t="n"/>
      <c r="O999" s="19" t="n"/>
      <c r="P999" s="19" t="n"/>
      <c r="Q999" s="19" t="n"/>
      <c r="R999" s="19" t="n"/>
    </row>
    <row r="1000" ht="15.75" customHeight="1" s="545">
      <c r="A1000" s="19" t="n"/>
      <c r="B1000" s="19" t="n"/>
      <c r="C1000" s="19" t="n"/>
      <c r="D1000" s="19" t="n"/>
      <c r="E1000" s="19" t="n"/>
      <c r="F1000" s="19" t="n"/>
      <c r="G1000" s="19" t="n"/>
      <c r="H1000" s="19" t="n"/>
      <c r="I1000" s="19" t="n"/>
      <c r="J1000" s="19" t="n"/>
      <c r="K1000" s="19" t="n"/>
      <c r="L1000" s="19" t="n"/>
      <c r="M1000" s="19" t="n"/>
      <c r="N1000" s="19" t="n"/>
      <c r="O1000" s="19" t="n"/>
      <c r="P1000" s="19" t="n"/>
      <c r="Q1000" s="19" t="n"/>
      <c r="R1000" s="19" t="n"/>
    </row>
  </sheetData>
  <mergeCells count="55">
    <mergeCell ref="Q28:Q33"/>
    <mergeCell ref="B61:B69"/>
    <mergeCell ref="B106:I106"/>
    <mergeCell ref="B2:P2"/>
    <mergeCell ref="R13:R14"/>
    <mergeCell ref="R84:R96"/>
    <mergeCell ref="R97:R99"/>
    <mergeCell ref="B6:E6"/>
    <mergeCell ref="Q70:Q83"/>
    <mergeCell ref="O4:O5"/>
    <mergeCell ref="P6:P7"/>
    <mergeCell ref="Q102:Q105"/>
    <mergeCell ref="B5:E5"/>
    <mergeCell ref="B102:B105"/>
    <mergeCell ref="M8:N9"/>
    <mergeCell ref="R28:R33"/>
    <mergeCell ref="R40:R54"/>
    <mergeCell ref="B4:E4"/>
    <mergeCell ref="L8:L9"/>
    <mergeCell ref="B13:B14"/>
    <mergeCell ref="F4:I4"/>
    <mergeCell ref="Q61:Q69"/>
    <mergeCell ref="Q55:Q60"/>
    <mergeCell ref="P8:P9"/>
    <mergeCell ref="R34:R39"/>
    <mergeCell ref="B7:E7"/>
    <mergeCell ref="Q23:Q27"/>
    <mergeCell ref="Q84:Q96"/>
    <mergeCell ref="R15:R22"/>
    <mergeCell ref="B97:B99"/>
    <mergeCell ref="B84:B96"/>
    <mergeCell ref="Q40:Q54"/>
    <mergeCell ref="R23:R27"/>
    <mergeCell ref="B40:B54"/>
    <mergeCell ref="R61:R69"/>
    <mergeCell ref="R55:R60"/>
    <mergeCell ref="K8:K9"/>
    <mergeCell ref="B70:B83"/>
    <mergeCell ref="Q34:Q39"/>
    <mergeCell ref="O8:O9"/>
    <mergeCell ref="B34:B39"/>
    <mergeCell ref="K4:N5"/>
    <mergeCell ref="B28:B33"/>
    <mergeCell ref="Q97:Q99"/>
    <mergeCell ref="Q13:Q14"/>
    <mergeCell ref="B55:B60"/>
    <mergeCell ref="R8:R9"/>
    <mergeCell ref="R70:R83"/>
    <mergeCell ref="B15:B22"/>
    <mergeCell ref="P4:P5"/>
    <mergeCell ref="Q15:Q22"/>
    <mergeCell ref="R102:R105"/>
    <mergeCell ref="K6:N7"/>
    <mergeCell ref="O6:O7"/>
    <mergeCell ref="B23:B27"/>
  </mergeCells>
  <conditionalFormatting sqref="I31">
    <cfRule type="expression" priority="1" dxfId="3">
      <formula>LEN(TRIM(I31))&gt;0</formula>
    </cfRule>
  </conditionalFormatting>
  <pageMargins left="0.25" right="0.25" top="0.75" bottom="0.75" header="0" footer="0"/>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Y1000"/>
  <sheetViews>
    <sheetView topLeftCell="C1" zoomScale="70" zoomScaleNormal="70" workbookViewId="0">
      <selection activeCell="M6" sqref="M6"/>
    </sheetView>
  </sheetViews>
  <sheetFormatPr baseColWidth="10" defaultColWidth="14.4609375" defaultRowHeight="15" customHeight="1"/>
  <cols>
    <col width="8.3046875" customWidth="1" style="545" min="1" max="2"/>
    <col width="27.3046875" customWidth="1" style="545" min="3" max="3"/>
    <col width="12.15234375" customWidth="1" style="545" min="4" max="4"/>
    <col width="7.84375" customWidth="1" style="545" min="5" max="5"/>
    <col width="11.53515625" customWidth="1" style="545" min="6" max="6"/>
    <col width="12.69140625" customWidth="1" style="545" min="8" max="8"/>
    <col width="13.69140625" customWidth="1" style="545" min="9" max="9"/>
    <col width="12.53515625" customWidth="1" style="545" min="10" max="10"/>
    <col width="10.15234375" customWidth="1" style="545" min="11" max="11"/>
    <col width="16.69140625" customWidth="1" style="545" min="13" max="13"/>
    <col width="10.15234375" customWidth="1" style="545" min="15" max="15"/>
    <col width="15.84375" customWidth="1" style="545" min="17" max="17"/>
    <col width="17.69140625" customWidth="1" style="545" min="18" max="18"/>
    <col width="13.84375" customWidth="1" style="545" min="19" max="19"/>
    <col width="14.69140625" customWidth="1" style="545" min="20" max="20"/>
  </cols>
  <sheetData>
    <row r="1" ht="15.75" customHeight="1" s="545">
      <c r="A1" s="339" t="inlineStr">
        <is>
          <t>MIETAUFSTELLUNG</t>
        </is>
      </c>
      <c r="B1" s="19" t="n"/>
      <c r="C1" s="19" t="n"/>
      <c r="D1" s="19" t="n"/>
      <c r="E1" s="19" t="n"/>
      <c r="F1" s="19" t="n"/>
      <c r="H1" s="19" t="n"/>
      <c r="I1" s="19" t="n"/>
      <c r="J1" s="19" t="n"/>
      <c r="K1" s="19" t="n"/>
      <c r="M1" s="19" t="n"/>
      <c r="O1" s="19" t="n"/>
      <c r="Q1" s="19" t="n"/>
      <c r="R1" s="19" t="n"/>
      <c r="S1" s="19" t="n"/>
      <c r="T1" s="19" t="n"/>
    </row>
    <row r="2" ht="14.6" customHeight="1" s="545">
      <c r="A2" s="19" t="n"/>
      <c r="B2" s="19" t="n"/>
      <c r="C2" s="19" t="n"/>
      <c r="D2" s="19" t="n"/>
      <c r="E2" s="19" t="n"/>
      <c r="F2" s="19" t="n"/>
      <c r="H2" s="19" t="n"/>
      <c r="I2" s="19" t="n"/>
      <c r="J2" s="19" t="n"/>
      <c r="K2" s="19" t="n"/>
      <c r="M2" s="19" t="n"/>
      <c r="O2" s="19" t="n"/>
      <c r="Q2" s="19" t="n"/>
      <c r="R2" s="19" t="n"/>
      <c r="S2" s="19" t="n"/>
      <c r="T2" s="19" t="n"/>
    </row>
    <row r="3" ht="15" customHeight="1" s="545">
      <c r="A3" s="19" t="n"/>
      <c r="B3" s="19" t="n"/>
      <c r="C3" s="19" t="n"/>
      <c r="D3" s="19" t="n"/>
      <c r="E3" s="19" t="n"/>
      <c r="F3" s="19" t="n"/>
      <c r="H3" s="19" t="n"/>
      <c r="I3" s="19" t="n"/>
      <c r="J3" s="19" t="n"/>
      <c r="K3" s="19" t="n"/>
      <c r="M3" s="19" t="n"/>
      <c r="O3" s="19" t="n"/>
      <c r="Q3" s="19" t="n"/>
      <c r="R3" s="658" t="inlineStr">
        <is>
          <t>§ 559 BGB (Modernisierung)</t>
        </is>
      </c>
      <c r="S3" s="574" t="n"/>
      <c r="T3" s="562" t="n"/>
    </row>
    <row r="4" ht="15" customHeight="1" s="545">
      <c r="A4" s="19" t="n"/>
      <c r="B4" s="19" t="n"/>
      <c r="C4" s="19" t="n"/>
      <c r="D4" s="19" t="n"/>
      <c r="E4" s="19" t="n"/>
      <c r="F4" s="19" t="n"/>
      <c r="H4" s="19" t="n"/>
      <c r="I4" s="19" t="n"/>
      <c r="J4" s="19" t="n"/>
      <c r="K4" s="19" t="n"/>
      <c r="M4" s="19" t="n"/>
      <c r="N4" s="820">
        <f>TODAY()</f>
        <v/>
      </c>
      <c r="O4" s="19" t="n"/>
      <c r="Q4" s="19" t="n"/>
      <c r="R4" s="341" t="inlineStr">
        <is>
          <t>Modernisierungskosten =</t>
        </is>
      </c>
      <c r="S4" s="342" t="n"/>
      <c r="T4" s="821" t="n"/>
    </row>
    <row r="5" ht="15" customHeight="1" s="545">
      <c r="A5" s="19" t="n"/>
      <c r="B5" s="19" t="n"/>
      <c r="C5" s="19" t="n"/>
      <c r="D5" s="19" t="n"/>
      <c r="E5" s="19" t="n"/>
      <c r="F5" s="19" t="n"/>
      <c r="H5" s="19" t="n"/>
      <c r="I5" s="19" t="n"/>
      <c r="J5" s="19" t="n"/>
      <c r="K5" s="19" t="n"/>
      <c r="M5" s="19" t="n"/>
      <c r="N5" s="659" t="inlineStr">
        <is>
          <t>§ 558 BGB (Mietspiegel)</t>
        </is>
      </c>
      <c r="O5" s="574" t="n"/>
      <c r="P5" s="562" t="n"/>
      <c r="Q5" s="344" t="n"/>
      <c r="R5" s="341" t="inlineStr">
        <is>
          <t>Davon 8% umlegbar auf JNKM =</t>
        </is>
      </c>
      <c r="S5" s="345" t="n"/>
      <c r="T5" s="822">
        <f>T4*8%</f>
        <v/>
      </c>
    </row>
    <row r="6" ht="15" customHeight="1" s="545">
      <c r="A6" s="347" t="n"/>
      <c r="B6" s="348" t="n"/>
      <c r="C6" s="349" t="n"/>
      <c r="D6" s="348" t="n"/>
      <c r="E6" s="348" t="n"/>
      <c r="F6" s="348" t="n"/>
      <c r="G6" s="348" t="n"/>
      <c r="H6" s="348" t="n"/>
      <c r="I6" s="348" t="n"/>
      <c r="J6" s="348" t="n"/>
      <c r="K6" s="348" t="n"/>
      <c r="L6" s="350" t="inlineStr">
        <is>
          <t>Mietspiegel →</t>
        </is>
      </c>
      <c r="M6" s="823" t="n">
        <v>10</v>
      </c>
      <c r="N6" s="351" t="inlineStr">
        <is>
          <t>Kappungsgrenze =</t>
        </is>
      </c>
      <c r="O6" s="352" t="n"/>
      <c r="P6" s="353" t="n">
        <v>0.2</v>
      </c>
      <c r="Q6" s="344" t="n"/>
      <c r="R6" s="354" t="inlineStr">
        <is>
          <t>Erhöhung pro Monat pro qm WFL =</t>
        </is>
      </c>
      <c r="S6" s="355" t="n"/>
      <c r="T6" s="824">
        <f>T5/12/F28</f>
        <v/>
      </c>
      <c r="U6" s="661" t="inlineStr">
        <is>
          <t>Tagesaktuelle Mietsituation während dem Projekt</t>
        </is>
      </c>
      <c r="V6" s="690" t="n"/>
      <c r="W6" s="690" t="n"/>
      <c r="X6" s="689" t="n"/>
      <c r="Y6" s="543" t="inlineStr">
        <is>
          <t>Modul 4 Output</t>
        </is>
      </c>
    </row>
    <row r="7" ht="15" customHeight="1" s="545">
      <c r="A7" s="357" t="inlineStr">
        <is>
          <t>Haus Nr.</t>
        </is>
      </c>
      <c r="B7" s="357" t="inlineStr">
        <is>
          <t>WHG Nr</t>
        </is>
      </c>
      <c r="C7" s="357" t="inlineStr">
        <is>
          <t>Etage</t>
        </is>
      </c>
      <c r="D7" s="357" t="inlineStr">
        <is>
          <t>Lage</t>
        </is>
      </c>
      <c r="E7" s="357" t="inlineStr">
        <is>
          <t>Zimmer</t>
        </is>
      </c>
      <c r="F7" s="357" t="inlineStr">
        <is>
          <t>Wohnfläche</t>
        </is>
      </c>
      <c r="G7" s="357" t="inlineStr">
        <is>
          <t>Name Mieter</t>
        </is>
      </c>
      <c r="H7" s="357" t="inlineStr">
        <is>
          <t>Beginn Miete</t>
        </is>
      </c>
      <c r="I7" s="357" t="inlineStr">
        <is>
          <t>letz. Erhöhung</t>
        </is>
      </c>
      <c r="J7" s="358" t="inlineStr">
        <is>
          <t>Kaltmiete IST</t>
        </is>
      </c>
      <c r="K7" s="358" t="inlineStr">
        <is>
          <t>Garagen-/Stellpl.-
miete</t>
        </is>
      </c>
      <c r="L7" s="358" t="inlineStr">
        <is>
          <t>IST KM/qm</t>
        </is>
      </c>
      <c r="M7" s="358" t="inlineStr">
        <is>
          <t>Δ zu Mietspiegel</t>
        </is>
      </c>
      <c r="N7" s="359" t="inlineStr">
        <is>
          <t>Kaltmiete NEU</t>
        </is>
      </c>
      <c r="O7" s="359" t="inlineStr">
        <is>
          <t>Stellplätze</t>
        </is>
      </c>
      <c r="P7" s="359" t="inlineStr">
        <is>
          <t>NEU KM/qm</t>
        </is>
      </c>
      <c r="Q7" s="359" t="inlineStr">
        <is>
          <t>Δ zu Mietspiegel</t>
        </is>
      </c>
      <c r="R7" s="360" t="inlineStr">
        <is>
          <t>Kaltmiete SOLL</t>
        </is>
      </c>
      <c r="S7" s="360" t="inlineStr">
        <is>
          <t>Stellplätze</t>
        </is>
      </c>
      <c r="T7" s="360" t="inlineStr">
        <is>
          <t>SOLL KM/qm</t>
        </is>
      </c>
      <c r="U7" s="357" t="inlineStr">
        <is>
          <t>Kaltmiete</t>
        </is>
      </c>
      <c r="V7" s="357" t="inlineStr">
        <is>
          <t>Stellplätze</t>
        </is>
      </c>
      <c r="W7" s="357" t="inlineStr">
        <is>
          <t>IST KM/qm</t>
        </is>
      </c>
      <c r="X7" s="357" t="inlineStr">
        <is>
          <t>Notiz</t>
        </is>
      </c>
      <c r="Y7" s="360" t="inlineStr">
        <is>
          <t>Mietspiegel-Obergrenze EUR/m² (per WE)</t>
        </is>
      </c>
    </row>
    <row r="8" ht="15" customHeight="1" s="545">
      <c r="A8" s="361" t="n"/>
      <c r="B8" s="361" t="n"/>
      <c r="C8" s="362" t="n"/>
      <c r="D8" s="362" t="n"/>
      <c r="E8" s="363" t="n"/>
      <c r="F8" s="364" t="n"/>
      <c r="G8" s="365" t="n"/>
      <c r="H8" s="825" t="n"/>
      <c r="I8" s="826" t="n"/>
      <c r="J8" s="368" t="n"/>
      <c r="K8" s="368">
        <f>IF(AND(NOT(ISNUMBER('Verkauf Cashflow'!AL3)),NOT(ISNUMBER('Verkauf Cashflow'!AM3))),"",N('Verkauf Cashflow'!AL3)+N('Verkauf Cashflow'!AM3))</f>
        <v/>
      </c>
      <c r="L8" s="827">
        <f>IFERROR(J8/F8,"")</f>
        <v/>
      </c>
      <c r="M8" s="827">
        <f>IF(L8="", "", L8-$M$6)</f>
        <v/>
      </c>
      <c r="N8" s="370">
        <f>IFERROR(IF(J8/F8&gt;(Y8+$M$6)/2,J8,IF(I8&lt;EDATE($N$4,-36),IF(J8*(1+$P$6)/F8&lt;=(Y8+$M$6)/2,J8*(1+$P$6),F8*(Y8+$M$6)/2),J8)),"")</f>
        <v/>
      </c>
      <c r="O8" s="368" t="n"/>
      <c r="P8" s="827">
        <f>IFERROR(N8/F8,"")</f>
        <v/>
      </c>
      <c r="Q8" s="827">
        <f>IF(P8="", "", P8-$M$6)</f>
        <v/>
      </c>
      <c r="R8" s="370">
        <f>IF(Y8="","",IFERROR(MAX(J8,(Y8+$T$6)*F8),""))</f>
        <v/>
      </c>
      <c r="S8" s="368" t="n"/>
      <c r="T8" s="827">
        <f>IFERROR(R8/F8,"")</f>
        <v/>
      </c>
      <c r="U8" s="368" t="n"/>
      <c r="V8" s="368" t="n"/>
      <c r="W8" s="827">
        <f>IFERROR(U8/F8,"")</f>
        <v/>
      </c>
      <c r="X8" s="363" t="n"/>
      <c r="Y8" s="827" t="n"/>
    </row>
    <row r="9" ht="15" customHeight="1" s="545">
      <c r="A9" s="361" t="n"/>
      <c r="B9" s="361" t="n"/>
      <c r="C9" s="362" t="n"/>
      <c r="D9" s="362" t="n"/>
      <c r="E9" s="363" t="n"/>
      <c r="F9" s="364" t="n"/>
      <c r="G9" s="365" t="n"/>
      <c r="H9" s="825" t="n"/>
      <c r="I9" s="826" t="n"/>
      <c r="J9" s="368" t="n"/>
      <c r="K9" s="368">
        <f>IF(AND(NOT(ISNUMBER('Verkauf Cashflow'!AL4)),NOT(ISNUMBER('Verkauf Cashflow'!AM4))),"",N('Verkauf Cashflow'!AL4)+N('Verkauf Cashflow'!AM4))</f>
        <v/>
      </c>
      <c r="L9" s="827">
        <f>IFERROR(J9/F9,"")</f>
        <v/>
      </c>
      <c r="M9" s="827">
        <f>IF(L9="", "", L9-$M$6)</f>
        <v/>
      </c>
      <c r="N9" s="370">
        <f>IFERROR(IF(J9/F9&gt;(Y9+$M$6)/2,J9,IF(I9&lt;EDATE($N$4,-36),IF(J9*(1+$P$6)/F9&lt;=(Y9+$M$6)/2,J9*(1+$P$6),F9*(Y9+$M$6)/2),J9)),"")</f>
        <v/>
      </c>
      <c r="O9" s="368" t="n"/>
      <c r="P9" s="827">
        <f>IFERROR(N9/F9,"")</f>
        <v/>
      </c>
      <c r="Q9" s="827">
        <f>IF(P9="", "", P9-$M$6)</f>
        <v/>
      </c>
      <c r="R9" s="370">
        <f>IF(Y9="","",IFERROR(MAX(J9,(Y9+$T$6)*F9),""))</f>
        <v/>
      </c>
      <c r="S9" s="368" t="n"/>
      <c r="T9" s="827">
        <f>IFERROR(R9/F9,"")</f>
        <v/>
      </c>
      <c r="U9" s="368" t="n"/>
      <c r="V9" s="368" t="n"/>
      <c r="W9" s="827">
        <f>IFERROR(U9/F9,"")</f>
        <v/>
      </c>
      <c r="X9" s="363" t="n"/>
      <c r="Y9" s="827" t="n"/>
    </row>
    <row r="10" ht="15" customHeight="1" s="545">
      <c r="A10" s="361" t="n"/>
      <c r="B10" s="361" t="n"/>
      <c r="C10" s="362" t="n"/>
      <c r="D10" s="362" t="n"/>
      <c r="E10" s="363" t="n"/>
      <c r="F10" s="364" t="n"/>
      <c r="G10" s="365" t="n"/>
      <c r="H10" s="825" t="n"/>
      <c r="I10" s="826" t="n"/>
      <c r="J10" s="368" t="n"/>
      <c r="K10" s="368">
        <f>IF(AND(NOT(ISNUMBER('Verkauf Cashflow'!AL5)),NOT(ISNUMBER('Verkauf Cashflow'!AM5))),"",N('Verkauf Cashflow'!AL5)+N('Verkauf Cashflow'!AM5))</f>
        <v/>
      </c>
      <c r="L10" s="827">
        <f>IFERROR(J10/F10,"")</f>
        <v/>
      </c>
      <c r="M10" s="827">
        <f>IF(L10="", "", L10-$M$6)</f>
        <v/>
      </c>
      <c r="N10" s="370">
        <f>IFERROR(IF(J10/F10&gt;(Y10+$M$6)/2,J10,IF(I10&lt;EDATE($N$4,-36),IF(J10*(1+$P$6)/F10&lt;=(Y10+$M$6)/2,J10*(1+$P$6),F10*(Y10+$M$6)/2),J10)),"")</f>
        <v/>
      </c>
      <c r="O10" s="368" t="n"/>
      <c r="P10" s="827">
        <f>IFERROR(N10/F10,"")</f>
        <v/>
      </c>
      <c r="Q10" s="827">
        <f>IF(P10="", "", P10-$M$6)</f>
        <v/>
      </c>
      <c r="R10" s="370">
        <f>IF(Y10="","",IFERROR(MAX(J10,(Y10+$T$6)*F10),""))</f>
        <v/>
      </c>
      <c r="S10" s="368" t="n"/>
      <c r="T10" s="827">
        <f>IFERROR(R10/F10,"")</f>
        <v/>
      </c>
      <c r="U10" s="368" t="n"/>
      <c r="V10" s="368" t="n"/>
      <c r="W10" s="827">
        <f>IFERROR(U10/F10,"")</f>
        <v/>
      </c>
      <c r="X10" s="363" t="n"/>
      <c r="Y10" s="827" t="n"/>
    </row>
    <row r="11" ht="15" customHeight="1" s="545">
      <c r="A11" s="361" t="n"/>
      <c r="B11" s="361" t="n"/>
      <c r="C11" s="362" t="n"/>
      <c r="D11" s="362" t="n"/>
      <c r="E11" s="363" t="n"/>
      <c r="F11" s="364" t="n"/>
      <c r="G11" s="365" t="n"/>
      <c r="H11" s="825" t="n"/>
      <c r="I11" s="826" t="n"/>
      <c r="J11" s="368" t="n"/>
      <c r="K11" s="368">
        <f>IF(AND(NOT(ISNUMBER('Verkauf Cashflow'!AL6)),NOT(ISNUMBER('Verkauf Cashflow'!AM6))),"",N('Verkauf Cashflow'!AL6)+N('Verkauf Cashflow'!AM6))</f>
        <v/>
      </c>
      <c r="L11" s="827">
        <f>IFERROR(J11/F11,"")</f>
        <v/>
      </c>
      <c r="M11" s="827">
        <f>IF(L11="", "", L11-$M$6)</f>
        <v/>
      </c>
      <c r="N11" s="370">
        <f>IFERROR(IF(J11/F11&gt;(Y11+$M$6)/2,J11,IF(I11&lt;EDATE($N$4,-36),IF(J11*(1+$P$6)/F11&lt;=(Y11+$M$6)/2,J11*(1+$P$6),F11*(Y11+$M$6)/2),J11)),"")</f>
        <v/>
      </c>
      <c r="O11" s="368" t="n"/>
      <c r="P11" s="827">
        <f>IFERROR(N11/F11,"")</f>
        <v/>
      </c>
      <c r="Q11" s="827">
        <f>IF(P11="", "", P11-$M$6)</f>
        <v/>
      </c>
      <c r="R11" s="370">
        <f>IF(Y11="","",IFERROR(MAX(J11,(Y11+$T$6)*F11),""))</f>
        <v/>
      </c>
      <c r="S11" s="368" t="n"/>
      <c r="T11" s="827">
        <f>IFERROR(R11/F11,"")</f>
        <v/>
      </c>
      <c r="U11" s="368" t="n"/>
      <c r="V11" s="368" t="n"/>
      <c r="W11" s="827">
        <f>IFERROR(U11/F11,"")</f>
        <v/>
      </c>
      <c r="X11" s="363" t="n"/>
      <c r="Y11" s="827" t="n"/>
    </row>
    <row r="12" ht="15" customHeight="1" s="545">
      <c r="A12" s="361" t="n"/>
      <c r="B12" s="361" t="n"/>
      <c r="C12" s="362" t="n"/>
      <c r="D12" s="362" t="n"/>
      <c r="E12" s="363" t="n"/>
      <c r="F12" s="364" t="n"/>
      <c r="G12" s="365" t="n"/>
      <c r="H12" s="825" t="n"/>
      <c r="I12" s="826" t="n"/>
      <c r="J12" s="368" t="n"/>
      <c r="K12" s="368">
        <f>IF(AND(NOT(ISNUMBER('Verkauf Cashflow'!AL7)),NOT(ISNUMBER('Verkauf Cashflow'!AM7))),"",N('Verkauf Cashflow'!AL7)+N('Verkauf Cashflow'!AM7))</f>
        <v/>
      </c>
      <c r="L12" s="827">
        <f>IFERROR(J12/F12,"")</f>
        <v/>
      </c>
      <c r="M12" s="827">
        <f>IF(L12="", "", L12-$M$6)</f>
        <v/>
      </c>
      <c r="N12" s="370">
        <f>IFERROR(IF(J12/F12&gt;(Y12+$M$6)/2,J12,IF(I12&lt;EDATE($N$4,-36),IF(J12*(1+$P$6)/F12&lt;=(Y12+$M$6)/2,J12*(1+$P$6),F12*(Y12+$M$6)/2),J12)),"")</f>
        <v/>
      </c>
      <c r="O12" s="368" t="n"/>
      <c r="P12" s="827">
        <f>IFERROR(N12/F12,"")</f>
        <v/>
      </c>
      <c r="Q12" s="827">
        <f>IF(P12="", "", P12-$M$6)</f>
        <v/>
      </c>
      <c r="R12" s="370">
        <f>IF(Y12="","",IFERROR(MAX(J12,(Y12+$T$6)*F12),""))</f>
        <v/>
      </c>
      <c r="S12" s="368" t="n"/>
      <c r="T12" s="827">
        <f>IFERROR(R12/F12,"")</f>
        <v/>
      </c>
      <c r="U12" s="368" t="n"/>
      <c r="V12" s="368" t="n"/>
      <c r="W12" s="827">
        <f>IFERROR(U12/F12,"")</f>
        <v/>
      </c>
      <c r="X12" s="363" t="n"/>
      <c r="Y12" s="827" t="n"/>
    </row>
    <row r="13" ht="15" customHeight="1" s="545">
      <c r="A13" s="361" t="n"/>
      <c r="B13" s="361" t="n"/>
      <c r="C13" s="362" t="n"/>
      <c r="D13" s="362" t="n"/>
      <c r="E13" s="363" t="n"/>
      <c r="F13" s="364" t="n"/>
      <c r="G13" s="365" t="n"/>
      <c r="H13" s="825" t="n"/>
      <c r="I13" s="826" t="n"/>
      <c r="J13" s="368" t="n"/>
      <c r="K13" s="368">
        <f>IF(AND(NOT(ISNUMBER('Verkauf Cashflow'!AL8)),NOT(ISNUMBER('Verkauf Cashflow'!AM8))),"",N('Verkauf Cashflow'!AL8)+N('Verkauf Cashflow'!AM8))</f>
        <v/>
      </c>
      <c r="L13" s="827">
        <f>IFERROR(J13/F13,"")</f>
        <v/>
      </c>
      <c r="M13" s="827">
        <f>IF(L13="", "", L13-$M$6)</f>
        <v/>
      </c>
      <c r="N13" s="370">
        <f>IFERROR(IF(J13/F13&gt;(Y13+$M$6)/2,J13,IF(I13&lt;EDATE($N$4,-36),IF(J13*(1+$P$6)/F13&lt;=(Y13+$M$6)/2,J13*(1+$P$6),F13*(Y13+$M$6)/2),J13)),"")</f>
        <v/>
      </c>
      <c r="O13" s="368" t="n"/>
      <c r="P13" s="827">
        <f>IFERROR(N13/F13,"")</f>
        <v/>
      </c>
      <c r="Q13" s="827">
        <f>IF(P13="", "", P13-$M$6)</f>
        <v/>
      </c>
      <c r="R13" s="370">
        <f>IF(Y13="","",IFERROR(MAX(J13,(Y13+$T$6)*F13),""))</f>
        <v/>
      </c>
      <c r="S13" s="368" t="n"/>
      <c r="T13" s="827">
        <f>IFERROR(R13/F13,"")</f>
        <v/>
      </c>
      <c r="U13" s="368" t="n"/>
      <c r="V13" s="368" t="n"/>
      <c r="W13" s="827">
        <f>IFERROR(U13/F13,"")</f>
        <v/>
      </c>
      <c r="X13" s="363" t="n"/>
      <c r="Y13" s="827" t="n"/>
    </row>
    <row r="14" ht="15" customHeight="1" s="545">
      <c r="A14" s="361" t="n"/>
      <c r="B14" s="361" t="n"/>
      <c r="C14" s="362" t="n"/>
      <c r="D14" s="362" t="n"/>
      <c r="E14" s="363" t="n"/>
      <c r="F14" s="364" t="n"/>
      <c r="G14" s="365" t="n"/>
      <c r="H14" s="825" t="n"/>
      <c r="I14" s="826" t="n"/>
      <c r="J14" s="368" t="n"/>
      <c r="K14" s="368">
        <f>IF(AND(NOT(ISNUMBER('Verkauf Cashflow'!AL9)),NOT(ISNUMBER('Verkauf Cashflow'!AM9))),"",N('Verkauf Cashflow'!AL9)+N('Verkauf Cashflow'!AM9))</f>
        <v/>
      </c>
      <c r="L14" s="827">
        <f>IFERROR(J14/F14,"")</f>
        <v/>
      </c>
      <c r="M14" s="827">
        <f>IF(L14="", "", L14-$M$6)</f>
        <v/>
      </c>
      <c r="N14" s="370">
        <f>IFERROR(IF(J14/F14&gt;(Y14+$M$6)/2,J14,IF(I14&lt;EDATE($N$4,-36),IF(J14*(1+$P$6)/F14&lt;=(Y14+$M$6)/2,J14*(1+$P$6),F14*(Y14+$M$6)/2),J14)),"")</f>
        <v/>
      </c>
      <c r="O14" s="368" t="n"/>
      <c r="P14" s="827">
        <f>IFERROR(N14/F14,"")</f>
        <v/>
      </c>
      <c r="Q14" s="827">
        <f>IF(P14="", "", P14-$M$6)</f>
        <v/>
      </c>
      <c r="R14" s="370">
        <f>IF(Y14="","",IFERROR(MAX(J14,(Y14+$T$6)*F14),""))</f>
        <v/>
      </c>
      <c r="S14" s="368" t="n"/>
      <c r="T14" s="827">
        <f>IFERROR(R14/F14,"")</f>
        <v/>
      </c>
      <c r="U14" s="368" t="n"/>
      <c r="V14" s="368" t="n"/>
      <c r="W14" s="827">
        <f>IFERROR(U14/F14,"")</f>
        <v/>
      </c>
      <c r="X14" s="363" t="n"/>
      <c r="Y14" s="827" t="n"/>
    </row>
    <row r="15" ht="15" customHeight="1" s="545">
      <c r="A15" s="361" t="n"/>
      <c r="B15" s="361" t="n"/>
      <c r="C15" s="362" t="n"/>
      <c r="D15" s="362" t="n"/>
      <c r="E15" s="363" t="n"/>
      <c r="F15" s="364" t="n"/>
      <c r="G15" s="365" t="n"/>
      <c r="H15" s="825" t="n"/>
      <c r="I15" s="826" t="n"/>
      <c r="J15" s="368" t="n"/>
      <c r="K15" s="368">
        <f>IF(AND(NOT(ISNUMBER('Verkauf Cashflow'!AL10)),NOT(ISNUMBER('Verkauf Cashflow'!AM10))),"",N('Verkauf Cashflow'!AL10)+N('Verkauf Cashflow'!AM10))</f>
        <v/>
      </c>
      <c r="L15" s="827">
        <f>IFERROR(J15/F15,"")</f>
        <v/>
      </c>
      <c r="M15" s="827">
        <f>IF(L15="", "", L15-$M$6)</f>
        <v/>
      </c>
      <c r="N15" s="370">
        <f>IFERROR(IF(J15/F15&gt;(Y15+$M$6)/2,J15,IF(I15&lt;EDATE($N$4,-36),IF(J15*(1+$P$6)/F15&lt;=(Y15+$M$6)/2,J15*(1+$P$6),F15*(Y15+$M$6)/2),J15)),"")</f>
        <v/>
      </c>
      <c r="O15" s="368" t="n"/>
      <c r="P15" s="827">
        <f>IFERROR(N15/F15,"")</f>
        <v/>
      </c>
      <c r="Q15" s="827">
        <f>IF(P15="", "", P15-$M$6)</f>
        <v/>
      </c>
      <c r="R15" s="370">
        <f>IF(Y15="","",IFERROR(MAX(J15,(Y15+$T$6)*F15),""))</f>
        <v/>
      </c>
      <c r="S15" s="368" t="n"/>
      <c r="T15" s="827">
        <f>IFERROR(R15/F15,"")</f>
        <v/>
      </c>
      <c r="U15" s="368" t="n"/>
      <c r="V15" s="368" t="n"/>
      <c r="W15" s="827">
        <f>IFERROR(U15/F15,"")</f>
        <v/>
      </c>
      <c r="X15" s="363" t="n"/>
      <c r="Y15" s="827" t="n"/>
    </row>
    <row r="16" ht="15" customHeight="1" s="545">
      <c r="A16" s="361" t="n"/>
      <c r="B16" s="361" t="n"/>
      <c r="C16" s="362" t="n"/>
      <c r="D16" s="362" t="n"/>
      <c r="E16" s="363" t="n"/>
      <c r="F16" s="364" t="n"/>
      <c r="G16" s="365" t="n"/>
      <c r="H16" s="825" t="n"/>
      <c r="I16" s="826" t="n"/>
      <c r="J16" s="368" t="n"/>
      <c r="K16" s="368">
        <f>IF(AND(NOT(ISNUMBER('Verkauf Cashflow'!AL11)),NOT(ISNUMBER('Verkauf Cashflow'!AM11))),"",N('Verkauf Cashflow'!AL11)+N('Verkauf Cashflow'!AM11))</f>
        <v/>
      </c>
      <c r="L16" s="827">
        <f>IFERROR(J16/F16,"")</f>
        <v/>
      </c>
      <c r="M16" s="827">
        <f>IF(L16="", "", L16-$M$6)</f>
        <v/>
      </c>
      <c r="N16" s="370">
        <f>IFERROR(IF(J16/F16&gt;(Y16+$M$6)/2,J16,IF(I16&lt;EDATE($N$4,-36),IF(J16*(1+$P$6)/F16&lt;=(Y16+$M$6)/2,J16*(1+$P$6),F16*(Y16+$M$6)/2),J16)),"")</f>
        <v/>
      </c>
      <c r="O16" s="368" t="n"/>
      <c r="P16" s="827">
        <f>IFERROR(N16/F16,"")</f>
        <v/>
      </c>
      <c r="Q16" s="827">
        <f>IF(P16="", "", P16-$M$6)</f>
        <v/>
      </c>
      <c r="R16" s="370">
        <f>IF(Y16="","",IFERROR(MAX(J16,(Y16+$T$6)*F16),""))</f>
        <v/>
      </c>
      <c r="S16" s="368" t="n"/>
      <c r="T16" s="827">
        <f>IFERROR(R16/F16,"")</f>
        <v/>
      </c>
      <c r="U16" s="368" t="n"/>
      <c r="V16" s="368" t="n"/>
      <c r="W16" s="827">
        <f>IFERROR(U16/F16,"")</f>
        <v/>
      </c>
      <c r="X16" s="363" t="n"/>
      <c r="Y16" s="827" t="n"/>
    </row>
    <row r="17" ht="15" customHeight="1" s="545">
      <c r="A17" s="361" t="n"/>
      <c r="B17" s="361" t="n"/>
      <c r="C17" s="362" t="n"/>
      <c r="D17" s="362" t="n"/>
      <c r="E17" s="363" t="n"/>
      <c r="F17" s="364" t="n"/>
      <c r="G17" s="365" t="n"/>
      <c r="H17" s="825" t="n"/>
      <c r="I17" s="826" t="n"/>
      <c r="J17" s="368" t="n"/>
      <c r="K17" s="368">
        <f>IF(AND(NOT(ISNUMBER('Verkauf Cashflow'!AL12)),NOT(ISNUMBER('Verkauf Cashflow'!AM12))),"",N('Verkauf Cashflow'!AL12)+N('Verkauf Cashflow'!AM12))</f>
        <v/>
      </c>
      <c r="L17" s="827">
        <f>IFERROR(J17/F17,"")</f>
        <v/>
      </c>
      <c r="M17" s="827">
        <f>IF(L17="", "", L17-$M$6)</f>
        <v/>
      </c>
      <c r="N17" s="370">
        <f>IFERROR(IF(J17/F17&gt;(Y17+$M$6)/2,J17,IF(I17&lt;EDATE($N$4,-36),IF(J17*(1+$P$6)/F17&lt;=(Y17+$M$6)/2,J17*(1+$P$6),F17*(Y17+$M$6)/2),J17)),"")</f>
        <v/>
      </c>
      <c r="O17" s="368" t="n"/>
      <c r="P17" s="827">
        <f>IFERROR(N17/F17,"")</f>
        <v/>
      </c>
      <c r="Q17" s="827">
        <f>IF(P17="", "", P17-$M$6)</f>
        <v/>
      </c>
      <c r="R17" s="370">
        <f>IF(Y17="","",IFERROR(MAX(J17,(Y17+$T$6)*F17),""))</f>
        <v/>
      </c>
      <c r="S17" s="368" t="n"/>
      <c r="T17" s="827">
        <f>IFERROR(R17/F17,"")</f>
        <v/>
      </c>
      <c r="U17" s="368" t="n"/>
      <c r="V17" s="368" t="n"/>
      <c r="W17" s="827">
        <f>IFERROR(U17/F17,"")</f>
        <v/>
      </c>
      <c r="X17" s="363" t="n"/>
      <c r="Y17" s="827" t="n"/>
    </row>
    <row r="18" ht="15" customHeight="1" s="545">
      <c r="A18" s="361" t="n"/>
      <c r="B18" s="361" t="n"/>
      <c r="C18" s="362" t="n"/>
      <c r="D18" s="362" t="n"/>
      <c r="E18" s="363" t="n"/>
      <c r="F18" s="364" t="n"/>
      <c r="G18" s="363" t="n"/>
      <c r="H18" s="826" t="n"/>
      <c r="I18" s="826" t="n"/>
      <c r="J18" s="368" t="n"/>
      <c r="K18" s="368">
        <f>IF(AND(NOT(ISNUMBER('Verkauf Cashflow'!AL13)),NOT(ISNUMBER('Verkauf Cashflow'!AM13))),"",N('Verkauf Cashflow'!AL13)+N('Verkauf Cashflow'!AM13))</f>
        <v/>
      </c>
      <c r="L18" s="827">
        <f>IFERROR(J18/F18,"")</f>
        <v/>
      </c>
      <c r="M18" s="827">
        <f>IF(L18="", "", L18-$M$6)</f>
        <v/>
      </c>
      <c r="N18" s="370">
        <f>IFERROR(IF(J18/F18&gt;(Y18+$M$6)/2,J18,IF(I18&lt;EDATE($N$4,-36),IF(J18*(1+$P$6)/F18&lt;=(Y18+$M$6)/2,J18*(1+$P$6),F18*(Y18+$M$6)/2),J18)),"")</f>
        <v/>
      </c>
      <c r="O18" s="368" t="n"/>
      <c r="P18" s="827">
        <f>IFERROR(N18/F18,"")</f>
        <v/>
      </c>
      <c r="Q18" s="827">
        <f>IF(P18="", "", P18-$M$6)</f>
        <v/>
      </c>
      <c r="R18" s="370">
        <f>IF(Y18="","",IFERROR(MAX(J18,(Y18+$T$6)*F18),""))</f>
        <v/>
      </c>
      <c r="S18" s="368" t="n"/>
      <c r="T18" s="827">
        <f>IFERROR(R18/F18,"")</f>
        <v/>
      </c>
      <c r="U18" s="368" t="n"/>
      <c r="V18" s="368" t="n"/>
      <c r="W18" s="827">
        <f>IFERROR(U18/F18,"")</f>
        <v/>
      </c>
      <c r="X18" s="363" t="n"/>
      <c r="Y18" s="827" t="n"/>
    </row>
    <row r="19" ht="15" customHeight="1" s="545">
      <c r="A19" s="361" t="n"/>
      <c r="B19" s="361" t="n"/>
      <c r="C19" s="362" t="n"/>
      <c r="D19" s="362" t="n"/>
      <c r="E19" s="363" t="n"/>
      <c r="F19" s="364" t="n"/>
      <c r="G19" s="363" t="n"/>
      <c r="H19" s="826" t="n"/>
      <c r="I19" s="826" t="n"/>
      <c r="J19" s="368" t="n"/>
      <c r="K19" s="368">
        <f>IF(AND(NOT(ISNUMBER('Verkauf Cashflow'!AL14)),NOT(ISNUMBER('Verkauf Cashflow'!AM14))),"",N('Verkauf Cashflow'!AL14)+N('Verkauf Cashflow'!AM14))</f>
        <v/>
      </c>
      <c r="L19" s="827">
        <f>IFERROR(J19/F19,"")</f>
        <v/>
      </c>
      <c r="M19" s="827">
        <f>IF(L19="", "", L19-$M$6)</f>
        <v/>
      </c>
      <c r="N19" s="370">
        <f>IFERROR(IF(J19/F19&gt;(Y19+$M$6)/2,J19,IF(I19&lt;EDATE($N$4,-36),IF(J19*(1+$P$6)/F19&lt;=(Y19+$M$6)/2,J19*(1+$P$6),F19*(Y19+$M$6)/2),J19)),"")</f>
        <v/>
      </c>
      <c r="O19" s="368" t="n"/>
      <c r="P19" s="827">
        <f>IFERROR(N19/F19,"")</f>
        <v/>
      </c>
      <c r="Q19" s="827">
        <f>IF(P19="", "", P19-$M$6)</f>
        <v/>
      </c>
      <c r="R19" s="370">
        <f>IF(Y19="","",IFERROR(MAX(J19,(Y19+$T$6)*F19),""))</f>
        <v/>
      </c>
      <c r="S19" s="368" t="n"/>
      <c r="T19" s="827">
        <f>IFERROR(R19/F19,"")</f>
        <v/>
      </c>
      <c r="U19" s="368" t="n"/>
      <c r="V19" s="368" t="n"/>
      <c r="W19" s="827">
        <f>IFERROR(U19/F19,"")</f>
        <v/>
      </c>
      <c r="X19" s="363" t="n"/>
      <c r="Y19" s="827" t="n"/>
    </row>
    <row r="20" ht="15" customHeight="1" s="545">
      <c r="A20" s="361" t="n"/>
      <c r="B20" s="361" t="n"/>
      <c r="C20" s="362" t="n"/>
      <c r="D20" s="362" t="n"/>
      <c r="E20" s="363" t="n"/>
      <c r="F20" s="371" t="n"/>
      <c r="G20" s="363" t="n"/>
      <c r="H20" s="826" t="n"/>
      <c r="I20" s="826" t="n"/>
      <c r="J20" s="363" t="n"/>
      <c r="K20" s="363">
        <f>IF(AND(NOT(ISNUMBER('Verkauf Cashflow'!AL15)),NOT(ISNUMBER('Verkauf Cashflow'!AM15))),"",N('Verkauf Cashflow'!AL15)+N('Verkauf Cashflow'!AM15))</f>
        <v/>
      </c>
      <c r="L20" s="827">
        <f>IFERROR(J20/F20,"")</f>
        <v/>
      </c>
      <c r="M20" s="827">
        <f>IF(L20="", "", L20-$M$6)</f>
        <v/>
      </c>
      <c r="N20" s="370">
        <f>IFERROR(IF(J20/F20&gt;(Y20+$M$6)/2,J20,IF(I20&lt;EDATE($N$4,-36),IF(J20*(1+$P$6)/F20&lt;=(Y20+$M$6)/2,J20*(1+$P$6),F20*(Y20+$M$6)/2),J20)),"")</f>
        <v/>
      </c>
      <c r="O20" s="363" t="n"/>
      <c r="P20" s="827">
        <f>IFERROR(N20/F20,"")</f>
        <v/>
      </c>
      <c r="Q20" s="827">
        <f>IF(P20="", "", P20-$M$6)</f>
        <v/>
      </c>
      <c r="R20" s="370">
        <f>IF(Y20="","",IFERROR(MAX(J20,(Y20+$T$6)*F20),""))</f>
        <v/>
      </c>
      <c r="S20" s="363" t="n"/>
      <c r="T20" s="827">
        <f>IFERROR(R20/F20,"")</f>
        <v/>
      </c>
      <c r="U20" s="363" t="n"/>
      <c r="V20" s="363" t="n"/>
      <c r="W20" s="827">
        <f>IFERROR(U20/F20,"")</f>
        <v/>
      </c>
      <c r="X20" s="363" t="n"/>
      <c r="Y20" s="827" t="n"/>
    </row>
    <row r="21" ht="15" customHeight="1" s="545">
      <c r="A21" s="361" t="n"/>
      <c r="B21" s="361" t="n"/>
      <c r="C21" s="362" t="n"/>
      <c r="D21" s="362" t="n"/>
      <c r="E21" s="363" t="n"/>
      <c r="F21" s="371" t="n"/>
      <c r="G21" s="363" t="n"/>
      <c r="H21" s="826" t="n"/>
      <c r="I21" s="826" t="n"/>
      <c r="J21" s="363" t="n"/>
      <c r="K21" s="363">
        <f>IF(AND(NOT(ISNUMBER('Verkauf Cashflow'!AL16)),NOT(ISNUMBER('Verkauf Cashflow'!AM16))),"",N('Verkauf Cashflow'!AL16)+N('Verkauf Cashflow'!AM16))</f>
        <v/>
      </c>
      <c r="L21" s="827">
        <f>IFERROR(J21/F21,"")</f>
        <v/>
      </c>
      <c r="M21" s="827">
        <f>IF(L21="", "", L21-$M$6)</f>
        <v/>
      </c>
      <c r="N21" s="370">
        <f>IFERROR(IF(J21/F21&gt;(Y21+$M$6)/2,J21,IF(I21&lt;EDATE($N$4,-36),IF(J21*(1+$P$6)/F21&lt;=(Y21+$M$6)/2,J21*(1+$P$6),F21*(Y21+$M$6)/2),J21)),"")</f>
        <v/>
      </c>
      <c r="O21" s="363" t="n"/>
      <c r="P21" s="827">
        <f>IFERROR(N21/F21,"")</f>
        <v/>
      </c>
      <c r="Q21" s="827">
        <f>IF(P21="", "", P21-$M$6)</f>
        <v/>
      </c>
      <c r="R21" s="370">
        <f>IF(Y21="","",IFERROR(MAX(J21,(Y21+$T$6)*F21),""))</f>
        <v/>
      </c>
      <c r="S21" s="363" t="n"/>
      <c r="T21" s="827">
        <f>IFERROR(R21/F21,"")</f>
        <v/>
      </c>
      <c r="U21" s="363" t="n"/>
      <c r="V21" s="363" t="n"/>
      <c r="W21" s="827">
        <f>IFERROR(U21/F21,"")</f>
        <v/>
      </c>
      <c r="X21" s="363" t="n"/>
      <c r="Y21" s="827" t="n"/>
    </row>
    <row r="22" ht="15" customHeight="1" s="545">
      <c r="A22" s="361" t="n"/>
      <c r="B22" s="361" t="n"/>
      <c r="C22" s="362" t="n"/>
      <c r="D22" s="362" t="n"/>
      <c r="E22" s="363" t="n"/>
      <c r="F22" s="371" t="n"/>
      <c r="G22" s="363" t="n"/>
      <c r="H22" s="826" t="n"/>
      <c r="I22" s="826" t="n"/>
      <c r="J22" s="363" t="n"/>
      <c r="K22" s="363">
        <f>IF(AND(NOT(ISNUMBER('Verkauf Cashflow'!AL17)),NOT(ISNUMBER('Verkauf Cashflow'!AM17))),"",N('Verkauf Cashflow'!AL17)+N('Verkauf Cashflow'!AM17))</f>
        <v/>
      </c>
      <c r="L22" s="827">
        <f>IFERROR(J22/F22,"")</f>
        <v/>
      </c>
      <c r="M22" s="827">
        <f>IF(L22="", "", L22-$M$6)</f>
        <v/>
      </c>
      <c r="N22" s="370">
        <f>IFERROR(IF(J22/F22&gt;(Y22+$M$6)/2,J22,IF(I22&lt;EDATE($N$4,-36),IF(J22*(1+$P$6)/F22&lt;=(Y22+$M$6)/2,J22*(1+$P$6),F22*(Y22+$M$6)/2),J22)),"")</f>
        <v/>
      </c>
      <c r="O22" s="363" t="n"/>
      <c r="P22" s="827">
        <f>IFERROR(N22/F22,"")</f>
        <v/>
      </c>
      <c r="Q22" s="827">
        <f>IF(P22="", "", P22-$M$6)</f>
        <v/>
      </c>
      <c r="R22" s="370">
        <f>IF(Y22="","",IFERROR(MAX(J22,(Y22+$T$6)*F22),""))</f>
        <v/>
      </c>
      <c r="S22" s="363" t="n"/>
      <c r="T22" s="827">
        <f>IFERROR(R22/F22,"")</f>
        <v/>
      </c>
      <c r="U22" s="363" t="n"/>
      <c r="V22" s="363" t="n"/>
      <c r="W22" s="827">
        <f>IFERROR(U22/F22,"")</f>
        <v/>
      </c>
      <c r="X22" s="363" t="n"/>
      <c r="Y22" s="827" t="n"/>
    </row>
    <row r="23" ht="15" customHeight="1" s="545">
      <c r="A23" s="361" t="n"/>
      <c r="B23" s="361" t="n"/>
      <c r="C23" s="362" t="n"/>
      <c r="D23" s="362" t="n"/>
      <c r="E23" s="363" t="n"/>
      <c r="F23" s="371" t="n"/>
      <c r="G23" s="363" t="n"/>
      <c r="H23" s="826" t="n"/>
      <c r="I23" s="826" t="n"/>
      <c r="J23" s="363" t="n"/>
      <c r="K23" s="363">
        <f>IF(AND(NOT(ISNUMBER('Verkauf Cashflow'!AL18)),NOT(ISNUMBER('Verkauf Cashflow'!AM18))),"",N('Verkauf Cashflow'!AL18)+N('Verkauf Cashflow'!AM18))</f>
        <v/>
      </c>
      <c r="L23" s="827">
        <f>IFERROR(J23/F23,"")</f>
        <v/>
      </c>
      <c r="M23" s="827">
        <f>IF(L23="", "", L23-$M$6)</f>
        <v/>
      </c>
      <c r="N23" s="370">
        <f>IFERROR(IF(J23/F23&gt;(Y23+$M$6)/2,J23,IF(I23&lt;EDATE($N$4,-36),IF(J23*(1+$P$6)/F23&lt;=(Y23+$M$6)/2,J23*(1+$P$6),F23*(Y23+$M$6)/2),J23)),"")</f>
        <v/>
      </c>
      <c r="O23" s="363" t="n"/>
      <c r="P23" s="827">
        <f>IFERROR(N23/F23,"")</f>
        <v/>
      </c>
      <c r="Q23" s="827">
        <f>IF(P23="", "", P23-$M$6)</f>
        <v/>
      </c>
      <c r="R23" s="370">
        <f>IF(Y23="","",IFERROR(MAX(J23,(Y23+$T$6)*F23),""))</f>
        <v/>
      </c>
      <c r="S23" s="363" t="n"/>
      <c r="T23" s="827">
        <f>IFERROR(R23/F23,"")</f>
        <v/>
      </c>
      <c r="U23" s="363" t="n"/>
      <c r="V23" s="363" t="n"/>
      <c r="W23" s="827">
        <f>IFERROR(U23/F23,"")</f>
        <v/>
      </c>
      <c r="X23" s="363" t="n"/>
      <c r="Y23" s="827" t="n"/>
    </row>
    <row r="24" ht="15" customHeight="1" s="545">
      <c r="A24" s="361" t="n"/>
      <c r="B24" s="361" t="n"/>
      <c r="C24" s="362" t="n"/>
      <c r="D24" s="362" t="n"/>
      <c r="E24" s="363" t="n"/>
      <c r="F24" s="371" t="n"/>
      <c r="G24" s="363" t="n"/>
      <c r="H24" s="826" t="n"/>
      <c r="I24" s="826" t="n"/>
      <c r="J24" s="363" t="n"/>
      <c r="K24" s="363">
        <f>IF(AND(NOT(ISNUMBER('Verkauf Cashflow'!AL19)),NOT(ISNUMBER('Verkauf Cashflow'!AM19))),"",N('Verkauf Cashflow'!AL19)+N('Verkauf Cashflow'!AM19))</f>
        <v/>
      </c>
      <c r="L24" s="827">
        <f>IFERROR(J24/F24,"")</f>
        <v/>
      </c>
      <c r="M24" s="827">
        <f>IF(L24="", "", L24-$M$6)</f>
        <v/>
      </c>
      <c r="N24" s="370">
        <f>IFERROR(IF(J24/F24&gt;(Y24+$M$6)/2,J24,IF(I24&lt;EDATE($N$4,-36),IF(J24*(1+$P$6)/F24&lt;=(Y24+$M$6)/2,J24*(1+$P$6),F24*(Y24+$M$6)/2),J24)),"")</f>
        <v/>
      </c>
      <c r="O24" s="363" t="n"/>
      <c r="P24" s="827">
        <f>IFERROR(N24/F24,"")</f>
        <v/>
      </c>
      <c r="Q24" s="827">
        <f>IF(P24="", "", P24-$M$6)</f>
        <v/>
      </c>
      <c r="R24" s="370">
        <f>IF(Y24="","",IFERROR(MAX(J24,(Y24+$T$6)*F24),""))</f>
        <v/>
      </c>
      <c r="S24" s="363" t="n"/>
      <c r="T24" s="827">
        <f>IFERROR(R24/F24,"")</f>
        <v/>
      </c>
      <c r="U24" s="363" t="n"/>
      <c r="V24" s="363" t="n"/>
      <c r="W24" s="827">
        <f>IFERROR(U24/F24,"")</f>
        <v/>
      </c>
      <c r="X24" s="363" t="n"/>
      <c r="Y24" s="827" t="n"/>
    </row>
    <row r="25" ht="15" customHeight="1" s="545">
      <c r="A25" s="361" t="n"/>
      <c r="B25" s="361" t="n"/>
      <c r="C25" s="362" t="n"/>
      <c r="D25" s="362" t="n"/>
      <c r="E25" s="363" t="n"/>
      <c r="F25" s="371" t="n"/>
      <c r="G25" s="363" t="n"/>
      <c r="H25" s="826" t="n"/>
      <c r="I25" s="826" t="n"/>
      <c r="J25" s="363" t="n"/>
      <c r="K25" s="363">
        <f>IF(AND(NOT(ISNUMBER('Verkauf Cashflow'!AL20)),NOT(ISNUMBER('Verkauf Cashflow'!AM20))),"",N('Verkauf Cashflow'!AL20)+N('Verkauf Cashflow'!AM20))</f>
        <v/>
      </c>
      <c r="L25" s="827">
        <f>IFERROR(J25/F25,"")</f>
        <v/>
      </c>
      <c r="M25" s="827">
        <f>IF(L25="", "", L25-$M$6)</f>
        <v/>
      </c>
      <c r="N25" s="370">
        <f>IFERROR(IF(J25/F25&gt;(Y25+$M$6)/2,J25,IF(I25&lt;EDATE($N$4,-36),IF(J25*(1+$P$6)/F25&lt;=(Y25+$M$6)/2,J25*(1+$P$6),F25*(Y25+$M$6)/2),J25)),"")</f>
        <v/>
      </c>
      <c r="O25" s="363" t="n"/>
      <c r="P25" s="827">
        <f>IFERROR(N25/F25,"")</f>
        <v/>
      </c>
      <c r="Q25" s="827">
        <f>IF(P25="", "", P25-$M$6)</f>
        <v/>
      </c>
      <c r="R25" s="370">
        <f>IF(Y25="","",IFERROR(MAX(J25,(Y25+$T$6)*F25),""))</f>
        <v/>
      </c>
      <c r="S25" s="363" t="n"/>
      <c r="T25" s="827">
        <f>IFERROR(R25/F25,"")</f>
        <v/>
      </c>
      <c r="U25" s="363" t="n"/>
      <c r="V25" s="363" t="n"/>
      <c r="W25" s="827">
        <f>IFERROR(U25/F25,"")</f>
        <v/>
      </c>
      <c r="X25" s="363" t="n"/>
      <c r="Y25" s="827" t="n"/>
    </row>
    <row r="26" ht="15" customHeight="1" s="545">
      <c r="A26" s="361" t="n"/>
      <c r="B26" s="361" t="n"/>
      <c r="C26" s="362" t="n"/>
      <c r="D26" s="362" t="n"/>
      <c r="E26" s="363" t="n"/>
      <c r="F26" s="371" t="n"/>
      <c r="G26" s="363" t="n"/>
      <c r="H26" s="826" t="n"/>
      <c r="I26" s="826" t="n"/>
      <c r="J26" s="363" t="n"/>
      <c r="K26" s="363">
        <f>IF(AND(NOT(ISNUMBER('Verkauf Cashflow'!AL21)),NOT(ISNUMBER('Verkauf Cashflow'!AM21))),"",N('Verkauf Cashflow'!AL21)+N('Verkauf Cashflow'!AM21))</f>
        <v/>
      </c>
      <c r="L26" s="827">
        <f>IFERROR(J26/F26,"")</f>
        <v/>
      </c>
      <c r="M26" s="827">
        <f>IF(L26="", "", L26-$M$6)</f>
        <v/>
      </c>
      <c r="N26" s="370">
        <f>IFERROR(IF(J26/F26&gt;(Y26+$M$6)/2,J26,IF(I26&lt;EDATE($N$4,-36),IF(J26*(1+$P$6)/F26&lt;=(Y26+$M$6)/2,J26*(1+$P$6),F26*(Y26+$M$6)/2),J26)),"")</f>
        <v/>
      </c>
      <c r="O26" s="363" t="n"/>
      <c r="P26" s="827">
        <f>IFERROR(N26/F26,"")</f>
        <v/>
      </c>
      <c r="Q26" s="827">
        <f>IF(P26="", "", P26-$M$6)</f>
        <v/>
      </c>
      <c r="R26" s="370">
        <f>IF(Y26="","",IFERROR(MAX(J26,(Y26+$T$6)*F26),""))</f>
        <v/>
      </c>
      <c r="S26" s="363" t="n"/>
      <c r="T26" s="827">
        <f>IFERROR(R26/F26,"")</f>
        <v/>
      </c>
      <c r="U26" s="363" t="n"/>
      <c r="V26" s="363" t="n"/>
      <c r="W26" s="827">
        <f>IFERROR(U26/F26,"")</f>
        <v/>
      </c>
      <c r="X26" s="363" t="n"/>
      <c r="Y26" s="827" t="n"/>
    </row>
    <row r="27" ht="15" customHeight="1" s="545">
      <c r="A27" s="361" t="n"/>
      <c r="B27" s="361" t="n"/>
      <c r="C27" s="362" t="n"/>
      <c r="D27" s="362" t="n"/>
      <c r="E27" s="363" t="n"/>
      <c r="F27" s="371" t="n"/>
      <c r="G27" s="363" t="n"/>
      <c r="H27" s="826" t="n"/>
      <c r="I27" s="826" t="n"/>
      <c r="J27" s="363" t="n"/>
      <c r="K27" s="363">
        <f>IF(AND(NOT(ISNUMBER('Verkauf Cashflow'!AL22)),NOT(ISNUMBER('Verkauf Cashflow'!AM22))),"",N('Verkauf Cashflow'!AL22)+N('Verkauf Cashflow'!AM22))</f>
        <v/>
      </c>
      <c r="L27" s="827">
        <f>IFERROR(J27/F27,"")</f>
        <v/>
      </c>
      <c r="M27" s="827">
        <f>IF(L27="", "", L27-$M$6)</f>
        <v/>
      </c>
      <c r="N27" s="370">
        <f>IFERROR(IF(J27/F27&gt;(Y27+$M$6)/2,J27,IF(I27&lt;EDATE($N$4,-36),IF(J27*(1+$P$6)/F27&lt;=(Y27+$M$6)/2,J27*(1+$P$6),F27*(Y27+$M$6)/2),J27)),"")</f>
        <v/>
      </c>
      <c r="O27" s="363" t="n"/>
      <c r="P27" s="827">
        <f>IFERROR(N27/F27,"")</f>
        <v/>
      </c>
      <c r="Q27" s="827">
        <f>IF(P27="", "", P27-$M$6)</f>
        <v/>
      </c>
      <c r="R27" s="370">
        <f>IF(Y27="","",IFERROR(MAX(J27,(Y27+$T$6)*F27),""))</f>
        <v/>
      </c>
      <c r="S27" s="363" t="n"/>
      <c r="T27" s="827">
        <f>IFERROR(R27/F27,"")</f>
        <v/>
      </c>
      <c r="U27" s="363" t="n"/>
      <c r="V27" s="363" t="n"/>
      <c r="W27" s="827">
        <f>IFERROR(U27/F27,"")</f>
        <v/>
      </c>
      <c r="X27" s="363" t="n"/>
      <c r="Y27" s="827" t="n"/>
    </row>
    <row r="28" ht="15" customHeight="1" s="545">
      <c r="A28" s="357" t="n"/>
      <c r="B28" s="357" t="n"/>
      <c r="C28" s="357" t="n"/>
      <c r="D28" s="357" t="n"/>
      <c r="E28" s="357" t="n"/>
      <c r="F28" s="372">
        <f>SUM(F8:F27)</f>
        <v/>
      </c>
      <c r="G28" s="357" t="n"/>
      <c r="H28" s="357" t="n"/>
      <c r="I28" s="357" t="n"/>
      <c r="J28" s="828">
        <f>SUM(J8:J27)</f>
        <v/>
      </c>
      <c r="K28" s="828">
        <f>SUM(K8:K27)</f>
        <v/>
      </c>
      <c r="L28" s="829">
        <f>AVERAGE(L8:L27)</f>
        <v/>
      </c>
      <c r="M28" s="829" t="n"/>
      <c r="N28" s="830">
        <f>SUM(N8:N27)</f>
        <v/>
      </c>
      <c r="O28" s="830">
        <f>SUM(O8:O27)</f>
        <v/>
      </c>
      <c r="P28" s="831">
        <f>AVERAGE(P8:P27)</f>
        <v/>
      </c>
      <c r="Q28" s="377" t="n"/>
      <c r="R28" s="832">
        <f>SUM(R8:R27)</f>
        <v/>
      </c>
      <c r="S28" s="832">
        <f>SUM(S8:S27)</f>
        <v/>
      </c>
      <c r="T28" s="833">
        <f>AVERAGE(T8:T27)</f>
        <v/>
      </c>
      <c r="U28" s="380">
        <f>SUM(U8:U27)</f>
        <v/>
      </c>
      <c r="V28" s="380">
        <f>SUM(V8:V27)</f>
        <v/>
      </c>
      <c r="W28" s="834">
        <f>IFERROR(AVERAGE(W8:W27),"")</f>
        <v/>
      </c>
      <c r="X28" s="357" t="n"/>
    </row>
    <row r="29" ht="15" customHeight="1" s="545">
      <c r="A29" s="19" t="n"/>
      <c r="B29" s="19" t="n"/>
      <c r="C29" s="19" t="n"/>
      <c r="D29" s="19" t="n"/>
      <c r="E29" s="19" t="n"/>
      <c r="F29" s="382" t="n"/>
      <c r="H29" s="19" t="n"/>
      <c r="I29" s="19" t="n"/>
      <c r="J29" s="383" t="inlineStr">
        <is>
          <t>↓</t>
        </is>
      </c>
      <c r="K29" s="383" t="inlineStr">
        <is>
          <t>↓</t>
        </is>
      </c>
      <c r="M29" s="19" t="n"/>
      <c r="N29" s="383" t="inlineStr">
        <is>
          <t>↓</t>
        </is>
      </c>
      <c r="O29" s="383" t="inlineStr">
        <is>
          <t>↓</t>
        </is>
      </c>
      <c r="Q29" s="19" t="n"/>
      <c r="R29" s="383" t="inlineStr">
        <is>
          <t>↓</t>
        </is>
      </c>
      <c r="S29" s="383" t="inlineStr">
        <is>
          <t>↓</t>
        </is>
      </c>
      <c r="T29" s="19" t="n"/>
    </row>
    <row r="30" ht="15" customHeight="1" s="545">
      <c r="A30" s="19" t="n"/>
      <c r="B30" s="19" t="n"/>
      <c r="C30" s="19" t="n"/>
      <c r="D30" s="19" t="n"/>
      <c r="E30" s="19" t="n"/>
      <c r="F30" s="382" t="n"/>
      <c r="H30" s="19" t="n"/>
      <c r="I30" s="384" t="inlineStr">
        <is>
          <t>pro Jahr =</t>
        </is>
      </c>
      <c r="J30" s="385">
        <f>J28*12</f>
        <v/>
      </c>
      <c r="K30" s="385">
        <f>K28*12</f>
        <v/>
      </c>
      <c r="M30" s="19" t="n"/>
      <c r="N30" s="386">
        <f>N28*12</f>
        <v/>
      </c>
      <c r="O30" s="386">
        <f>O28*12</f>
        <v/>
      </c>
      <c r="Q30" s="19" t="n"/>
      <c r="R30" s="387">
        <f>R28*12</f>
        <v/>
      </c>
      <c r="S30" s="387">
        <f>S28*12</f>
        <v/>
      </c>
      <c r="T30" s="19" t="n"/>
    </row>
    <row r="31" ht="15" customHeight="1" s="545">
      <c r="A31" s="19" t="n"/>
      <c r="B31" s="19" t="n"/>
      <c r="C31" s="19" t="n"/>
      <c r="D31" s="19" t="n"/>
      <c r="E31" s="19" t="n"/>
      <c r="F31" s="382" t="n"/>
      <c r="H31" s="19" t="n"/>
      <c r="I31" s="384" t="inlineStr">
        <is>
          <t>JNKM =</t>
        </is>
      </c>
      <c r="J31" s="660">
        <f>J30+K30</f>
        <v/>
      </c>
      <c r="K31" s="689" t="n"/>
      <c r="M31" s="19" t="n"/>
      <c r="N31" s="662">
        <f>N30+O30</f>
        <v/>
      </c>
      <c r="O31" s="689" t="n"/>
      <c r="Q31" s="19" t="n"/>
      <c r="R31" s="663">
        <f>R30+S30</f>
        <v/>
      </c>
      <c r="S31" s="689" t="n"/>
      <c r="T31" s="19" t="n"/>
    </row>
    <row r="32" ht="41.25" customHeight="1" s="545">
      <c r="A32" s="19" t="n"/>
      <c r="B32" s="19" t="n"/>
      <c r="C32" s="19" t="n"/>
      <c r="D32" s="19" t="n"/>
      <c r="E32" s="19" t="n"/>
      <c r="F32" s="382" t="n"/>
      <c r="H32" s="19" t="n"/>
      <c r="I32" s="19" t="n"/>
      <c r="J32" s="388" t="inlineStr">
        <is>
          <t>Rendite Einkauf (KP+NK)</t>
        </is>
      </c>
      <c r="K32" s="389">
        <f>J31/(KALKU!P37+KALKU!J30)</f>
        <v/>
      </c>
      <c r="M32" s="19" t="n"/>
      <c r="N32" s="388" t="inlineStr">
        <is>
          <t>Rendite Einkauf (KP+NK)</t>
        </is>
      </c>
      <c r="O32" s="82">
        <f>N31/(KALKU!P37+KALKU!J30)</f>
        <v/>
      </c>
      <c r="Q32" s="19" t="n"/>
      <c r="R32" s="388" t="inlineStr">
        <is>
          <t>Rendite 
Einkauf 
(GIK)</t>
        </is>
      </c>
      <c r="S32" s="85">
        <f>R31/KALKU!J39</f>
        <v/>
      </c>
      <c r="T32" s="19" t="n"/>
    </row>
    <row r="33" ht="15" customHeight="1" s="545">
      <c r="A33" s="19" t="n"/>
      <c r="B33" s="19" t="n"/>
      <c r="C33" s="19" t="n"/>
      <c r="D33" s="19" t="n"/>
      <c r="E33" s="19" t="n"/>
      <c r="F33" s="382" t="n"/>
      <c r="H33" s="19" t="n"/>
      <c r="I33" s="19" t="n"/>
      <c r="J33" s="19" t="n"/>
      <c r="K33" s="19" t="n"/>
      <c r="M33" s="19" t="n"/>
      <c r="O33" s="19" t="n"/>
      <c r="Q33" s="19" t="n"/>
      <c r="R33" s="19" t="n"/>
      <c r="S33" s="19" t="n"/>
      <c r="T33" s="19" t="n"/>
    </row>
    <row r="34" ht="15" customHeight="1" s="545">
      <c r="A34" s="19" t="n"/>
      <c r="B34" s="19" t="n"/>
      <c r="C34" s="19" t="n"/>
      <c r="D34" s="19" t="n"/>
      <c r="E34" s="19" t="n"/>
      <c r="F34" s="382" t="n"/>
      <c r="H34" s="19" t="n"/>
      <c r="I34" s="19" t="n"/>
      <c r="J34" s="19" t="n"/>
      <c r="K34" s="19" t="n"/>
      <c r="M34" s="19" t="n"/>
      <c r="O34" s="19" t="n"/>
      <c r="Q34" s="19" t="n"/>
      <c r="R34" s="19" t="n"/>
      <c r="S34" s="19" t="n"/>
      <c r="T34" s="19" t="n"/>
    </row>
    <row r="35" ht="15" customHeight="1" s="545">
      <c r="A35" s="19" t="n"/>
      <c r="B35" s="19" t="n"/>
      <c r="C35" s="19" t="n"/>
      <c r="D35" s="19" t="n"/>
      <c r="E35" s="19" t="n"/>
      <c r="F35" s="382" t="n"/>
      <c r="H35" s="19" t="n"/>
      <c r="I35" s="19" t="n"/>
      <c r="J35" s="19" t="n"/>
      <c r="K35" s="19" t="n"/>
      <c r="M35" s="19" t="n"/>
      <c r="N35" s="103" t="n"/>
      <c r="O35" s="19" t="n"/>
      <c r="Q35" s="19" t="n"/>
      <c r="R35" s="103" t="n"/>
      <c r="S35" s="19" t="n"/>
      <c r="T35" s="19" t="n"/>
    </row>
    <row r="36" ht="15" customHeight="1" s="545">
      <c r="A36" s="19" t="n"/>
      <c r="B36" s="19" t="n"/>
      <c r="C36" s="19" t="n"/>
      <c r="D36" s="19" t="n"/>
      <c r="E36" s="19" t="n"/>
      <c r="F36" s="382" t="n"/>
      <c r="H36" s="19" t="n"/>
      <c r="I36" s="19" t="n"/>
      <c r="J36" s="19" t="n"/>
      <c r="K36" s="19" t="n"/>
      <c r="M36" s="19" t="n"/>
      <c r="O36" s="19" t="n"/>
      <c r="Q36" s="19" t="n"/>
      <c r="R36" s="103" t="n"/>
      <c r="S36" s="19" t="n"/>
      <c r="T36" s="19" t="n"/>
    </row>
    <row r="37" ht="15" customHeight="1" s="545">
      <c r="A37" s="19" t="n"/>
      <c r="B37" s="19" t="n"/>
      <c r="C37" s="19" t="n"/>
      <c r="D37" s="19" t="n"/>
      <c r="E37" s="19" t="n"/>
      <c r="F37" s="382" t="n"/>
      <c r="H37" s="19" t="n"/>
      <c r="I37" s="19" t="n"/>
      <c r="J37" s="19" t="n"/>
      <c r="K37" s="19" t="n"/>
      <c r="M37" s="19" t="n"/>
      <c r="O37" s="19" t="n"/>
      <c r="Q37" s="19" t="n"/>
      <c r="R37" s="609" t="n"/>
      <c r="S37" s="19" t="n"/>
      <c r="T37" s="19" t="n"/>
    </row>
    <row r="38" ht="15" customHeight="1" s="545">
      <c r="A38" s="19" t="n"/>
      <c r="B38" s="19" t="n"/>
      <c r="C38" s="19" t="n"/>
      <c r="D38" s="19" t="n"/>
      <c r="E38" s="19" t="n"/>
      <c r="F38" s="382" t="n"/>
      <c r="H38" s="19" t="n"/>
      <c r="I38" s="19" t="n"/>
      <c r="J38" s="19" t="n"/>
      <c r="K38" s="19" t="n"/>
      <c r="M38" s="19" t="n"/>
      <c r="O38" s="19" t="n"/>
      <c r="Q38" s="19" t="n"/>
      <c r="R38" s="19" t="n"/>
      <c r="S38" s="19" t="n"/>
      <c r="T38" s="19" t="n"/>
    </row>
    <row r="39" ht="15" customHeight="1" s="545">
      <c r="A39" s="19" t="n"/>
      <c r="B39" s="19" t="n"/>
      <c r="C39" s="19" t="n"/>
      <c r="D39" s="19" t="n"/>
      <c r="E39" s="19" t="n"/>
      <c r="F39" s="382" t="n"/>
      <c r="H39" s="19" t="n"/>
      <c r="I39" s="19" t="n"/>
      <c r="J39" s="19" t="n"/>
      <c r="K39" s="19" t="n"/>
      <c r="M39" s="19" t="n"/>
      <c r="O39" s="19" t="n"/>
      <c r="Q39" s="19" t="n"/>
      <c r="R39" s="19" t="n"/>
      <c r="S39" s="19" t="n"/>
      <c r="T39" s="19" t="n"/>
    </row>
    <row r="40" ht="15.75" customHeight="1" s="545">
      <c r="A40" s="19" t="n"/>
      <c r="B40" s="19" t="n"/>
      <c r="C40" s="19" t="n"/>
      <c r="D40" s="19" t="n"/>
      <c r="E40" s="19" t="n"/>
      <c r="F40" s="19" t="n"/>
      <c r="H40" s="19" t="n"/>
      <c r="I40" s="19" t="n"/>
      <c r="J40" s="19" t="n"/>
      <c r="K40" s="19" t="n"/>
      <c r="M40" s="19" t="n"/>
      <c r="O40" s="19" t="n"/>
      <c r="Q40" s="19" t="n"/>
      <c r="R40" s="19" t="n"/>
      <c r="S40" s="19" t="n"/>
      <c r="T40" s="19" t="n"/>
    </row>
    <row r="41" ht="15.75" customHeight="1" s="545">
      <c r="A41" s="19" t="n"/>
      <c r="B41" s="19" t="n"/>
      <c r="C41" s="19" t="n"/>
      <c r="D41" s="19" t="n"/>
      <c r="E41" s="19" t="n"/>
      <c r="F41" s="19" t="n"/>
      <c r="H41" s="19" t="n"/>
      <c r="I41" s="19" t="n"/>
      <c r="J41" s="19" t="n"/>
      <c r="K41" s="19" t="n"/>
      <c r="M41" s="19" t="n"/>
      <c r="O41" s="19" t="n"/>
      <c r="Q41" s="19" t="n"/>
      <c r="R41" s="19" t="n"/>
      <c r="S41" s="19" t="n"/>
      <c r="T41" s="19" t="n"/>
    </row>
    <row r="42" ht="15.75" customHeight="1" s="545">
      <c r="A42" s="19" t="n"/>
      <c r="B42" s="19" t="n"/>
      <c r="C42" s="19" t="n"/>
      <c r="D42" s="19" t="n"/>
      <c r="E42" s="19" t="n"/>
      <c r="F42" s="19" t="n"/>
      <c r="H42" s="19" t="n"/>
      <c r="I42" s="19" t="n"/>
      <c r="J42" s="19" t="n"/>
      <c r="K42" s="19" t="n"/>
      <c r="M42" s="19" t="n"/>
      <c r="O42" s="19" t="n"/>
      <c r="Q42" s="19" t="n"/>
      <c r="R42" s="19" t="n"/>
      <c r="S42" s="19" t="n"/>
      <c r="T42" s="19" t="n"/>
    </row>
    <row r="43" ht="15.75" customHeight="1" s="545">
      <c r="A43" s="19" t="n"/>
      <c r="B43" s="19" t="n"/>
      <c r="C43" s="19" t="n"/>
      <c r="D43" s="19" t="n"/>
      <c r="E43" s="19" t="n"/>
      <c r="F43" s="19" t="n"/>
      <c r="H43" s="19" t="n"/>
      <c r="I43" s="19" t="n"/>
      <c r="J43" s="19" t="n"/>
      <c r="K43" s="19" t="n"/>
      <c r="M43" s="19" t="n"/>
      <c r="O43" s="19" t="n"/>
      <c r="Q43" s="19" t="n"/>
      <c r="R43" s="19" t="n"/>
      <c r="S43" s="19" t="n"/>
      <c r="T43" s="19" t="n"/>
    </row>
    <row r="44" ht="15.75" customHeight="1" s="545">
      <c r="A44" s="19" t="n"/>
      <c r="B44" s="19" t="n"/>
      <c r="C44" s="19" t="n"/>
      <c r="D44" s="19" t="n"/>
      <c r="E44" s="19" t="n"/>
      <c r="F44" s="19" t="n"/>
      <c r="H44" s="19" t="n"/>
      <c r="I44" s="19" t="n"/>
      <c r="J44" s="19" t="n"/>
      <c r="K44" s="19" t="n"/>
      <c r="M44" s="19" t="n"/>
      <c r="O44" s="19" t="n"/>
      <c r="Q44" s="19" t="n"/>
      <c r="R44" s="19" t="n"/>
      <c r="S44" s="19" t="n"/>
      <c r="T44" s="19" t="n"/>
    </row>
    <row r="45" ht="15.75" customHeight="1" s="545">
      <c r="A45" s="19" t="n"/>
      <c r="B45" s="19" t="n"/>
      <c r="C45" s="19" t="n"/>
      <c r="D45" s="19" t="n"/>
      <c r="E45" s="19" t="n"/>
      <c r="F45" s="19" t="n"/>
      <c r="H45" s="19" t="n"/>
      <c r="I45" s="19" t="n"/>
      <c r="J45" s="19" t="n"/>
      <c r="K45" s="19" t="n"/>
      <c r="M45" s="19" t="n"/>
      <c r="O45" s="19" t="n"/>
      <c r="Q45" s="19" t="n"/>
      <c r="R45" s="19" t="n"/>
      <c r="S45" s="19" t="n"/>
      <c r="T45" s="19" t="n"/>
    </row>
    <row r="46" ht="15.75" customHeight="1" s="545">
      <c r="A46" s="19" t="n"/>
      <c r="B46" s="19" t="n"/>
      <c r="C46" s="19" t="n"/>
      <c r="D46" s="19" t="n"/>
      <c r="E46" s="19" t="n"/>
      <c r="F46" s="19" t="n"/>
      <c r="H46" s="19" t="n"/>
      <c r="I46" s="19" t="n"/>
      <c r="J46" s="19" t="n"/>
      <c r="K46" s="19" t="n"/>
      <c r="M46" s="19" t="n"/>
      <c r="O46" s="19" t="n"/>
      <c r="Q46" s="19" t="n"/>
      <c r="R46" s="19" t="n"/>
      <c r="S46" s="19" t="n"/>
      <c r="T46" s="19" t="n"/>
    </row>
    <row r="47" ht="15.75" customHeight="1" s="545">
      <c r="A47" s="19" t="n"/>
      <c r="B47" s="19" t="n"/>
      <c r="C47" s="19" t="n"/>
      <c r="D47" s="19" t="n"/>
      <c r="E47" s="19" t="n"/>
      <c r="F47" s="19" t="n"/>
      <c r="H47" s="19" t="n"/>
      <c r="I47" s="19" t="n"/>
      <c r="J47" s="19" t="n"/>
      <c r="K47" s="19" t="n"/>
      <c r="M47" s="19" t="n"/>
      <c r="O47" s="19" t="n"/>
      <c r="Q47" s="19" t="n"/>
      <c r="R47" s="19" t="n"/>
      <c r="S47" s="19" t="n"/>
      <c r="T47" s="19" t="n"/>
    </row>
    <row r="48" ht="15.75" customHeight="1" s="545">
      <c r="A48" s="19" t="n"/>
      <c r="B48" s="19" t="n"/>
      <c r="C48" s="19" t="n"/>
      <c r="D48" s="19" t="n"/>
      <c r="E48" s="19" t="n"/>
      <c r="F48" s="19" t="n"/>
      <c r="H48" s="19" t="n"/>
      <c r="I48" s="19" t="n"/>
      <c r="J48" s="19" t="n"/>
      <c r="K48" s="19" t="n"/>
      <c r="M48" s="19" t="n"/>
      <c r="O48" s="19" t="n"/>
      <c r="Q48" s="19" t="n"/>
      <c r="R48" s="19" t="n"/>
      <c r="S48" s="19" t="n"/>
      <c r="T48" s="19" t="n"/>
    </row>
    <row r="49" ht="15.75" customHeight="1" s="545">
      <c r="A49" s="19" t="n"/>
      <c r="B49" s="19" t="n"/>
      <c r="C49" s="19" t="n"/>
      <c r="D49" s="19" t="n"/>
      <c r="E49" s="19" t="n"/>
      <c r="F49" s="19" t="n"/>
      <c r="H49" s="19" t="n"/>
      <c r="I49" s="19" t="n"/>
      <c r="J49" s="19" t="n"/>
      <c r="K49" s="19" t="n"/>
      <c r="M49" s="19" t="n"/>
      <c r="O49" s="19" t="n"/>
      <c r="Q49" s="19" t="n"/>
      <c r="R49" s="19" t="n"/>
      <c r="S49" s="19" t="n"/>
      <c r="T49" s="19" t="n"/>
    </row>
    <row r="50" ht="15.75" customHeight="1" s="545">
      <c r="A50" s="19" t="n"/>
      <c r="B50" s="19" t="n"/>
      <c r="C50" s="19" t="n"/>
      <c r="D50" s="19" t="n"/>
      <c r="E50" s="19" t="n"/>
      <c r="F50" s="19" t="n"/>
      <c r="H50" s="19" t="n"/>
      <c r="I50" s="19" t="n"/>
      <c r="J50" s="19" t="n"/>
      <c r="K50" s="19" t="n"/>
      <c r="M50" s="19" t="n"/>
      <c r="O50" s="19" t="n"/>
      <c r="Q50" s="19" t="n"/>
      <c r="R50" s="19" t="n"/>
      <c r="S50" s="19" t="n"/>
      <c r="T50" s="19" t="n"/>
    </row>
    <row r="51" ht="15.75" customHeight="1" s="545">
      <c r="A51" s="19" t="n"/>
      <c r="B51" s="19" t="n"/>
      <c r="C51" s="19" t="n"/>
      <c r="D51" s="19" t="n"/>
      <c r="E51" s="19" t="n"/>
      <c r="F51" s="19" t="n"/>
      <c r="H51" s="19" t="n"/>
      <c r="I51" s="19" t="n"/>
      <c r="J51" s="19" t="n"/>
      <c r="K51" s="19" t="n"/>
      <c r="M51" s="19" t="n"/>
      <c r="O51" s="19" t="n"/>
      <c r="Q51" s="19" t="n"/>
      <c r="R51" s="19" t="n"/>
      <c r="S51" s="19" t="n"/>
      <c r="T51" s="19" t="n"/>
    </row>
    <row r="52" ht="15.75" customHeight="1" s="545">
      <c r="A52" s="19" t="n"/>
      <c r="B52" s="19" t="n"/>
      <c r="C52" s="19" t="n"/>
      <c r="D52" s="19" t="n"/>
      <c r="E52" s="19" t="n"/>
      <c r="F52" s="19" t="n"/>
      <c r="H52" s="19" t="n"/>
      <c r="I52" s="19" t="n"/>
      <c r="J52" s="19" t="n"/>
      <c r="K52" s="19" t="n"/>
      <c r="M52" s="19" t="n"/>
      <c r="O52" s="19" t="n"/>
      <c r="Q52" s="19" t="n"/>
      <c r="R52" s="19" t="n"/>
      <c r="S52" s="19" t="n"/>
      <c r="T52" s="19" t="n"/>
    </row>
    <row r="53" ht="15.75" customHeight="1" s="545">
      <c r="A53" s="19" t="n"/>
      <c r="B53" s="19" t="n"/>
      <c r="C53" s="19" t="n"/>
      <c r="D53" s="19" t="n"/>
      <c r="E53" s="19" t="n"/>
      <c r="F53" s="19" t="n"/>
      <c r="H53" s="19" t="n"/>
      <c r="I53" s="19" t="n"/>
      <c r="J53" s="19" t="n"/>
      <c r="K53" s="19" t="n"/>
      <c r="M53" s="19" t="n"/>
      <c r="O53" s="19" t="n"/>
      <c r="Q53" s="19" t="n"/>
      <c r="R53" s="19" t="n"/>
      <c r="S53" s="19" t="n"/>
      <c r="T53" s="19" t="n"/>
    </row>
    <row r="54" ht="15.75" customHeight="1" s="545">
      <c r="A54" s="19" t="n"/>
      <c r="B54" s="19" t="n"/>
      <c r="C54" s="19" t="n"/>
      <c r="D54" s="19" t="n"/>
      <c r="E54" s="19" t="n"/>
      <c r="F54" s="19" t="n"/>
      <c r="H54" s="19" t="n"/>
      <c r="I54" s="19" t="n"/>
      <c r="J54" s="19" t="n"/>
      <c r="K54" s="19" t="n"/>
      <c r="M54" s="19" t="n"/>
      <c r="O54" s="19" t="n"/>
      <c r="Q54" s="19" t="n"/>
      <c r="R54" s="19" t="n"/>
      <c r="S54" s="19" t="n"/>
      <c r="T54" s="19" t="n"/>
    </row>
    <row r="55" ht="15.75" customHeight="1" s="545">
      <c r="A55" s="19" t="n"/>
      <c r="B55" s="19" t="n"/>
      <c r="C55" s="19" t="n"/>
      <c r="D55" s="19" t="n"/>
      <c r="E55" s="19" t="n"/>
      <c r="F55" s="19" t="n"/>
      <c r="H55" s="19" t="n"/>
      <c r="I55" s="19" t="n"/>
      <c r="J55" s="19" t="n"/>
      <c r="K55" s="19" t="n"/>
      <c r="M55" s="19" t="n"/>
      <c r="O55" s="19" t="n"/>
      <c r="Q55" s="19" t="n"/>
      <c r="R55" s="19" t="n"/>
      <c r="S55" s="19" t="n"/>
      <c r="T55" s="19" t="n"/>
    </row>
    <row r="56" ht="15.75" customHeight="1" s="545">
      <c r="A56" s="19" t="n"/>
      <c r="B56" s="19" t="n"/>
      <c r="C56" s="19" t="n"/>
      <c r="D56" s="19" t="n"/>
      <c r="E56" s="19" t="n"/>
      <c r="F56" s="19" t="n"/>
      <c r="H56" s="19" t="n"/>
      <c r="I56" s="19" t="n"/>
      <c r="J56" s="19" t="n"/>
      <c r="K56" s="19" t="n"/>
      <c r="M56" s="19" t="n"/>
      <c r="O56" s="19" t="n"/>
      <c r="Q56" s="19" t="n"/>
      <c r="R56" s="19" t="n"/>
      <c r="S56" s="19" t="n"/>
      <c r="T56" s="19" t="n"/>
    </row>
    <row r="57" ht="15.75" customHeight="1" s="545">
      <c r="A57" s="19" t="n"/>
      <c r="B57" s="19" t="n"/>
      <c r="C57" s="19" t="n"/>
      <c r="D57" s="19" t="n"/>
      <c r="E57" s="19" t="n"/>
      <c r="F57" s="19" t="n"/>
      <c r="H57" s="19" t="n"/>
      <c r="I57" s="19" t="n"/>
      <c r="J57" s="19" t="n"/>
      <c r="K57" s="19" t="n"/>
      <c r="M57" s="19" t="n"/>
      <c r="O57" s="19" t="n"/>
      <c r="Q57" s="19" t="n"/>
      <c r="R57" s="19" t="n"/>
      <c r="S57" s="19" t="n"/>
      <c r="T57" s="19" t="n"/>
    </row>
    <row r="58" ht="15.75" customHeight="1" s="545">
      <c r="A58" s="19" t="n"/>
      <c r="B58" s="19" t="n"/>
      <c r="C58" s="19" t="n"/>
      <c r="D58" s="19" t="n"/>
      <c r="E58" s="19" t="n"/>
      <c r="F58" s="19" t="n"/>
      <c r="H58" s="19" t="n"/>
      <c r="I58" s="19" t="n"/>
      <c r="J58" s="19" t="n"/>
      <c r="K58" s="19" t="n"/>
      <c r="M58" s="19" t="n"/>
      <c r="O58" s="19" t="n"/>
      <c r="Q58" s="19" t="n"/>
      <c r="R58" s="19" t="n"/>
      <c r="S58" s="19" t="n"/>
      <c r="T58" s="19" t="n"/>
    </row>
    <row r="59" ht="15.75" customHeight="1" s="545">
      <c r="A59" s="19" t="n"/>
      <c r="B59" s="19" t="n"/>
      <c r="C59" s="19" t="n"/>
      <c r="D59" s="19" t="n"/>
      <c r="E59" s="19" t="n"/>
      <c r="F59" s="19" t="n"/>
      <c r="H59" s="19" t="n"/>
      <c r="I59" s="19" t="n"/>
      <c r="J59" s="19" t="n"/>
      <c r="K59" s="19" t="n"/>
      <c r="M59" s="19" t="n"/>
      <c r="O59" s="19" t="n"/>
      <c r="Q59" s="19" t="n"/>
      <c r="R59" s="19" t="n"/>
      <c r="S59" s="19" t="n"/>
      <c r="T59" s="19" t="n"/>
    </row>
    <row r="60" ht="15.75" customHeight="1" s="545">
      <c r="A60" s="19" t="n"/>
      <c r="B60" s="19" t="n"/>
      <c r="C60" s="19" t="n"/>
      <c r="D60" s="19" t="n"/>
      <c r="E60" s="19" t="n"/>
      <c r="F60" s="19" t="n"/>
      <c r="H60" s="19" t="n"/>
      <c r="I60" s="19" t="n"/>
      <c r="J60" s="19" t="n"/>
      <c r="K60" s="19" t="n"/>
      <c r="M60" s="19" t="n"/>
      <c r="O60" s="19" t="n"/>
      <c r="Q60" s="19" t="n"/>
      <c r="R60" s="19" t="n"/>
      <c r="S60" s="19" t="n"/>
      <c r="T60" s="19" t="n"/>
    </row>
    <row r="61" ht="15.75" customHeight="1" s="545">
      <c r="A61" s="19" t="n"/>
      <c r="B61" s="19" t="n"/>
      <c r="C61" s="19" t="n"/>
      <c r="D61" s="19" t="n"/>
      <c r="E61" s="19" t="n"/>
      <c r="F61" s="19" t="n"/>
      <c r="H61" s="19" t="n"/>
      <c r="I61" s="19" t="n"/>
      <c r="J61" s="19" t="n"/>
      <c r="K61" s="19" t="n"/>
      <c r="M61" s="19" t="n"/>
      <c r="O61" s="19" t="n"/>
      <c r="Q61" s="19" t="n"/>
      <c r="R61" s="19" t="n"/>
      <c r="S61" s="19" t="n"/>
      <c r="T61" s="19" t="n"/>
    </row>
    <row r="62" ht="15.75" customHeight="1" s="545">
      <c r="A62" s="19" t="n"/>
      <c r="B62" s="19" t="n"/>
      <c r="C62" s="19" t="n"/>
      <c r="D62" s="19" t="n"/>
      <c r="E62" s="19" t="n"/>
      <c r="F62" s="19" t="n"/>
      <c r="H62" s="19" t="n"/>
      <c r="I62" s="19" t="n"/>
      <c r="J62" s="19" t="n"/>
      <c r="K62" s="19" t="n"/>
      <c r="M62" s="19" t="n"/>
      <c r="O62" s="19" t="n"/>
      <c r="Q62" s="19" t="n"/>
      <c r="R62" s="19" t="n"/>
      <c r="S62" s="19" t="n"/>
      <c r="T62" s="19" t="n"/>
    </row>
    <row r="63" ht="15.75" customHeight="1" s="545">
      <c r="A63" s="19" t="n"/>
      <c r="B63" s="19" t="n"/>
      <c r="C63" s="19" t="n"/>
      <c r="D63" s="19" t="n"/>
      <c r="E63" s="19" t="n"/>
      <c r="F63" s="19" t="n"/>
      <c r="H63" s="19" t="n"/>
      <c r="I63" s="19" t="n"/>
      <c r="J63" s="19" t="n"/>
      <c r="K63" s="19" t="n"/>
      <c r="M63" s="19" t="n"/>
      <c r="O63" s="19" t="n"/>
      <c r="Q63" s="19" t="n"/>
      <c r="R63" s="19" t="n"/>
      <c r="S63" s="19" t="n"/>
      <c r="T63" s="19" t="n"/>
    </row>
    <row r="64" ht="15.75" customHeight="1" s="545">
      <c r="A64" s="19" t="n"/>
      <c r="B64" s="19" t="n"/>
      <c r="C64" s="19" t="n"/>
      <c r="D64" s="19" t="n"/>
      <c r="E64" s="19" t="n"/>
      <c r="F64" s="19" t="n"/>
      <c r="H64" s="19" t="n"/>
      <c r="I64" s="19" t="n"/>
      <c r="J64" s="19" t="n"/>
      <c r="K64" s="19" t="n"/>
      <c r="M64" s="19" t="n"/>
      <c r="O64" s="19" t="n"/>
      <c r="Q64" s="19" t="n"/>
      <c r="R64" s="19" t="n"/>
      <c r="S64" s="19" t="n"/>
      <c r="T64" s="19" t="n"/>
    </row>
    <row r="65" ht="15.75" customHeight="1" s="545">
      <c r="A65" s="19" t="n"/>
      <c r="B65" s="19" t="n"/>
      <c r="C65" s="19" t="n"/>
      <c r="D65" s="19" t="n"/>
      <c r="E65" s="19" t="n"/>
      <c r="F65" s="19" t="n"/>
      <c r="H65" s="19" t="n"/>
      <c r="I65" s="19" t="n"/>
      <c r="J65" s="19" t="n"/>
      <c r="K65" s="19" t="n"/>
      <c r="M65" s="19" t="n"/>
      <c r="O65" s="19" t="n"/>
      <c r="Q65" s="19" t="n"/>
      <c r="R65" s="19" t="n"/>
      <c r="S65" s="19" t="n"/>
      <c r="T65" s="19" t="n"/>
    </row>
    <row r="66" ht="15.75" customHeight="1" s="545">
      <c r="A66" s="19" t="n"/>
      <c r="B66" s="19" t="n"/>
      <c r="C66" s="19" t="n"/>
      <c r="D66" s="19" t="n"/>
      <c r="E66" s="19" t="n"/>
      <c r="F66" s="19" t="n"/>
      <c r="H66" s="19" t="n"/>
      <c r="I66" s="19" t="n"/>
      <c r="J66" s="19" t="n"/>
      <c r="K66" s="19" t="n"/>
      <c r="M66" s="19" t="n"/>
      <c r="O66" s="19" t="n"/>
      <c r="Q66" s="19" t="n"/>
      <c r="R66" s="19" t="n"/>
      <c r="S66" s="19" t="n"/>
      <c r="T66" s="19" t="n"/>
    </row>
    <row r="67" ht="15.75" customHeight="1" s="545">
      <c r="A67" s="19" t="n"/>
      <c r="B67" s="19" t="n"/>
      <c r="C67" s="19" t="n"/>
      <c r="D67" s="19" t="n"/>
      <c r="E67" s="19" t="n"/>
      <c r="F67" s="19" t="n"/>
      <c r="H67" s="19" t="n"/>
      <c r="I67" s="19" t="n"/>
      <c r="J67" s="19" t="n"/>
      <c r="K67" s="19" t="n"/>
      <c r="M67" s="19" t="n"/>
      <c r="O67" s="19" t="n"/>
      <c r="Q67" s="19" t="n"/>
      <c r="R67" s="19" t="n"/>
      <c r="S67" s="19" t="n"/>
      <c r="T67" s="19" t="n"/>
    </row>
    <row r="68" ht="15.75" customHeight="1" s="545">
      <c r="A68" s="19" t="n"/>
      <c r="B68" s="19" t="n"/>
      <c r="C68" s="19" t="n"/>
      <c r="D68" s="19" t="n"/>
      <c r="E68" s="19" t="n"/>
      <c r="F68" s="19" t="n"/>
      <c r="H68" s="19" t="n"/>
      <c r="I68" s="19" t="n"/>
      <c r="J68" s="19" t="n"/>
      <c r="K68" s="19" t="n"/>
      <c r="M68" s="19" t="n"/>
      <c r="O68" s="19" t="n"/>
      <c r="Q68" s="19" t="n"/>
      <c r="R68" s="19" t="n"/>
      <c r="S68" s="19" t="n"/>
      <c r="T68" s="19" t="n"/>
    </row>
    <row r="69" ht="15.75" customHeight="1" s="545">
      <c r="A69" s="19" t="n"/>
      <c r="B69" s="19" t="n"/>
      <c r="C69" s="19" t="n"/>
      <c r="D69" s="19" t="n"/>
      <c r="E69" s="19" t="n"/>
      <c r="F69" s="19" t="n"/>
      <c r="H69" s="19" t="n"/>
      <c r="I69" s="19" t="n"/>
      <c r="J69" s="19" t="n"/>
      <c r="K69" s="19" t="n"/>
      <c r="M69" s="19" t="n"/>
      <c r="O69" s="19" t="n"/>
      <c r="Q69" s="19" t="n"/>
      <c r="R69" s="19" t="n"/>
      <c r="S69" s="19" t="n"/>
      <c r="T69" s="19" t="n"/>
    </row>
    <row r="70" ht="15.75" customHeight="1" s="545">
      <c r="A70" s="19" t="n"/>
      <c r="B70" s="19" t="n"/>
      <c r="C70" s="19" t="n"/>
      <c r="D70" s="19" t="n"/>
      <c r="E70" s="19" t="n"/>
      <c r="F70" s="19" t="n"/>
      <c r="H70" s="19" t="n"/>
      <c r="I70" s="19" t="n"/>
      <c r="J70" s="19" t="n"/>
      <c r="K70" s="19" t="n"/>
      <c r="M70" s="19" t="n"/>
      <c r="O70" s="19" t="n"/>
      <c r="Q70" s="19" t="n"/>
      <c r="R70" s="19" t="n"/>
      <c r="S70" s="19" t="n"/>
      <c r="T70" s="19" t="n"/>
    </row>
    <row r="71" ht="15.75" customHeight="1" s="545">
      <c r="A71" s="19" t="n"/>
      <c r="B71" s="19" t="n"/>
      <c r="C71" s="19" t="n"/>
      <c r="D71" s="19" t="n"/>
      <c r="E71" s="19" t="n"/>
      <c r="F71" s="19" t="n"/>
      <c r="H71" s="19" t="n"/>
      <c r="I71" s="19" t="n"/>
      <c r="J71" s="19" t="n"/>
      <c r="K71" s="19" t="n"/>
      <c r="M71" s="19" t="n"/>
      <c r="O71" s="19" t="n"/>
      <c r="Q71" s="19" t="n"/>
      <c r="R71" s="19" t="n"/>
      <c r="S71" s="19" t="n"/>
      <c r="T71" s="19" t="n"/>
    </row>
    <row r="72" ht="15.75" customHeight="1" s="545">
      <c r="A72" s="19" t="n"/>
      <c r="B72" s="19" t="n"/>
      <c r="C72" s="19" t="n"/>
      <c r="D72" s="19" t="n"/>
      <c r="E72" s="19" t="n"/>
      <c r="F72" s="19" t="n"/>
      <c r="H72" s="19" t="n"/>
      <c r="I72" s="19" t="n"/>
      <c r="J72" s="19" t="n"/>
      <c r="K72" s="19" t="n"/>
      <c r="M72" s="19" t="n"/>
      <c r="O72" s="19" t="n"/>
      <c r="Q72" s="19" t="n"/>
      <c r="R72" s="19" t="n"/>
      <c r="S72" s="19" t="n"/>
      <c r="T72" s="19" t="n"/>
    </row>
    <row r="73" ht="15.75" customHeight="1" s="545">
      <c r="A73" s="19" t="n"/>
      <c r="B73" s="19" t="n"/>
      <c r="C73" s="19" t="n"/>
      <c r="D73" s="19" t="n"/>
      <c r="E73" s="19" t="n"/>
      <c r="F73" s="19" t="n"/>
      <c r="H73" s="19" t="n"/>
      <c r="I73" s="19" t="n"/>
      <c r="J73" s="19" t="n"/>
      <c r="K73" s="19" t="n"/>
      <c r="M73" s="19" t="n"/>
      <c r="O73" s="19" t="n"/>
      <c r="Q73" s="19" t="n"/>
      <c r="R73" s="19" t="n"/>
      <c r="S73" s="19" t="n"/>
      <c r="T73" s="19" t="n"/>
    </row>
    <row r="74" ht="15.75" customHeight="1" s="545">
      <c r="A74" s="19" t="n"/>
      <c r="B74" s="19" t="n"/>
      <c r="C74" s="19" t="n"/>
      <c r="D74" s="19" t="n"/>
      <c r="E74" s="19" t="n"/>
      <c r="F74" s="19" t="n"/>
      <c r="H74" s="19" t="n"/>
      <c r="I74" s="19" t="n"/>
      <c r="J74" s="19" t="n"/>
      <c r="K74" s="19" t="n"/>
      <c r="M74" s="19" t="n"/>
      <c r="O74" s="19" t="n"/>
      <c r="Q74" s="19" t="n"/>
      <c r="R74" s="19" t="n"/>
      <c r="S74" s="19" t="n"/>
      <c r="T74" s="19" t="n"/>
    </row>
    <row r="75" ht="15.75" customHeight="1" s="545">
      <c r="A75" s="19" t="n"/>
      <c r="B75" s="19" t="n"/>
      <c r="C75" s="19" t="n"/>
      <c r="D75" s="19" t="n"/>
      <c r="E75" s="19" t="n"/>
      <c r="F75" s="19" t="n"/>
      <c r="H75" s="19" t="n"/>
      <c r="I75" s="19" t="n"/>
      <c r="J75" s="19" t="n"/>
      <c r="K75" s="19" t="n"/>
      <c r="M75" s="19" t="n"/>
      <c r="O75" s="19" t="n"/>
      <c r="Q75" s="19" t="n"/>
      <c r="R75" s="19" t="n"/>
      <c r="S75" s="19" t="n"/>
      <c r="T75" s="19" t="n"/>
    </row>
    <row r="76" ht="15.75" customHeight="1" s="545">
      <c r="A76" s="19" t="n"/>
      <c r="B76" s="19" t="n"/>
      <c r="C76" s="19" t="n"/>
      <c r="D76" s="19" t="n"/>
      <c r="E76" s="19" t="n"/>
      <c r="F76" s="19" t="n"/>
      <c r="H76" s="19" t="n"/>
      <c r="I76" s="19" t="n"/>
      <c r="J76" s="19" t="n"/>
      <c r="K76" s="19" t="n"/>
      <c r="M76" s="19" t="n"/>
      <c r="O76" s="19" t="n"/>
      <c r="Q76" s="19" t="n"/>
      <c r="R76" s="19" t="n"/>
      <c r="S76" s="19" t="n"/>
      <c r="T76" s="19" t="n"/>
    </row>
    <row r="77" ht="15.75" customHeight="1" s="545">
      <c r="A77" s="19" t="n"/>
      <c r="B77" s="19" t="n"/>
      <c r="C77" s="19" t="n"/>
      <c r="D77" s="19" t="n"/>
      <c r="E77" s="19" t="n"/>
      <c r="F77" s="19" t="n"/>
      <c r="H77" s="19" t="n"/>
      <c r="I77" s="19" t="n"/>
      <c r="J77" s="19" t="n"/>
      <c r="K77" s="19" t="n"/>
      <c r="M77" s="19" t="n"/>
      <c r="O77" s="19" t="n"/>
      <c r="Q77" s="19" t="n"/>
      <c r="R77" s="19" t="n"/>
      <c r="S77" s="19" t="n"/>
      <c r="T77" s="19" t="n"/>
    </row>
    <row r="78" ht="15.75" customHeight="1" s="545">
      <c r="A78" s="19" t="n"/>
      <c r="B78" s="19" t="n"/>
      <c r="C78" s="19" t="n"/>
      <c r="D78" s="19" t="n"/>
      <c r="E78" s="19" t="n"/>
      <c r="F78" s="19" t="n"/>
      <c r="H78" s="19" t="n"/>
      <c r="I78" s="19" t="n"/>
      <c r="J78" s="19" t="n"/>
      <c r="K78" s="19" t="n"/>
      <c r="M78" s="19" t="n"/>
      <c r="O78" s="19" t="n"/>
      <c r="Q78" s="19" t="n"/>
      <c r="R78" s="19" t="n"/>
      <c r="S78" s="19" t="n"/>
      <c r="T78" s="19" t="n"/>
    </row>
    <row r="79" ht="15.75" customHeight="1" s="545">
      <c r="A79" s="19" t="n"/>
      <c r="B79" s="19" t="n"/>
      <c r="C79" s="19" t="n"/>
      <c r="D79" s="19" t="n"/>
      <c r="E79" s="19" t="n"/>
      <c r="F79" s="19" t="n"/>
      <c r="H79" s="19" t="n"/>
      <c r="I79" s="19" t="n"/>
      <c r="J79" s="19" t="n"/>
      <c r="K79" s="19" t="n"/>
      <c r="M79" s="19" t="n"/>
      <c r="O79" s="19" t="n"/>
      <c r="Q79" s="19" t="n"/>
      <c r="R79" s="19" t="n"/>
      <c r="S79" s="19" t="n"/>
      <c r="T79" s="19" t="n"/>
    </row>
    <row r="80" ht="15.75" customHeight="1" s="545">
      <c r="A80" s="19" t="n"/>
      <c r="B80" s="19" t="n"/>
      <c r="C80" s="19" t="n"/>
      <c r="D80" s="19" t="n"/>
      <c r="E80" s="19" t="n"/>
      <c r="F80" s="19" t="n"/>
      <c r="H80" s="19" t="n"/>
      <c r="I80" s="19" t="n"/>
      <c r="J80" s="19" t="n"/>
      <c r="K80" s="19" t="n"/>
      <c r="M80" s="19" t="n"/>
      <c r="O80" s="19" t="n"/>
      <c r="Q80" s="19" t="n"/>
      <c r="R80" s="19" t="n"/>
      <c r="S80" s="19" t="n"/>
      <c r="T80" s="19" t="n"/>
    </row>
    <row r="81" ht="15.75" customHeight="1" s="545">
      <c r="A81" s="19" t="n"/>
      <c r="B81" s="19" t="n"/>
      <c r="C81" s="19" t="n"/>
      <c r="D81" s="19" t="n"/>
      <c r="E81" s="19" t="n"/>
      <c r="F81" s="19" t="n"/>
      <c r="H81" s="19" t="n"/>
      <c r="I81" s="19" t="n"/>
      <c r="J81" s="19" t="n"/>
      <c r="K81" s="19" t="n"/>
      <c r="M81" s="19" t="n"/>
      <c r="O81" s="19" t="n"/>
      <c r="Q81" s="19" t="n"/>
      <c r="R81" s="19" t="n"/>
      <c r="S81" s="19" t="n"/>
      <c r="T81" s="19" t="n"/>
    </row>
    <row r="82" ht="15.75" customHeight="1" s="545">
      <c r="A82" s="19" t="n"/>
      <c r="B82" s="19" t="n"/>
      <c r="C82" s="19" t="n"/>
      <c r="D82" s="19" t="n"/>
      <c r="E82" s="19" t="n"/>
      <c r="F82" s="19" t="n"/>
      <c r="H82" s="19" t="n"/>
      <c r="I82" s="19" t="n"/>
      <c r="J82" s="19" t="n"/>
      <c r="K82" s="19" t="n"/>
      <c r="M82" s="19" t="n"/>
      <c r="O82" s="19" t="n"/>
      <c r="Q82" s="19" t="n"/>
      <c r="R82" s="19" t="n"/>
      <c r="S82" s="19" t="n"/>
      <c r="T82" s="19" t="n"/>
    </row>
    <row r="83" ht="15.75" customHeight="1" s="545">
      <c r="A83" s="19" t="n"/>
      <c r="B83" s="19" t="n"/>
      <c r="C83" s="19" t="n"/>
      <c r="D83" s="19" t="n"/>
      <c r="E83" s="19" t="n"/>
      <c r="F83" s="19" t="n"/>
      <c r="H83" s="19" t="n"/>
      <c r="I83" s="19" t="n"/>
      <c r="J83" s="19" t="n"/>
      <c r="K83" s="19" t="n"/>
      <c r="M83" s="19" t="n"/>
      <c r="O83" s="19" t="n"/>
      <c r="Q83" s="19" t="n"/>
      <c r="R83" s="19" t="n"/>
      <c r="S83" s="19" t="n"/>
      <c r="T83" s="19" t="n"/>
    </row>
    <row r="84" ht="15.75" customHeight="1" s="545">
      <c r="A84" s="19" t="n"/>
      <c r="B84" s="19" t="n"/>
      <c r="C84" s="19" t="n"/>
      <c r="D84" s="19" t="n"/>
      <c r="E84" s="19" t="n"/>
      <c r="F84" s="19" t="n"/>
      <c r="H84" s="19" t="n"/>
      <c r="I84" s="19" t="n"/>
      <c r="J84" s="19" t="n"/>
      <c r="K84" s="19" t="n"/>
      <c r="M84" s="19" t="n"/>
      <c r="O84" s="19" t="n"/>
      <c r="Q84" s="19" t="n"/>
      <c r="R84" s="19" t="n"/>
      <c r="S84" s="19" t="n"/>
      <c r="T84" s="19" t="n"/>
    </row>
    <row r="85" ht="15.75" customHeight="1" s="545">
      <c r="A85" s="19" t="n"/>
      <c r="B85" s="19" t="n"/>
      <c r="C85" s="19" t="n"/>
      <c r="D85" s="19" t="n"/>
      <c r="E85" s="19" t="n"/>
      <c r="F85" s="19" t="n"/>
      <c r="H85" s="19" t="n"/>
      <c r="I85" s="19" t="n"/>
      <c r="J85" s="19" t="n"/>
      <c r="K85" s="19" t="n"/>
      <c r="M85" s="19" t="n"/>
      <c r="O85" s="19" t="n"/>
      <c r="Q85" s="19" t="n"/>
      <c r="R85" s="19" t="n"/>
      <c r="S85" s="19" t="n"/>
      <c r="T85" s="19" t="n"/>
    </row>
    <row r="86" ht="15.75" customHeight="1" s="545">
      <c r="A86" s="19" t="n"/>
      <c r="B86" s="19" t="n"/>
      <c r="C86" s="19" t="n"/>
      <c r="D86" s="19" t="n"/>
      <c r="E86" s="19" t="n"/>
      <c r="F86" s="19" t="n"/>
      <c r="H86" s="19" t="n"/>
      <c r="I86" s="19" t="n"/>
      <c r="J86" s="19" t="n"/>
      <c r="K86" s="19" t="n"/>
      <c r="M86" s="19" t="n"/>
      <c r="O86" s="19" t="n"/>
      <c r="Q86" s="19" t="n"/>
      <c r="R86" s="19" t="n"/>
      <c r="S86" s="19" t="n"/>
      <c r="T86" s="19" t="n"/>
    </row>
    <row r="87" ht="15.75" customHeight="1" s="545">
      <c r="A87" s="19" t="n"/>
      <c r="B87" s="19" t="n"/>
      <c r="C87" s="19" t="n"/>
      <c r="D87" s="19" t="n"/>
      <c r="E87" s="19" t="n"/>
      <c r="F87" s="19" t="n"/>
      <c r="H87" s="19" t="n"/>
      <c r="I87" s="19" t="n"/>
      <c r="J87" s="19" t="n"/>
      <c r="K87" s="19" t="n"/>
      <c r="M87" s="19" t="n"/>
      <c r="O87" s="19" t="n"/>
      <c r="Q87" s="19" t="n"/>
      <c r="R87" s="19" t="n"/>
      <c r="S87" s="19" t="n"/>
      <c r="T87" s="19" t="n"/>
    </row>
    <row r="88" ht="15.75" customHeight="1" s="545">
      <c r="A88" s="19" t="n"/>
      <c r="B88" s="19" t="n"/>
      <c r="C88" s="19" t="n"/>
      <c r="D88" s="19" t="n"/>
      <c r="E88" s="19" t="n"/>
      <c r="F88" s="19" t="n"/>
      <c r="H88" s="19" t="n"/>
      <c r="I88" s="19" t="n"/>
      <c r="J88" s="19" t="n"/>
      <c r="K88" s="19" t="n"/>
      <c r="M88" s="19" t="n"/>
      <c r="O88" s="19" t="n"/>
      <c r="Q88" s="19" t="n"/>
      <c r="R88" s="19" t="n"/>
      <c r="S88" s="19" t="n"/>
      <c r="T88" s="19" t="n"/>
    </row>
    <row r="89" ht="15.75" customHeight="1" s="545">
      <c r="A89" s="19" t="n"/>
      <c r="B89" s="19" t="n"/>
      <c r="C89" s="19" t="n"/>
      <c r="D89" s="19" t="n"/>
      <c r="E89" s="19" t="n"/>
      <c r="F89" s="19" t="n"/>
      <c r="H89" s="19" t="n"/>
      <c r="I89" s="19" t="n"/>
      <c r="J89" s="19" t="n"/>
      <c r="K89" s="19" t="n"/>
      <c r="M89" s="19" t="n"/>
      <c r="O89" s="19" t="n"/>
      <c r="Q89" s="19" t="n"/>
      <c r="R89" s="19" t="n"/>
      <c r="S89" s="19" t="n"/>
      <c r="T89" s="19" t="n"/>
    </row>
    <row r="90" ht="15.75" customHeight="1" s="545">
      <c r="A90" s="19" t="n"/>
      <c r="B90" s="19" t="n"/>
      <c r="C90" s="19" t="n"/>
      <c r="D90" s="19" t="n"/>
      <c r="E90" s="19" t="n"/>
      <c r="F90" s="19" t="n"/>
      <c r="H90" s="19" t="n"/>
      <c r="I90" s="19" t="n"/>
      <c r="J90" s="19" t="n"/>
      <c r="K90" s="19" t="n"/>
      <c r="M90" s="19" t="n"/>
      <c r="O90" s="19" t="n"/>
      <c r="Q90" s="19" t="n"/>
      <c r="R90" s="19" t="n"/>
      <c r="S90" s="19" t="n"/>
      <c r="T90" s="19" t="n"/>
    </row>
    <row r="91" ht="15.75" customHeight="1" s="545">
      <c r="A91" s="19" t="n"/>
      <c r="B91" s="19" t="n"/>
      <c r="C91" s="19" t="n"/>
      <c r="D91" s="19" t="n"/>
      <c r="E91" s="19" t="n"/>
      <c r="F91" s="19" t="n"/>
      <c r="H91" s="19" t="n"/>
      <c r="I91" s="19" t="n"/>
      <c r="J91" s="19" t="n"/>
      <c r="K91" s="19" t="n"/>
      <c r="M91" s="19" t="n"/>
      <c r="O91" s="19" t="n"/>
      <c r="Q91" s="19" t="n"/>
      <c r="R91" s="19" t="n"/>
      <c r="S91" s="19" t="n"/>
      <c r="T91" s="19" t="n"/>
    </row>
    <row r="92" ht="15.75" customHeight="1" s="545">
      <c r="A92" s="19" t="n"/>
      <c r="B92" s="19" t="n"/>
      <c r="C92" s="19" t="n"/>
      <c r="D92" s="19" t="n"/>
      <c r="E92" s="19" t="n"/>
      <c r="F92" s="19" t="n"/>
      <c r="H92" s="19" t="n"/>
      <c r="I92" s="19" t="n"/>
      <c r="J92" s="19" t="n"/>
      <c r="K92" s="19" t="n"/>
      <c r="M92" s="19" t="n"/>
      <c r="O92" s="19" t="n"/>
      <c r="Q92" s="19" t="n"/>
      <c r="R92" s="19" t="n"/>
      <c r="S92" s="19" t="n"/>
      <c r="T92" s="19" t="n"/>
    </row>
    <row r="93" ht="15.75" customHeight="1" s="545">
      <c r="A93" s="19" t="n"/>
      <c r="B93" s="19" t="n"/>
      <c r="C93" s="19" t="n"/>
      <c r="D93" s="19" t="n"/>
      <c r="E93" s="19" t="n"/>
      <c r="F93" s="19" t="n"/>
      <c r="H93" s="19" t="n"/>
      <c r="I93" s="19" t="n"/>
      <c r="J93" s="19" t="n"/>
      <c r="K93" s="19" t="n"/>
      <c r="M93" s="19" t="n"/>
      <c r="O93" s="19" t="n"/>
      <c r="Q93" s="19" t="n"/>
      <c r="R93" s="19" t="n"/>
      <c r="S93" s="19" t="n"/>
      <c r="T93" s="19" t="n"/>
    </row>
    <row r="94" ht="15.75" customHeight="1" s="545">
      <c r="A94" s="19" t="n"/>
      <c r="B94" s="19" t="n"/>
      <c r="C94" s="19" t="n"/>
      <c r="D94" s="19" t="n"/>
      <c r="E94" s="19" t="n"/>
      <c r="F94" s="19" t="n"/>
      <c r="H94" s="19" t="n"/>
      <c r="I94" s="19" t="n"/>
      <c r="J94" s="19" t="n"/>
      <c r="K94" s="19" t="n"/>
      <c r="M94" s="19" t="n"/>
      <c r="O94" s="19" t="n"/>
      <c r="Q94" s="19" t="n"/>
      <c r="R94" s="19" t="n"/>
      <c r="S94" s="19" t="n"/>
      <c r="T94" s="19" t="n"/>
    </row>
    <row r="95" ht="15.75" customHeight="1" s="545">
      <c r="A95" s="19" t="n"/>
      <c r="B95" s="19" t="n"/>
      <c r="C95" s="19" t="n"/>
      <c r="D95" s="19" t="n"/>
      <c r="E95" s="19" t="n"/>
      <c r="F95" s="19" t="n"/>
      <c r="H95" s="19" t="n"/>
      <c r="I95" s="19" t="n"/>
      <c r="J95" s="19" t="n"/>
      <c r="K95" s="19" t="n"/>
      <c r="M95" s="19" t="n"/>
      <c r="O95" s="19" t="n"/>
      <c r="Q95" s="19" t="n"/>
      <c r="R95" s="19" t="n"/>
      <c r="S95" s="19" t="n"/>
      <c r="T95" s="19" t="n"/>
    </row>
    <row r="96" ht="15.75" customHeight="1" s="545">
      <c r="A96" s="19" t="n"/>
      <c r="B96" s="19" t="n"/>
      <c r="C96" s="19" t="n"/>
      <c r="D96" s="19" t="n"/>
      <c r="E96" s="19" t="n"/>
      <c r="F96" s="19" t="n"/>
      <c r="H96" s="19" t="n"/>
      <c r="I96" s="19" t="n"/>
      <c r="J96" s="19" t="n"/>
      <c r="K96" s="19" t="n"/>
      <c r="M96" s="19" t="n"/>
      <c r="O96" s="19" t="n"/>
      <c r="Q96" s="19" t="n"/>
      <c r="R96" s="19" t="n"/>
      <c r="S96" s="19" t="n"/>
      <c r="T96" s="19" t="n"/>
    </row>
    <row r="97" ht="15.75" customHeight="1" s="545">
      <c r="A97" s="19" t="n"/>
      <c r="B97" s="19" t="n"/>
      <c r="C97" s="19" t="n"/>
      <c r="D97" s="19" t="n"/>
      <c r="E97" s="19" t="n"/>
      <c r="F97" s="19" t="n"/>
      <c r="H97" s="19" t="n"/>
      <c r="I97" s="19" t="n"/>
      <c r="J97" s="19" t="n"/>
      <c r="K97" s="19" t="n"/>
      <c r="M97" s="19" t="n"/>
      <c r="O97" s="19" t="n"/>
      <c r="Q97" s="19" t="n"/>
      <c r="R97" s="19" t="n"/>
      <c r="S97" s="19" t="n"/>
      <c r="T97" s="19" t="n"/>
    </row>
    <row r="98" ht="15.75" customHeight="1" s="545">
      <c r="A98" s="19" t="n"/>
      <c r="B98" s="19" t="n"/>
      <c r="C98" s="19" t="n"/>
      <c r="D98" s="19" t="n"/>
      <c r="E98" s="19" t="n"/>
      <c r="F98" s="19" t="n"/>
      <c r="H98" s="19" t="n"/>
      <c r="I98" s="19" t="n"/>
      <c r="J98" s="19" t="n"/>
      <c r="K98" s="19" t="n"/>
      <c r="M98" s="19" t="n"/>
      <c r="O98" s="19" t="n"/>
      <c r="Q98" s="19" t="n"/>
      <c r="R98" s="19" t="n"/>
      <c r="S98" s="19" t="n"/>
      <c r="T98" s="19" t="n"/>
    </row>
    <row r="99" ht="15.75" customHeight="1" s="545">
      <c r="A99" s="19" t="n"/>
      <c r="B99" s="19" t="n"/>
      <c r="C99" s="19" t="n"/>
      <c r="D99" s="19" t="n"/>
      <c r="E99" s="19" t="n"/>
      <c r="F99" s="19" t="n"/>
      <c r="H99" s="19" t="n"/>
      <c r="I99" s="19" t="n"/>
      <c r="J99" s="19" t="n"/>
      <c r="K99" s="19" t="n"/>
      <c r="M99" s="19" t="n"/>
      <c r="O99" s="19" t="n"/>
      <c r="Q99" s="19" t="n"/>
      <c r="R99" s="19" t="n"/>
      <c r="S99" s="19" t="n"/>
      <c r="T99" s="19" t="n"/>
    </row>
    <row r="100" ht="15.75" customHeight="1" s="545">
      <c r="A100" s="19" t="n"/>
      <c r="B100" s="19" t="n"/>
      <c r="C100" s="19" t="n"/>
      <c r="D100" s="19" t="n"/>
      <c r="E100" s="19" t="n"/>
      <c r="F100" s="19" t="n"/>
      <c r="H100" s="19" t="n"/>
      <c r="I100" s="19" t="n"/>
      <c r="J100" s="19" t="n"/>
      <c r="K100" s="19" t="n"/>
      <c r="M100" s="19" t="n"/>
      <c r="O100" s="19" t="n"/>
      <c r="Q100" s="19" t="n"/>
      <c r="R100" s="19" t="n"/>
      <c r="S100" s="19" t="n"/>
      <c r="T100" s="19" t="n"/>
    </row>
    <row r="101" ht="15.75" customHeight="1" s="545">
      <c r="A101" s="19" t="n"/>
      <c r="B101" s="19" t="n"/>
      <c r="C101" s="19" t="n"/>
      <c r="D101" s="19" t="n"/>
      <c r="E101" s="19" t="n"/>
      <c r="F101" s="19" t="n"/>
      <c r="H101" s="19" t="n"/>
      <c r="I101" s="19" t="n"/>
      <c r="J101" s="19" t="n"/>
      <c r="K101" s="19" t="n"/>
      <c r="M101" s="19" t="n"/>
      <c r="O101" s="19" t="n"/>
      <c r="Q101" s="19" t="n"/>
      <c r="R101" s="19" t="n"/>
      <c r="S101" s="19" t="n"/>
      <c r="T101" s="19" t="n"/>
    </row>
    <row r="102" ht="15.75" customHeight="1" s="545">
      <c r="A102" s="19" t="n"/>
      <c r="B102" s="19" t="n"/>
      <c r="C102" s="19" t="n"/>
      <c r="D102" s="19" t="n"/>
      <c r="E102" s="19" t="n"/>
      <c r="F102" s="19" t="n"/>
      <c r="H102" s="19" t="n"/>
      <c r="I102" s="19" t="n"/>
      <c r="J102" s="19" t="n"/>
      <c r="K102" s="19" t="n"/>
      <c r="M102" s="19" t="n"/>
      <c r="O102" s="19" t="n"/>
      <c r="Q102" s="19" t="n"/>
      <c r="R102" s="19" t="n"/>
      <c r="S102" s="19" t="n"/>
      <c r="T102" s="19" t="n"/>
    </row>
    <row r="103" ht="15.75" customHeight="1" s="545">
      <c r="A103" s="19" t="n"/>
      <c r="B103" s="19" t="n"/>
      <c r="C103" s="19" t="n"/>
      <c r="D103" s="19" t="n"/>
      <c r="E103" s="19" t="n"/>
      <c r="F103" s="19" t="n"/>
      <c r="H103" s="19" t="n"/>
      <c r="I103" s="19" t="n"/>
      <c r="J103" s="19" t="n"/>
      <c r="K103" s="19" t="n"/>
      <c r="M103" s="19" t="n"/>
      <c r="O103" s="19" t="n"/>
      <c r="Q103" s="19" t="n"/>
      <c r="R103" s="19" t="n"/>
      <c r="S103" s="19" t="n"/>
      <c r="T103" s="19" t="n"/>
    </row>
    <row r="104" ht="15.75" customHeight="1" s="545">
      <c r="A104" s="19" t="n"/>
      <c r="B104" s="19" t="n"/>
      <c r="C104" s="19" t="n"/>
      <c r="D104" s="19" t="n"/>
      <c r="E104" s="19" t="n"/>
      <c r="F104" s="19" t="n"/>
      <c r="H104" s="19" t="n"/>
      <c r="I104" s="19" t="n"/>
      <c r="J104" s="19" t="n"/>
      <c r="K104" s="19" t="n"/>
      <c r="M104" s="19" t="n"/>
      <c r="O104" s="19" t="n"/>
      <c r="Q104" s="19" t="n"/>
      <c r="R104" s="19" t="n"/>
      <c r="S104" s="19" t="n"/>
      <c r="T104" s="19" t="n"/>
    </row>
    <row r="105" ht="15.75" customHeight="1" s="545">
      <c r="A105" s="19" t="n"/>
      <c r="B105" s="19" t="n"/>
      <c r="C105" s="19" t="n"/>
      <c r="D105" s="19" t="n"/>
      <c r="E105" s="19" t="n"/>
      <c r="F105" s="19" t="n"/>
      <c r="H105" s="19" t="n"/>
      <c r="I105" s="19" t="n"/>
      <c r="J105" s="19" t="n"/>
      <c r="K105" s="19" t="n"/>
      <c r="M105" s="19" t="n"/>
      <c r="O105" s="19" t="n"/>
      <c r="Q105" s="19" t="n"/>
      <c r="R105" s="19" t="n"/>
      <c r="S105" s="19" t="n"/>
      <c r="T105" s="19" t="n"/>
    </row>
    <row r="106" ht="15.75" customHeight="1" s="545">
      <c r="A106" s="19" t="n"/>
      <c r="B106" s="19" t="n"/>
      <c r="C106" s="19" t="n"/>
      <c r="D106" s="19" t="n"/>
      <c r="E106" s="19" t="n"/>
      <c r="F106" s="19" t="n"/>
      <c r="H106" s="19" t="n"/>
      <c r="I106" s="19" t="n"/>
      <c r="J106" s="19" t="n"/>
      <c r="K106" s="19" t="n"/>
      <c r="M106" s="19" t="n"/>
      <c r="O106" s="19" t="n"/>
      <c r="Q106" s="19" t="n"/>
      <c r="R106" s="19" t="n"/>
      <c r="S106" s="19" t="n"/>
      <c r="T106" s="19" t="n"/>
    </row>
    <row r="107" ht="15.75" customHeight="1" s="545">
      <c r="A107" s="19" t="n"/>
      <c r="B107" s="19" t="n"/>
      <c r="C107" s="19" t="n"/>
      <c r="D107" s="19" t="n"/>
      <c r="E107" s="19" t="n"/>
      <c r="F107" s="19" t="n"/>
      <c r="H107" s="19" t="n"/>
      <c r="I107" s="19" t="n"/>
      <c r="J107" s="19" t="n"/>
      <c r="K107" s="19" t="n"/>
      <c r="M107" s="19" t="n"/>
      <c r="O107" s="19" t="n"/>
      <c r="Q107" s="19" t="n"/>
      <c r="R107" s="19" t="n"/>
      <c r="S107" s="19" t="n"/>
      <c r="T107" s="19" t="n"/>
    </row>
    <row r="108" ht="15.75" customHeight="1" s="545">
      <c r="A108" s="19" t="n"/>
      <c r="B108" s="19" t="n"/>
      <c r="C108" s="19" t="n"/>
      <c r="D108" s="19" t="n"/>
      <c r="E108" s="19" t="n"/>
      <c r="F108" s="19" t="n"/>
      <c r="H108" s="19" t="n"/>
      <c r="I108" s="19" t="n"/>
      <c r="J108" s="19" t="n"/>
      <c r="K108" s="19" t="n"/>
      <c r="M108" s="19" t="n"/>
      <c r="O108" s="19" t="n"/>
      <c r="Q108" s="19" t="n"/>
      <c r="R108" s="19" t="n"/>
      <c r="S108" s="19" t="n"/>
      <c r="T108" s="19" t="n"/>
    </row>
    <row r="109" ht="15.75" customHeight="1" s="545">
      <c r="A109" s="19" t="n"/>
      <c r="B109" s="19" t="n"/>
      <c r="C109" s="19" t="n"/>
      <c r="D109" s="19" t="n"/>
      <c r="E109" s="19" t="n"/>
      <c r="F109" s="19" t="n"/>
      <c r="H109" s="19" t="n"/>
      <c r="I109" s="19" t="n"/>
      <c r="J109" s="19" t="n"/>
      <c r="K109" s="19" t="n"/>
      <c r="M109" s="19" t="n"/>
      <c r="O109" s="19" t="n"/>
      <c r="Q109" s="19" t="n"/>
      <c r="R109" s="19" t="n"/>
      <c r="S109" s="19" t="n"/>
      <c r="T109" s="19" t="n"/>
    </row>
    <row r="110" ht="15.75" customHeight="1" s="545">
      <c r="A110" s="19" t="n"/>
      <c r="B110" s="19" t="n"/>
      <c r="C110" s="19" t="n"/>
      <c r="D110" s="19" t="n"/>
      <c r="E110" s="19" t="n"/>
      <c r="F110" s="19" t="n"/>
      <c r="H110" s="19" t="n"/>
      <c r="I110" s="19" t="n"/>
      <c r="J110" s="19" t="n"/>
      <c r="K110" s="19" t="n"/>
      <c r="M110" s="19" t="n"/>
      <c r="O110" s="19" t="n"/>
      <c r="Q110" s="19" t="n"/>
      <c r="R110" s="19" t="n"/>
      <c r="S110" s="19" t="n"/>
      <c r="T110" s="19" t="n"/>
    </row>
    <row r="111" ht="15.75" customHeight="1" s="545">
      <c r="A111" s="19" t="n"/>
      <c r="B111" s="19" t="n"/>
      <c r="C111" s="19" t="n"/>
      <c r="D111" s="19" t="n"/>
      <c r="E111" s="19" t="n"/>
      <c r="F111" s="19" t="n"/>
      <c r="H111" s="19" t="n"/>
      <c r="I111" s="19" t="n"/>
      <c r="J111" s="19" t="n"/>
      <c r="K111" s="19" t="n"/>
      <c r="M111" s="19" t="n"/>
      <c r="O111" s="19" t="n"/>
      <c r="Q111" s="19" t="n"/>
      <c r="R111" s="19" t="n"/>
      <c r="S111" s="19" t="n"/>
      <c r="T111" s="19" t="n"/>
    </row>
    <row r="112" ht="15.75" customHeight="1" s="545">
      <c r="A112" s="19" t="n"/>
      <c r="B112" s="19" t="n"/>
      <c r="C112" s="19" t="n"/>
      <c r="D112" s="19" t="n"/>
      <c r="E112" s="19" t="n"/>
      <c r="F112" s="19" t="n"/>
      <c r="H112" s="19" t="n"/>
      <c r="I112" s="19" t="n"/>
      <c r="J112" s="19" t="n"/>
      <c r="K112" s="19" t="n"/>
      <c r="M112" s="19" t="n"/>
      <c r="O112" s="19" t="n"/>
      <c r="Q112" s="19" t="n"/>
      <c r="R112" s="19" t="n"/>
      <c r="S112" s="19" t="n"/>
      <c r="T112" s="19" t="n"/>
    </row>
    <row r="113" ht="15.75" customHeight="1" s="545">
      <c r="A113" s="19" t="n"/>
      <c r="B113" s="19" t="n"/>
      <c r="C113" s="19" t="n"/>
      <c r="D113" s="19" t="n"/>
      <c r="E113" s="19" t="n"/>
      <c r="F113" s="19" t="n"/>
      <c r="H113" s="19" t="n"/>
      <c r="I113" s="19" t="n"/>
      <c r="J113" s="19" t="n"/>
      <c r="K113" s="19" t="n"/>
      <c r="M113" s="19" t="n"/>
      <c r="O113" s="19" t="n"/>
      <c r="Q113" s="19" t="n"/>
      <c r="R113" s="19" t="n"/>
      <c r="S113" s="19" t="n"/>
      <c r="T113" s="19" t="n"/>
    </row>
    <row r="114" ht="15.75" customHeight="1" s="545">
      <c r="A114" s="19" t="n"/>
      <c r="B114" s="19" t="n"/>
      <c r="C114" s="19" t="n"/>
      <c r="D114" s="19" t="n"/>
      <c r="E114" s="19" t="n"/>
      <c r="F114" s="19" t="n"/>
      <c r="H114" s="19" t="n"/>
      <c r="I114" s="19" t="n"/>
      <c r="J114" s="19" t="n"/>
      <c r="K114" s="19" t="n"/>
      <c r="M114" s="19" t="n"/>
      <c r="O114" s="19" t="n"/>
      <c r="Q114" s="19" t="n"/>
      <c r="R114" s="19" t="n"/>
      <c r="S114" s="19" t="n"/>
      <c r="T114" s="19" t="n"/>
    </row>
    <row r="115" ht="15.75" customHeight="1" s="545">
      <c r="A115" s="19" t="n"/>
      <c r="B115" s="19" t="n"/>
      <c r="C115" s="19" t="n"/>
      <c r="D115" s="19" t="n"/>
      <c r="E115" s="19" t="n"/>
      <c r="F115" s="19" t="n"/>
      <c r="H115" s="19" t="n"/>
      <c r="I115" s="19" t="n"/>
      <c r="J115" s="19" t="n"/>
      <c r="K115" s="19" t="n"/>
      <c r="M115" s="19" t="n"/>
      <c r="O115" s="19" t="n"/>
      <c r="Q115" s="19" t="n"/>
      <c r="R115" s="19" t="n"/>
      <c r="S115" s="19" t="n"/>
      <c r="T115" s="19" t="n"/>
    </row>
    <row r="116" ht="15.75" customHeight="1" s="545">
      <c r="A116" s="19" t="n"/>
      <c r="B116" s="19" t="n"/>
      <c r="C116" s="19" t="n"/>
      <c r="D116" s="19" t="n"/>
      <c r="E116" s="19" t="n"/>
      <c r="F116" s="19" t="n"/>
      <c r="H116" s="19" t="n"/>
      <c r="I116" s="19" t="n"/>
      <c r="J116" s="19" t="n"/>
      <c r="K116" s="19" t="n"/>
      <c r="M116" s="19" t="n"/>
      <c r="O116" s="19" t="n"/>
      <c r="Q116" s="19" t="n"/>
      <c r="R116" s="19" t="n"/>
      <c r="S116" s="19" t="n"/>
      <c r="T116" s="19" t="n"/>
    </row>
    <row r="117" ht="15.75" customHeight="1" s="545">
      <c r="A117" s="19" t="n"/>
      <c r="B117" s="19" t="n"/>
      <c r="C117" s="19" t="n"/>
      <c r="D117" s="19" t="n"/>
      <c r="E117" s="19" t="n"/>
      <c r="F117" s="19" t="n"/>
      <c r="H117" s="19" t="n"/>
      <c r="I117" s="19" t="n"/>
      <c r="J117" s="19" t="n"/>
      <c r="K117" s="19" t="n"/>
      <c r="M117" s="19" t="n"/>
      <c r="O117" s="19" t="n"/>
      <c r="Q117" s="19" t="n"/>
      <c r="R117" s="19" t="n"/>
      <c r="S117" s="19" t="n"/>
      <c r="T117" s="19" t="n"/>
    </row>
    <row r="118" ht="15.75" customHeight="1" s="545">
      <c r="A118" s="19" t="n"/>
      <c r="B118" s="19" t="n"/>
      <c r="C118" s="19" t="n"/>
      <c r="D118" s="19" t="n"/>
      <c r="E118" s="19" t="n"/>
      <c r="F118" s="19" t="n"/>
      <c r="H118" s="19" t="n"/>
      <c r="I118" s="19" t="n"/>
      <c r="J118" s="19" t="n"/>
      <c r="K118" s="19" t="n"/>
      <c r="M118" s="19" t="n"/>
      <c r="O118" s="19" t="n"/>
      <c r="Q118" s="19" t="n"/>
      <c r="R118" s="19" t="n"/>
      <c r="S118" s="19" t="n"/>
      <c r="T118" s="19" t="n"/>
    </row>
    <row r="119" ht="15.75" customHeight="1" s="545">
      <c r="A119" s="19" t="n"/>
      <c r="B119" s="19" t="n"/>
      <c r="C119" s="19" t="n"/>
      <c r="D119" s="19" t="n"/>
      <c r="E119" s="19" t="n"/>
      <c r="F119" s="19" t="n"/>
      <c r="H119" s="19" t="n"/>
      <c r="I119" s="19" t="n"/>
      <c r="J119" s="19" t="n"/>
      <c r="K119" s="19" t="n"/>
      <c r="M119" s="19" t="n"/>
      <c r="O119" s="19" t="n"/>
      <c r="Q119" s="19" t="n"/>
      <c r="R119" s="19" t="n"/>
      <c r="S119" s="19" t="n"/>
      <c r="T119" s="19" t="n"/>
    </row>
    <row r="120" ht="15.75" customHeight="1" s="545">
      <c r="A120" s="19" t="n"/>
      <c r="B120" s="19" t="n"/>
      <c r="C120" s="19" t="n"/>
      <c r="D120" s="19" t="n"/>
      <c r="E120" s="19" t="n"/>
      <c r="F120" s="19" t="n"/>
      <c r="H120" s="19" t="n"/>
      <c r="I120" s="19" t="n"/>
      <c r="J120" s="19" t="n"/>
      <c r="K120" s="19" t="n"/>
      <c r="M120" s="19" t="n"/>
      <c r="O120" s="19" t="n"/>
      <c r="Q120" s="19" t="n"/>
      <c r="R120" s="19" t="n"/>
      <c r="S120" s="19" t="n"/>
      <c r="T120" s="19" t="n"/>
    </row>
    <row r="121" ht="15.75" customHeight="1" s="545">
      <c r="A121" s="19" t="n"/>
      <c r="B121" s="19" t="n"/>
      <c r="C121" s="19" t="n"/>
      <c r="D121" s="19" t="n"/>
      <c r="E121" s="19" t="n"/>
      <c r="F121" s="19" t="n"/>
      <c r="H121" s="19" t="n"/>
      <c r="I121" s="19" t="n"/>
      <c r="J121" s="19" t="n"/>
      <c r="K121" s="19" t="n"/>
      <c r="M121" s="19" t="n"/>
      <c r="O121" s="19" t="n"/>
      <c r="Q121" s="19" t="n"/>
      <c r="R121" s="19" t="n"/>
      <c r="S121" s="19" t="n"/>
      <c r="T121" s="19" t="n"/>
    </row>
    <row r="122" ht="15.75" customHeight="1" s="545">
      <c r="A122" s="19" t="n"/>
      <c r="B122" s="19" t="n"/>
      <c r="C122" s="19" t="n"/>
      <c r="D122" s="19" t="n"/>
      <c r="E122" s="19" t="n"/>
      <c r="F122" s="19" t="n"/>
      <c r="H122" s="19" t="n"/>
      <c r="I122" s="19" t="n"/>
      <c r="J122" s="19" t="n"/>
      <c r="K122" s="19" t="n"/>
      <c r="M122" s="19" t="n"/>
      <c r="O122" s="19" t="n"/>
      <c r="Q122" s="19" t="n"/>
      <c r="R122" s="19" t="n"/>
      <c r="S122" s="19" t="n"/>
      <c r="T122" s="19" t="n"/>
    </row>
    <row r="123" ht="15.75" customHeight="1" s="545">
      <c r="A123" s="19" t="n"/>
      <c r="B123" s="19" t="n"/>
      <c r="C123" s="19" t="n"/>
      <c r="D123" s="19" t="n"/>
      <c r="E123" s="19" t="n"/>
      <c r="F123" s="19" t="n"/>
      <c r="H123" s="19" t="n"/>
      <c r="I123" s="19" t="n"/>
      <c r="J123" s="19" t="n"/>
      <c r="K123" s="19" t="n"/>
      <c r="M123" s="19" t="n"/>
      <c r="O123" s="19" t="n"/>
      <c r="Q123" s="19" t="n"/>
      <c r="R123" s="19" t="n"/>
      <c r="S123" s="19" t="n"/>
      <c r="T123" s="19" t="n"/>
    </row>
    <row r="124" ht="15.75" customHeight="1" s="545">
      <c r="A124" s="19" t="n"/>
      <c r="B124" s="19" t="n"/>
      <c r="C124" s="19" t="n"/>
      <c r="D124" s="19" t="n"/>
      <c r="E124" s="19" t="n"/>
      <c r="F124" s="19" t="n"/>
      <c r="H124" s="19" t="n"/>
      <c r="I124" s="19" t="n"/>
      <c r="J124" s="19" t="n"/>
      <c r="K124" s="19" t="n"/>
      <c r="M124" s="19" t="n"/>
      <c r="O124" s="19" t="n"/>
      <c r="Q124" s="19" t="n"/>
      <c r="R124" s="19" t="n"/>
      <c r="S124" s="19" t="n"/>
      <c r="T124" s="19" t="n"/>
    </row>
    <row r="125" ht="15.75" customHeight="1" s="545">
      <c r="A125" s="19" t="n"/>
      <c r="B125" s="19" t="n"/>
      <c r="C125" s="19" t="n"/>
      <c r="D125" s="19" t="n"/>
      <c r="E125" s="19" t="n"/>
      <c r="F125" s="19" t="n"/>
      <c r="H125" s="19" t="n"/>
      <c r="I125" s="19" t="n"/>
      <c r="J125" s="19" t="n"/>
      <c r="K125" s="19" t="n"/>
      <c r="M125" s="19" t="n"/>
      <c r="O125" s="19" t="n"/>
      <c r="Q125" s="19" t="n"/>
      <c r="R125" s="19" t="n"/>
      <c r="S125" s="19" t="n"/>
      <c r="T125" s="19" t="n"/>
    </row>
    <row r="126" ht="15.75" customHeight="1" s="545">
      <c r="A126" s="19" t="n"/>
      <c r="B126" s="19" t="n"/>
      <c r="C126" s="19" t="n"/>
      <c r="D126" s="19" t="n"/>
      <c r="E126" s="19" t="n"/>
      <c r="F126" s="19" t="n"/>
      <c r="H126" s="19" t="n"/>
      <c r="I126" s="19" t="n"/>
      <c r="J126" s="19" t="n"/>
      <c r="K126" s="19" t="n"/>
      <c r="M126" s="19" t="n"/>
      <c r="O126" s="19" t="n"/>
      <c r="Q126" s="19" t="n"/>
      <c r="R126" s="19" t="n"/>
      <c r="S126" s="19" t="n"/>
      <c r="T126" s="19" t="n"/>
    </row>
    <row r="127" ht="15.75" customHeight="1" s="545">
      <c r="A127" s="19" t="n"/>
      <c r="B127" s="19" t="n"/>
      <c r="C127" s="19" t="n"/>
      <c r="D127" s="19" t="n"/>
      <c r="E127" s="19" t="n"/>
      <c r="F127" s="19" t="n"/>
      <c r="H127" s="19" t="n"/>
      <c r="I127" s="19" t="n"/>
      <c r="J127" s="19" t="n"/>
      <c r="K127" s="19" t="n"/>
      <c r="M127" s="19" t="n"/>
      <c r="O127" s="19" t="n"/>
      <c r="Q127" s="19" t="n"/>
      <c r="R127" s="19" t="n"/>
      <c r="S127" s="19" t="n"/>
      <c r="T127" s="19" t="n"/>
    </row>
    <row r="128" ht="15.75" customHeight="1" s="545">
      <c r="A128" s="19" t="n"/>
      <c r="B128" s="19" t="n"/>
      <c r="C128" s="19" t="n"/>
      <c r="D128" s="19" t="n"/>
      <c r="E128" s="19" t="n"/>
      <c r="F128" s="19" t="n"/>
      <c r="H128" s="19" t="n"/>
      <c r="I128" s="19" t="n"/>
      <c r="J128" s="19" t="n"/>
      <c r="K128" s="19" t="n"/>
      <c r="M128" s="19" t="n"/>
      <c r="O128" s="19" t="n"/>
      <c r="Q128" s="19" t="n"/>
      <c r="R128" s="19" t="n"/>
      <c r="S128" s="19" t="n"/>
      <c r="T128" s="19" t="n"/>
    </row>
    <row r="129" ht="15.75" customHeight="1" s="545">
      <c r="A129" s="19" t="n"/>
      <c r="B129" s="19" t="n"/>
      <c r="C129" s="19" t="n"/>
      <c r="D129" s="19" t="n"/>
      <c r="E129" s="19" t="n"/>
      <c r="F129" s="19" t="n"/>
      <c r="H129" s="19" t="n"/>
      <c r="I129" s="19" t="n"/>
      <c r="J129" s="19" t="n"/>
      <c r="K129" s="19" t="n"/>
      <c r="M129" s="19" t="n"/>
      <c r="O129" s="19" t="n"/>
      <c r="Q129" s="19" t="n"/>
      <c r="R129" s="19" t="n"/>
      <c r="S129" s="19" t="n"/>
      <c r="T129" s="19" t="n"/>
    </row>
    <row r="130" ht="15.75" customHeight="1" s="545">
      <c r="A130" s="19" t="n"/>
      <c r="B130" s="19" t="n"/>
      <c r="C130" s="19" t="n"/>
      <c r="D130" s="19" t="n"/>
      <c r="E130" s="19" t="n"/>
      <c r="F130" s="19" t="n"/>
      <c r="H130" s="19" t="n"/>
      <c r="I130" s="19" t="n"/>
      <c r="J130" s="19" t="n"/>
      <c r="K130" s="19" t="n"/>
      <c r="M130" s="19" t="n"/>
      <c r="O130" s="19" t="n"/>
      <c r="Q130" s="19" t="n"/>
      <c r="R130" s="19" t="n"/>
      <c r="S130" s="19" t="n"/>
      <c r="T130" s="19" t="n"/>
    </row>
    <row r="131" ht="15.75" customHeight="1" s="545">
      <c r="A131" s="19" t="n"/>
      <c r="B131" s="19" t="n"/>
      <c r="C131" s="19" t="n"/>
      <c r="D131" s="19" t="n"/>
      <c r="E131" s="19" t="n"/>
      <c r="F131" s="19" t="n"/>
      <c r="H131" s="19" t="n"/>
      <c r="I131" s="19" t="n"/>
      <c r="J131" s="19" t="n"/>
      <c r="K131" s="19" t="n"/>
      <c r="M131" s="19" t="n"/>
      <c r="O131" s="19" t="n"/>
      <c r="Q131" s="19" t="n"/>
      <c r="R131" s="19" t="n"/>
      <c r="S131" s="19" t="n"/>
      <c r="T131" s="19" t="n"/>
    </row>
    <row r="132" ht="15.75" customHeight="1" s="545">
      <c r="A132" s="19" t="n"/>
      <c r="B132" s="19" t="n"/>
      <c r="C132" s="19" t="n"/>
      <c r="D132" s="19" t="n"/>
      <c r="E132" s="19" t="n"/>
      <c r="F132" s="19" t="n"/>
      <c r="H132" s="19" t="n"/>
      <c r="I132" s="19" t="n"/>
      <c r="J132" s="19" t="n"/>
      <c r="K132" s="19" t="n"/>
      <c r="M132" s="19" t="n"/>
      <c r="O132" s="19" t="n"/>
      <c r="Q132" s="19" t="n"/>
      <c r="R132" s="19" t="n"/>
      <c r="S132" s="19" t="n"/>
      <c r="T132" s="19" t="n"/>
    </row>
    <row r="133" ht="15.75" customHeight="1" s="545">
      <c r="A133" s="19" t="n"/>
      <c r="B133" s="19" t="n"/>
      <c r="C133" s="19" t="n"/>
      <c r="D133" s="19" t="n"/>
      <c r="E133" s="19" t="n"/>
      <c r="F133" s="19" t="n"/>
      <c r="H133" s="19" t="n"/>
      <c r="I133" s="19" t="n"/>
      <c r="J133" s="19" t="n"/>
      <c r="K133" s="19" t="n"/>
      <c r="M133" s="19" t="n"/>
      <c r="O133" s="19" t="n"/>
      <c r="Q133" s="19" t="n"/>
      <c r="R133" s="19" t="n"/>
      <c r="S133" s="19" t="n"/>
      <c r="T133" s="19" t="n"/>
    </row>
    <row r="134" ht="15.75" customHeight="1" s="545">
      <c r="A134" s="19" t="n"/>
      <c r="B134" s="19" t="n"/>
      <c r="C134" s="19" t="n"/>
      <c r="D134" s="19" t="n"/>
      <c r="E134" s="19" t="n"/>
      <c r="F134" s="19" t="n"/>
      <c r="H134" s="19" t="n"/>
      <c r="I134" s="19" t="n"/>
      <c r="J134" s="19" t="n"/>
      <c r="K134" s="19" t="n"/>
      <c r="M134" s="19" t="n"/>
      <c r="O134" s="19" t="n"/>
      <c r="Q134" s="19" t="n"/>
      <c r="R134" s="19" t="n"/>
      <c r="S134" s="19" t="n"/>
      <c r="T134" s="19" t="n"/>
    </row>
    <row r="135" ht="15.75" customHeight="1" s="545">
      <c r="A135" s="19" t="n"/>
      <c r="B135" s="19" t="n"/>
      <c r="C135" s="19" t="n"/>
      <c r="D135" s="19" t="n"/>
      <c r="E135" s="19" t="n"/>
      <c r="F135" s="19" t="n"/>
      <c r="H135" s="19" t="n"/>
      <c r="I135" s="19" t="n"/>
      <c r="J135" s="19" t="n"/>
      <c r="K135" s="19" t="n"/>
      <c r="M135" s="19" t="n"/>
      <c r="O135" s="19" t="n"/>
      <c r="Q135" s="19" t="n"/>
      <c r="R135" s="19" t="n"/>
      <c r="S135" s="19" t="n"/>
      <c r="T135" s="19" t="n"/>
    </row>
    <row r="136" ht="15.75" customHeight="1" s="545">
      <c r="A136" s="19" t="n"/>
      <c r="B136" s="19" t="n"/>
      <c r="C136" s="19" t="n"/>
      <c r="D136" s="19" t="n"/>
      <c r="E136" s="19" t="n"/>
      <c r="F136" s="19" t="n"/>
      <c r="H136" s="19" t="n"/>
      <c r="I136" s="19" t="n"/>
      <c r="J136" s="19" t="n"/>
      <c r="K136" s="19" t="n"/>
      <c r="M136" s="19" t="n"/>
      <c r="O136" s="19" t="n"/>
      <c r="Q136" s="19" t="n"/>
      <c r="R136" s="19" t="n"/>
      <c r="S136" s="19" t="n"/>
      <c r="T136" s="19" t="n"/>
    </row>
    <row r="137" ht="15.75" customHeight="1" s="545">
      <c r="A137" s="19" t="n"/>
      <c r="B137" s="19" t="n"/>
      <c r="C137" s="19" t="n"/>
      <c r="D137" s="19" t="n"/>
      <c r="E137" s="19" t="n"/>
      <c r="F137" s="19" t="n"/>
      <c r="H137" s="19" t="n"/>
      <c r="I137" s="19" t="n"/>
      <c r="J137" s="19" t="n"/>
      <c r="K137" s="19" t="n"/>
      <c r="M137" s="19" t="n"/>
      <c r="O137" s="19" t="n"/>
      <c r="Q137" s="19" t="n"/>
      <c r="R137" s="19" t="n"/>
      <c r="S137" s="19" t="n"/>
      <c r="T137" s="19" t="n"/>
    </row>
    <row r="138" ht="15.75" customHeight="1" s="545">
      <c r="A138" s="19" t="n"/>
      <c r="B138" s="19" t="n"/>
      <c r="C138" s="19" t="n"/>
      <c r="D138" s="19" t="n"/>
      <c r="E138" s="19" t="n"/>
      <c r="F138" s="19" t="n"/>
      <c r="H138" s="19" t="n"/>
      <c r="I138" s="19" t="n"/>
      <c r="J138" s="19" t="n"/>
      <c r="K138" s="19" t="n"/>
      <c r="M138" s="19" t="n"/>
      <c r="O138" s="19" t="n"/>
      <c r="Q138" s="19" t="n"/>
      <c r="R138" s="19" t="n"/>
      <c r="S138" s="19" t="n"/>
      <c r="T138" s="19" t="n"/>
    </row>
    <row r="139" ht="15.75" customHeight="1" s="545">
      <c r="A139" s="19" t="n"/>
      <c r="B139" s="19" t="n"/>
      <c r="C139" s="19" t="n"/>
      <c r="D139" s="19" t="n"/>
      <c r="E139" s="19" t="n"/>
      <c r="F139" s="19" t="n"/>
      <c r="H139" s="19" t="n"/>
      <c r="I139" s="19" t="n"/>
      <c r="J139" s="19" t="n"/>
      <c r="K139" s="19" t="n"/>
      <c r="M139" s="19" t="n"/>
      <c r="O139" s="19" t="n"/>
      <c r="Q139" s="19" t="n"/>
      <c r="R139" s="19" t="n"/>
      <c r="S139" s="19" t="n"/>
      <c r="T139" s="19" t="n"/>
    </row>
    <row r="140" ht="15.75" customHeight="1" s="545">
      <c r="A140" s="19" t="n"/>
      <c r="B140" s="19" t="n"/>
      <c r="C140" s="19" t="n"/>
      <c r="D140" s="19" t="n"/>
      <c r="E140" s="19" t="n"/>
      <c r="F140" s="19" t="n"/>
      <c r="H140" s="19" t="n"/>
      <c r="I140" s="19" t="n"/>
      <c r="J140" s="19" t="n"/>
      <c r="K140" s="19" t="n"/>
      <c r="M140" s="19" t="n"/>
      <c r="O140" s="19" t="n"/>
      <c r="Q140" s="19" t="n"/>
      <c r="R140" s="19" t="n"/>
      <c r="S140" s="19" t="n"/>
      <c r="T140" s="19" t="n"/>
    </row>
    <row r="141" ht="15.75" customHeight="1" s="545">
      <c r="A141" s="19" t="n"/>
      <c r="B141" s="19" t="n"/>
      <c r="C141" s="19" t="n"/>
      <c r="D141" s="19" t="n"/>
      <c r="E141" s="19" t="n"/>
      <c r="F141" s="19" t="n"/>
      <c r="H141" s="19" t="n"/>
      <c r="I141" s="19" t="n"/>
      <c r="J141" s="19" t="n"/>
      <c r="K141" s="19" t="n"/>
      <c r="M141" s="19" t="n"/>
      <c r="O141" s="19" t="n"/>
      <c r="Q141" s="19" t="n"/>
      <c r="R141" s="19" t="n"/>
      <c r="S141" s="19" t="n"/>
      <c r="T141" s="19" t="n"/>
    </row>
    <row r="142" ht="15.75" customHeight="1" s="545">
      <c r="A142" s="19" t="n"/>
      <c r="B142" s="19" t="n"/>
      <c r="C142" s="19" t="n"/>
      <c r="D142" s="19" t="n"/>
      <c r="E142" s="19" t="n"/>
      <c r="F142" s="19" t="n"/>
      <c r="H142" s="19" t="n"/>
      <c r="I142" s="19" t="n"/>
      <c r="J142" s="19" t="n"/>
      <c r="K142" s="19" t="n"/>
      <c r="M142" s="19" t="n"/>
      <c r="O142" s="19" t="n"/>
      <c r="Q142" s="19" t="n"/>
      <c r="R142" s="19" t="n"/>
      <c r="S142" s="19" t="n"/>
      <c r="T142" s="19" t="n"/>
    </row>
    <row r="143" ht="15.75" customHeight="1" s="545">
      <c r="A143" s="19" t="n"/>
      <c r="B143" s="19" t="n"/>
      <c r="C143" s="19" t="n"/>
      <c r="D143" s="19" t="n"/>
      <c r="E143" s="19" t="n"/>
      <c r="F143" s="19" t="n"/>
      <c r="H143" s="19" t="n"/>
      <c r="I143" s="19" t="n"/>
      <c r="J143" s="19" t="n"/>
      <c r="K143" s="19" t="n"/>
      <c r="M143" s="19" t="n"/>
      <c r="O143" s="19" t="n"/>
      <c r="Q143" s="19" t="n"/>
      <c r="R143" s="19" t="n"/>
      <c r="S143" s="19" t="n"/>
      <c r="T143" s="19" t="n"/>
    </row>
    <row r="144" ht="15.75" customHeight="1" s="545">
      <c r="A144" s="19" t="n"/>
      <c r="B144" s="19" t="n"/>
      <c r="C144" s="19" t="n"/>
      <c r="D144" s="19" t="n"/>
      <c r="E144" s="19" t="n"/>
      <c r="F144" s="19" t="n"/>
      <c r="H144" s="19" t="n"/>
      <c r="I144" s="19" t="n"/>
      <c r="J144" s="19" t="n"/>
      <c r="K144" s="19" t="n"/>
      <c r="M144" s="19" t="n"/>
      <c r="O144" s="19" t="n"/>
      <c r="Q144" s="19" t="n"/>
      <c r="R144" s="19" t="n"/>
      <c r="S144" s="19" t="n"/>
      <c r="T144" s="19" t="n"/>
    </row>
    <row r="145" ht="15.75" customHeight="1" s="545">
      <c r="A145" s="19" t="n"/>
      <c r="B145" s="19" t="n"/>
      <c r="C145" s="19" t="n"/>
      <c r="D145" s="19" t="n"/>
      <c r="E145" s="19" t="n"/>
      <c r="F145" s="19" t="n"/>
      <c r="H145" s="19" t="n"/>
      <c r="I145" s="19" t="n"/>
      <c r="J145" s="19" t="n"/>
      <c r="K145" s="19" t="n"/>
      <c r="M145" s="19" t="n"/>
      <c r="O145" s="19" t="n"/>
      <c r="Q145" s="19" t="n"/>
      <c r="R145" s="19" t="n"/>
      <c r="S145" s="19" t="n"/>
      <c r="T145" s="19" t="n"/>
    </row>
    <row r="146" ht="15.75" customHeight="1" s="545">
      <c r="A146" s="19" t="n"/>
      <c r="B146" s="19" t="n"/>
      <c r="C146" s="19" t="n"/>
      <c r="D146" s="19" t="n"/>
      <c r="E146" s="19" t="n"/>
      <c r="F146" s="19" t="n"/>
      <c r="H146" s="19" t="n"/>
      <c r="I146" s="19" t="n"/>
      <c r="J146" s="19" t="n"/>
      <c r="K146" s="19" t="n"/>
      <c r="M146" s="19" t="n"/>
      <c r="O146" s="19" t="n"/>
      <c r="Q146" s="19" t="n"/>
      <c r="R146" s="19" t="n"/>
      <c r="S146" s="19" t="n"/>
      <c r="T146" s="19" t="n"/>
    </row>
    <row r="147" ht="15.75" customHeight="1" s="545">
      <c r="A147" s="19" t="n"/>
      <c r="B147" s="19" t="n"/>
      <c r="C147" s="19" t="n"/>
      <c r="D147" s="19" t="n"/>
      <c r="E147" s="19" t="n"/>
      <c r="F147" s="19" t="n"/>
      <c r="H147" s="19" t="n"/>
      <c r="I147" s="19" t="n"/>
      <c r="J147" s="19" t="n"/>
      <c r="K147" s="19" t="n"/>
      <c r="M147" s="19" t="n"/>
      <c r="O147" s="19" t="n"/>
      <c r="Q147" s="19" t="n"/>
      <c r="R147" s="19" t="n"/>
      <c r="S147" s="19" t="n"/>
      <c r="T147" s="19" t="n"/>
    </row>
    <row r="148" ht="15.75" customHeight="1" s="545">
      <c r="A148" s="19" t="n"/>
      <c r="B148" s="19" t="n"/>
      <c r="C148" s="19" t="n"/>
      <c r="D148" s="19" t="n"/>
      <c r="E148" s="19" t="n"/>
      <c r="F148" s="19" t="n"/>
      <c r="H148" s="19" t="n"/>
      <c r="I148" s="19" t="n"/>
      <c r="J148" s="19" t="n"/>
      <c r="K148" s="19" t="n"/>
      <c r="M148" s="19" t="n"/>
      <c r="O148" s="19" t="n"/>
      <c r="Q148" s="19" t="n"/>
      <c r="R148" s="19" t="n"/>
      <c r="S148" s="19" t="n"/>
      <c r="T148" s="19" t="n"/>
    </row>
    <row r="149" ht="15.75" customHeight="1" s="545">
      <c r="A149" s="19" t="n"/>
      <c r="B149" s="19" t="n"/>
      <c r="C149" s="19" t="n"/>
      <c r="D149" s="19" t="n"/>
      <c r="E149" s="19" t="n"/>
      <c r="F149" s="19" t="n"/>
      <c r="H149" s="19" t="n"/>
      <c r="I149" s="19" t="n"/>
      <c r="J149" s="19" t="n"/>
      <c r="K149" s="19" t="n"/>
      <c r="M149" s="19" t="n"/>
      <c r="O149" s="19" t="n"/>
      <c r="Q149" s="19" t="n"/>
      <c r="R149" s="19" t="n"/>
      <c r="S149" s="19" t="n"/>
      <c r="T149" s="19" t="n"/>
    </row>
    <row r="150" ht="15.75" customHeight="1" s="545">
      <c r="A150" s="19" t="n"/>
      <c r="B150" s="19" t="n"/>
      <c r="C150" s="19" t="n"/>
      <c r="D150" s="19" t="n"/>
      <c r="E150" s="19" t="n"/>
      <c r="F150" s="19" t="n"/>
      <c r="H150" s="19" t="n"/>
      <c r="I150" s="19" t="n"/>
      <c r="J150" s="19" t="n"/>
      <c r="K150" s="19" t="n"/>
      <c r="M150" s="19" t="n"/>
      <c r="O150" s="19" t="n"/>
      <c r="Q150" s="19" t="n"/>
      <c r="R150" s="19" t="n"/>
      <c r="S150" s="19" t="n"/>
      <c r="T150" s="19" t="n"/>
    </row>
    <row r="151" ht="15.75" customHeight="1" s="545">
      <c r="A151" s="19" t="n"/>
      <c r="B151" s="19" t="n"/>
      <c r="C151" s="19" t="n"/>
      <c r="D151" s="19" t="n"/>
      <c r="E151" s="19" t="n"/>
      <c r="F151" s="19" t="n"/>
      <c r="H151" s="19" t="n"/>
      <c r="I151" s="19" t="n"/>
      <c r="J151" s="19" t="n"/>
      <c r="K151" s="19" t="n"/>
      <c r="M151" s="19" t="n"/>
      <c r="O151" s="19" t="n"/>
      <c r="Q151" s="19" t="n"/>
      <c r="R151" s="19" t="n"/>
      <c r="S151" s="19" t="n"/>
      <c r="T151" s="19" t="n"/>
    </row>
    <row r="152" ht="15.75" customHeight="1" s="545">
      <c r="A152" s="19" t="n"/>
      <c r="B152" s="19" t="n"/>
      <c r="C152" s="19" t="n"/>
      <c r="D152" s="19" t="n"/>
      <c r="E152" s="19" t="n"/>
      <c r="F152" s="19" t="n"/>
      <c r="H152" s="19" t="n"/>
      <c r="I152" s="19" t="n"/>
      <c r="J152" s="19" t="n"/>
      <c r="K152" s="19" t="n"/>
      <c r="M152" s="19" t="n"/>
      <c r="O152" s="19" t="n"/>
      <c r="Q152" s="19" t="n"/>
      <c r="R152" s="19" t="n"/>
      <c r="S152" s="19" t="n"/>
      <c r="T152" s="19" t="n"/>
    </row>
    <row r="153" ht="15.75" customHeight="1" s="545">
      <c r="A153" s="19" t="n"/>
      <c r="B153" s="19" t="n"/>
      <c r="C153" s="19" t="n"/>
      <c r="D153" s="19" t="n"/>
      <c r="E153" s="19" t="n"/>
      <c r="F153" s="19" t="n"/>
      <c r="H153" s="19" t="n"/>
      <c r="I153" s="19" t="n"/>
      <c r="J153" s="19" t="n"/>
      <c r="K153" s="19" t="n"/>
      <c r="M153" s="19" t="n"/>
      <c r="O153" s="19" t="n"/>
      <c r="Q153" s="19" t="n"/>
      <c r="R153" s="19" t="n"/>
      <c r="S153" s="19" t="n"/>
      <c r="T153" s="19" t="n"/>
    </row>
    <row r="154" ht="15.75" customHeight="1" s="545">
      <c r="A154" s="19" t="n"/>
      <c r="B154" s="19" t="n"/>
      <c r="C154" s="19" t="n"/>
      <c r="D154" s="19" t="n"/>
      <c r="E154" s="19" t="n"/>
      <c r="F154" s="19" t="n"/>
      <c r="H154" s="19" t="n"/>
      <c r="I154" s="19" t="n"/>
      <c r="J154" s="19" t="n"/>
      <c r="K154" s="19" t="n"/>
      <c r="M154" s="19" t="n"/>
      <c r="O154" s="19" t="n"/>
      <c r="Q154" s="19" t="n"/>
      <c r="R154" s="19" t="n"/>
      <c r="S154" s="19" t="n"/>
      <c r="T154" s="19" t="n"/>
    </row>
    <row r="155" ht="15.75" customHeight="1" s="545">
      <c r="A155" s="19" t="n"/>
      <c r="B155" s="19" t="n"/>
      <c r="C155" s="19" t="n"/>
      <c r="D155" s="19" t="n"/>
      <c r="E155" s="19" t="n"/>
      <c r="F155" s="19" t="n"/>
      <c r="H155" s="19" t="n"/>
      <c r="I155" s="19" t="n"/>
      <c r="J155" s="19" t="n"/>
      <c r="K155" s="19" t="n"/>
      <c r="M155" s="19" t="n"/>
      <c r="O155" s="19" t="n"/>
      <c r="Q155" s="19" t="n"/>
      <c r="R155" s="19" t="n"/>
      <c r="S155" s="19" t="n"/>
      <c r="T155" s="19" t="n"/>
    </row>
    <row r="156" ht="15.75" customHeight="1" s="545">
      <c r="A156" s="19" t="n"/>
      <c r="B156" s="19" t="n"/>
      <c r="C156" s="19" t="n"/>
      <c r="D156" s="19" t="n"/>
      <c r="E156" s="19" t="n"/>
      <c r="F156" s="19" t="n"/>
      <c r="H156" s="19" t="n"/>
      <c r="I156" s="19" t="n"/>
      <c r="J156" s="19" t="n"/>
      <c r="K156" s="19" t="n"/>
      <c r="M156" s="19" t="n"/>
      <c r="O156" s="19" t="n"/>
      <c r="Q156" s="19" t="n"/>
      <c r="R156" s="19" t="n"/>
      <c r="S156" s="19" t="n"/>
      <c r="T156" s="19" t="n"/>
    </row>
    <row r="157" ht="15.75" customHeight="1" s="545">
      <c r="A157" s="19" t="n"/>
      <c r="B157" s="19" t="n"/>
      <c r="C157" s="19" t="n"/>
      <c r="D157" s="19" t="n"/>
      <c r="E157" s="19" t="n"/>
      <c r="F157" s="19" t="n"/>
      <c r="H157" s="19" t="n"/>
      <c r="I157" s="19" t="n"/>
      <c r="J157" s="19" t="n"/>
      <c r="K157" s="19" t="n"/>
      <c r="M157" s="19" t="n"/>
      <c r="O157" s="19" t="n"/>
      <c r="Q157" s="19" t="n"/>
      <c r="R157" s="19" t="n"/>
      <c r="S157" s="19" t="n"/>
      <c r="T157" s="19" t="n"/>
    </row>
    <row r="158" ht="15.75" customHeight="1" s="545">
      <c r="A158" s="19" t="n"/>
      <c r="B158" s="19" t="n"/>
      <c r="C158" s="19" t="n"/>
      <c r="D158" s="19" t="n"/>
      <c r="E158" s="19" t="n"/>
      <c r="F158" s="19" t="n"/>
      <c r="H158" s="19" t="n"/>
      <c r="I158" s="19" t="n"/>
      <c r="J158" s="19" t="n"/>
      <c r="K158" s="19" t="n"/>
      <c r="M158" s="19" t="n"/>
      <c r="O158" s="19" t="n"/>
      <c r="Q158" s="19" t="n"/>
      <c r="R158" s="19" t="n"/>
      <c r="S158" s="19" t="n"/>
      <c r="T158" s="19" t="n"/>
    </row>
    <row r="159" ht="15.75" customHeight="1" s="545">
      <c r="A159" s="19" t="n"/>
      <c r="B159" s="19" t="n"/>
      <c r="C159" s="19" t="n"/>
      <c r="D159" s="19" t="n"/>
      <c r="E159" s="19" t="n"/>
      <c r="F159" s="19" t="n"/>
      <c r="H159" s="19" t="n"/>
      <c r="I159" s="19" t="n"/>
      <c r="J159" s="19" t="n"/>
      <c r="K159" s="19" t="n"/>
      <c r="M159" s="19" t="n"/>
      <c r="O159" s="19" t="n"/>
      <c r="Q159" s="19" t="n"/>
      <c r="R159" s="19" t="n"/>
      <c r="S159" s="19" t="n"/>
      <c r="T159" s="19" t="n"/>
    </row>
    <row r="160" ht="15.75" customHeight="1" s="545">
      <c r="A160" s="19" t="n"/>
      <c r="B160" s="19" t="n"/>
      <c r="C160" s="19" t="n"/>
      <c r="D160" s="19" t="n"/>
      <c r="E160" s="19" t="n"/>
      <c r="F160" s="19" t="n"/>
      <c r="H160" s="19" t="n"/>
      <c r="I160" s="19" t="n"/>
      <c r="J160" s="19" t="n"/>
      <c r="K160" s="19" t="n"/>
      <c r="M160" s="19" t="n"/>
      <c r="O160" s="19" t="n"/>
      <c r="Q160" s="19" t="n"/>
      <c r="R160" s="19" t="n"/>
      <c r="S160" s="19" t="n"/>
      <c r="T160" s="19" t="n"/>
    </row>
    <row r="161" ht="15.75" customHeight="1" s="545">
      <c r="A161" s="19" t="n"/>
      <c r="B161" s="19" t="n"/>
      <c r="C161" s="19" t="n"/>
      <c r="D161" s="19" t="n"/>
      <c r="E161" s="19" t="n"/>
      <c r="F161" s="19" t="n"/>
      <c r="H161" s="19" t="n"/>
      <c r="I161" s="19" t="n"/>
      <c r="J161" s="19" t="n"/>
      <c r="K161" s="19" t="n"/>
      <c r="M161" s="19" t="n"/>
      <c r="O161" s="19" t="n"/>
      <c r="Q161" s="19" t="n"/>
      <c r="R161" s="19" t="n"/>
      <c r="S161" s="19" t="n"/>
      <c r="T161" s="19" t="n"/>
    </row>
    <row r="162" ht="15.75" customHeight="1" s="545">
      <c r="A162" s="19" t="n"/>
      <c r="B162" s="19" t="n"/>
      <c r="C162" s="19" t="n"/>
      <c r="D162" s="19" t="n"/>
      <c r="E162" s="19" t="n"/>
      <c r="F162" s="19" t="n"/>
      <c r="H162" s="19" t="n"/>
      <c r="I162" s="19" t="n"/>
      <c r="J162" s="19" t="n"/>
      <c r="K162" s="19" t="n"/>
      <c r="M162" s="19" t="n"/>
      <c r="O162" s="19" t="n"/>
      <c r="Q162" s="19" t="n"/>
      <c r="R162" s="19" t="n"/>
      <c r="S162" s="19" t="n"/>
      <c r="T162" s="19" t="n"/>
    </row>
    <row r="163" ht="15.75" customHeight="1" s="545">
      <c r="A163" s="19" t="n"/>
      <c r="B163" s="19" t="n"/>
      <c r="C163" s="19" t="n"/>
      <c r="D163" s="19" t="n"/>
      <c r="E163" s="19" t="n"/>
      <c r="F163" s="19" t="n"/>
      <c r="H163" s="19" t="n"/>
      <c r="I163" s="19" t="n"/>
      <c r="J163" s="19" t="n"/>
      <c r="K163" s="19" t="n"/>
      <c r="M163" s="19" t="n"/>
      <c r="O163" s="19" t="n"/>
      <c r="Q163" s="19" t="n"/>
      <c r="R163" s="19" t="n"/>
      <c r="S163" s="19" t="n"/>
      <c r="T163" s="19" t="n"/>
    </row>
    <row r="164" ht="15.75" customHeight="1" s="545">
      <c r="A164" s="19" t="n"/>
      <c r="B164" s="19" t="n"/>
      <c r="C164" s="19" t="n"/>
      <c r="D164" s="19" t="n"/>
      <c r="E164" s="19" t="n"/>
      <c r="F164" s="19" t="n"/>
      <c r="H164" s="19" t="n"/>
      <c r="I164" s="19" t="n"/>
      <c r="J164" s="19" t="n"/>
      <c r="K164" s="19" t="n"/>
      <c r="M164" s="19" t="n"/>
      <c r="O164" s="19" t="n"/>
      <c r="Q164" s="19" t="n"/>
      <c r="R164" s="19" t="n"/>
      <c r="S164" s="19" t="n"/>
      <c r="T164" s="19" t="n"/>
    </row>
    <row r="165" ht="15.75" customHeight="1" s="545">
      <c r="A165" s="19" t="n"/>
      <c r="B165" s="19" t="n"/>
      <c r="C165" s="19" t="n"/>
      <c r="D165" s="19" t="n"/>
      <c r="E165" s="19" t="n"/>
      <c r="F165" s="19" t="n"/>
      <c r="H165" s="19" t="n"/>
      <c r="I165" s="19" t="n"/>
      <c r="J165" s="19" t="n"/>
      <c r="K165" s="19" t="n"/>
      <c r="M165" s="19" t="n"/>
      <c r="O165" s="19" t="n"/>
      <c r="Q165" s="19" t="n"/>
      <c r="R165" s="19" t="n"/>
      <c r="S165" s="19" t="n"/>
      <c r="T165" s="19" t="n"/>
    </row>
    <row r="166" ht="15.75" customHeight="1" s="545">
      <c r="A166" s="19" t="n"/>
      <c r="B166" s="19" t="n"/>
      <c r="C166" s="19" t="n"/>
      <c r="D166" s="19" t="n"/>
      <c r="E166" s="19" t="n"/>
      <c r="F166" s="19" t="n"/>
      <c r="H166" s="19" t="n"/>
      <c r="I166" s="19" t="n"/>
      <c r="J166" s="19" t="n"/>
      <c r="K166" s="19" t="n"/>
      <c r="M166" s="19" t="n"/>
      <c r="O166" s="19" t="n"/>
      <c r="Q166" s="19" t="n"/>
      <c r="R166" s="19" t="n"/>
      <c r="S166" s="19" t="n"/>
      <c r="T166" s="19" t="n"/>
    </row>
    <row r="167" ht="15.75" customHeight="1" s="545">
      <c r="A167" s="19" t="n"/>
      <c r="B167" s="19" t="n"/>
      <c r="C167" s="19" t="n"/>
      <c r="D167" s="19" t="n"/>
      <c r="E167" s="19" t="n"/>
      <c r="F167" s="19" t="n"/>
      <c r="H167" s="19" t="n"/>
      <c r="I167" s="19" t="n"/>
      <c r="J167" s="19" t="n"/>
      <c r="K167" s="19" t="n"/>
      <c r="M167" s="19" t="n"/>
      <c r="O167" s="19" t="n"/>
      <c r="Q167" s="19" t="n"/>
      <c r="R167" s="19" t="n"/>
      <c r="S167" s="19" t="n"/>
      <c r="T167" s="19" t="n"/>
    </row>
    <row r="168" ht="15.75" customHeight="1" s="545">
      <c r="A168" s="19" t="n"/>
      <c r="B168" s="19" t="n"/>
      <c r="C168" s="19" t="n"/>
      <c r="D168" s="19" t="n"/>
      <c r="E168" s="19" t="n"/>
      <c r="F168" s="19" t="n"/>
      <c r="H168" s="19" t="n"/>
      <c r="I168" s="19" t="n"/>
      <c r="J168" s="19" t="n"/>
      <c r="K168" s="19" t="n"/>
      <c r="M168" s="19" t="n"/>
      <c r="O168" s="19" t="n"/>
      <c r="Q168" s="19" t="n"/>
      <c r="R168" s="19" t="n"/>
      <c r="S168" s="19" t="n"/>
      <c r="T168" s="19" t="n"/>
    </row>
    <row r="169" ht="15.75" customHeight="1" s="545">
      <c r="A169" s="19" t="n"/>
      <c r="B169" s="19" t="n"/>
      <c r="C169" s="19" t="n"/>
      <c r="D169" s="19" t="n"/>
      <c r="E169" s="19" t="n"/>
      <c r="F169" s="19" t="n"/>
      <c r="H169" s="19" t="n"/>
      <c r="I169" s="19" t="n"/>
      <c r="J169" s="19" t="n"/>
      <c r="K169" s="19" t="n"/>
      <c r="M169" s="19" t="n"/>
      <c r="O169" s="19" t="n"/>
      <c r="Q169" s="19" t="n"/>
      <c r="R169" s="19" t="n"/>
      <c r="S169" s="19" t="n"/>
      <c r="T169" s="19" t="n"/>
    </row>
    <row r="170" ht="15.75" customHeight="1" s="545">
      <c r="A170" s="19" t="n"/>
      <c r="B170" s="19" t="n"/>
      <c r="C170" s="19" t="n"/>
      <c r="D170" s="19" t="n"/>
      <c r="E170" s="19" t="n"/>
      <c r="F170" s="19" t="n"/>
      <c r="H170" s="19" t="n"/>
      <c r="I170" s="19" t="n"/>
      <c r="J170" s="19" t="n"/>
      <c r="K170" s="19" t="n"/>
      <c r="M170" s="19" t="n"/>
      <c r="O170" s="19" t="n"/>
      <c r="Q170" s="19" t="n"/>
      <c r="R170" s="19" t="n"/>
      <c r="S170" s="19" t="n"/>
      <c r="T170" s="19" t="n"/>
    </row>
    <row r="171" ht="15.75" customHeight="1" s="545">
      <c r="A171" s="19" t="n"/>
      <c r="B171" s="19" t="n"/>
      <c r="C171" s="19" t="n"/>
      <c r="D171" s="19" t="n"/>
      <c r="E171" s="19" t="n"/>
      <c r="F171" s="19" t="n"/>
      <c r="H171" s="19" t="n"/>
      <c r="I171" s="19" t="n"/>
      <c r="J171" s="19" t="n"/>
      <c r="K171" s="19" t="n"/>
      <c r="M171" s="19" t="n"/>
      <c r="O171" s="19" t="n"/>
      <c r="Q171" s="19" t="n"/>
      <c r="R171" s="19" t="n"/>
      <c r="S171" s="19" t="n"/>
      <c r="T171" s="19" t="n"/>
    </row>
    <row r="172" ht="15.75" customHeight="1" s="545">
      <c r="A172" s="19" t="n"/>
      <c r="B172" s="19" t="n"/>
      <c r="C172" s="19" t="n"/>
      <c r="D172" s="19" t="n"/>
      <c r="E172" s="19" t="n"/>
      <c r="F172" s="19" t="n"/>
      <c r="H172" s="19" t="n"/>
      <c r="I172" s="19" t="n"/>
      <c r="J172" s="19" t="n"/>
      <c r="K172" s="19" t="n"/>
      <c r="M172" s="19" t="n"/>
      <c r="O172" s="19" t="n"/>
      <c r="Q172" s="19" t="n"/>
      <c r="R172" s="19" t="n"/>
      <c r="S172" s="19" t="n"/>
      <c r="T172" s="19" t="n"/>
    </row>
    <row r="173" ht="15.75" customHeight="1" s="545">
      <c r="A173" s="19" t="n"/>
      <c r="B173" s="19" t="n"/>
      <c r="C173" s="19" t="n"/>
      <c r="D173" s="19" t="n"/>
      <c r="E173" s="19" t="n"/>
      <c r="F173" s="19" t="n"/>
      <c r="H173" s="19" t="n"/>
      <c r="I173" s="19" t="n"/>
      <c r="J173" s="19" t="n"/>
      <c r="K173" s="19" t="n"/>
      <c r="M173" s="19" t="n"/>
      <c r="O173" s="19" t="n"/>
      <c r="Q173" s="19" t="n"/>
      <c r="R173" s="19" t="n"/>
      <c r="S173" s="19" t="n"/>
      <c r="T173" s="19" t="n"/>
    </row>
    <row r="174" ht="15.75" customHeight="1" s="545">
      <c r="A174" s="19" t="n"/>
      <c r="B174" s="19" t="n"/>
      <c r="C174" s="19" t="n"/>
      <c r="D174" s="19" t="n"/>
      <c r="E174" s="19" t="n"/>
      <c r="F174" s="19" t="n"/>
      <c r="H174" s="19" t="n"/>
      <c r="I174" s="19" t="n"/>
      <c r="J174" s="19" t="n"/>
      <c r="K174" s="19" t="n"/>
      <c r="M174" s="19" t="n"/>
      <c r="O174" s="19" t="n"/>
      <c r="Q174" s="19" t="n"/>
      <c r="R174" s="19" t="n"/>
      <c r="S174" s="19" t="n"/>
      <c r="T174" s="19" t="n"/>
    </row>
    <row r="175" ht="15.75" customHeight="1" s="545">
      <c r="A175" s="19" t="n"/>
      <c r="B175" s="19" t="n"/>
      <c r="C175" s="19" t="n"/>
      <c r="D175" s="19" t="n"/>
      <c r="E175" s="19" t="n"/>
      <c r="F175" s="19" t="n"/>
      <c r="H175" s="19" t="n"/>
      <c r="I175" s="19" t="n"/>
      <c r="J175" s="19" t="n"/>
      <c r="K175" s="19" t="n"/>
      <c r="M175" s="19" t="n"/>
      <c r="O175" s="19" t="n"/>
      <c r="Q175" s="19" t="n"/>
      <c r="R175" s="19" t="n"/>
      <c r="S175" s="19" t="n"/>
      <c r="T175" s="19" t="n"/>
    </row>
    <row r="176" ht="15.75" customHeight="1" s="545">
      <c r="A176" s="19" t="n"/>
      <c r="B176" s="19" t="n"/>
      <c r="C176" s="19" t="n"/>
      <c r="D176" s="19" t="n"/>
      <c r="E176" s="19" t="n"/>
      <c r="F176" s="19" t="n"/>
      <c r="H176" s="19" t="n"/>
      <c r="I176" s="19" t="n"/>
      <c r="J176" s="19" t="n"/>
      <c r="K176" s="19" t="n"/>
      <c r="M176" s="19" t="n"/>
      <c r="O176" s="19" t="n"/>
      <c r="Q176" s="19" t="n"/>
      <c r="R176" s="19" t="n"/>
      <c r="S176" s="19" t="n"/>
      <c r="T176" s="19" t="n"/>
    </row>
    <row r="177" ht="15.75" customHeight="1" s="545">
      <c r="A177" s="19" t="n"/>
      <c r="B177" s="19" t="n"/>
      <c r="C177" s="19" t="n"/>
      <c r="D177" s="19" t="n"/>
      <c r="E177" s="19" t="n"/>
      <c r="F177" s="19" t="n"/>
      <c r="H177" s="19" t="n"/>
      <c r="I177" s="19" t="n"/>
      <c r="J177" s="19" t="n"/>
      <c r="K177" s="19" t="n"/>
      <c r="M177" s="19" t="n"/>
      <c r="O177" s="19" t="n"/>
      <c r="Q177" s="19" t="n"/>
      <c r="R177" s="19" t="n"/>
      <c r="S177" s="19" t="n"/>
      <c r="T177" s="19" t="n"/>
    </row>
    <row r="178" ht="15.75" customHeight="1" s="545">
      <c r="A178" s="19" t="n"/>
      <c r="B178" s="19" t="n"/>
      <c r="C178" s="19" t="n"/>
      <c r="D178" s="19" t="n"/>
      <c r="E178" s="19" t="n"/>
      <c r="F178" s="19" t="n"/>
      <c r="H178" s="19" t="n"/>
      <c r="I178" s="19" t="n"/>
      <c r="J178" s="19" t="n"/>
      <c r="K178" s="19" t="n"/>
      <c r="M178" s="19" t="n"/>
      <c r="O178" s="19" t="n"/>
      <c r="Q178" s="19" t="n"/>
      <c r="R178" s="19" t="n"/>
      <c r="S178" s="19" t="n"/>
      <c r="T178" s="19" t="n"/>
    </row>
    <row r="179" ht="15.75" customHeight="1" s="545">
      <c r="A179" s="19" t="n"/>
      <c r="B179" s="19" t="n"/>
      <c r="C179" s="19" t="n"/>
      <c r="D179" s="19" t="n"/>
      <c r="E179" s="19" t="n"/>
      <c r="F179" s="19" t="n"/>
      <c r="H179" s="19" t="n"/>
      <c r="I179" s="19" t="n"/>
      <c r="J179" s="19" t="n"/>
      <c r="K179" s="19" t="n"/>
      <c r="M179" s="19" t="n"/>
      <c r="O179" s="19" t="n"/>
      <c r="Q179" s="19" t="n"/>
      <c r="R179" s="19" t="n"/>
      <c r="S179" s="19" t="n"/>
      <c r="T179" s="19" t="n"/>
    </row>
    <row r="180" ht="15.75" customHeight="1" s="545">
      <c r="A180" s="19" t="n"/>
      <c r="B180" s="19" t="n"/>
      <c r="C180" s="19" t="n"/>
      <c r="D180" s="19" t="n"/>
      <c r="E180" s="19" t="n"/>
      <c r="F180" s="19" t="n"/>
      <c r="H180" s="19" t="n"/>
      <c r="I180" s="19" t="n"/>
      <c r="J180" s="19" t="n"/>
      <c r="K180" s="19" t="n"/>
      <c r="M180" s="19" t="n"/>
      <c r="O180" s="19" t="n"/>
      <c r="Q180" s="19" t="n"/>
      <c r="R180" s="19" t="n"/>
      <c r="S180" s="19" t="n"/>
      <c r="T180" s="19" t="n"/>
    </row>
    <row r="181" ht="15.75" customHeight="1" s="545">
      <c r="A181" s="19" t="n"/>
      <c r="B181" s="19" t="n"/>
      <c r="C181" s="19" t="n"/>
      <c r="D181" s="19" t="n"/>
      <c r="E181" s="19" t="n"/>
      <c r="F181" s="19" t="n"/>
      <c r="H181" s="19" t="n"/>
      <c r="I181" s="19" t="n"/>
      <c r="J181" s="19" t="n"/>
      <c r="K181" s="19" t="n"/>
      <c r="M181" s="19" t="n"/>
      <c r="O181" s="19" t="n"/>
      <c r="Q181" s="19" t="n"/>
      <c r="R181" s="19" t="n"/>
      <c r="S181" s="19" t="n"/>
      <c r="T181" s="19" t="n"/>
    </row>
    <row r="182" ht="15.75" customHeight="1" s="545">
      <c r="A182" s="19" t="n"/>
      <c r="B182" s="19" t="n"/>
      <c r="C182" s="19" t="n"/>
      <c r="D182" s="19" t="n"/>
      <c r="E182" s="19" t="n"/>
      <c r="F182" s="19" t="n"/>
      <c r="H182" s="19" t="n"/>
      <c r="I182" s="19" t="n"/>
      <c r="J182" s="19" t="n"/>
      <c r="K182" s="19" t="n"/>
      <c r="M182" s="19" t="n"/>
      <c r="O182" s="19" t="n"/>
      <c r="Q182" s="19" t="n"/>
      <c r="R182" s="19" t="n"/>
      <c r="S182" s="19" t="n"/>
      <c r="T182" s="19" t="n"/>
    </row>
    <row r="183" ht="15.75" customHeight="1" s="545">
      <c r="A183" s="19" t="n"/>
      <c r="B183" s="19" t="n"/>
      <c r="C183" s="19" t="n"/>
      <c r="D183" s="19" t="n"/>
      <c r="E183" s="19" t="n"/>
      <c r="F183" s="19" t="n"/>
      <c r="H183" s="19" t="n"/>
      <c r="I183" s="19" t="n"/>
      <c r="J183" s="19" t="n"/>
      <c r="K183" s="19" t="n"/>
      <c r="M183" s="19" t="n"/>
      <c r="O183" s="19" t="n"/>
      <c r="Q183" s="19" t="n"/>
      <c r="R183" s="19" t="n"/>
      <c r="S183" s="19" t="n"/>
      <c r="T183" s="19" t="n"/>
    </row>
    <row r="184" ht="15.75" customHeight="1" s="545">
      <c r="A184" s="19" t="n"/>
      <c r="B184" s="19" t="n"/>
      <c r="C184" s="19" t="n"/>
      <c r="D184" s="19" t="n"/>
      <c r="E184" s="19" t="n"/>
      <c r="F184" s="19" t="n"/>
      <c r="H184" s="19" t="n"/>
      <c r="I184" s="19" t="n"/>
      <c r="J184" s="19" t="n"/>
      <c r="K184" s="19" t="n"/>
      <c r="M184" s="19" t="n"/>
      <c r="O184" s="19" t="n"/>
      <c r="Q184" s="19" t="n"/>
      <c r="R184" s="19" t="n"/>
      <c r="S184" s="19" t="n"/>
      <c r="T184" s="19" t="n"/>
    </row>
    <row r="185" ht="15.75" customHeight="1" s="545">
      <c r="A185" s="19" t="n"/>
      <c r="B185" s="19" t="n"/>
      <c r="C185" s="19" t="n"/>
      <c r="D185" s="19" t="n"/>
      <c r="E185" s="19" t="n"/>
      <c r="F185" s="19" t="n"/>
      <c r="H185" s="19" t="n"/>
      <c r="I185" s="19" t="n"/>
      <c r="J185" s="19" t="n"/>
      <c r="K185" s="19" t="n"/>
      <c r="M185" s="19" t="n"/>
      <c r="O185" s="19" t="n"/>
      <c r="Q185" s="19" t="n"/>
      <c r="R185" s="19" t="n"/>
      <c r="S185" s="19" t="n"/>
      <c r="T185" s="19" t="n"/>
    </row>
    <row r="186" ht="15.75" customHeight="1" s="545">
      <c r="A186" s="19" t="n"/>
      <c r="B186" s="19" t="n"/>
      <c r="C186" s="19" t="n"/>
      <c r="D186" s="19" t="n"/>
      <c r="E186" s="19" t="n"/>
      <c r="F186" s="19" t="n"/>
      <c r="H186" s="19" t="n"/>
      <c r="I186" s="19" t="n"/>
      <c r="J186" s="19" t="n"/>
      <c r="K186" s="19" t="n"/>
      <c r="M186" s="19" t="n"/>
      <c r="O186" s="19" t="n"/>
      <c r="Q186" s="19" t="n"/>
      <c r="R186" s="19" t="n"/>
      <c r="S186" s="19" t="n"/>
      <c r="T186" s="19" t="n"/>
    </row>
    <row r="187" ht="15.75" customHeight="1" s="545">
      <c r="A187" s="19" t="n"/>
      <c r="B187" s="19" t="n"/>
      <c r="C187" s="19" t="n"/>
      <c r="D187" s="19" t="n"/>
      <c r="E187" s="19" t="n"/>
      <c r="F187" s="19" t="n"/>
      <c r="H187" s="19" t="n"/>
      <c r="I187" s="19" t="n"/>
      <c r="J187" s="19" t="n"/>
      <c r="K187" s="19" t="n"/>
      <c r="M187" s="19" t="n"/>
      <c r="O187" s="19" t="n"/>
      <c r="Q187" s="19" t="n"/>
      <c r="R187" s="19" t="n"/>
      <c r="S187" s="19" t="n"/>
      <c r="T187" s="19" t="n"/>
    </row>
    <row r="188" ht="15.75" customHeight="1" s="545">
      <c r="A188" s="19" t="n"/>
      <c r="B188" s="19" t="n"/>
      <c r="C188" s="19" t="n"/>
      <c r="D188" s="19" t="n"/>
      <c r="E188" s="19" t="n"/>
      <c r="F188" s="19" t="n"/>
      <c r="H188" s="19" t="n"/>
      <c r="I188" s="19" t="n"/>
      <c r="J188" s="19" t="n"/>
      <c r="K188" s="19" t="n"/>
      <c r="M188" s="19" t="n"/>
      <c r="O188" s="19" t="n"/>
      <c r="Q188" s="19" t="n"/>
      <c r="R188" s="19" t="n"/>
      <c r="S188" s="19" t="n"/>
      <c r="T188" s="19" t="n"/>
    </row>
    <row r="189" ht="15.75" customHeight="1" s="545">
      <c r="A189" s="19" t="n"/>
      <c r="B189" s="19" t="n"/>
      <c r="C189" s="19" t="n"/>
      <c r="D189" s="19" t="n"/>
      <c r="E189" s="19" t="n"/>
      <c r="F189" s="19" t="n"/>
      <c r="H189" s="19" t="n"/>
      <c r="I189" s="19" t="n"/>
      <c r="J189" s="19" t="n"/>
      <c r="K189" s="19" t="n"/>
      <c r="M189" s="19" t="n"/>
      <c r="O189" s="19" t="n"/>
      <c r="Q189" s="19" t="n"/>
      <c r="R189" s="19" t="n"/>
      <c r="S189" s="19" t="n"/>
      <c r="T189" s="19" t="n"/>
    </row>
    <row r="190" ht="15.75" customHeight="1" s="545">
      <c r="A190" s="19" t="n"/>
      <c r="B190" s="19" t="n"/>
      <c r="C190" s="19" t="n"/>
      <c r="D190" s="19" t="n"/>
      <c r="E190" s="19" t="n"/>
      <c r="F190" s="19" t="n"/>
      <c r="H190" s="19" t="n"/>
      <c r="I190" s="19" t="n"/>
      <c r="J190" s="19" t="n"/>
      <c r="K190" s="19" t="n"/>
      <c r="M190" s="19" t="n"/>
      <c r="O190" s="19" t="n"/>
      <c r="Q190" s="19" t="n"/>
      <c r="R190" s="19" t="n"/>
      <c r="S190" s="19" t="n"/>
      <c r="T190" s="19" t="n"/>
    </row>
    <row r="191" ht="15.75" customHeight="1" s="545">
      <c r="A191" s="19" t="n"/>
      <c r="B191" s="19" t="n"/>
      <c r="C191" s="19" t="n"/>
      <c r="D191" s="19" t="n"/>
      <c r="E191" s="19" t="n"/>
      <c r="F191" s="19" t="n"/>
      <c r="H191" s="19" t="n"/>
      <c r="I191" s="19" t="n"/>
      <c r="J191" s="19" t="n"/>
      <c r="K191" s="19" t="n"/>
      <c r="M191" s="19" t="n"/>
      <c r="O191" s="19" t="n"/>
      <c r="Q191" s="19" t="n"/>
      <c r="R191" s="19" t="n"/>
      <c r="S191" s="19" t="n"/>
      <c r="T191" s="19" t="n"/>
    </row>
    <row r="192" ht="15.75" customHeight="1" s="545">
      <c r="A192" s="19" t="n"/>
      <c r="B192" s="19" t="n"/>
      <c r="C192" s="19" t="n"/>
      <c r="D192" s="19" t="n"/>
      <c r="E192" s="19" t="n"/>
      <c r="F192" s="19" t="n"/>
      <c r="H192" s="19" t="n"/>
      <c r="I192" s="19" t="n"/>
      <c r="J192" s="19" t="n"/>
      <c r="K192" s="19" t="n"/>
      <c r="M192" s="19" t="n"/>
      <c r="O192" s="19" t="n"/>
      <c r="Q192" s="19" t="n"/>
      <c r="R192" s="19" t="n"/>
      <c r="S192" s="19" t="n"/>
      <c r="T192" s="19" t="n"/>
    </row>
    <row r="193" ht="15.75" customHeight="1" s="545">
      <c r="A193" s="19" t="n"/>
      <c r="B193" s="19" t="n"/>
      <c r="C193" s="19" t="n"/>
      <c r="D193" s="19" t="n"/>
      <c r="E193" s="19" t="n"/>
      <c r="F193" s="19" t="n"/>
      <c r="H193" s="19" t="n"/>
      <c r="I193" s="19" t="n"/>
      <c r="J193" s="19" t="n"/>
      <c r="K193" s="19" t="n"/>
      <c r="M193" s="19" t="n"/>
      <c r="O193" s="19" t="n"/>
      <c r="Q193" s="19" t="n"/>
      <c r="R193" s="19" t="n"/>
      <c r="S193" s="19" t="n"/>
      <c r="T193" s="19" t="n"/>
    </row>
    <row r="194" ht="15.75" customHeight="1" s="545">
      <c r="A194" s="19" t="n"/>
      <c r="B194" s="19" t="n"/>
      <c r="C194" s="19" t="n"/>
      <c r="D194" s="19" t="n"/>
      <c r="E194" s="19" t="n"/>
      <c r="F194" s="19" t="n"/>
      <c r="H194" s="19" t="n"/>
      <c r="I194" s="19" t="n"/>
      <c r="J194" s="19" t="n"/>
      <c r="K194" s="19" t="n"/>
      <c r="M194" s="19" t="n"/>
      <c r="O194" s="19" t="n"/>
      <c r="Q194" s="19" t="n"/>
      <c r="R194" s="19" t="n"/>
      <c r="S194" s="19" t="n"/>
      <c r="T194" s="19" t="n"/>
    </row>
    <row r="195" ht="15.75" customHeight="1" s="545">
      <c r="A195" s="19" t="n"/>
      <c r="B195" s="19" t="n"/>
      <c r="C195" s="19" t="n"/>
      <c r="D195" s="19" t="n"/>
      <c r="E195" s="19" t="n"/>
      <c r="F195" s="19" t="n"/>
      <c r="H195" s="19" t="n"/>
      <c r="I195" s="19" t="n"/>
      <c r="J195" s="19" t="n"/>
      <c r="K195" s="19" t="n"/>
      <c r="M195" s="19" t="n"/>
      <c r="O195" s="19" t="n"/>
      <c r="Q195" s="19" t="n"/>
      <c r="R195" s="19" t="n"/>
      <c r="S195" s="19" t="n"/>
      <c r="T195" s="19" t="n"/>
    </row>
    <row r="196" ht="15.75" customHeight="1" s="545">
      <c r="A196" s="19" t="n"/>
      <c r="B196" s="19" t="n"/>
      <c r="C196" s="19" t="n"/>
      <c r="D196" s="19" t="n"/>
      <c r="E196" s="19" t="n"/>
      <c r="F196" s="19" t="n"/>
      <c r="H196" s="19" t="n"/>
      <c r="I196" s="19" t="n"/>
      <c r="J196" s="19" t="n"/>
      <c r="K196" s="19" t="n"/>
      <c r="M196" s="19" t="n"/>
      <c r="O196" s="19" t="n"/>
      <c r="Q196" s="19" t="n"/>
      <c r="R196" s="19" t="n"/>
      <c r="S196" s="19" t="n"/>
      <c r="T196" s="19" t="n"/>
    </row>
    <row r="197" ht="15.75" customHeight="1" s="545">
      <c r="A197" s="19" t="n"/>
      <c r="B197" s="19" t="n"/>
      <c r="C197" s="19" t="n"/>
      <c r="D197" s="19" t="n"/>
      <c r="E197" s="19" t="n"/>
      <c r="F197" s="19" t="n"/>
      <c r="H197" s="19" t="n"/>
      <c r="I197" s="19" t="n"/>
      <c r="J197" s="19" t="n"/>
      <c r="K197" s="19" t="n"/>
      <c r="M197" s="19" t="n"/>
      <c r="O197" s="19" t="n"/>
      <c r="Q197" s="19" t="n"/>
      <c r="R197" s="19" t="n"/>
      <c r="S197" s="19" t="n"/>
      <c r="T197" s="19" t="n"/>
    </row>
    <row r="198" ht="15.75" customHeight="1" s="545">
      <c r="A198" s="19" t="n"/>
      <c r="B198" s="19" t="n"/>
      <c r="C198" s="19" t="n"/>
      <c r="D198" s="19" t="n"/>
      <c r="E198" s="19" t="n"/>
      <c r="F198" s="19" t="n"/>
      <c r="H198" s="19" t="n"/>
      <c r="I198" s="19" t="n"/>
      <c r="J198" s="19" t="n"/>
      <c r="K198" s="19" t="n"/>
      <c r="M198" s="19" t="n"/>
      <c r="O198" s="19" t="n"/>
      <c r="Q198" s="19" t="n"/>
      <c r="R198" s="19" t="n"/>
      <c r="S198" s="19" t="n"/>
      <c r="T198" s="19" t="n"/>
    </row>
    <row r="199" ht="15.75" customHeight="1" s="545">
      <c r="A199" s="19" t="n"/>
      <c r="B199" s="19" t="n"/>
      <c r="C199" s="19" t="n"/>
      <c r="D199" s="19" t="n"/>
      <c r="E199" s="19" t="n"/>
      <c r="F199" s="19" t="n"/>
      <c r="H199" s="19" t="n"/>
      <c r="I199" s="19" t="n"/>
      <c r="J199" s="19" t="n"/>
      <c r="K199" s="19" t="n"/>
      <c r="M199" s="19" t="n"/>
      <c r="O199" s="19" t="n"/>
      <c r="Q199" s="19" t="n"/>
      <c r="R199" s="19" t="n"/>
      <c r="S199" s="19" t="n"/>
      <c r="T199" s="19" t="n"/>
    </row>
    <row r="200" ht="15.75" customHeight="1" s="545">
      <c r="A200" s="19" t="n"/>
      <c r="B200" s="19" t="n"/>
      <c r="C200" s="19" t="n"/>
      <c r="D200" s="19" t="n"/>
      <c r="E200" s="19" t="n"/>
      <c r="F200" s="19" t="n"/>
      <c r="H200" s="19" t="n"/>
      <c r="I200" s="19" t="n"/>
      <c r="J200" s="19" t="n"/>
      <c r="K200" s="19" t="n"/>
      <c r="M200" s="19" t="n"/>
      <c r="O200" s="19" t="n"/>
      <c r="Q200" s="19" t="n"/>
      <c r="R200" s="19" t="n"/>
      <c r="S200" s="19" t="n"/>
      <c r="T200" s="19" t="n"/>
    </row>
    <row r="201" ht="15.75" customHeight="1" s="545">
      <c r="A201" s="19" t="n"/>
      <c r="B201" s="19" t="n"/>
      <c r="C201" s="19" t="n"/>
      <c r="D201" s="19" t="n"/>
      <c r="E201" s="19" t="n"/>
      <c r="F201" s="19" t="n"/>
      <c r="H201" s="19" t="n"/>
      <c r="I201" s="19" t="n"/>
      <c r="J201" s="19" t="n"/>
      <c r="K201" s="19" t="n"/>
      <c r="M201" s="19" t="n"/>
      <c r="O201" s="19" t="n"/>
      <c r="Q201" s="19" t="n"/>
      <c r="R201" s="19" t="n"/>
      <c r="S201" s="19" t="n"/>
      <c r="T201" s="19" t="n"/>
    </row>
    <row r="202" ht="15.75" customHeight="1" s="545">
      <c r="A202" s="19" t="n"/>
      <c r="B202" s="19" t="n"/>
      <c r="C202" s="19" t="n"/>
      <c r="D202" s="19" t="n"/>
      <c r="E202" s="19" t="n"/>
      <c r="F202" s="19" t="n"/>
      <c r="H202" s="19" t="n"/>
      <c r="I202" s="19" t="n"/>
      <c r="J202" s="19" t="n"/>
      <c r="K202" s="19" t="n"/>
      <c r="M202" s="19" t="n"/>
      <c r="O202" s="19" t="n"/>
      <c r="Q202" s="19" t="n"/>
      <c r="R202" s="19" t="n"/>
      <c r="S202" s="19" t="n"/>
      <c r="T202" s="19" t="n"/>
    </row>
    <row r="203" ht="15.75" customHeight="1" s="545">
      <c r="A203" s="19" t="n"/>
      <c r="B203" s="19" t="n"/>
      <c r="C203" s="19" t="n"/>
      <c r="D203" s="19" t="n"/>
      <c r="E203" s="19" t="n"/>
      <c r="F203" s="19" t="n"/>
      <c r="H203" s="19" t="n"/>
      <c r="I203" s="19" t="n"/>
      <c r="J203" s="19" t="n"/>
      <c r="K203" s="19" t="n"/>
      <c r="M203" s="19" t="n"/>
      <c r="O203" s="19" t="n"/>
      <c r="Q203" s="19" t="n"/>
      <c r="R203" s="19" t="n"/>
      <c r="S203" s="19" t="n"/>
      <c r="T203" s="19" t="n"/>
    </row>
    <row r="204" ht="15.75" customHeight="1" s="545">
      <c r="A204" s="19" t="n"/>
      <c r="B204" s="19" t="n"/>
      <c r="C204" s="19" t="n"/>
      <c r="D204" s="19" t="n"/>
      <c r="E204" s="19" t="n"/>
      <c r="F204" s="19" t="n"/>
      <c r="H204" s="19" t="n"/>
      <c r="I204" s="19" t="n"/>
      <c r="J204" s="19" t="n"/>
      <c r="K204" s="19" t="n"/>
      <c r="M204" s="19" t="n"/>
      <c r="O204" s="19" t="n"/>
      <c r="Q204" s="19" t="n"/>
      <c r="R204" s="19" t="n"/>
      <c r="S204" s="19" t="n"/>
      <c r="T204" s="19" t="n"/>
    </row>
    <row r="205" ht="15.75" customHeight="1" s="545">
      <c r="A205" s="19" t="n"/>
      <c r="B205" s="19" t="n"/>
      <c r="C205" s="19" t="n"/>
      <c r="D205" s="19" t="n"/>
      <c r="E205" s="19" t="n"/>
      <c r="F205" s="19" t="n"/>
      <c r="H205" s="19" t="n"/>
      <c r="I205" s="19" t="n"/>
      <c r="J205" s="19" t="n"/>
      <c r="K205" s="19" t="n"/>
      <c r="M205" s="19" t="n"/>
      <c r="O205" s="19" t="n"/>
      <c r="Q205" s="19" t="n"/>
      <c r="R205" s="19" t="n"/>
      <c r="S205" s="19" t="n"/>
      <c r="T205" s="19" t="n"/>
    </row>
    <row r="206" ht="15.75" customHeight="1" s="545">
      <c r="A206" s="19" t="n"/>
      <c r="B206" s="19" t="n"/>
      <c r="C206" s="19" t="n"/>
      <c r="D206" s="19" t="n"/>
      <c r="E206" s="19" t="n"/>
      <c r="F206" s="19" t="n"/>
      <c r="H206" s="19" t="n"/>
      <c r="I206" s="19" t="n"/>
      <c r="J206" s="19" t="n"/>
      <c r="K206" s="19" t="n"/>
      <c r="M206" s="19" t="n"/>
      <c r="O206" s="19" t="n"/>
      <c r="Q206" s="19" t="n"/>
      <c r="R206" s="19" t="n"/>
      <c r="S206" s="19" t="n"/>
      <c r="T206" s="19" t="n"/>
    </row>
    <row r="207" ht="15.75" customHeight="1" s="545">
      <c r="A207" s="19" t="n"/>
      <c r="B207" s="19" t="n"/>
      <c r="C207" s="19" t="n"/>
      <c r="D207" s="19" t="n"/>
      <c r="E207" s="19" t="n"/>
      <c r="F207" s="19" t="n"/>
      <c r="H207" s="19" t="n"/>
      <c r="I207" s="19" t="n"/>
      <c r="J207" s="19" t="n"/>
      <c r="K207" s="19" t="n"/>
      <c r="M207" s="19" t="n"/>
      <c r="O207" s="19" t="n"/>
      <c r="Q207" s="19" t="n"/>
      <c r="R207" s="19" t="n"/>
      <c r="S207" s="19" t="n"/>
      <c r="T207" s="19" t="n"/>
    </row>
    <row r="208" ht="15.75" customHeight="1" s="545">
      <c r="A208" s="19" t="n"/>
      <c r="B208" s="19" t="n"/>
      <c r="C208" s="19" t="n"/>
      <c r="D208" s="19" t="n"/>
      <c r="E208" s="19" t="n"/>
      <c r="F208" s="19" t="n"/>
      <c r="H208" s="19" t="n"/>
      <c r="I208" s="19" t="n"/>
      <c r="J208" s="19" t="n"/>
      <c r="K208" s="19" t="n"/>
      <c r="M208" s="19" t="n"/>
      <c r="O208" s="19" t="n"/>
      <c r="Q208" s="19" t="n"/>
      <c r="R208" s="19" t="n"/>
      <c r="S208" s="19" t="n"/>
      <c r="T208" s="19" t="n"/>
    </row>
    <row r="209" ht="15.75" customHeight="1" s="545">
      <c r="A209" s="19" t="n"/>
      <c r="B209" s="19" t="n"/>
      <c r="C209" s="19" t="n"/>
      <c r="D209" s="19" t="n"/>
      <c r="E209" s="19" t="n"/>
      <c r="F209" s="19" t="n"/>
      <c r="H209" s="19" t="n"/>
      <c r="I209" s="19" t="n"/>
      <c r="J209" s="19" t="n"/>
      <c r="K209" s="19" t="n"/>
      <c r="M209" s="19" t="n"/>
      <c r="O209" s="19" t="n"/>
      <c r="Q209" s="19" t="n"/>
      <c r="R209" s="19" t="n"/>
      <c r="S209" s="19" t="n"/>
      <c r="T209" s="19" t="n"/>
    </row>
    <row r="210" ht="15.75" customHeight="1" s="545">
      <c r="A210" s="19" t="n"/>
      <c r="B210" s="19" t="n"/>
      <c r="C210" s="19" t="n"/>
      <c r="D210" s="19" t="n"/>
      <c r="E210" s="19" t="n"/>
      <c r="F210" s="19" t="n"/>
      <c r="H210" s="19" t="n"/>
      <c r="I210" s="19" t="n"/>
      <c r="J210" s="19" t="n"/>
      <c r="K210" s="19" t="n"/>
      <c r="M210" s="19" t="n"/>
      <c r="O210" s="19" t="n"/>
      <c r="Q210" s="19" t="n"/>
      <c r="R210" s="19" t="n"/>
      <c r="S210" s="19" t="n"/>
      <c r="T210" s="19" t="n"/>
    </row>
    <row r="211" ht="15.75" customHeight="1" s="545">
      <c r="A211" s="19" t="n"/>
      <c r="B211" s="19" t="n"/>
      <c r="C211" s="19" t="n"/>
      <c r="D211" s="19" t="n"/>
      <c r="E211" s="19" t="n"/>
      <c r="F211" s="19" t="n"/>
      <c r="H211" s="19" t="n"/>
      <c r="I211" s="19" t="n"/>
      <c r="J211" s="19" t="n"/>
      <c r="K211" s="19" t="n"/>
      <c r="M211" s="19" t="n"/>
      <c r="O211" s="19" t="n"/>
      <c r="Q211" s="19" t="n"/>
      <c r="R211" s="19" t="n"/>
      <c r="S211" s="19" t="n"/>
      <c r="T211" s="19" t="n"/>
    </row>
    <row r="212" ht="15.75" customHeight="1" s="545">
      <c r="A212" s="19" t="n"/>
      <c r="B212" s="19" t="n"/>
      <c r="C212" s="19" t="n"/>
      <c r="D212" s="19" t="n"/>
      <c r="E212" s="19" t="n"/>
      <c r="F212" s="19" t="n"/>
      <c r="H212" s="19" t="n"/>
      <c r="I212" s="19" t="n"/>
      <c r="J212" s="19" t="n"/>
      <c r="K212" s="19" t="n"/>
      <c r="M212" s="19" t="n"/>
      <c r="O212" s="19" t="n"/>
      <c r="Q212" s="19" t="n"/>
      <c r="R212" s="19" t="n"/>
      <c r="S212" s="19" t="n"/>
      <c r="T212" s="19" t="n"/>
    </row>
    <row r="213" ht="15.75" customHeight="1" s="545">
      <c r="A213" s="19" t="n"/>
      <c r="B213" s="19" t="n"/>
      <c r="C213" s="19" t="n"/>
      <c r="D213" s="19" t="n"/>
      <c r="E213" s="19" t="n"/>
      <c r="F213" s="19" t="n"/>
      <c r="H213" s="19" t="n"/>
      <c r="I213" s="19" t="n"/>
      <c r="J213" s="19" t="n"/>
      <c r="K213" s="19" t="n"/>
      <c r="M213" s="19" t="n"/>
      <c r="O213" s="19" t="n"/>
      <c r="Q213" s="19" t="n"/>
      <c r="R213" s="19" t="n"/>
      <c r="S213" s="19" t="n"/>
      <c r="T213" s="19" t="n"/>
    </row>
    <row r="214" ht="15.75" customHeight="1" s="545">
      <c r="A214" s="19" t="n"/>
      <c r="B214" s="19" t="n"/>
      <c r="C214" s="19" t="n"/>
      <c r="D214" s="19" t="n"/>
      <c r="E214" s="19" t="n"/>
      <c r="F214" s="19" t="n"/>
      <c r="H214" s="19" t="n"/>
      <c r="I214" s="19" t="n"/>
      <c r="J214" s="19" t="n"/>
      <c r="K214" s="19" t="n"/>
      <c r="M214" s="19" t="n"/>
      <c r="O214" s="19" t="n"/>
      <c r="Q214" s="19" t="n"/>
      <c r="R214" s="19" t="n"/>
      <c r="S214" s="19" t="n"/>
      <c r="T214" s="19" t="n"/>
    </row>
    <row r="215" ht="15.75" customHeight="1" s="545">
      <c r="A215" s="19" t="n"/>
      <c r="B215" s="19" t="n"/>
      <c r="C215" s="19" t="n"/>
      <c r="D215" s="19" t="n"/>
      <c r="E215" s="19" t="n"/>
      <c r="F215" s="19" t="n"/>
      <c r="H215" s="19" t="n"/>
      <c r="I215" s="19" t="n"/>
      <c r="J215" s="19" t="n"/>
      <c r="K215" s="19" t="n"/>
      <c r="M215" s="19" t="n"/>
      <c r="O215" s="19" t="n"/>
      <c r="Q215" s="19" t="n"/>
      <c r="R215" s="19" t="n"/>
      <c r="S215" s="19" t="n"/>
      <c r="T215" s="19" t="n"/>
    </row>
    <row r="216" ht="15.75" customHeight="1" s="545">
      <c r="A216" s="19" t="n"/>
      <c r="B216" s="19" t="n"/>
      <c r="C216" s="19" t="n"/>
      <c r="D216" s="19" t="n"/>
      <c r="E216" s="19" t="n"/>
      <c r="F216" s="19" t="n"/>
      <c r="H216" s="19" t="n"/>
      <c r="I216" s="19" t="n"/>
      <c r="J216" s="19" t="n"/>
      <c r="K216" s="19" t="n"/>
      <c r="M216" s="19" t="n"/>
      <c r="O216" s="19" t="n"/>
      <c r="Q216" s="19" t="n"/>
      <c r="R216" s="19" t="n"/>
      <c r="S216" s="19" t="n"/>
      <c r="T216" s="19" t="n"/>
    </row>
    <row r="217" ht="15.75" customHeight="1" s="545">
      <c r="A217" s="19" t="n"/>
      <c r="B217" s="19" t="n"/>
      <c r="C217" s="19" t="n"/>
      <c r="D217" s="19" t="n"/>
      <c r="E217" s="19" t="n"/>
      <c r="F217" s="19" t="n"/>
      <c r="H217" s="19" t="n"/>
      <c r="I217" s="19" t="n"/>
      <c r="J217" s="19" t="n"/>
      <c r="K217" s="19" t="n"/>
      <c r="M217" s="19" t="n"/>
      <c r="O217" s="19" t="n"/>
      <c r="Q217" s="19" t="n"/>
      <c r="R217" s="19" t="n"/>
      <c r="S217" s="19" t="n"/>
      <c r="T217" s="19" t="n"/>
    </row>
    <row r="218" ht="15.75" customHeight="1" s="545">
      <c r="A218" s="19" t="n"/>
      <c r="B218" s="19" t="n"/>
      <c r="C218" s="19" t="n"/>
      <c r="D218" s="19" t="n"/>
      <c r="E218" s="19" t="n"/>
      <c r="F218" s="19" t="n"/>
      <c r="H218" s="19" t="n"/>
      <c r="I218" s="19" t="n"/>
      <c r="J218" s="19" t="n"/>
      <c r="K218" s="19" t="n"/>
      <c r="M218" s="19" t="n"/>
      <c r="O218" s="19" t="n"/>
      <c r="Q218" s="19" t="n"/>
      <c r="R218" s="19" t="n"/>
      <c r="S218" s="19" t="n"/>
      <c r="T218" s="19" t="n"/>
    </row>
    <row r="219" ht="15.75" customHeight="1" s="545">
      <c r="A219" s="19" t="n"/>
      <c r="B219" s="19" t="n"/>
      <c r="C219" s="19" t="n"/>
      <c r="D219" s="19" t="n"/>
      <c r="E219" s="19" t="n"/>
      <c r="F219" s="19" t="n"/>
      <c r="H219" s="19" t="n"/>
      <c r="I219" s="19" t="n"/>
      <c r="J219" s="19" t="n"/>
      <c r="K219" s="19" t="n"/>
      <c r="M219" s="19" t="n"/>
      <c r="O219" s="19" t="n"/>
      <c r="Q219" s="19" t="n"/>
      <c r="R219" s="19" t="n"/>
      <c r="S219" s="19" t="n"/>
      <c r="T219" s="19" t="n"/>
    </row>
    <row r="220" ht="15.75" customHeight="1" s="545">
      <c r="A220" s="19" t="n"/>
      <c r="B220" s="19" t="n"/>
      <c r="C220" s="19" t="n"/>
      <c r="D220" s="19" t="n"/>
      <c r="E220" s="19" t="n"/>
      <c r="F220" s="19" t="n"/>
      <c r="H220" s="19" t="n"/>
      <c r="I220" s="19" t="n"/>
      <c r="J220" s="19" t="n"/>
      <c r="K220" s="19" t="n"/>
      <c r="M220" s="19" t="n"/>
      <c r="O220" s="19" t="n"/>
      <c r="Q220" s="19" t="n"/>
      <c r="R220" s="19" t="n"/>
      <c r="S220" s="19" t="n"/>
      <c r="T220" s="19" t="n"/>
    </row>
    <row r="221" ht="15.75" customHeight="1" s="545">
      <c r="A221" s="19" t="n"/>
      <c r="B221" s="19" t="n"/>
      <c r="C221" s="19" t="n"/>
      <c r="D221" s="19" t="n"/>
      <c r="E221" s="19" t="n"/>
      <c r="F221" s="19" t="n"/>
      <c r="H221" s="19" t="n"/>
      <c r="I221" s="19" t="n"/>
      <c r="J221" s="19" t="n"/>
      <c r="K221" s="19" t="n"/>
      <c r="M221" s="19" t="n"/>
      <c r="O221" s="19" t="n"/>
      <c r="Q221" s="19" t="n"/>
      <c r="R221" s="19" t="n"/>
      <c r="S221" s="19" t="n"/>
      <c r="T221" s="19" t="n"/>
    </row>
    <row r="222" ht="15.75" customHeight="1" s="545">
      <c r="A222" s="19" t="n"/>
      <c r="B222" s="19" t="n"/>
      <c r="C222" s="19" t="n"/>
      <c r="D222" s="19" t="n"/>
      <c r="E222" s="19" t="n"/>
      <c r="F222" s="19" t="n"/>
      <c r="H222" s="19" t="n"/>
      <c r="I222" s="19" t="n"/>
      <c r="J222" s="19" t="n"/>
      <c r="K222" s="19" t="n"/>
      <c r="M222" s="19" t="n"/>
      <c r="O222" s="19" t="n"/>
      <c r="Q222" s="19" t="n"/>
      <c r="R222" s="19" t="n"/>
      <c r="S222" s="19" t="n"/>
      <c r="T222" s="19" t="n"/>
    </row>
    <row r="223" ht="15.75" customHeight="1" s="545">
      <c r="A223" s="19" t="n"/>
      <c r="B223" s="19" t="n"/>
      <c r="C223" s="19" t="n"/>
      <c r="D223" s="19" t="n"/>
      <c r="E223" s="19" t="n"/>
      <c r="F223" s="19" t="n"/>
      <c r="H223" s="19" t="n"/>
      <c r="I223" s="19" t="n"/>
      <c r="J223" s="19" t="n"/>
      <c r="K223" s="19" t="n"/>
      <c r="M223" s="19" t="n"/>
      <c r="O223" s="19" t="n"/>
      <c r="Q223" s="19" t="n"/>
      <c r="R223" s="19" t="n"/>
      <c r="S223" s="19" t="n"/>
      <c r="T223" s="19" t="n"/>
    </row>
    <row r="224" ht="15.75" customHeight="1" s="545">
      <c r="A224" s="19" t="n"/>
      <c r="B224" s="19" t="n"/>
      <c r="C224" s="19" t="n"/>
      <c r="D224" s="19" t="n"/>
      <c r="E224" s="19" t="n"/>
      <c r="F224" s="19" t="n"/>
      <c r="H224" s="19" t="n"/>
      <c r="I224" s="19" t="n"/>
      <c r="J224" s="19" t="n"/>
      <c r="K224" s="19" t="n"/>
      <c r="M224" s="19" t="n"/>
      <c r="O224" s="19" t="n"/>
      <c r="Q224" s="19" t="n"/>
      <c r="R224" s="19" t="n"/>
      <c r="S224" s="19" t="n"/>
      <c r="T224" s="19" t="n"/>
    </row>
    <row r="225" ht="15.75" customHeight="1" s="545">
      <c r="A225" s="19" t="n"/>
      <c r="B225" s="19" t="n"/>
      <c r="C225" s="19" t="n"/>
      <c r="D225" s="19" t="n"/>
      <c r="E225" s="19" t="n"/>
      <c r="F225" s="19" t="n"/>
      <c r="H225" s="19" t="n"/>
      <c r="I225" s="19" t="n"/>
      <c r="J225" s="19" t="n"/>
      <c r="K225" s="19" t="n"/>
      <c r="M225" s="19" t="n"/>
      <c r="O225" s="19" t="n"/>
      <c r="Q225" s="19" t="n"/>
      <c r="R225" s="19" t="n"/>
      <c r="S225" s="19" t="n"/>
      <c r="T225" s="19" t="n"/>
    </row>
    <row r="226" ht="15.75" customHeight="1" s="545">
      <c r="A226" s="19" t="n"/>
      <c r="B226" s="19" t="n"/>
      <c r="C226" s="19" t="n"/>
      <c r="D226" s="19" t="n"/>
      <c r="E226" s="19" t="n"/>
      <c r="F226" s="19" t="n"/>
      <c r="H226" s="19" t="n"/>
      <c r="I226" s="19" t="n"/>
      <c r="J226" s="19" t="n"/>
      <c r="K226" s="19" t="n"/>
      <c r="M226" s="19" t="n"/>
      <c r="O226" s="19" t="n"/>
      <c r="Q226" s="19" t="n"/>
      <c r="R226" s="19" t="n"/>
      <c r="S226" s="19" t="n"/>
      <c r="T226" s="19" t="n"/>
    </row>
    <row r="227" ht="15.75" customHeight="1" s="545">
      <c r="A227" s="19" t="n"/>
      <c r="B227" s="19" t="n"/>
      <c r="C227" s="19" t="n"/>
      <c r="D227" s="19" t="n"/>
      <c r="E227" s="19" t="n"/>
      <c r="F227" s="19" t="n"/>
      <c r="H227" s="19" t="n"/>
      <c r="I227" s="19" t="n"/>
      <c r="J227" s="19" t="n"/>
      <c r="K227" s="19" t="n"/>
      <c r="M227" s="19" t="n"/>
      <c r="O227" s="19" t="n"/>
      <c r="Q227" s="19" t="n"/>
      <c r="R227" s="19" t="n"/>
      <c r="S227" s="19" t="n"/>
      <c r="T227" s="19" t="n"/>
    </row>
    <row r="228" ht="15.75" customHeight="1" s="545">
      <c r="A228" s="19" t="n"/>
      <c r="B228" s="19" t="n"/>
      <c r="C228" s="19" t="n"/>
      <c r="D228" s="19" t="n"/>
      <c r="E228" s="19" t="n"/>
      <c r="F228" s="19" t="n"/>
      <c r="H228" s="19" t="n"/>
      <c r="I228" s="19" t="n"/>
      <c r="J228" s="19" t="n"/>
      <c r="K228" s="19" t="n"/>
      <c r="M228" s="19" t="n"/>
      <c r="O228" s="19" t="n"/>
      <c r="Q228" s="19" t="n"/>
      <c r="R228" s="19" t="n"/>
      <c r="S228" s="19" t="n"/>
      <c r="T228" s="19" t="n"/>
    </row>
    <row r="229" ht="15.75" customHeight="1" s="545">
      <c r="A229" s="19" t="n"/>
      <c r="B229" s="19" t="n"/>
      <c r="C229" s="19" t="n"/>
      <c r="D229" s="19" t="n"/>
      <c r="E229" s="19" t="n"/>
      <c r="F229" s="19" t="n"/>
      <c r="H229" s="19" t="n"/>
      <c r="I229" s="19" t="n"/>
      <c r="J229" s="19" t="n"/>
      <c r="K229" s="19" t="n"/>
      <c r="M229" s="19" t="n"/>
      <c r="O229" s="19" t="n"/>
      <c r="Q229" s="19" t="n"/>
      <c r="R229" s="19" t="n"/>
      <c r="S229" s="19" t="n"/>
      <c r="T229" s="19" t="n"/>
    </row>
    <row r="230" ht="15.75" customHeight="1" s="545">
      <c r="A230" s="19" t="n"/>
      <c r="B230" s="19" t="n"/>
      <c r="C230" s="19" t="n"/>
      <c r="D230" s="19" t="n"/>
      <c r="E230" s="19" t="n"/>
      <c r="F230" s="19" t="n"/>
      <c r="H230" s="19" t="n"/>
      <c r="I230" s="19" t="n"/>
      <c r="J230" s="19" t="n"/>
      <c r="K230" s="19" t="n"/>
      <c r="M230" s="19" t="n"/>
      <c r="O230" s="19" t="n"/>
      <c r="Q230" s="19" t="n"/>
      <c r="R230" s="19" t="n"/>
      <c r="S230" s="19" t="n"/>
      <c r="T230" s="19" t="n"/>
    </row>
    <row r="231" ht="15.75" customHeight="1" s="545">
      <c r="A231" s="19" t="n"/>
      <c r="B231" s="19" t="n"/>
      <c r="C231" s="19" t="n"/>
      <c r="D231" s="19" t="n"/>
      <c r="E231" s="19" t="n"/>
      <c r="F231" s="19" t="n"/>
      <c r="H231" s="19" t="n"/>
      <c r="I231" s="19" t="n"/>
      <c r="J231" s="19" t="n"/>
      <c r="K231" s="19" t="n"/>
      <c r="M231" s="19" t="n"/>
      <c r="O231" s="19" t="n"/>
      <c r="Q231" s="19" t="n"/>
      <c r="R231" s="19" t="n"/>
      <c r="S231" s="19" t="n"/>
      <c r="T231" s="19" t="n"/>
    </row>
    <row r="232" ht="15.75" customHeight="1" s="545">
      <c r="A232" s="19" t="n"/>
      <c r="B232" s="19" t="n"/>
      <c r="C232" s="19" t="n"/>
      <c r="D232" s="19" t="n"/>
      <c r="E232" s="19" t="n"/>
      <c r="F232" s="19" t="n"/>
      <c r="H232" s="19" t="n"/>
      <c r="I232" s="19" t="n"/>
      <c r="J232" s="19" t="n"/>
      <c r="K232" s="19" t="n"/>
      <c r="M232" s="19" t="n"/>
      <c r="O232" s="19" t="n"/>
      <c r="Q232" s="19" t="n"/>
      <c r="R232" s="19" t="n"/>
      <c r="S232" s="19" t="n"/>
      <c r="T232" s="19" t="n"/>
    </row>
    <row r="233" ht="15.75" customHeight="1" s="545">
      <c r="A233" s="19" t="n"/>
      <c r="B233" s="19" t="n"/>
      <c r="C233" s="19" t="n"/>
      <c r="D233" s="19" t="n"/>
      <c r="E233" s="19" t="n"/>
      <c r="F233" s="19" t="n"/>
      <c r="H233" s="19" t="n"/>
      <c r="I233" s="19" t="n"/>
      <c r="J233" s="19" t="n"/>
      <c r="K233" s="19" t="n"/>
      <c r="M233" s="19" t="n"/>
      <c r="O233" s="19" t="n"/>
      <c r="Q233" s="19" t="n"/>
      <c r="R233" s="19" t="n"/>
      <c r="S233" s="19" t="n"/>
      <c r="T233" s="19" t="n"/>
    </row>
    <row r="234" ht="15.75" customHeight="1" s="545">
      <c r="A234" s="19" t="n"/>
      <c r="B234" s="19" t="n"/>
      <c r="C234" s="19" t="n"/>
      <c r="D234" s="19" t="n"/>
      <c r="E234" s="19" t="n"/>
      <c r="F234" s="19" t="n"/>
      <c r="H234" s="19" t="n"/>
      <c r="I234" s="19" t="n"/>
      <c r="J234" s="19" t="n"/>
      <c r="K234" s="19" t="n"/>
      <c r="M234" s="19" t="n"/>
      <c r="O234" s="19" t="n"/>
      <c r="Q234" s="19" t="n"/>
      <c r="R234" s="19" t="n"/>
      <c r="S234" s="19" t="n"/>
      <c r="T234" s="19" t="n"/>
    </row>
    <row r="235" ht="15.75" customHeight="1" s="545">
      <c r="A235" s="19" t="n"/>
      <c r="B235" s="19" t="n"/>
      <c r="C235" s="19" t="n"/>
      <c r="D235" s="19" t="n"/>
      <c r="E235" s="19" t="n"/>
      <c r="F235" s="19" t="n"/>
      <c r="H235" s="19" t="n"/>
      <c r="I235" s="19" t="n"/>
      <c r="J235" s="19" t="n"/>
      <c r="K235" s="19" t="n"/>
      <c r="M235" s="19" t="n"/>
      <c r="O235" s="19" t="n"/>
      <c r="Q235" s="19" t="n"/>
      <c r="R235" s="19" t="n"/>
      <c r="S235" s="19" t="n"/>
      <c r="T235" s="19" t="n"/>
    </row>
    <row r="236" ht="15.75" customHeight="1" s="545">
      <c r="A236" s="19" t="n"/>
      <c r="B236" s="19" t="n"/>
      <c r="C236" s="19" t="n"/>
      <c r="D236" s="19" t="n"/>
      <c r="E236" s="19" t="n"/>
      <c r="F236" s="19" t="n"/>
      <c r="H236" s="19" t="n"/>
      <c r="I236" s="19" t="n"/>
      <c r="J236" s="19" t="n"/>
      <c r="K236" s="19" t="n"/>
      <c r="M236" s="19" t="n"/>
      <c r="O236" s="19" t="n"/>
      <c r="Q236" s="19" t="n"/>
      <c r="R236" s="19" t="n"/>
      <c r="S236" s="19" t="n"/>
      <c r="T236" s="19" t="n"/>
    </row>
    <row r="237" ht="15.75" customHeight="1" s="545">
      <c r="A237" s="19" t="n"/>
      <c r="B237" s="19" t="n"/>
      <c r="C237" s="19" t="n"/>
      <c r="D237" s="19" t="n"/>
      <c r="E237" s="19" t="n"/>
      <c r="F237" s="19" t="n"/>
      <c r="H237" s="19" t="n"/>
      <c r="I237" s="19" t="n"/>
      <c r="J237" s="19" t="n"/>
      <c r="K237" s="19" t="n"/>
      <c r="M237" s="19" t="n"/>
      <c r="O237" s="19" t="n"/>
      <c r="Q237" s="19" t="n"/>
      <c r="R237" s="19" t="n"/>
      <c r="S237" s="19" t="n"/>
      <c r="T237" s="19" t="n"/>
    </row>
    <row r="238" ht="15.75" customHeight="1" s="545">
      <c r="A238" s="19" t="n"/>
      <c r="B238" s="19" t="n"/>
      <c r="C238" s="19" t="n"/>
      <c r="D238" s="19" t="n"/>
      <c r="E238" s="19" t="n"/>
      <c r="F238" s="19" t="n"/>
      <c r="H238" s="19" t="n"/>
      <c r="I238" s="19" t="n"/>
      <c r="J238" s="19" t="n"/>
      <c r="K238" s="19" t="n"/>
      <c r="M238" s="19" t="n"/>
      <c r="O238" s="19" t="n"/>
      <c r="Q238" s="19" t="n"/>
      <c r="R238" s="19" t="n"/>
      <c r="S238" s="19" t="n"/>
      <c r="T238" s="19" t="n"/>
    </row>
    <row r="239" ht="15.75" customHeight="1" s="545">
      <c r="A239" s="19" t="n"/>
      <c r="B239" s="19" t="n"/>
      <c r="C239" s="19" t="n"/>
      <c r="D239" s="19" t="n"/>
      <c r="E239" s="19" t="n"/>
      <c r="F239" s="19" t="n"/>
      <c r="H239" s="19" t="n"/>
      <c r="I239" s="19" t="n"/>
      <c r="J239" s="19" t="n"/>
      <c r="K239" s="19" t="n"/>
      <c r="M239" s="19" t="n"/>
      <c r="O239" s="19" t="n"/>
      <c r="Q239" s="19" t="n"/>
      <c r="R239" s="19" t="n"/>
      <c r="S239" s="19" t="n"/>
      <c r="T239" s="19" t="n"/>
    </row>
    <row r="240" ht="15.75" customHeight="1" s="545">
      <c r="A240" s="19" t="n"/>
      <c r="B240" s="19" t="n"/>
      <c r="C240" s="19" t="n"/>
      <c r="D240" s="19" t="n"/>
      <c r="E240" s="19" t="n"/>
      <c r="F240" s="19" t="n"/>
      <c r="H240" s="19" t="n"/>
      <c r="I240" s="19" t="n"/>
      <c r="J240" s="19" t="n"/>
      <c r="K240" s="19" t="n"/>
      <c r="M240" s="19" t="n"/>
      <c r="O240" s="19" t="n"/>
      <c r="Q240" s="19" t="n"/>
      <c r="R240" s="19" t="n"/>
      <c r="S240" s="19" t="n"/>
      <c r="T240" s="19" t="n"/>
    </row>
    <row r="241" ht="15.75" customHeight="1" s="545">
      <c r="A241" s="19" t="n"/>
      <c r="B241" s="19" t="n"/>
      <c r="C241" s="19" t="n"/>
      <c r="D241" s="19" t="n"/>
      <c r="E241" s="19" t="n"/>
      <c r="F241" s="19" t="n"/>
      <c r="H241" s="19" t="n"/>
      <c r="I241" s="19" t="n"/>
      <c r="J241" s="19" t="n"/>
      <c r="K241" s="19" t="n"/>
      <c r="M241" s="19" t="n"/>
      <c r="O241" s="19" t="n"/>
      <c r="Q241" s="19" t="n"/>
      <c r="R241" s="19" t="n"/>
      <c r="S241" s="19" t="n"/>
      <c r="T241" s="19" t="n"/>
    </row>
    <row r="242" ht="15.75" customHeight="1" s="545">
      <c r="A242" s="19" t="n"/>
      <c r="B242" s="19" t="n"/>
      <c r="C242" s="19" t="n"/>
      <c r="D242" s="19" t="n"/>
      <c r="E242" s="19" t="n"/>
      <c r="F242" s="19" t="n"/>
      <c r="H242" s="19" t="n"/>
      <c r="I242" s="19" t="n"/>
      <c r="J242" s="19" t="n"/>
      <c r="K242" s="19" t="n"/>
      <c r="M242" s="19" t="n"/>
      <c r="O242" s="19" t="n"/>
      <c r="Q242" s="19" t="n"/>
      <c r="R242" s="19" t="n"/>
      <c r="S242" s="19" t="n"/>
      <c r="T242" s="19" t="n"/>
    </row>
    <row r="243" ht="15.75" customHeight="1" s="545">
      <c r="A243" s="19" t="n"/>
      <c r="B243" s="19" t="n"/>
      <c r="C243" s="19" t="n"/>
      <c r="D243" s="19" t="n"/>
      <c r="E243" s="19" t="n"/>
      <c r="F243" s="19" t="n"/>
      <c r="H243" s="19" t="n"/>
      <c r="I243" s="19" t="n"/>
      <c r="J243" s="19" t="n"/>
      <c r="K243" s="19" t="n"/>
      <c r="M243" s="19" t="n"/>
      <c r="O243" s="19" t="n"/>
      <c r="Q243" s="19" t="n"/>
      <c r="R243" s="19" t="n"/>
      <c r="S243" s="19" t="n"/>
      <c r="T243" s="19" t="n"/>
    </row>
    <row r="244" ht="15.75" customHeight="1" s="545">
      <c r="A244" s="19" t="n"/>
      <c r="B244" s="19" t="n"/>
      <c r="C244" s="19" t="n"/>
      <c r="D244" s="19" t="n"/>
      <c r="E244" s="19" t="n"/>
      <c r="F244" s="19" t="n"/>
      <c r="H244" s="19" t="n"/>
      <c r="I244" s="19" t="n"/>
      <c r="J244" s="19" t="n"/>
      <c r="K244" s="19" t="n"/>
      <c r="M244" s="19" t="n"/>
      <c r="O244" s="19" t="n"/>
      <c r="Q244" s="19" t="n"/>
      <c r="R244" s="19" t="n"/>
      <c r="S244" s="19" t="n"/>
      <c r="T244" s="19" t="n"/>
    </row>
    <row r="245" ht="15.75" customHeight="1" s="545">
      <c r="A245" s="19" t="n"/>
      <c r="B245" s="19" t="n"/>
      <c r="C245" s="19" t="n"/>
      <c r="D245" s="19" t="n"/>
      <c r="E245" s="19" t="n"/>
      <c r="F245" s="19" t="n"/>
      <c r="H245" s="19" t="n"/>
      <c r="I245" s="19" t="n"/>
      <c r="J245" s="19" t="n"/>
      <c r="K245" s="19" t="n"/>
      <c r="M245" s="19" t="n"/>
      <c r="O245" s="19" t="n"/>
      <c r="Q245" s="19" t="n"/>
      <c r="R245" s="19" t="n"/>
      <c r="S245" s="19" t="n"/>
      <c r="T245" s="19" t="n"/>
    </row>
    <row r="246" ht="15.75" customHeight="1" s="545">
      <c r="A246" s="19" t="n"/>
      <c r="B246" s="19" t="n"/>
      <c r="C246" s="19" t="n"/>
      <c r="D246" s="19" t="n"/>
      <c r="E246" s="19" t="n"/>
      <c r="F246" s="19" t="n"/>
      <c r="H246" s="19" t="n"/>
      <c r="I246" s="19" t="n"/>
      <c r="J246" s="19" t="n"/>
      <c r="K246" s="19" t="n"/>
      <c r="M246" s="19" t="n"/>
      <c r="O246" s="19" t="n"/>
      <c r="Q246" s="19" t="n"/>
      <c r="R246" s="19" t="n"/>
      <c r="S246" s="19" t="n"/>
      <c r="T246" s="19" t="n"/>
    </row>
    <row r="247" ht="15.75" customHeight="1" s="545">
      <c r="A247" s="19" t="n"/>
      <c r="B247" s="19" t="n"/>
      <c r="C247" s="19" t="n"/>
      <c r="D247" s="19" t="n"/>
      <c r="E247" s="19" t="n"/>
      <c r="F247" s="19" t="n"/>
      <c r="H247" s="19" t="n"/>
      <c r="I247" s="19" t="n"/>
      <c r="J247" s="19" t="n"/>
      <c r="K247" s="19" t="n"/>
      <c r="M247" s="19" t="n"/>
      <c r="O247" s="19" t="n"/>
      <c r="Q247" s="19" t="n"/>
      <c r="R247" s="19" t="n"/>
      <c r="S247" s="19" t="n"/>
      <c r="T247" s="19" t="n"/>
    </row>
    <row r="248" ht="15.75" customHeight="1" s="545">
      <c r="A248" s="19" t="n"/>
      <c r="B248" s="19" t="n"/>
      <c r="C248" s="19" t="n"/>
      <c r="D248" s="19" t="n"/>
      <c r="E248" s="19" t="n"/>
      <c r="F248" s="19" t="n"/>
      <c r="H248" s="19" t="n"/>
      <c r="I248" s="19" t="n"/>
      <c r="J248" s="19" t="n"/>
      <c r="K248" s="19" t="n"/>
      <c r="M248" s="19" t="n"/>
      <c r="O248" s="19" t="n"/>
      <c r="Q248" s="19" t="n"/>
      <c r="R248" s="19" t="n"/>
      <c r="S248" s="19" t="n"/>
      <c r="T248" s="19" t="n"/>
    </row>
    <row r="249" ht="15.75" customHeight="1" s="545">
      <c r="A249" s="19" t="n"/>
      <c r="B249" s="19" t="n"/>
      <c r="C249" s="19" t="n"/>
      <c r="D249" s="19" t="n"/>
      <c r="E249" s="19" t="n"/>
      <c r="F249" s="19" t="n"/>
      <c r="H249" s="19" t="n"/>
      <c r="I249" s="19" t="n"/>
      <c r="J249" s="19" t="n"/>
      <c r="K249" s="19" t="n"/>
      <c r="M249" s="19" t="n"/>
      <c r="O249" s="19" t="n"/>
      <c r="Q249" s="19" t="n"/>
      <c r="R249" s="19" t="n"/>
      <c r="S249" s="19" t="n"/>
      <c r="T249" s="19" t="n"/>
    </row>
    <row r="250" ht="15.75" customHeight="1" s="545">
      <c r="A250" s="19" t="n"/>
      <c r="B250" s="19" t="n"/>
      <c r="C250" s="19" t="n"/>
      <c r="D250" s="19" t="n"/>
      <c r="E250" s="19" t="n"/>
      <c r="F250" s="19" t="n"/>
      <c r="H250" s="19" t="n"/>
      <c r="I250" s="19" t="n"/>
      <c r="J250" s="19" t="n"/>
      <c r="K250" s="19" t="n"/>
      <c r="M250" s="19" t="n"/>
      <c r="O250" s="19" t="n"/>
      <c r="Q250" s="19" t="n"/>
      <c r="R250" s="19" t="n"/>
      <c r="S250" s="19" t="n"/>
      <c r="T250" s="19" t="n"/>
    </row>
    <row r="251" ht="15.75" customHeight="1" s="545">
      <c r="A251" s="19" t="n"/>
      <c r="B251" s="19" t="n"/>
      <c r="C251" s="19" t="n"/>
      <c r="D251" s="19" t="n"/>
      <c r="E251" s="19" t="n"/>
      <c r="F251" s="19" t="n"/>
      <c r="H251" s="19" t="n"/>
      <c r="I251" s="19" t="n"/>
      <c r="J251" s="19" t="n"/>
      <c r="K251" s="19" t="n"/>
      <c r="M251" s="19" t="n"/>
      <c r="O251" s="19" t="n"/>
      <c r="Q251" s="19" t="n"/>
      <c r="R251" s="19" t="n"/>
      <c r="S251" s="19" t="n"/>
      <c r="T251" s="19" t="n"/>
    </row>
    <row r="252" ht="15.75" customHeight="1" s="545">
      <c r="A252" s="19" t="n"/>
      <c r="B252" s="19" t="n"/>
      <c r="C252" s="19" t="n"/>
      <c r="D252" s="19" t="n"/>
      <c r="E252" s="19" t="n"/>
      <c r="F252" s="19" t="n"/>
      <c r="H252" s="19" t="n"/>
      <c r="I252" s="19" t="n"/>
      <c r="J252" s="19" t="n"/>
      <c r="K252" s="19" t="n"/>
      <c r="M252" s="19" t="n"/>
      <c r="O252" s="19" t="n"/>
      <c r="Q252" s="19" t="n"/>
      <c r="R252" s="19" t="n"/>
      <c r="S252" s="19" t="n"/>
      <c r="T252" s="19" t="n"/>
    </row>
    <row r="253" ht="15.75" customHeight="1" s="545">
      <c r="A253" s="19" t="n"/>
      <c r="B253" s="19" t="n"/>
      <c r="C253" s="19" t="n"/>
      <c r="D253" s="19" t="n"/>
      <c r="E253" s="19" t="n"/>
      <c r="F253" s="19" t="n"/>
      <c r="H253" s="19" t="n"/>
      <c r="I253" s="19" t="n"/>
      <c r="J253" s="19" t="n"/>
      <c r="K253" s="19" t="n"/>
      <c r="M253" s="19" t="n"/>
      <c r="O253" s="19" t="n"/>
      <c r="Q253" s="19" t="n"/>
      <c r="R253" s="19" t="n"/>
      <c r="S253" s="19" t="n"/>
      <c r="T253" s="19" t="n"/>
    </row>
    <row r="254" ht="15.75" customHeight="1" s="545">
      <c r="A254" s="19" t="n"/>
      <c r="B254" s="19" t="n"/>
      <c r="C254" s="19" t="n"/>
      <c r="D254" s="19" t="n"/>
      <c r="E254" s="19" t="n"/>
      <c r="F254" s="19" t="n"/>
      <c r="H254" s="19" t="n"/>
      <c r="I254" s="19" t="n"/>
      <c r="J254" s="19" t="n"/>
      <c r="K254" s="19" t="n"/>
      <c r="M254" s="19" t="n"/>
      <c r="O254" s="19" t="n"/>
      <c r="Q254" s="19" t="n"/>
      <c r="R254" s="19" t="n"/>
      <c r="S254" s="19" t="n"/>
      <c r="T254" s="19" t="n"/>
    </row>
    <row r="255" ht="15.75" customHeight="1" s="545">
      <c r="A255" s="19" t="n"/>
      <c r="B255" s="19" t="n"/>
      <c r="C255" s="19" t="n"/>
      <c r="D255" s="19" t="n"/>
      <c r="E255" s="19" t="n"/>
      <c r="F255" s="19" t="n"/>
      <c r="H255" s="19" t="n"/>
      <c r="I255" s="19" t="n"/>
      <c r="J255" s="19" t="n"/>
      <c r="K255" s="19" t="n"/>
      <c r="M255" s="19" t="n"/>
      <c r="O255" s="19" t="n"/>
      <c r="Q255" s="19" t="n"/>
      <c r="R255" s="19" t="n"/>
      <c r="S255" s="19" t="n"/>
      <c r="T255" s="19" t="n"/>
    </row>
    <row r="256" ht="15.75" customHeight="1" s="545">
      <c r="A256" s="19" t="n"/>
      <c r="B256" s="19" t="n"/>
      <c r="C256" s="19" t="n"/>
      <c r="D256" s="19" t="n"/>
      <c r="E256" s="19" t="n"/>
      <c r="F256" s="19" t="n"/>
      <c r="H256" s="19" t="n"/>
      <c r="I256" s="19" t="n"/>
      <c r="J256" s="19" t="n"/>
      <c r="K256" s="19" t="n"/>
      <c r="M256" s="19" t="n"/>
      <c r="O256" s="19" t="n"/>
      <c r="Q256" s="19" t="n"/>
      <c r="R256" s="19" t="n"/>
      <c r="S256" s="19" t="n"/>
      <c r="T256" s="19" t="n"/>
    </row>
    <row r="257" ht="15.75" customHeight="1" s="545">
      <c r="A257" s="19" t="n"/>
      <c r="B257" s="19" t="n"/>
      <c r="C257" s="19" t="n"/>
      <c r="D257" s="19" t="n"/>
      <c r="E257" s="19" t="n"/>
      <c r="F257" s="19" t="n"/>
      <c r="H257" s="19" t="n"/>
      <c r="I257" s="19" t="n"/>
      <c r="J257" s="19" t="n"/>
      <c r="K257" s="19" t="n"/>
      <c r="M257" s="19" t="n"/>
      <c r="O257" s="19" t="n"/>
      <c r="Q257" s="19" t="n"/>
      <c r="R257" s="19" t="n"/>
      <c r="S257" s="19" t="n"/>
      <c r="T257" s="19" t="n"/>
    </row>
    <row r="258" ht="15.75" customHeight="1" s="545">
      <c r="A258" s="19" t="n"/>
      <c r="B258" s="19" t="n"/>
      <c r="C258" s="19" t="n"/>
      <c r="D258" s="19" t="n"/>
      <c r="E258" s="19" t="n"/>
      <c r="F258" s="19" t="n"/>
      <c r="H258" s="19" t="n"/>
      <c r="I258" s="19" t="n"/>
      <c r="J258" s="19" t="n"/>
      <c r="K258" s="19" t="n"/>
      <c r="M258" s="19" t="n"/>
      <c r="O258" s="19" t="n"/>
      <c r="Q258" s="19" t="n"/>
      <c r="R258" s="19" t="n"/>
      <c r="S258" s="19" t="n"/>
      <c r="T258" s="19" t="n"/>
    </row>
    <row r="259" ht="15.75" customHeight="1" s="545">
      <c r="A259" s="19" t="n"/>
      <c r="B259" s="19" t="n"/>
      <c r="C259" s="19" t="n"/>
      <c r="D259" s="19" t="n"/>
      <c r="E259" s="19" t="n"/>
      <c r="F259" s="19" t="n"/>
      <c r="H259" s="19" t="n"/>
      <c r="I259" s="19" t="n"/>
      <c r="J259" s="19" t="n"/>
      <c r="K259" s="19" t="n"/>
      <c r="M259" s="19" t="n"/>
      <c r="O259" s="19" t="n"/>
      <c r="Q259" s="19" t="n"/>
      <c r="R259" s="19" t="n"/>
      <c r="S259" s="19" t="n"/>
      <c r="T259" s="19" t="n"/>
    </row>
    <row r="260" ht="15.75" customHeight="1" s="545">
      <c r="A260" s="19" t="n"/>
      <c r="B260" s="19" t="n"/>
      <c r="C260" s="19" t="n"/>
      <c r="D260" s="19" t="n"/>
      <c r="E260" s="19" t="n"/>
      <c r="F260" s="19" t="n"/>
      <c r="H260" s="19" t="n"/>
      <c r="I260" s="19" t="n"/>
      <c r="J260" s="19" t="n"/>
      <c r="K260" s="19" t="n"/>
      <c r="M260" s="19" t="n"/>
      <c r="O260" s="19" t="n"/>
      <c r="Q260" s="19" t="n"/>
      <c r="R260" s="19" t="n"/>
      <c r="S260" s="19" t="n"/>
      <c r="T260" s="19" t="n"/>
    </row>
    <row r="261" ht="15.75" customHeight="1" s="545">
      <c r="A261" s="19" t="n"/>
      <c r="B261" s="19" t="n"/>
      <c r="C261" s="19" t="n"/>
      <c r="D261" s="19" t="n"/>
      <c r="E261" s="19" t="n"/>
      <c r="F261" s="19" t="n"/>
      <c r="H261" s="19" t="n"/>
      <c r="I261" s="19" t="n"/>
      <c r="J261" s="19" t="n"/>
      <c r="K261" s="19" t="n"/>
      <c r="M261" s="19" t="n"/>
      <c r="O261" s="19" t="n"/>
      <c r="Q261" s="19" t="n"/>
      <c r="R261" s="19" t="n"/>
      <c r="S261" s="19" t="n"/>
      <c r="T261" s="19" t="n"/>
    </row>
    <row r="262" ht="15.75" customHeight="1" s="545">
      <c r="A262" s="19" t="n"/>
      <c r="B262" s="19" t="n"/>
      <c r="C262" s="19" t="n"/>
      <c r="D262" s="19" t="n"/>
      <c r="E262" s="19" t="n"/>
      <c r="F262" s="19" t="n"/>
      <c r="H262" s="19" t="n"/>
      <c r="I262" s="19" t="n"/>
      <c r="J262" s="19" t="n"/>
      <c r="K262" s="19" t="n"/>
      <c r="M262" s="19" t="n"/>
      <c r="O262" s="19" t="n"/>
      <c r="Q262" s="19" t="n"/>
      <c r="R262" s="19" t="n"/>
      <c r="S262" s="19" t="n"/>
      <c r="T262" s="19" t="n"/>
    </row>
    <row r="263" ht="15.75" customHeight="1" s="545">
      <c r="A263" s="19" t="n"/>
      <c r="B263" s="19" t="n"/>
      <c r="C263" s="19" t="n"/>
      <c r="D263" s="19" t="n"/>
      <c r="E263" s="19" t="n"/>
      <c r="F263" s="19" t="n"/>
      <c r="H263" s="19" t="n"/>
      <c r="I263" s="19" t="n"/>
      <c r="J263" s="19" t="n"/>
      <c r="K263" s="19" t="n"/>
      <c r="M263" s="19" t="n"/>
      <c r="O263" s="19" t="n"/>
      <c r="Q263" s="19" t="n"/>
      <c r="R263" s="19" t="n"/>
      <c r="S263" s="19" t="n"/>
      <c r="T263" s="19" t="n"/>
    </row>
    <row r="264" ht="15.75" customHeight="1" s="545">
      <c r="A264" s="19" t="n"/>
      <c r="B264" s="19" t="n"/>
      <c r="C264" s="19" t="n"/>
      <c r="D264" s="19" t="n"/>
      <c r="E264" s="19" t="n"/>
      <c r="F264" s="19" t="n"/>
      <c r="H264" s="19" t="n"/>
      <c r="I264" s="19" t="n"/>
      <c r="J264" s="19" t="n"/>
      <c r="K264" s="19" t="n"/>
      <c r="M264" s="19" t="n"/>
      <c r="O264" s="19" t="n"/>
      <c r="Q264" s="19" t="n"/>
      <c r="R264" s="19" t="n"/>
      <c r="S264" s="19" t="n"/>
      <c r="T264" s="19" t="n"/>
    </row>
    <row r="265" ht="15.75" customHeight="1" s="545">
      <c r="A265" s="19" t="n"/>
      <c r="B265" s="19" t="n"/>
      <c r="C265" s="19" t="n"/>
      <c r="D265" s="19" t="n"/>
      <c r="E265" s="19" t="n"/>
      <c r="F265" s="19" t="n"/>
      <c r="H265" s="19" t="n"/>
      <c r="I265" s="19" t="n"/>
      <c r="J265" s="19" t="n"/>
      <c r="K265" s="19" t="n"/>
      <c r="M265" s="19" t="n"/>
      <c r="O265" s="19" t="n"/>
      <c r="Q265" s="19" t="n"/>
      <c r="R265" s="19" t="n"/>
      <c r="S265" s="19" t="n"/>
      <c r="T265" s="19" t="n"/>
    </row>
    <row r="266" ht="15.75" customHeight="1" s="545">
      <c r="A266" s="19" t="n"/>
      <c r="B266" s="19" t="n"/>
      <c r="C266" s="19" t="n"/>
      <c r="D266" s="19" t="n"/>
      <c r="E266" s="19" t="n"/>
      <c r="F266" s="19" t="n"/>
      <c r="H266" s="19" t="n"/>
      <c r="I266" s="19" t="n"/>
      <c r="J266" s="19" t="n"/>
      <c r="K266" s="19" t="n"/>
      <c r="M266" s="19" t="n"/>
      <c r="O266" s="19" t="n"/>
      <c r="Q266" s="19" t="n"/>
      <c r="R266" s="19" t="n"/>
      <c r="S266" s="19" t="n"/>
      <c r="T266" s="19" t="n"/>
    </row>
    <row r="267" ht="15.75" customHeight="1" s="545">
      <c r="A267" s="19" t="n"/>
      <c r="B267" s="19" t="n"/>
      <c r="C267" s="19" t="n"/>
      <c r="D267" s="19" t="n"/>
      <c r="E267" s="19" t="n"/>
      <c r="F267" s="19" t="n"/>
      <c r="H267" s="19" t="n"/>
      <c r="I267" s="19" t="n"/>
      <c r="J267" s="19" t="n"/>
      <c r="K267" s="19" t="n"/>
      <c r="M267" s="19" t="n"/>
      <c r="O267" s="19" t="n"/>
      <c r="Q267" s="19" t="n"/>
      <c r="R267" s="19" t="n"/>
      <c r="S267" s="19" t="n"/>
      <c r="T267" s="19" t="n"/>
    </row>
    <row r="268" ht="15.75" customHeight="1" s="545">
      <c r="A268" s="19" t="n"/>
      <c r="B268" s="19" t="n"/>
      <c r="C268" s="19" t="n"/>
      <c r="D268" s="19" t="n"/>
      <c r="E268" s="19" t="n"/>
      <c r="F268" s="19" t="n"/>
      <c r="H268" s="19" t="n"/>
      <c r="I268" s="19" t="n"/>
      <c r="J268" s="19" t="n"/>
      <c r="K268" s="19" t="n"/>
      <c r="M268" s="19" t="n"/>
      <c r="O268" s="19" t="n"/>
      <c r="Q268" s="19" t="n"/>
      <c r="R268" s="19" t="n"/>
      <c r="S268" s="19" t="n"/>
      <c r="T268" s="19" t="n"/>
    </row>
    <row r="269" ht="15.75" customHeight="1" s="545">
      <c r="A269" s="19" t="n"/>
      <c r="B269" s="19" t="n"/>
      <c r="C269" s="19" t="n"/>
      <c r="D269" s="19" t="n"/>
      <c r="E269" s="19" t="n"/>
      <c r="F269" s="19" t="n"/>
      <c r="H269" s="19" t="n"/>
      <c r="I269" s="19" t="n"/>
      <c r="J269" s="19" t="n"/>
      <c r="K269" s="19" t="n"/>
      <c r="M269" s="19" t="n"/>
      <c r="O269" s="19" t="n"/>
      <c r="Q269" s="19" t="n"/>
      <c r="R269" s="19" t="n"/>
      <c r="S269" s="19" t="n"/>
      <c r="T269" s="19" t="n"/>
    </row>
    <row r="270" ht="15.75" customHeight="1" s="545">
      <c r="A270" s="19" t="n"/>
      <c r="B270" s="19" t="n"/>
      <c r="C270" s="19" t="n"/>
      <c r="D270" s="19" t="n"/>
      <c r="E270" s="19" t="n"/>
      <c r="F270" s="19" t="n"/>
      <c r="H270" s="19" t="n"/>
      <c r="I270" s="19" t="n"/>
      <c r="J270" s="19" t="n"/>
      <c r="K270" s="19" t="n"/>
      <c r="M270" s="19" t="n"/>
      <c r="O270" s="19" t="n"/>
      <c r="Q270" s="19" t="n"/>
      <c r="R270" s="19" t="n"/>
      <c r="S270" s="19" t="n"/>
      <c r="T270" s="19" t="n"/>
    </row>
    <row r="271" ht="15.75" customHeight="1" s="545">
      <c r="A271" s="19" t="n"/>
      <c r="B271" s="19" t="n"/>
      <c r="C271" s="19" t="n"/>
      <c r="D271" s="19" t="n"/>
      <c r="E271" s="19" t="n"/>
      <c r="F271" s="19" t="n"/>
      <c r="H271" s="19" t="n"/>
      <c r="I271" s="19" t="n"/>
      <c r="J271" s="19" t="n"/>
      <c r="K271" s="19" t="n"/>
      <c r="M271" s="19" t="n"/>
      <c r="O271" s="19" t="n"/>
      <c r="Q271" s="19" t="n"/>
      <c r="R271" s="19" t="n"/>
      <c r="S271" s="19" t="n"/>
      <c r="T271" s="19" t="n"/>
    </row>
    <row r="272" ht="15.75" customHeight="1" s="545">
      <c r="A272" s="19" t="n"/>
      <c r="B272" s="19" t="n"/>
      <c r="C272" s="19" t="n"/>
      <c r="D272" s="19" t="n"/>
      <c r="E272" s="19" t="n"/>
      <c r="F272" s="19" t="n"/>
      <c r="H272" s="19" t="n"/>
      <c r="I272" s="19" t="n"/>
      <c r="J272" s="19" t="n"/>
      <c r="K272" s="19" t="n"/>
      <c r="M272" s="19" t="n"/>
      <c r="O272" s="19" t="n"/>
      <c r="Q272" s="19" t="n"/>
      <c r="R272" s="19" t="n"/>
      <c r="S272" s="19" t="n"/>
      <c r="T272" s="19" t="n"/>
    </row>
    <row r="273" ht="15.75" customHeight="1" s="545">
      <c r="A273" s="19" t="n"/>
      <c r="B273" s="19" t="n"/>
      <c r="C273" s="19" t="n"/>
      <c r="D273" s="19" t="n"/>
      <c r="E273" s="19" t="n"/>
      <c r="F273" s="19" t="n"/>
      <c r="H273" s="19" t="n"/>
      <c r="I273" s="19" t="n"/>
      <c r="J273" s="19" t="n"/>
      <c r="K273" s="19" t="n"/>
      <c r="M273" s="19" t="n"/>
      <c r="O273" s="19" t="n"/>
      <c r="Q273" s="19" t="n"/>
      <c r="R273" s="19" t="n"/>
      <c r="S273" s="19" t="n"/>
      <c r="T273" s="19" t="n"/>
    </row>
    <row r="274" ht="15.75" customHeight="1" s="545">
      <c r="A274" s="19" t="n"/>
      <c r="B274" s="19" t="n"/>
      <c r="C274" s="19" t="n"/>
      <c r="D274" s="19" t="n"/>
      <c r="E274" s="19" t="n"/>
      <c r="F274" s="19" t="n"/>
      <c r="H274" s="19" t="n"/>
      <c r="I274" s="19" t="n"/>
      <c r="J274" s="19" t="n"/>
      <c r="K274" s="19" t="n"/>
      <c r="M274" s="19" t="n"/>
      <c r="O274" s="19" t="n"/>
      <c r="Q274" s="19" t="n"/>
      <c r="R274" s="19" t="n"/>
      <c r="S274" s="19" t="n"/>
      <c r="T274" s="19" t="n"/>
    </row>
    <row r="275" ht="15.75" customHeight="1" s="545">
      <c r="A275" s="19" t="n"/>
      <c r="B275" s="19" t="n"/>
      <c r="C275" s="19" t="n"/>
      <c r="D275" s="19" t="n"/>
      <c r="E275" s="19" t="n"/>
      <c r="F275" s="19" t="n"/>
      <c r="H275" s="19" t="n"/>
      <c r="I275" s="19" t="n"/>
      <c r="J275" s="19" t="n"/>
      <c r="K275" s="19" t="n"/>
      <c r="M275" s="19" t="n"/>
      <c r="O275" s="19" t="n"/>
      <c r="Q275" s="19" t="n"/>
      <c r="R275" s="19" t="n"/>
      <c r="S275" s="19" t="n"/>
      <c r="T275" s="19" t="n"/>
    </row>
    <row r="276" ht="15.75" customHeight="1" s="545">
      <c r="A276" s="19" t="n"/>
      <c r="B276" s="19" t="n"/>
      <c r="C276" s="19" t="n"/>
      <c r="D276" s="19" t="n"/>
      <c r="E276" s="19" t="n"/>
      <c r="F276" s="19" t="n"/>
      <c r="H276" s="19" t="n"/>
      <c r="I276" s="19" t="n"/>
      <c r="J276" s="19" t="n"/>
      <c r="K276" s="19" t="n"/>
      <c r="M276" s="19" t="n"/>
      <c r="O276" s="19" t="n"/>
      <c r="Q276" s="19" t="n"/>
      <c r="R276" s="19" t="n"/>
      <c r="S276" s="19" t="n"/>
      <c r="T276" s="19" t="n"/>
    </row>
    <row r="277" ht="15.75" customHeight="1" s="545">
      <c r="A277" s="19" t="n"/>
      <c r="B277" s="19" t="n"/>
      <c r="C277" s="19" t="n"/>
      <c r="D277" s="19" t="n"/>
      <c r="E277" s="19" t="n"/>
      <c r="F277" s="19" t="n"/>
      <c r="H277" s="19" t="n"/>
      <c r="I277" s="19" t="n"/>
      <c r="J277" s="19" t="n"/>
      <c r="K277" s="19" t="n"/>
      <c r="M277" s="19" t="n"/>
      <c r="O277" s="19" t="n"/>
      <c r="Q277" s="19" t="n"/>
      <c r="R277" s="19" t="n"/>
      <c r="S277" s="19" t="n"/>
      <c r="T277" s="19" t="n"/>
    </row>
    <row r="278" ht="15.75" customHeight="1" s="545">
      <c r="A278" s="19" t="n"/>
      <c r="B278" s="19" t="n"/>
      <c r="C278" s="19" t="n"/>
      <c r="D278" s="19" t="n"/>
      <c r="E278" s="19" t="n"/>
      <c r="F278" s="19" t="n"/>
      <c r="H278" s="19" t="n"/>
      <c r="I278" s="19" t="n"/>
      <c r="J278" s="19" t="n"/>
      <c r="K278" s="19" t="n"/>
      <c r="M278" s="19" t="n"/>
      <c r="O278" s="19" t="n"/>
      <c r="Q278" s="19" t="n"/>
      <c r="R278" s="19" t="n"/>
      <c r="S278" s="19" t="n"/>
      <c r="T278" s="19" t="n"/>
    </row>
    <row r="279" ht="15.75" customHeight="1" s="545">
      <c r="A279" s="19" t="n"/>
      <c r="B279" s="19" t="n"/>
      <c r="C279" s="19" t="n"/>
      <c r="D279" s="19" t="n"/>
      <c r="E279" s="19" t="n"/>
      <c r="F279" s="19" t="n"/>
      <c r="H279" s="19" t="n"/>
      <c r="I279" s="19" t="n"/>
      <c r="J279" s="19" t="n"/>
      <c r="K279" s="19" t="n"/>
      <c r="M279" s="19" t="n"/>
      <c r="O279" s="19" t="n"/>
      <c r="Q279" s="19" t="n"/>
      <c r="R279" s="19" t="n"/>
      <c r="S279" s="19" t="n"/>
      <c r="T279" s="19" t="n"/>
    </row>
    <row r="280" ht="15.75" customHeight="1" s="545">
      <c r="A280" s="19" t="n"/>
      <c r="B280" s="19" t="n"/>
      <c r="C280" s="19" t="n"/>
      <c r="D280" s="19" t="n"/>
      <c r="E280" s="19" t="n"/>
      <c r="F280" s="19" t="n"/>
      <c r="H280" s="19" t="n"/>
      <c r="I280" s="19" t="n"/>
      <c r="J280" s="19" t="n"/>
      <c r="K280" s="19" t="n"/>
      <c r="M280" s="19" t="n"/>
      <c r="O280" s="19" t="n"/>
      <c r="Q280" s="19" t="n"/>
      <c r="R280" s="19" t="n"/>
      <c r="S280" s="19" t="n"/>
      <c r="T280" s="19" t="n"/>
    </row>
    <row r="281" ht="15.75" customHeight="1" s="545">
      <c r="A281" s="19" t="n"/>
      <c r="B281" s="19" t="n"/>
      <c r="C281" s="19" t="n"/>
      <c r="D281" s="19" t="n"/>
      <c r="E281" s="19" t="n"/>
      <c r="F281" s="19" t="n"/>
      <c r="H281" s="19" t="n"/>
      <c r="I281" s="19" t="n"/>
      <c r="J281" s="19" t="n"/>
      <c r="K281" s="19" t="n"/>
      <c r="M281" s="19" t="n"/>
      <c r="O281" s="19" t="n"/>
      <c r="Q281" s="19" t="n"/>
      <c r="R281" s="19" t="n"/>
      <c r="S281" s="19" t="n"/>
      <c r="T281" s="19" t="n"/>
    </row>
    <row r="282" ht="15.75" customHeight="1" s="545">
      <c r="A282" s="19" t="n"/>
      <c r="B282" s="19" t="n"/>
      <c r="C282" s="19" t="n"/>
      <c r="D282" s="19" t="n"/>
      <c r="E282" s="19" t="n"/>
      <c r="F282" s="19" t="n"/>
      <c r="H282" s="19" t="n"/>
      <c r="I282" s="19" t="n"/>
      <c r="J282" s="19" t="n"/>
      <c r="K282" s="19" t="n"/>
      <c r="M282" s="19" t="n"/>
      <c r="O282" s="19" t="n"/>
      <c r="Q282" s="19" t="n"/>
      <c r="R282" s="19" t="n"/>
      <c r="S282" s="19" t="n"/>
      <c r="T282" s="19" t="n"/>
    </row>
    <row r="283" ht="15.75" customHeight="1" s="545">
      <c r="A283" s="19" t="n"/>
      <c r="B283" s="19" t="n"/>
      <c r="C283" s="19" t="n"/>
      <c r="D283" s="19" t="n"/>
      <c r="E283" s="19" t="n"/>
      <c r="F283" s="19" t="n"/>
      <c r="H283" s="19" t="n"/>
      <c r="I283" s="19" t="n"/>
      <c r="J283" s="19" t="n"/>
      <c r="K283" s="19" t="n"/>
      <c r="M283" s="19" t="n"/>
      <c r="O283" s="19" t="n"/>
      <c r="Q283" s="19" t="n"/>
      <c r="R283" s="19" t="n"/>
      <c r="S283" s="19" t="n"/>
      <c r="T283" s="19" t="n"/>
    </row>
    <row r="284" ht="15.75" customHeight="1" s="545">
      <c r="A284" s="19" t="n"/>
      <c r="B284" s="19" t="n"/>
      <c r="C284" s="19" t="n"/>
      <c r="D284" s="19" t="n"/>
      <c r="E284" s="19" t="n"/>
      <c r="F284" s="19" t="n"/>
      <c r="H284" s="19" t="n"/>
      <c r="I284" s="19" t="n"/>
      <c r="J284" s="19" t="n"/>
      <c r="K284" s="19" t="n"/>
      <c r="M284" s="19" t="n"/>
      <c r="O284" s="19" t="n"/>
      <c r="Q284" s="19" t="n"/>
      <c r="R284" s="19" t="n"/>
      <c r="S284" s="19" t="n"/>
      <c r="T284" s="19" t="n"/>
    </row>
    <row r="285" ht="15.75" customHeight="1" s="545">
      <c r="A285" s="19" t="n"/>
      <c r="B285" s="19" t="n"/>
      <c r="C285" s="19" t="n"/>
      <c r="D285" s="19" t="n"/>
      <c r="E285" s="19" t="n"/>
      <c r="F285" s="19" t="n"/>
      <c r="H285" s="19" t="n"/>
      <c r="I285" s="19" t="n"/>
      <c r="J285" s="19" t="n"/>
      <c r="K285" s="19" t="n"/>
      <c r="M285" s="19" t="n"/>
      <c r="O285" s="19" t="n"/>
      <c r="Q285" s="19" t="n"/>
      <c r="R285" s="19" t="n"/>
      <c r="S285" s="19" t="n"/>
      <c r="T285" s="19" t="n"/>
    </row>
    <row r="286" ht="15.75" customHeight="1" s="545">
      <c r="A286" s="19" t="n"/>
      <c r="B286" s="19" t="n"/>
      <c r="C286" s="19" t="n"/>
      <c r="D286" s="19" t="n"/>
      <c r="E286" s="19" t="n"/>
      <c r="F286" s="19" t="n"/>
      <c r="H286" s="19" t="n"/>
      <c r="I286" s="19" t="n"/>
      <c r="J286" s="19" t="n"/>
      <c r="K286" s="19" t="n"/>
      <c r="M286" s="19" t="n"/>
      <c r="O286" s="19" t="n"/>
      <c r="Q286" s="19" t="n"/>
      <c r="R286" s="19" t="n"/>
      <c r="S286" s="19" t="n"/>
      <c r="T286" s="19" t="n"/>
    </row>
    <row r="287" ht="15.75" customHeight="1" s="545">
      <c r="A287" s="19" t="n"/>
      <c r="B287" s="19" t="n"/>
      <c r="C287" s="19" t="n"/>
      <c r="D287" s="19" t="n"/>
      <c r="E287" s="19" t="n"/>
      <c r="F287" s="19" t="n"/>
      <c r="H287" s="19" t="n"/>
      <c r="I287" s="19" t="n"/>
      <c r="J287" s="19" t="n"/>
      <c r="K287" s="19" t="n"/>
      <c r="M287" s="19" t="n"/>
      <c r="O287" s="19" t="n"/>
      <c r="Q287" s="19" t="n"/>
      <c r="R287" s="19" t="n"/>
      <c r="S287" s="19" t="n"/>
      <c r="T287" s="19" t="n"/>
    </row>
    <row r="288" ht="15.75" customHeight="1" s="545">
      <c r="A288" s="19" t="n"/>
      <c r="B288" s="19" t="n"/>
      <c r="C288" s="19" t="n"/>
      <c r="D288" s="19" t="n"/>
      <c r="E288" s="19" t="n"/>
      <c r="F288" s="19" t="n"/>
      <c r="H288" s="19" t="n"/>
      <c r="I288" s="19" t="n"/>
      <c r="J288" s="19" t="n"/>
      <c r="K288" s="19" t="n"/>
      <c r="M288" s="19" t="n"/>
      <c r="O288" s="19" t="n"/>
      <c r="Q288" s="19" t="n"/>
      <c r="R288" s="19" t="n"/>
      <c r="S288" s="19" t="n"/>
      <c r="T288" s="19" t="n"/>
    </row>
    <row r="289" ht="15.75" customHeight="1" s="545">
      <c r="A289" s="19" t="n"/>
      <c r="B289" s="19" t="n"/>
      <c r="C289" s="19" t="n"/>
      <c r="D289" s="19" t="n"/>
      <c r="E289" s="19" t="n"/>
      <c r="F289" s="19" t="n"/>
      <c r="H289" s="19" t="n"/>
      <c r="I289" s="19" t="n"/>
      <c r="J289" s="19" t="n"/>
      <c r="K289" s="19" t="n"/>
      <c r="M289" s="19" t="n"/>
      <c r="O289" s="19" t="n"/>
      <c r="Q289" s="19" t="n"/>
      <c r="R289" s="19" t="n"/>
      <c r="S289" s="19" t="n"/>
      <c r="T289" s="19" t="n"/>
    </row>
    <row r="290" ht="15.75" customHeight="1" s="545">
      <c r="A290" s="19" t="n"/>
      <c r="B290" s="19" t="n"/>
      <c r="C290" s="19" t="n"/>
      <c r="D290" s="19" t="n"/>
      <c r="E290" s="19" t="n"/>
      <c r="F290" s="19" t="n"/>
      <c r="H290" s="19" t="n"/>
      <c r="I290" s="19" t="n"/>
      <c r="J290" s="19" t="n"/>
      <c r="K290" s="19" t="n"/>
      <c r="M290" s="19" t="n"/>
      <c r="O290" s="19" t="n"/>
      <c r="Q290" s="19" t="n"/>
      <c r="R290" s="19" t="n"/>
      <c r="S290" s="19" t="n"/>
      <c r="T290" s="19" t="n"/>
    </row>
    <row r="291" ht="15.75" customHeight="1" s="545">
      <c r="A291" s="19" t="n"/>
      <c r="B291" s="19" t="n"/>
      <c r="C291" s="19" t="n"/>
      <c r="D291" s="19" t="n"/>
      <c r="E291" s="19" t="n"/>
      <c r="F291" s="19" t="n"/>
      <c r="H291" s="19" t="n"/>
      <c r="I291" s="19" t="n"/>
      <c r="J291" s="19" t="n"/>
      <c r="K291" s="19" t="n"/>
      <c r="M291" s="19" t="n"/>
      <c r="O291" s="19" t="n"/>
      <c r="Q291" s="19" t="n"/>
      <c r="R291" s="19" t="n"/>
      <c r="S291" s="19" t="n"/>
      <c r="T291" s="19" t="n"/>
    </row>
    <row r="292" ht="15.75" customHeight="1" s="545">
      <c r="A292" s="19" t="n"/>
      <c r="B292" s="19" t="n"/>
      <c r="C292" s="19" t="n"/>
      <c r="D292" s="19" t="n"/>
      <c r="E292" s="19" t="n"/>
      <c r="F292" s="19" t="n"/>
      <c r="H292" s="19" t="n"/>
      <c r="I292" s="19" t="n"/>
      <c r="J292" s="19" t="n"/>
      <c r="K292" s="19" t="n"/>
      <c r="M292" s="19" t="n"/>
      <c r="O292" s="19" t="n"/>
      <c r="Q292" s="19" t="n"/>
      <c r="R292" s="19" t="n"/>
      <c r="S292" s="19" t="n"/>
      <c r="T292" s="19" t="n"/>
    </row>
    <row r="293" ht="15.75" customHeight="1" s="545">
      <c r="A293" s="19" t="n"/>
      <c r="B293" s="19" t="n"/>
      <c r="C293" s="19" t="n"/>
      <c r="D293" s="19" t="n"/>
      <c r="E293" s="19" t="n"/>
      <c r="F293" s="19" t="n"/>
      <c r="H293" s="19" t="n"/>
      <c r="I293" s="19" t="n"/>
      <c r="J293" s="19" t="n"/>
      <c r="K293" s="19" t="n"/>
      <c r="M293" s="19" t="n"/>
      <c r="O293" s="19" t="n"/>
      <c r="Q293" s="19" t="n"/>
      <c r="R293" s="19" t="n"/>
      <c r="S293" s="19" t="n"/>
      <c r="T293" s="19" t="n"/>
    </row>
    <row r="294" ht="15.75" customHeight="1" s="545">
      <c r="A294" s="19" t="n"/>
      <c r="B294" s="19" t="n"/>
      <c r="C294" s="19" t="n"/>
      <c r="D294" s="19" t="n"/>
      <c r="E294" s="19" t="n"/>
      <c r="F294" s="19" t="n"/>
      <c r="H294" s="19" t="n"/>
      <c r="I294" s="19" t="n"/>
      <c r="J294" s="19" t="n"/>
      <c r="K294" s="19" t="n"/>
      <c r="M294" s="19" t="n"/>
      <c r="O294" s="19" t="n"/>
      <c r="Q294" s="19" t="n"/>
      <c r="R294" s="19" t="n"/>
      <c r="S294" s="19" t="n"/>
      <c r="T294" s="19" t="n"/>
    </row>
    <row r="295" ht="15.75" customHeight="1" s="545">
      <c r="A295" s="19" t="n"/>
      <c r="B295" s="19" t="n"/>
      <c r="C295" s="19" t="n"/>
      <c r="D295" s="19" t="n"/>
      <c r="E295" s="19" t="n"/>
      <c r="F295" s="19" t="n"/>
      <c r="H295" s="19" t="n"/>
      <c r="I295" s="19" t="n"/>
      <c r="J295" s="19" t="n"/>
      <c r="K295" s="19" t="n"/>
      <c r="M295" s="19" t="n"/>
      <c r="O295" s="19" t="n"/>
      <c r="Q295" s="19" t="n"/>
      <c r="R295" s="19" t="n"/>
      <c r="S295" s="19" t="n"/>
      <c r="T295" s="19" t="n"/>
    </row>
    <row r="296" ht="15.75" customHeight="1" s="545">
      <c r="A296" s="19" t="n"/>
      <c r="B296" s="19" t="n"/>
      <c r="C296" s="19" t="n"/>
      <c r="D296" s="19" t="n"/>
      <c r="E296" s="19" t="n"/>
      <c r="F296" s="19" t="n"/>
      <c r="H296" s="19" t="n"/>
      <c r="I296" s="19" t="n"/>
      <c r="J296" s="19" t="n"/>
      <c r="K296" s="19" t="n"/>
      <c r="M296" s="19" t="n"/>
      <c r="O296" s="19" t="n"/>
      <c r="Q296" s="19" t="n"/>
      <c r="R296" s="19" t="n"/>
      <c r="S296" s="19" t="n"/>
      <c r="T296" s="19" t="n"/>
    </row>
    <row r="297" ht="15.75" customHeight="1" s="545">
      <c r="A297" s="19" t="n"/>
      <c r="B297" s="19" t="n"/>
      <c r="C297" s="19" t="n"/>
      <c r="D297" s="19" t="n"/>
      <c r="E297" s="19" t="n"/>
      <c r="F297" s="19" t="n"/>
      <c r="H297" s="19" t="n"/>
      <c r="I297" s="19" t="n"/>
      <c r="J297" s="19" t="n"/>
      <c r="K297" s="19" t="n"/>
      <c r="M297" s="19" t="n"/>
      <c r="O297" s="19" t="n"/>
      <c r="Q297" s="19" t="n"/>
      <c r="R297" s="19" t="n"/>
      <c r="S297" s="19" t="n"/>
      <c r="T297" s="19" t="n"/>
    </row>
    <row r="298" ht="15.75" customHeight="1" s="545">
      <c r="A298" s="19" t="n"/>
      <c r="B298" s="19" t="n"/>
      <c r="C298" s="19" t="n"/>
      <c r="D298" s="19" t="n"/>
      <c r="E298" s="19" t="n"/>
      <c r="F298" s="19" t="n"/>
      <c r="H298" s="19" t="n"/>
      <c r="I298" s="19" t="n"/>
      <c r="J298" s="19" t="n"/>
      <c r="K298" s="19" t="n"/>
      <c r="M298" s="19" t="n"/>
      <c r="O298" s="19" t="n"/>
      <c r="Q298" s="19" t="n"/>
      <c r="R298" s="19" t="n"/>
      <c r="S298" s="19" t="n"/>
      <c r="T298" s="19" t="n"/>
    </row>
    <row r="299" ht="15.75" customHeight="1" s="545">
      <c r="A299" s="19" t="n"/>
      <c r="B299" s="19" t="n"/>
      <c r="C299" s="19" t="n"/>
      <c r="D299" s="19" t="n"/>
      <c r="E299" s="19" t="n"/>
      <c r="F299" s="19" t="n"/>
      <c r="H299" s="19" t="n"/>
      <c r="I299" s="19" t="n"/>
      <c r="J299" s="19" t="n"/>
      <c r="K299" s="19" t="n"/>
      <c r="M299" s="19" t="n"/>
      <c r="O299" s="19" t="n"/>
      <c r="Q299" s="19" t="n"/>
      <c r="R299" s="19" t="n"/>
      <c r="S299" s="19" t="n"/>
      <c r="T299" s="19" t="n"/>
    </row>
    <row r="300" ht="15.75" customHeight="1" s="545">
      <c r="A300" s="19" t="n"/>
      <c r="B300" s="19" t="n"/>
      <c r="C300" s="19" t="n"/>
      <c r="D300" s="19" t="n"/>
      <c r="E300" s="19" t="n"/>
      <c r="F300" s="19" t="n"/>
      <c r="H300" s="19" t="n"/>
      <c r="I300" s="19" t="n"/>
      <c r="J300" s="19" t="n"/>
      <c r="K300" s="19" t="n"/>
      <c r="M300" s="19" t="n"/>
      <c r="O300" s="19" t="n"/>
      <c r="Q300" s="19" t="n"/>
      <c r="R300" s="19" t="n"/>
      <c r="S300" s="19" t="n"/>
      <c r="T300" s="19" t="n"/>
    </row>
    <row r="301" ht="15.75" customHeight="1" s="545">
      <c r="A301" s="19" t="n"/>
      <c r="B301" s="19" t="n"/>
      <c r="C301" s="19" t="n"/>
      <c r="D301" s="19" t="n"/>
      <c r="E301" s="19" t="n"/>
      <c r="F301" s="19" t="n"/>
      <c r="H301" s="19" t="n"/>
      <c r="I301" s="19" t="n"/>
      <c r="J301" s="19" t="n"/>
      <c r="K301" s="19" t="n"/>
      <c r="M301" s="19" t="n"/>
      <c r="O301" s="19" t="n"/>
      <c r="Q301" s="19" t="n"/>
      <c r="R301" s="19" t="n"/>
      <c r="S301" s="19" t="n"/>
      <c r="T301" s="19" t="n"/>
    </row>
    <row r="302" ht="15.75" customHeight="1" s="545">
      <c r="A302" s="19" t="n"/>
      <c r="B302" s="19" t="n"/>
      <c r="C302" s="19" t="n"/>
      <c r="D302" s="19" t="n"/>
      <c r="E302" s="19" t="n"/>
      <c r="F302" s="19" t="n"/>
      <c r="H302" s="19" t="n"/>
      <c r="I302" s="19" t="n"/>
      <c r="J302" s="19" t="n"/>
      <c r="K302" s="19" t="n"/>
      <c r="M302" s="19" t="n"/>
      <c r="O302" s="19" t="n"/>
      <c r="Q302" s="19" t="n"/>
      <c r="R302" s="19" t="n"/>
      <c r="S302" s="19" t="n"/>
      <c r="T302" s="19" t="n"/>
    </row>
    <row r="303" ht="15.75" customHeight="1" s="545">
      <c r="A303" s="19" t="n"/>
      <c r="B303" s="19" t="n"/>
      <c r="C303" s="19" t="n"/>
      <c r="D303" s="19" t="n"/>
      <c r="E303" s="19" t="n"/>
      <c r="F303" s="19" t="n"/>
      <c r="H303" s="19" t="n"/>
      <c r="I303" s="19" t="n"/>
      <c r="J303" s="19" t="n"/>
      <c r="K303" s="19" t="n"/>
      <c r="M303" s="19" t="n"/>
      <c r="O303" s="19" t="n"/>
      <c r="Q303" s="19" t="n"/>
      <c r="R303" s="19" t="n"/>
      <c r="S303" s="19" t="n"/>
      <c r="T303" s="19" t="n"/>
    </row>
    <row r="304" ht="15.75" customHeight="1" s="545">
      <c r="A304" s="19" t="n"/>
      <c r="B304" s="19" t="n"/>
      <c r="C304" s="19" t="n"/>
      <c r="D304" s="19" t="n"/>
      <c r="E304" s="19" t="n"/>
      <c r="F304" s="19" t="n"/>
      <c r="H304" s="19" t="n"/>
      <c r="I304" s="19" t="n"/>
      <c r="J304" s="19" t="n"/>
      <c r="K304" s="19" t="n"/>
      <c r="M304" s="19" t="n"/>
      <c r="O304" s="19" t="n"/>
      <c r="Q304" s="19" t="n"/>
      <c r="R304" s="19" t="n"/>
      <c r="S304" s="19" t="n"/>
      <c r="T304" s="19" t="n"/>
    </row>
    <row r="305" ht="15.75" customHeight="1" s="545">
      <c r="A305" s="19" t="n"/>
      <c r="B305" s="19" t="n"/>
      <c r="C305" s="19" t="n"/>
      <c r="D305" s="19" t="n"/>
      <c r="E305" s="19" t="n"/>
      <c r="F305" s="19" t="n"/>
      <c r="H305" s="19" t="n"/>
      <c r="I305" s="19" t="n"/>
      <c r="J305" s="19" t="n"/>
      <c r="K305" s="19" t="n"/>
      <c r="M305" s="19" t="n"/>
      <c r="O305" s="19" t="n"/>
      <c r="Q305" s="19" t="n"/>
      <c r="R305" s="19" t="n"/>
      <c r="S305" s="19" t="n"/>
      <c r="T305" s="19" t="n"/>
    </row>
    <row r="306" ht="15.75" customHeight="1" s="545">
      <c r="A306" s="19" t="n"/>
      <c r="B306" s="19" t="n"/>
      <c r="C306" s="19" t="n"/>
      <c r="D306" s="19" t="n"/>
      <c r="E306" s="19" t="n"/>
      <c r="F306" s="19" t="n"/>
      <c r="H306" s="19" t="n"/>
      <c r="I306" s="19" t="n"/>
      <c r="J306" s="19" t="n"/>
      <c r="K306" s="19" t="n"/>
      <c r="M306" s="19" t="n"/>
      <c r="O306" s="19" t="n"/>
      <c r="Q306" s="19" t="n"/>
      <c r="R306" s="19" t="n"/>
      <c r="S306" s="19" t="n"/>
      <c r="T306" s="19" t="n"/>
    </row>
    <row r="307" ht="15.75" customHeight="1" s="545">
      <c r="A307" s="19" t="n"/>
      <c r="B307" s="19" t="n"/>
      <c r="C307" s="19" t="n"/>
      <c r="D307" s="19" t="n"/>
      <c r="E307" s="19" t="n"/>
      <c r="F307" s="19" t="n"/>
      <c r="H307" s="19" t="n"/>
      <c r="I307" s="19" t="n"/>
      <c r="J307" s="19" t="n"/>
      <c r="K307" s="19" t="n"/>
      <c r="M307" s="19" t="n"/>
      <c r="O307" s="19" t="n"/>
      <c r="Q307" s="19" t="n"/>
      <c r="R307" s="19" t="n"/>
      <c r="S307" s="19" t="n"/>
      <c r="T307" s="19" t="n"/>
    </row>
    <row r="308" ht="15.75" customHeight="1" s="545">
      <c r="A308" s="19" t="n"/>
      <c r="B308" s="19" t="n"/>
      <c r="C308" s="19" t="n"/>
      <c r="D308" s="19" t="n"/>
      <c r="E308" s="19" t="n"/>
      <c r="F308" s="19" t="n"/>
      <c r="H308" s="19" t="n"/>
      <c r="I308" s="19" t="n"/>
      <c r="J308" s="19" t="n"/>
      <c r="K308" s="19" t="n"/>
      <c r="M308" s="19" t="n"/>
      <c r="O308" s="19" t="n"/>
      <c r="Q308" s="19" t="n"/>
      <c r="R308" s="19" t="n"/>
      <c r="S308" s="19" t="n"/>
      <c r="T308" s="19" t="n"/>
    </row>
    <row r="309" ht="15.75" customHeight="1" s="545">
      <c r="A309" s="19" t="n"/>
      <c r="B309" s="19" t="n"/>
      <c r="C309" s="19" t="n"/>
      <c r="D309" s="19" t="n"/>
      <c r="E309" s="19" t="n"/>
      <c r="F309" s="19" t="n"/>
      <c r="H309" s="19" t="n"/>
      <c r="I309" s="19" t="n"/>
      <c r="J309" s="19" t="n"/>
      <c r="K309" s="19" t="n"/>
      <c r="M309" s="19" t="n"/>
      <c r="O309" s="19" t="n"/>
      <c r="Q309" s="19" t="n"/>
      <c r="R309" s="19" t="n"/>
      <c r="S309" s="19" t="n"/>
      <c r="T309" s="19" t="n"/>
    </row>
    <row r="310" ht="15.75" customHeight="1" s="545">
      <c r="A310" s="19" t="n"/>
      <c r="B310" s="19" t="n"/>
      <c r="C310" s="19" t="n"/>
      <c r="D310" s="19" t="n"/>
      <c r="E310" s="19" t="n"/>
      <c r="F310" s="19" t="n"/>
      <c r="H310" s="19" t="n"/>
      <c r="I310" s="19" t="n"/>
      <c r="J310" s="19" t="n"/>
      <c r="K310" s="19" t="n"/>
      <c r="M310" s="19" t="n"/>
      <c r="O310" s="19" t="n"/>
      <c r="Q310" s="19" t="n"/>
      <c r="R310" s="19" t="n"/>
      <c r="S310" s="19" t="n"/>
      <c r="T310" s="19" t="n"/>
    </row>
    <row r="311" ht="15.75" customHeight="1" s="545">
      <c r="A311" s="19" t="n"/>
      <c r="B311" s="19" t="n"/>
      <c r="C311" s="19" t="n"/>
      <c r="D311" s="19" t="n"/>
      <c r="E311" s="19" t="n"/>
      <c r="F311" s="19" t="n"/>
      <c r="H311" s="19" t="n"/>
      <c r="I311" s="19" t="n"/>
      <c r="J311" s="19" t="n"/>
      <c r="K311" s="19" t="n"/>
      <c r="M311" s="19" t="n"/>
      <c r="O311" s="19" t="n"/>
      <c r="Q311" s="19" t="n"/>
      <c r="R311" s="19" t="n"/>
      <c r="S311" s="19" t="n"/>
      <c r="T311" s="19" t="n"/>
    </row>
    <row r="312" ht="15.75" customHeight="1" s="545">
      <c r="A312" s="19" t="n"/>
      <c r="B312" s="19" t="n"/>
      <c r="C312" s="19" t="n"/>
      <c r="D312" s="19" t="n"/>
      <c r="E312" s="19" t="n"/>
      <c r="F312" s="19" t="n"/>
      <c r="H312" s="19" t="n"/>
      <c r="I312" s="19" t="n"/>
      <c r="J312" s="19" t="n"/>
      <c r="K312" s="19" t="n"/>
      <c r="M312" s="19" t="n"/>
      <c r="O312" s="19" t="n"/>
      <c r="Q312" s="19" t="n"/>
      <c r="R312" s="19" t="n"/>
      <c r="S312" s="19" t="n"/>
      <c r="T312" s="19" t="n"/>
    </row>
    <row r="313" ht="15.75" customHeight="1" s="545">
      <c r="A313" s="19" t="n"/>
      <c r="B313" s="19" t="n"/>
      <c r="C313" s="19" t="n"/>
      <c r="D313" s="19" t="n"/>
      <c r="E313" s="19" t="n"/>
      <c r="F313" s="19" t="n"/>
      <c r="H313" s="19" t="n"/>
      <c r="I313" s="19" t="n"/>
      <c r="J313" s="19" t="n"/>
      <c r="K313" s="19" t="n"/>
      <c r="M313" s="19" t="n"/>
      <c r="O313" s="19" t="n"/>
      <c r="Q313" s="19" t="n"/>
      <c r="R313" s="19" t="n"/>
      <c r="S313" s="19" t="n"/>
      <c r="T313" s="19" t="n"/>
    </row>
    <row r="314" ht="15.75" customHeight="1" s="545">
      <c r="A314" s="19" t="n"/>
      <c r="B314" s="19" t="n"/>
      <c r="C314" s="19" t="n"/>
      <c r="D314" s="19" t="n"/>
      <c r="E314" s="19" t="n"/>
      <c r="F314" s="19" t="n"/>
      <c r="H314" s="19" t="n"/>
      <c r="I314" s="19" t="n"/>
      <c r="J314" s="19" t="n"/>
      <c r="K314" s="19" t="n"/>
      <c r="M314" s="19" t="n"/>
      <c r="O314" s="19" t="n"/>
      <c r="Q314" s="19" t="n"/>
      <c r="R314" s="19" t="n"/>
      <c r="S314" s="19" t="n"/>
      <c r="T314" s="19" t="n"/>
    </row>
    <row r="315" ht="15.75" customHeight="1" s="545">
      <c r="A315" s="19" t="n"/>
      <c r="B315" s="19" t="n"/>
      <c r="C315" s="19" t="n"/>
      <c r="D315" s="19" t="n"/>
      <c r="E315" s="19" t="n"/>
      <c r="F315" s="19" t="n"/>
      <c r="H315" s="19" t="n"/>
      <c r="I315" s="19" t="n"/>
      <c r="J315" s="19" t="n"/>
      <c r="K315" s="19" t="n"/>
      <c r="M315" s="19" t="n"/>
      <c r="O315" s="19" t="n"/>
      <c r="Q315" s="19" t="n"/>
      <c r="R315" s="19" t="n"/>
      <c r="S315" s="19" t="n"/>
      <c r="T315" s="19" t="n"/>
    </row>
    <row r="316" ht="15.75" customHeight="1" s="545">
      <c r="A316" s="19" t="n"/>
      <c r="B316" s="19" t="n"/>
      <c r="C316" s="19" t="n"/>
      <c r="D316" s="19" t="n"/>
      <c r="E316" s="19" t="n"/>
      <c r="F316" s="19" t="n"/>
      <c r="H316" s="19" t="n"/>
      <c r="I316" s="19" t="n"/>
      <c r="J316" s="19" t="n"/>
      <c r="K316" s="19" t="n"/>
      <c r="M316" s="19" t="n"/>
      <c r="O316" s="19" t="n"/>
      <c r="Q316" s="19" t="n"/>
      <c r="R316" s="19" t="n"/>
      <c r="S316" s="19" t="n"/>
      <c r="T316" s="19" t="n"/>
    </row>
    <row r="317" ht="15.75" customHeight="1" s="545">
      <c r="A317" s="19" t="n"/>
      <c r="B317" s="19" t="n"/>
      <c r="C317" s="19" t="n"/>
      <c r="D317" s="19" t="n"/>
      <c r="E317" s="19" t="n"/>
      <c r="F317" s="19" t="n"/>
      <c r="H317" s="19" t="n"/>
      <c r="I317" s="19" t="n"/>
      <c r="J317" s="19" t="n"/>
      <c r="K317" s="19" t="n"/>
      <c r="M317" s="19" t="n"/>
      <c r="O317" s="19" t="n"/>
      <c r="Q317" s="19" t="n"/>
      <c r="R317" s="19" t="n"/>
      <c r="S317" s="19" t="n"/>
      <c r="T317" s="19" t="n"/>
    </row>
    <row r="318" ht="15.75" customHeight="1" s="545">
      <c r="A318" s="19" t="n"/>
      <c r="B318" s="19" t="n"/>
      <c r="C318" s="19" t="n"/>
      <c r="D318" s="19" t="n"/>
      <c r="E318" s="19" t="n"/>
      <c r="F318" s="19" t="n"/>
      <c r="H318" s="19" t="n"/>
      <c r="I318" s="19" t="n"/>
      <c r="J318" s="19" t="n"/>
      <c r="K318" s="19" t="n"/>
      <c r="M318" s="19" t="n"/>
      <c r="O318" s="19" t="n"/>
      <c r="Q318" s="19" t="n"/>
      <c r="R318" s="19" t="n"/>
      <c r="S318" s="19" t="n"/>
      <c r="T318" s="19" t="n"/>
    </row>
    <row r="319" ht="15.75" customHeight="1" s="545">
      <c r="A319" s="19" t="n"/>
      <c r="B319" s="19" t="n"/>
      <c r="C319" s="19" t="n"/>
      <c r="D319" s="19" t="n"/>
      <c r="E319" s="19" t="n"/>
      <c r="F319" s="19" t="n"/>
      <c r="H319" s="19" t="n"/>
      <c r="I319" s="19" t="n"/>
      <c r="J319" s="19" t="n"/>
      <c r="K319" s="19" t="n"/>
      <c r="M319" s="19" t="n"/>
      <c r="O319" s="19" t="n"/>
      <c r="Q319" s="19" t="n"/>
      <c r="R319" s="19" t="n"/>
      <c r="S319" s="19" t="n"/>
      <c r="T319" s="19" t="n"/>
    </row>
    <row r="320" ht="15.75" customHeight="1" s="545">
      <c r="A320" s="19" t="n"/>
      <c r="B320" s="19" t="n"/>
      <c r="C320" s="19" t="n"/>
      <c r="D320" s="19" t="n"/>
      <c r="E320" s="19" t="n"/>
      <c r="F320" s="19" t="n"/>
      <c r="H320" s="19" t="n"/>
      <c r="I320" s="19" t="n"/>
      <c r="J320" s="19" t="n"/>
      <c r="K320" s="19" t="n"/>
      <c r="M320" s="19" t="n"/>
      <c r="O320" s="19" t="n"/>
      <c r="Q320" s="19" t="n"/>
      <c r="R320" s="19" t="n"/>
      <c r="S320" s="19" t="n"/>
      <c r="T320" s="19" t="n"/>
    </row>
    <row r="321" ht="15.75" customHeight="1" s="545">
      <c r="A321" s="19" t="n"/>
      <c r="B321" s="19" t="n"/>
      <c r="C321" s="19" t="n"/>
      <c r="D321" s="19" t="n"/>
      <c r="E321" s="19" t="n"/>
      <c r="F321" s="19" t="n"/>
      <c r="H321" s="19" t="n"/>
      <c r="I321" s="19" t="n"/>
      <c r="J321" s="19" t="n"/>
      <c r="K321" s="19" t="n"/>
      <c r="M321" s="19" t="n"/>
      <c r="O321" s="19" t="n"/>
      <c r="Q321" s="19" t="n"/>
      <c r="R321" s="19" t="n"/>
      <c r="S321" s="19" t="n"/>
      <c r="T321" s="19" t="n"/>
    </row>
    <row r="322" ht="15.75" customHeight="1" s="545">
      <c r="A322" s="19" t="n"/>
      <c r="B322" s="19" t="n"/>
      <c r="C322" s="19" t="n"/>
      <c r="D322" s="19" t="n"/>
      <c r="E322" s="19" t="n"/>
      <c r="F322" s="19" t="n"/>
      <c r="H322" s="19" t="n"/>
      <c r="I322" s="19" t="n"/>
      <c r="J322" s="19" t="n"/>
      <c r="K322" s="19" t="n"/>
      <c r="M322" s="19" t="n"/>
      <c r="O322" s="19" t="n"/>
      <c r="Q322" s="19" t="n"/>
      <c r="R322" s="19" t="n"/>
      <c r="S322" s="19" t="n"/>
      <c r="T322" s="19" t="n"/>
    </row>
    <row r="323" ht="15.75" customHeight="1" s="545">
      <c r="A323" s="19" t="n"/>
      <c r="B323" s="19" t="n"/>
      <c r="C323" s="19" t="n"/>
      <c r="D323" s="19" t="n"/>
      <c r="E323" s="19" t="n"/>
      <c r="F323" s="19" t="n"/>
      <c r="H323" s="19" t="n"/>
      <c r="I323" s="19" t="n"/>
      <c r="J323" s="19" t="n"/>
      <c r="K323" s="19" t="n"/>
      <c r="M323" s="19" t="n"/>
      <c r="O323" s="19" t="n"/>
      <c r="Q323" s="19" t="n"/>
      <c r="R323" s="19" t="n"/>
      <c r="S323" s="19" t="n"/>
      <c r="T323" s="19" t="n"/>
    </row>
    <row r="324" ht="15.75" customHeight="1" s="545">
      <c r="A324" s="19" t="n"/>
      <c r="B324" s="19" t="n"/>
      <c r="C324" s="19" t="n"/>
      <c r="D324" s="19" t="n"/>
      <c r="E324" s="19" t="n"/>
      <c r="F324" s="19" t="n"/>
      <c r="H324" s="19" t="n"/>
      <c r="I324" s="19" t="n"/>
      <c r="J324" s="19" t="n"/>
      <c r="K324" s="19" t="n"/>
      <c r="M324" s="19" t="n"/>
      <c r="O324" s="19" t="n"/>
      <c r="Q324" s="19" t="n"/>
      <c r="R324" s="19" t="n"/>
      <c r="S324" s="19" t="n"/>
      <c r="T324" s="19" t="n"/>
    </row>
    <row r="325" ht="15.75" customHeight="1" s="545">
      <c r="A325" s="19" t="n"/>
      <c r="B325" s="19" t="n"/>
      <c r="C325" s="19" t="n"/>
      <c r="D325" s="19" t="n"/>
      <c r="E325" s="19" t="n"/>
      <c r="F325" s="19" t="n"/>
      <c r="H325" s="19" t="n"/>
      <c r="I325" s="19" t="n"/>
      <c r="J325" s="19" t="n"/>
      <c r="K325" s="19" t="n"/>
      <c r="M325" s="19" t="n"/>
      <c r="O325" s="19" t="n"/>
      <c r="Q325" s="19" t="n"/>
      <c r="R325" s="19" t="n"/>
      <c r="S325" s="19" t="n"/>
      <c r="T325" s="19" t="n"/>
    </row>
    <row r="326" ht="15.75" customHeight="1" s="545">
      <c r="A326" s="19" t="n"/>
      <c r="B326" s="19" t="n"/>
      <c r="C326" s="19" t="n"/>
      <c r="D326" s="19" t="n"/>
      <c r="E326" s="19" t="n"/>
      <c r="F326" s="19" t="n"/>
      <c r="H326" s="19" t="n"/>
      <c r="I326" s="19" t="n"/>
      <c r="J326" s="19" t="n"/>
      <c r="K326" s="19" t="n"/>
      <c r="M326" s="19" t="n"/>
      <c r="O326" s="19" t="n"/>
      <c r="Q326" s="19" t="n"/>
      <c r="R326" s="19" t="n"/>
      <c r="S326" s="19" t="n"/>
      <c r="T326" s="19" t="n"/>
    </row>
    <row r="327" ht="15.75" customHeight="1" s="545">
      <c r="A327" s="19" t="n"/>
      <c r="B327" s="19" t="n"/>
      <c r="C327" s="19" t="n"/>
      <c r="D327" s="19" t="n"/>
      <c r="E327" s="19" t="n"/>
      <c r="F327" s="19" t="n"/>
      <c r="H327" s="19" t="n"/>
      <c r="I327" s="19" t="n"/>
      <c r="J327" s="19" t="n"/>
      <c r="K327" s="19" t="n"/>
      <c r="M327" s="19" t="n"/>
      <c r="O327" s="19" t="n"/>
      <c r="Q327" s="19" t="n"/>
      <c r="R327" s="19" t="n"/>
      <c r="S327" s="19" t="n"/>
      <c r="T327" s="19" t="n"/>
    </row>
    <row r="328" ht="15.75" customHeight="1" s="545">
      <c r="A328" s="19" t="n"/>
      <c r="B328" s="19" t="n"/>
      <c r="C328" s="19" t="n"/>
      <c r="D328" s="19" t="n"/>
      <c r="E328" s="19" t="n"/>
      <c r="F328" s="19" t="n"/>
      <c r="H328" s="19" t="n"/>
      <c r="I328" s="19" t="n"/>
      <c r="J328" s="19" t="n"/>
      <c r="K328" s="19" t="n"/>
      <c r="M328" s="19" t="n"/>
      <c r="O328" s="19" t="n"/>
      <c r="Q328" s="19" t="n"/>
      <c r="R328" s="19" t="n"/>
      <c r="S328" s="19" t="n"/>
      <c r="T328" s="19" t="n"/>
    </row>
    <row r="329" ht="15.75" customHeight="1" s="545">
      <c r="A329" s="19" t="n"/>
      <c r="B329" s="19" t="n"/>
      <c r="C329" s="19" t="n"/>
      <c r="D329" s="19" t="n"/>
      <c r="E329" s="19" t="n"/>
      <c r="F329" s="19" t="n"/>
      <c r="H329" s="19" t="n"/>
      <c r="I329" s="19" t="n"/>
      <c r="J329" s="19" t="n"/>
      <c r="K329" s="19" t="n"/>
      <c r="M329" s="19" t="n"/>
      <c r="O329" s="19" t="n"/>
      <c r="Q329" s="19" t="n"/>
      <c r="R329" s="19" t="n"/>
      <c r="S329" s="19" t="n"/>
      <c r="T329" s="19" t="n"/>
    </row>
    <row r="330" ht="15.75" customHeight="1" s="545">
      <c r="A330" s="19" t="n"/>
      <c r="B330" s="19" t="n"/>
      <c r="C330" s="19" t="n"/>
      <c r="D330" s="19" t="n"/>
      <c r="E330" s="19" t="n"/>
      <c r="F330" s="19" t="n"/>
      <c r="H330" s="19" t="n"/>
      <c r="I330" s="19" t="n"/>
      <c r="J330" s="19" t="n"/>
      <c r="K330" s="19" t="n"/>
      <c r="M330" s="19" t="n"/>
      <c r="O330" s="19" t="n"/>
      <c r="Q330" s="19" t="n"/>
      <c r="R330" s="19" t="n"/>
      <c r="S330" s="19" t="n"/>
      <c r="T330" s="19" t="n"/>
    </row>
    <row r="331" ht="15.75" customHeight="1" s="545">
      <c r="A331" s="19" t="n"/>
      <c r="B331" s="19" t="n"/>
      <c r="C331" s="19" t="n"/>
      <c r="D331" s="19" t="n"/>
      <c r="E331" s="19" t="n"/>
      <c r="F331" s="19" t="n"/>
      <c r="H331" s="19" t="n"/>
      <c r="I331" s="19" t="n"/>
      <c r="J331" s="19" t="n"/>
      <c r="K331" s="19" t="n"/>
      <c r="M331" s="19" t="n"/>
      <c r="O331" s="19" t="n"/>
      <c r="Q331" s="19" t="n"/>
      <c r="R331" s="19" t="n"/>
      <c r="S331" s="19" t="n"/>
      <c r="T331" s="19" t="n"/>
    </row>
    <row r="332" ht="15.75" customHeight="1" s="545">
      <c r="A332" s="19" t="n"/>
      <c r="B332" s="19" t="n"/>
      <c r="C332" s="19" t="n"/>
      <c r="D332" s="19" t="n"/>
      <c r="E332" s="19" t="n"/>
      <c r="F332" s="19" t="n"/>
      <c r="H332" s="19" t="n"/>
      <c r="I332" s="19" t="n"/>
      <c r="J332" s="19" t="n"/>
      <c r="K332" s="19" t="n"/>
      <c r="M332" s="19" t="n"/>
      <c r="O332" s="19" t="n"/>
      <c r="Q332" s="19" t="n"/>
      <c r="R332" s="19" t="n"/>
      <c r="S332" s="19" t="n"/>
      <c r="T332" s="19" t="n"/>
    </row>
    <row r="333" ht="15.75" customHeight="1" s="545">
      <c r="A333" s="19" t="n"/>
      <c r="B333" s="19" t="n"/>
      <c r="C333" s="19" t="n"/>
      <c r="D333" s="19" t="n"/>
      <c r="E333" s="19" t="n"/>
      <c r="F333" s="19" t="n"/>
      <c r="H333" s="19" t="n"/>
      <c r="I333" s="19" t="n"/>
      <c r="J333" s="19" t="n"/>
      <c r="K333" s="19" t="n"/>
      <c r="M333" s="19" t="n"/>
      <c r="O333" s="19" t="n"/>
      <c r="Q333" s="19" t="n"/>
      <c r="R333" s="19" t="n"/>
      <c r="S333" s="19" t="n"/>
      <c r="T333" s="19" t="n"/>
    </row>
    <row r="334" ht="15.75" customHeight="1" s="545">
      <c r="A334" s="19" t="n"/>
      <c r="B334" s="19" t="n"/>
      <c r="C334" s="19" t="n"/>
      <c r="D334" s="19" t="n"/>
      <c r="E334" s="19" t="n"/>
      <c r="F334" s="19" t="n"/>
      <c r="H334" s="19" t="n"/>
      <c r="I334" s="19" t="n"/>
      <c r="J334" s="19" t="n"/>
      <c r="K334" s="19" t="n"/>
      <c r="M334" s="19" t="n"/>
      <c r="O334" s="19" t="n"/>
      <c r="Q334" s="19" t="n"/>
      <c r="R334" s="19" t="n"/>
      <c r="S334" s="19" t="n"/>
      <c r="T334" s="19" t="n"/>
    </row>
    <row r="335" ht="15.75" customHeight="1" s="545">
      <c r="A335" s="19" t="n"/>
      <c r="B335" s="19" t="n"/>
      <c r="C335" s="19" t="n"/>
      <c r="D335" s="19" t="n"/>
      <c r="E335" s="19" t="n"/>
      <c r="F335" s="19" t="n"/>
      <c r="H335" s="19" t="n"/>
      <c r="I335" s="19" t="n"/>
      <c r="J335" s="19" t="n"/>
      <c r="K335" s="19" t="n"/>
      <c r="M335" s="19" t="n"/>
      <c r="O335" s="19" t="n"/>
      <c r="Q335" s="19" t="n"/>
      <c r="R335" s="19" t="n"/>
      <c r="S335" s="19" t="n"/>
      <c r="T335" s="19" t="n"/>
    </row>
    <row r="336" ht="15.75" customHeight="1" s="545">
      <c r="A336" s="19" t="n"/>
      <c r="B336" s="19" t="n"/>
      <c r="C336" s="19" t="n"/>
      <c r="D336" s="19" t="n"/>
      <c r="E336" s="19" t="n"/>
      <c r="F336" s="19" t="n"/>
      <c r="H336" s="19" t="n"/>
      <c r="I336" s="19" t="n"/>
      <c r="J336" s="19" t="n"/>
      <c r="K336" s="19" t="n"/>
      <c r="M336" s="19" t="n"/>
      <c r="O336" s="19" t="n"/>
      <c r="Q336" s="19" t="n"/>
      <c r="R336" s="19" t="n"/>
      <c r="S336" s="19" t="n"/>
      <c r="T336" s="19" t="n"/>
    </row>
    <row r="337" ht="15.75" customHeight="1" s="545">
      <c r="A337" s="19" t="n"/>
      <c r="B337" s="19" t="n"/>
      <c r="C337" s="19" t="n"/>
      <c r="D337" s="19" t="n"/>
      <c r="E337" s="19" t="n"/>
      <c r="F337" s="19" t="n"/>
      <c r="H337" s="19" t="n"/>
      <c r="I337" s="19" t="n"/>
      <c r="J337" s="19" t="n"/>
      <c r="K337" s="19" t="n"/>
      <c r="M337" s="19" t="n"/>
      <c r="O337" s="19" t="n"/>
      <c r="Q337" s="19" t="n"/>
      <c r="R337" s="19" t="n"/>
      <c r="S337" s="19" t="n"/>
      <c r="T337" s="19" t="n"/>
    </row>
    <row r="338" ht="15.75" customHeight="1" s="545">
      <c r="A338" s="19" t="n"/>
      <c r="B338" s="19" t="n"/>
      <c r="C338" s="19" t="n"/>
      <c r="D338" s="19" t="n"/>
      <c r="E338" s="19" t="n"/>
      <c r="F338" s="19" t="n"/>
      <c r="H338" s="19" t="n"/>
      <c r="I338" s="19" t="n"/>
      <c r="J338" s="19" t="n"/>
      <c r="K338" s="19" t="n"/>
      <c r="M338" s="19" t="n"/>
      <c r="O338" s="19" t="n"/>
      <c r="Q338" s="19" t="n"/>
      <c r="R338" s="19" t="n"/>
      <c r="S338" s="19" t="n"/>
      <c r="T338" s="19" t="n"/>
    </row>
    <row r="339" ht="15.75" customHeight="1" s="545">
      <c r="A339" s="19" t="n"/>
      <c r="B339" s="19" t="n"/>
      <c r="C339" s="19" t="n"/>
      <c r="D339" s="19" t="n"/>
      <c r="E339" s="19" t="n"/>
      <c r="F339" s="19" t="n"/>
      <c r="H339" s="19" t="n"/>
      <c r="I339" s="19" t="n"/>
      <c r="J339" s="19" t="n"/>
      <c r="K339" s="19" t="n"/>
      <c r="M339" s="19" t="n"/>
      <c r="O339" s="19" t="n"/>
      <c r="Q339" s="19" t="n"/>
      <c r="R339" s="19" t="n"/>
      <c r="S339" s="19" t="n"/>
      <c r="T339" s="19" t="n"/>
    </row>
    <row r="340" ht="15.75" customHeight="1" s="545">
      <c r="A340" s="19" t="n"/>
      <c r="B340" s="19" t="n"/>
      <c r="C340" s="19" t="n"/>
      <c r="D340" s="19" t="n"/>
      <c r="E340" s="19" t="n"/>
      <c r="F340" s="19" t="n"/>
      <c r="H340" s="19" t="n"/>
      <c r="I340" s="19" t="n"/>
      <c r="J340" s="19" t="n"/>
      <c r="K340" s="19" t="n"/>
      <c r="M340" s="19" t="n"/>
      <c r="O340" s="19" t="n"/>
      <c r="Q340" s="19" t="n"/>
      <c r="R340" s="19" t="n"/>
      <c r="S340" s="19" t="n"/>
      <c r="T340" s="19" t="n"/>
    </row>
    <row r="341" ht="15.75" customHeight="1" s="545">
      <c r="A341" s="19" t="n"/>
      <c r="B341" s="19" t="n"/>
      <c r="C341" s="19" t="n"/>
      <c r="D341" s="19" t="n"/>
      <c r="E341" s="19" t="n"/>
      <c r="F341" s="19" t="n"/>
      <c r="H341" s="19" t="n"/>
      <c r="I341" s="19" t="n"/>
      <c r="J341" s="19" t="n"/>
      <c r="K341" s="19" t="n"/>
      <c r="M341" s="19" t="n"/>
      <c r="O341" s="19" t="n"/>
      <c r="Q341" s="19" t="n"/>
      <c r="R341" s="19" t="n"/>
      <c r="S341" s="19" t="n"/>
      <c r="T341" s="19" t="n"/>
    </row>
    <row r="342" ht="15.75" customHeight="1" s="545">
      <c r="A342" s="19" t="n"/>
      <c r="B342" s="19" t="n"/>
      <c r="C342" s="19" t="n"/>
      <c r="D342" s="19" t="n"/>
      <c r="E342" s="19" t="n"/>
      <c r="F342" s="19" t="n"/>
      <c r="H342" s="19" t="n"/>
      <c r="I342" s="19" t="n"/>
      <c r="J342" s="19" t="n"/>
      <c r="K342" s="19" t="n"/>
      <c r="M342" s="19" t="n"/>
      <c r="O342" s="19" t="n"/>
      <c r="Q342" s="19" t="n"/>
      <c r="R342" s="19" t="n"/>
      <c r="S342" s="19" t="n"/>
      <c r="T342" s="19" t="n"/>
    </row>
    <row r="343" ht="15.75" customHeight="1" s="545">
      <c r="A343" s="19" t="n"/>
      <c r="B343" s="19" t="n"/>
      <c r="C343" s="19" t="n"/>
      <c r="D343" s="19" t="n"/>
      <c r="E343" s="19" t="n"/>
      <c r="F343" s="19" t="n"/>
      <c r="H343" s="19" t="n"/>
      <c r="I343" s="19" t="n"/>
      <c r="J343" s="19" t="n"/>
      <c r="K343" s="19" t="n"/>
      <c r="M343" s="19" t="n"/>
      <c r="O343" s="19" t="n"/>
      <c r="Q343" s="19" t="n"/>
      <c r="R343" s="19" t="n"/>
      <c r="S343" s="19" t="n"/>
      <c r="T343" s="19" t="n"/>
    </row>
    <row r="344" ht="15.75" customHeight="1" s="545">
      <c r="A344" s="19" t="n"/>
      <c r="B344" s="19" t="n"/>
      <c r="C344" s="19" t="n"/>
      <c r="D344" s="19" t="n"/>
      <c r="E344" s="19" t="n"/>
      <c r="F344" s="19" t="n"/>
      <c r="H344" s="19" t="n"/>
      <c r="I344" s="19" t="n"/>
      <c r="J344" s="19" t="n"/>
      <c r="K344" s="19" t="n"/>
      <c r="M344" s="19" t="n"/>
      <c r="O344" s="19" t="n"/>
      <c r="Q344" s="19" t="n"/>
      <c r="R344" s="19" t="n"/>
      <c r="S344" s="19" t="n"/>
      <c r="T344" s="19" t="n"/>
    </row>
    <row r="345" ht="15.75" customHeight="1" s="545">
      <c r="A345" s="19" t="n"/>
      <c r="B345" s="19" t="n"/>
      <c r="C345" s="19" t="n"/>
      <c r="D345" s="19" t="n"/>
      <c r="E345" s="19" t="n"/>
      <c r="F345" s="19" t="n"/>
      <c r="H345" s="19" t="n"/>
      <c r="I345" s="19" t="n"/>
      <c r="J345" s="19" t="n"/>
      <c r="K345" s="19" t="n"/>
      <c r="M345" s="19" t="n"/>
      <c r="O345" s="19" t="n"/>
      <c r="Q345" s="19" t="n"/>
      <c r="R345" s="19" t="n"/>
      <c r="S345" s="19" t="n"/>
      <c r="T345" s="19" t="n"/>
    </row>
    <row r="346" ht="15.75" customHeight="1" s="545">
      <c r="A346" s="19" t="n"/>
      <c r="B346" s="19" t="n"/>
      <c r="C346" s="19" t="n"/>
      <c r="D346" s="19" t="n"/>
      <c r="E346" s="19" t="n"/>
      <c r="F346" s="19" t="n"/>
      <c r="H346" s="19" t="n"/>
      <c r="I346" s="19" t="n"/>
      <c r="J346" s="19" t="n"/>
      <c r="K346" s="19" t="n"/>
      <c r="M346" s="19" t="n"/>
      <c r="O346" s="19" t="n"/>
      <c r="Q346" s="19" t="n"/>
      <c r="R346" s="19" t="n"/>
      <c r="S346" s="19" t="n"/>
      <c r="T346" s="19" t="n"/>
    </row>
    <row r="347" ht="15.75" customHeight="1" s="545">
      <c r="A347" s="19" t="n"/>
      <c r="B347" s="19" t="n"/>
      <c r="C347" s="19" t="n"/>
      <c r="D347" s="19" t="n"/>
      <c r="E347" s="19" t="n"/>
      <c r="F347" s="19" t="n"/>
      <c r="H347" s="19" t="n"/>
      <c r="I347" s="19" t="n"/>
      <c r="J347" s="19" t="n"/>
      <c r="K347" s="19" t="n"/>
      <c r="M347" s="19" t="n"/>
      <c r="O347" s="19" t="n"/>
      <c r="Q347" s="19" t="n"/>
      <c r="R347" s="19" t="n"/>
      <c r="S347" s="19" t="n"/>
      <c r="T347" s="19" t="n"/>
    </row>
    <row r="348" ht="15.75" customHeight="1" s="545">
      <c r="A348" s="19" t="n"/>
      <c r="B348" s="19" t="n"/>
      <c r="C348" s="19" t="n"/>
      <c r="D348" s="19" t="n"/>
      <c r="E348" s="19" t="n"/>
      <c r="F348" s="19" t="n"/>
      <c r="H348" s="19" t="n"/>
      <c r="I348" s="19" t="n"/>
      <c r="J348" s="19" t="n"/>
      <c r="K348" s="19" t="n"/>
      <c r="M348" s="19" t="n"/>
      <c r="O348" s="19" t="n"/>
      <c r="Q348" s="19" t="n"/>
      <c r="R348" s="19" t="n"/>
      <c r="S348" s="19" t="n"/>
      <c r="T348" s="19" t="n"/>
    </row>
    <row r="349" ht="15.75" customHeight="1" s="545">
      <c r="A349" s="19" t="n"/>
      <c r="B349" s="19" t="n"/>
      <c r="C349" s="19" t="n"/>
      <c r="D349" s="19" t="n"/>
      <c r="E349" s="19" t="n"/>
      <c r="F349" s="19" t="n"/>
      <c r="H349" s="19" t="n"/>
      <c r="I349" s="19" t="n"/>
      <c r="J349" s="19" t="n"/>
      <c r="K349" s="19" t="n"/>
      <c r="M349" s="19" t="n"/>
      <c r="O349" s="19" t="n"/>
      <c r="Q349" s="19" t="n"/>
      <c r="R349" s="19" t="n"/>
      <c r="S349" s="19" t="n"/>
      <c r="T349" s="19" t="n"/>
    </row>
    <row r="350" ht="15.75" customHeight="1" s="545">
      <c r="A350" s="19" t="n"/>
      <c r="B350" s="19" t="n"/>
      <c r="C350" s="19" t="n"/>
      <c r="D350" s="19" t="n"/>
      <c r="E350" s="19" t="n"/>
      <c r="F350" s="19" t="n"/>
      <c r="H350" s="19" t="n"/>
      <c r="I350" s="19" t="n"/>
      <c r="J350" s="19" t="n"/>
      <c r="K350" s="19" t="n"/>
      <c r="M350" s="19" t="n"/>
      <c r="O350" s="19" t="n"/>
      <c r="Q350" s="19" t="n"/>
      <c r="R350" s="19" t="n"/>
      <c r="S350" s="19" t="n"/>
      <c r="T350" s="19" t="n"/>
    </row>
    <row r="351" ht="15.75" customHeight="1" s="545">
      <c r="A351" s="19" t="n"/>
      <c r="B351" s="19" t="n"/>
      <c r="C351" s="19" t="n"/>
      <c r="D351" s="19" t="n"/>
      <c r="E351" s="19" t="n"/>
      <c r="F351" s="19" t="n"/>
      <c r="H351" s="19" t="n"/>
      <c r="I351" s="19" t="n"/>
      <c r="J351" s="19" t="n"/>
      <c r="K351" s="19" t="n"/>
      <c r="M351" s="19" t="n"/>
      <c r="O351" s="19" t="n"/>
      <c r="Q351" s="19" t="n"/>
      <c r="R351" s="19" t="n"/>
      <c r="S351" s="19" t="n"/>
      <c r="T351" s="19" t="n"/>
    </row>
    <row r="352" ht="15.75" customHeight="1" s="545">
      <c r="A352" s="19" t="n"/>
      <c r="B352" s="19" t="n"/>
      <c r="C352" s="19" t="n"/>
      <c r="D352" s="19" t="n"/>
      <c r="E352" s="19" t="n"/>
      <c r="F352" s="19" t="n"/>
      <c r="H352" s="19" t="n"/>
      <c r="I352" s="19" t="n"/>
      <c r="J352" s="19" t="n"/>
      <c r="K352" s="19" t="n"/>
      <c r="M352" s="19" t="n"/>
      <c r="O352" s="19" t="n"/>
      <c r="Q352" s="19" t="n"/>
      <c r="R352" s="19" t="n"/>
      <c r="S352" s="19" t="n"/>
      <c r="T352" s="19" t="n"/>
    </row>
    <row r="353" ht="15.75" customHeight="1" s="545">
      <c r="A353" s="19" t="n"/>
      <c r="B353" s="19" t="n"/>
      <c r="C353" s="19" t="n"/>
      <c r="D353" s="19" t="n"/>
      <c r="E353" s="19" t="n"/>
      <c r="F353" s="19" t="n"/>
      <c r="H353" s="19" t="n"/>
      <c r="I353" s="19" t="n"/>
      <c r="J353" s="19" t="n"/>
      <c r="K353" s="19" t="n"/>
      <c r="M353" s="19" t="n"/>
      <c r="O353" s="19" t="n"/>
      <c r="Q353" s="19" t="n"/>
      <c r="R353" s="19" t="n"/>
      <c r="S353" s="19" t="n"/>
      <c r="T353" s="19" t="n"/>
    </row>
    <row r="354" ht="15.75" customHeight="1" s="545">
      <c r="A354" s="19" t="n"/>
      <c r="B354" s="19" t="n"/>
      <c r="C354" s="19" t="n"/>
      <c r="D354" s="19" t="n"/>
      <c r="E354" s="19" t="n"/>
      <c r="F354" s="19" t="n"/>
      <c r="H354" s="19" t="n"/>
      <c r="I354" s="19" t="n"/>
      <c r="J354" s="19" t="n"/>
      <c r="K354" s="19" t="n"/>
      <c r="M354" s="19" t="n"/>
      <c r="O354" s="19" t="n"/>
      <c r="Q354" s="19" t="n"/>
      <c r="R354" s="19" t="n"/>
      <c r="S354" s="19" t="n"/>
      <c r="T354" s="19" t="n"/>
    </row>
    <row r="355" ht="15.75" customHeight="1" s="545">
      <c r="A355" s="19" t="n"/>
      <c r="B355" s="19" t="n"/>
      <c r="C355" s="19" t="n"/>
      <c r="D355" s="19" t="n"/>
      <c r="E355" s="19" t="n"/>
      <c r="F355" s="19" t="n"/>
      <c r="H355" s="19" t="n"/>
      <c r="I355" s="19" t="n"/>
      <c r="J355" s="19" t="n"/>
      <c r="K355" s="19" t="n"/>
      <c r="M355" s="19" t="n"/>
      <c r="O355" s="19" t="n"/>
      <c r="Q355" s="19" t="n"/>
      <c r="R355" s="19" t="n"/>
      <c r="S355" s="19" t="n"/>
      <c r="T355" s="19" t="n"/>
    </row>
    <row r="356" ht="15.75" customHeight="1" s="545">
      <c r="A356" s="19" t="n"/>
      <c r="B356" s="19" t="n"/>
      <c r="C356" s="19" t="n"/>
      <c r="D356" s="19" t="n"/>
      <c r="E356" s="19" t="n"/>
      <c r="F356" s="19" t="n"/>
      <c r="H356" s="19" t="n"/>
      <c r="I356" s="19" t="n"/>
      <c r="J356" s="19" t="n"/>
      <c r="K356" s="19" t="n"/>
      <c r="M356" s="19" t="n"/>
      <c r="O356" s="19" t="n"/>
      <c r="Q356" s="19" t="n"/>
      <c r="R356" s="19" t="n"/>
      <c r="S356" s="19" t="n"/>
      <c r="T356" s="19" t="n"/>
    </row>
    <row r="357" ht="15.75" customHeight="1" s="545">
      <c r="A357" s="19" t="n"/>
      <c r="B357" s="19" t="n"/>
      <c r="C357" s="19" t="n"/>
      <c r="D357" s="19" t="n"/>
      <c r="E357" s="19" t="n"/>
      <c r="F357" s="19" t="n"/>
      <c r="H357" s="19" t="n"/>
      <c r="I357" s="19" t="n"/>
      <c r="J357" s="19" t="n"/>
      <c r="K357" s="19" t="n"/>
      <c r="M357" s="19" t="n"/>
      <c r="O357" s="19" t="n"/>
      <c r="Q357" s="19" t="n"/>
      <c r="R357" s="19" t="n"/>
      <c r="S357" s="19" t="n"/>
      <c r="T357" s="19" t="n"/>
    </row>
    <row r="358" ht="15.75" customHeight="1" s="545">
      <c r="A358" s="19" t="n"/>
      <c r="B358" s="19" t="n"/>
      <c r="C358" s="19" t="n"/>
      <c r="D358" s="19" t="n"/>
      <c r="E358" s="19" t="n"/>
      <c r="F358" s="19" t="n"/>
      <c r="H358" s="19" t="n"/>
      <c r="I358" s="19" t="n"/>
      <c r="J358" s="19" t="n"/>
      <c r="K358" s="19" t="n"/>
      <c r="M358" s="19" t="n"/>
      <c r="O358" s="19" t="n"/>
      <c r="Q358" s="19" t="n"/>
      <c r="R358" s="19" t="n"/>
      <c r="S358" s="19" t="n"/>
      <c r="T358" s="19" t="n"/>
    </row>
    <row r="359" ht="15.75" customHeight="1" s="545">
      <c r="A359" s="19" t="n"/>
      <c r="B359" s="19" t="n"/>
      <c r="C359" s="19" t="n"/>
      <c r="D359" s="19" t="n"/>
      <c r="E359" s="19" t="n"/>
      <c r="F359" s="19" t="n"/>
      <c r="H359" s="19" t="n"/>
      <c r="I359" s="19" t="n"/>
      <c r="J359" s="19" t="n"/>
      <c r="K359" s="19" t="n"/>
      <c r="M359" s="19" t="n"/>
      <c r="O359" s="19" t="n"/>
      <c r="Q359" s="19" t="n"/>
      <c r="R359" s="19" t="n"/>
      <c r="S359" s="19" t="n"/>
      <c r="T359" s="19" t="n"/>
    </row>
    <row r="360" ht="15.75" customHeight="1" s="545">
      <c r="A360" s="19" t="n"/>
      <c r="B360" s="19" t="n"/>
      <c r="C360" s="19" t="n"/>
      <c r="D360" s="19" t="n"/>
      <c r="E360" s="19" t="n"/>
      <c r="F360" s="19" t="n"/>
      <c r="H360" s="19" t="n"/>
      <c r="I360" s="19" t="n"/>
      <c r="J360" s="19" t="n"/>
      <c r="K360" s="19" t="n"/>
      <c r="M360" s="19" t="n"/>
      <c r="O360" s="19" t="n"/>
      <c r="Q360" s="19" t="n"/>
      <c r="R360" s="19" t="n"/>
      <c r="S360" s="19" t="n"/>
      <c r="T360" s="19" t="n"/>
    </row>
    <row r="361" ht="15.75" customHeight="1" s="545">
      <c r="A361" s="19" t="n"/>
      <c r="B361" s="19" t="n"/>
      <c r="C361" s="19" t="n"/>
      <c r="D361" s="19" t="n"/>
      <c r="E361" s="19" t="n"/>
      <c r="F361" s="19" t="n"/>
      <c r="H361" s="19" t="n"/>
      <c r="I361" s="19" t="n"/>
      <c r="J361" s="19" t="n"/>
      <c r="K361" s="19" t="n"/>
      <c r="M361" s="19" t="n"/>
      <c r="O361" s="19" t="n"/>
      <c r="Q361" s="19" t="n"/>
      <c r="R361" s="19" t="n"/>
      <c r="S361" s="19" t="n"/>
      <c r="T361" s="19" t="n"/>
    </row>
    <row r="362" ht="15.75" customHeight="1" s="545">
      <c r="A362" s="19" t="n"/>
      <c r="B362" s="19" t="n"/>
      <c r="C362" s="19" t="n"/>
      <c r="D362" s="19" t="n"/>
      <c r="E362" s="19" t="n"/>
      <c r="F362" s="19" t="n"/>
      <c r="H362" s="19" t="n"/>
      <c r="I362" s="19" t="n"/>
      <c r="J362" s="19" t="n"/>
      <c r="K362" s="19" t="n"/>
      <c r="M362" s="19" t="n"/>
      <c r="O362" s="19" t="n"/>
      <c r="Q362" s="19" t="n"/>
      <c r="R362" s="19" t="n"/>
      <c r="S362" s="19" t="n"/>
      <c r="T362" s="19" t="n"/>
    </row>
    <row r="363" ht="15.75" customHeight="1" s="545">
      <c r="A363" s="19" t="n"/>
      <c r="B363" s="19" t="n"/>
      <c r="C363" s="19" t="n"/>
      <c r="D363" s="19" t="n"/>
      <c r="E363" s="19" t="n"/>
      <c r="F363" s="19" t="n"/>
      <c r="H363" s="19" t="n"/>
      <c r="I363" s="19" t="n"/>
      <c r="J363" s="19" t="n"/>
      <c r="K363" s="19" t="n"/>
      <c r="M363" s="19" t="n"/>
      <c r="O363" s="19" t="n"/>
      <c r="Q363" s="19" t="n"/>
      <c r="R363" s="19" t="n"/>
      <c r="S363" s="19" t="n"/>
      <c r="T363" s="19" t="n"/>
    </row>
    <row r="364" ht="15.75" customHeight="1" s="545">
      <c r="A364" s="19" t="n"/>
      <c r="B364" s="19" t="n"/>
      <c r="C364" s="19" t="n"/>
      <c r="D364" s="19" t="n"/>
      <c r="E364" s="19" t="n"/>
      <c r="F364" s="19" t="n"/>
      <c r="H364" s="19" t="n"/>
      <c r="I364" s="19" t="n"/>
      <c r="J364" s="19" t="n"/>
      <c r="K364" s="19" t="n"/>
      <c r="M364" s="19" t="n"/>
      <c r="O364" s="19" t="n"/>
      <c r="Q364" s="19" t="n"/>
      <c r="R364" s="19" t="n"/>
      <c r="S364" s="19" t="n"/>
      <c r="T364" s="19" t="n"/>
    </row>
    <row r="365" ht="15.75" customHeight="1" s="545">
      <c r="A365" s="19" t="n"/>
      <c r="B365" s="19" t="n"/>
      <c r="C365" s="19" t="n"/>
      <c r="D365" s="19" t="n"/>
      <c r="E365" s="19" t="n"/>
      <c r="F365" s="19" t="n"/>
      <c r="H365" s="19" t="n"/>
      <c r="I365" s="19" t="n"/>
      <c r="J365" s="19" t="n"/>
      <c r="K365" s="19" t="n"/>
      <c r="M365" s="19" t="n"/>
      <c r="O365" s="19" t="n"/>
      <c r="Q365" s="19" t="n"/>
      <c r="R365" s="19" t="n"/>
      <c r="S365" s="19" t="n"/>
      <c r="T365" s="19" t="n"/>
    </row>
    <row r="366" ht="15.75" customHeight="1" s="545">
      <c r="A366" s="19" t="n"/>
      <c r="B366" s="19" t="n"/>
      <c r="C366" s="19" t="n"/>
      <c r="D366" s="19" t="n"/>
      <c r="E366" s="19" t="n"/>
      <c r="F366" s="19" t="n"/>
      <c r="H366" s="19" t="n"/>
      <c r="I366" s="19" t="n"/>
      <c r="J366" s="19" t="n"/>
      <c r="K366" s="19" t="n"/>
      <c r="M366" s="19" t="n"/>
      <c r="O366" s="19" t="n"/>
      <c r="Q366" s="19" t="n"/>
      <c r="R366" s="19" t="n"/>
      <c r="S366" s="19" t="n"/>
      <c r="T366" s="19" t="n"/>
    </row>
    <row r="367" ht="15.75" customHeight="1" s="545">
      <c r="A367" s="19" t="n"/>
      <c r="B367" s="19" t="n"/>
      <c r="C367" s="19" t="n"/>
      <c r="D367" s="19" t="n"/>
      <c r="E367" s="19" t="n"/>
      <c r="F367" s="19" t="n"/>
      <c r="H367" s="19" t="n"/>
      <c r="I367" s="19" t="n"/>
      <c r="J367" s="19" t="n"/>
      <c r="K367" s="19" t="n"/>
      <c r="M367" s="19" t="n"/>
      <c r="O367" s="19" t="n"/>
      <c r="Q367" s="19" t="n"/>
      <c r="R367" s="19" t="n"/>
      <c r="S367" s="19" t="n"/>
      <c r="T367" s="19" t="n"/>
    </row>
    <row r="368" ht="15.75" customHeight="1" s="545">
      <c r="A368" s="19" t="n"/>
      <c r="B368" s="19" t="n"/>
      <c r="C368" s="19" t="n"/>
      <c r="D368" s="19" t="n"/>
      <c r="E368" s="19" t="n"/>
      <c r="F368" s="19" t="n"/>
      <c r="H368" s="19" t="n"/>
      <c r="I368" s="19" t="n"/>
      <c r="J368" s="19" t="n"/>
      <c r="K368" s="19" t="n"/>
      <c r="M368" s="19" t="n"/>
      <c r="O368" s="19" t="n"/>
      <c r="Q368" s="19" t="n"/>
      <c r="R368" s="19" t="n"/>
      <c r="S368" s="19" t="n"/>
      <c r="T368" s="19" t="n"/>
    </row>
    <row r="369" ht="15.75" customHeight="1" s="545">
      <c r="A369" s="19" t="n"/>
      <c r="B369" s="19" t="n"/>
      <c r="C369" s="19" t="n"/>
      <c r="D369" s="19" t="n"/>
      <c r="E369" s="19" t="n"/>
      <c r="F369" s="19" t="n"/>
      <c r="H369" s="19" t="n"/>
      <c r="I369" s="19" t="n"/>
      <c r="J369" s="19" t="n"/>
      <c r="K369" s="19" t="n"/>
      <c r="M369" s="19" t="n"/>
      <c r="O369" s="19" t="n"/>
      <c r="Q369" s="19" t="n"/>
      <c r="R369" s="19" t="n"/>
      <c r="S369" s="19" t="n"/>
      <c r="T369" s="19" t="n"/>
    </row>
    <row r="370" ht="15.75" customHeight="1" s="545">
      <c r="A370" s="19" t="n"/>
      <c r="B370" s="19" t="n"/>
      <c r="C370" s="19" t="n"/>
      <c r="D370" s="19" t="n"/>
      <c r="E370" s="19" t="n"/>
      <c r="F370" s="19" t="n"/>
      <c r="H370" s="19" t="n"/>
      <c r="I370" s="19" t="n"/>
      <c r="J370" s="19" t="n"/>
      <c r="K370" s="19" t="n"/>
      <c r="M370" s="19" t="n"/>
      <c r="O370" s="19" t="n"/>
      <c r="Q370" s="19" t="n"/>
      <c r="R370" s="19" t="n"/>
      <c r="S370" s="19" t="n"/>
      <c r="T370" s="19" t="n"/>
    </row>
    <row r="371" ht="15.75" customHeight="1" s="545">
      <c r="A371" s="19" t="n"/>
      <c r="B371" s="19" t="n"/>
      <c r="C371" s="19" t="n"/>
      <c r="D371" s="19" t="n"/>
      <c r="E371" s="19" t="n"/>
      <c r="F371" s="19" t="n"/>
      <c r="H371" s="19" t="n"/>
      <c r="I371" s="19" t="n"/>
      <c r="J371" s="19" t="n"/>
      <c r="K371" s="19" t="n"/>
      <c r="M371" s="19" t="n"/>
      <c r="O371" s="19" t="n"/>
      <c r="Q371" s="19" t="n"/>
      <c r="R371" s="19" t="n"/>
      <c r="S371" s="19" t="n"/>
      <c r="T371" s="19" t="n"/>
    </row>
    <row r="372" ht="15.75" customHeight="1" s="545">
      <c r="A372" s="19" t="n"/>
      <c r="B372" s="19" t="n"/>
      <c r="C372" s="19" t="n"/>
      <c r="D372" s="19" t="n"/>
      <c r="E372" s="19" t="n"/>
      <c r="F372" s="19" t="n"/>
      <c r="H372" s="19" t="n"/>
      <c r="I372" s="19" t="n"/>
      <c r="J372" s="19" t="n"/>
      <c r="K372" s="19" t="n"/>
      <c r="M372" s="19" t="n"/>
      <c r="O372" s="19" t="n"/>
      <c r="Q372" s="19" t="n"/>
      <c r="R372" s="19" t="n"/>
      <c r="S372" s="19" t="n"/>
      <c r="T372" s="19" t="n"/>
    </row>
    <row r="373" ht="15.75" customHeight="1" s="545">
      <c r="A373" s="19" t="n"/>
      <c r="B373" s="19" t="n"/>
      <c r="C373" s="19" t="n"/>
      <c r="D373" s="19" t="n"/>
      <c r="E373" s="19" t="n"/>
      <c r="F373" s="19" t="n"/>
      <c r="H373" s="19" t="n"/>
      <c r="I373" s="19" t="n"/>
      <c r="J373" s="19" t="n"/>
      <c r="K373" s="19" t="n"/>
      <c r="M373" s="19" t="n"/>
      <c r="O373" s="19" t="n"/>
      <c r="Q373" s="19" t="n"/>
      <c r="R373" s="19" t="n"/>
      <c r="S373" s="19" t="n"/>
      <c r="T373" s="19" t="n"/>
    </row>
    <row r="374" ht="15.75" customHeight="1" s="545">
      <c r="A374" s="19" t="n"/>
      <c r="B374" s="19" t="n"/>
      <c r="C374" s="19" t="n"/>
      <c r="D374" s="19" t="n"/>
      <c r="E374" s="19" t="n"/>
      <c r="F374" s="19" t="n"/>
      <c r="H374" s="19" t="n"/>
      <c r="I374" s="19" t="n"/>
      <c r="J374" s="19" t="n"/>
      <c r="K374" s="19" t="n"/>
      <c r="M374" s="19" t="n"/>
      <c r="O374" s="19" t="n"/>
      <c r="Q374" s="19" t="n"/>
      <c r="R374" s="19" t="n"/>
      <c r="S374" s="19" t="n"/>
      <c r="T374" s="19" t="n"/>
    </row>
    <row r="375" ht="15.75" customHeight="1" s="545">
      <c r="A375" s="19" t="n"/>
      <c r="B375" s="19" t="n"/>
      <c r="C375" s="19" t="n"/>
      <c r="D375" s="19" t="n"/>
      <c r="E375" s="19" t="n"/>
      <c r="F375" s="19" t="n"/>
      <c r="H375" s="19" t="n"/>
      <c r="I375" s="19" t="n"/>
      <c r="J375" s="19" t="n"/>
      <c r="K375" s="19" t="n"/>
      <c r="M375" s="19" t="n"/>
      <c r="O375" s="19" t="n"/>
      <c r="Q375" s="19" t="n"/>
      <c r="R375" s="19" t="n"/>
      <c r="S375" s="19" t="n"/>
      <c r="T375" s="19" t="n"/>
    </row>
    <row r="376" ht="15.75" customHeight="1" s="545">
      <c r="A376" s="19" t="n"/>
      <c r="B376" s="19" t="n"/>
      <c r="C376" s="19" t="n"/>
      <c r="D376" s="19" t="n"/>
      <c r="E376" s="19" t="n"/>
      <c r="F376" s="19" t="n"/>
      <c r="H376" s="19" t="n"/>
      <c r="I376" s="19" t="n"/>
      <c r="J376" s="19" t="n"/>
      <c r="K376" s="19" t="n"/>
      <c r="M376" s="19" t="n"/>
      <c r="O376" s="19" t="n"/>
      <c r="Q376" s="19" t="n"/>
      <c r="R376" s="19" t="n"/>
      <c r="S376" s="19" t="n"/>
      <c r="T376" s="19" t="n"/>
    </row>
    <row r="377" ht="15.75" customHeight="1" s="545">
      <c r="A377" s="19" t="n"/>
      <c r="B377" s="19" t="n"/>
      <c r="C377" s="19" t="n"/>
      <c r="D377" s="19" t="n"/>
      <c r="E377" s="19" t="n"/>
      <c r="F377" s="19" t="n"/>
      <c r="H377" s="19" t="n"/>
      <c r="I377" s="19" t="n"/>
      <c r="J377" s="19" t="n"/>
      <c r="K377" s="19" t="n"/>
      <c r="M377" s="19" t="n"/>
      <c r="O377" s="19" t="n"/>
      <c r="Q377" s="19" t="n"/>
      <c r="R377" s="19" t="n"/>
      <c r="S377" s="19" t="n"/>
      <c r="T377" s="19" t="n"/>
    </row>
    <row r="378" ht="15.75" customHeight="1" s="545">
      <c r="A378" s="19" t="n"/>
      <c r="B378" s="19" t="n"/>
      <c r="C378" s="19" t="n"/>
      <c r="D378" s="19" t="n"/>
      <c r="E378" s="19" t="n"/>
      <c r="F378" s="19" t="n"/>
      <c r="H378" s="19" t="n"/>
      <c r="I378" s="19" t="n"/>
      <c r="J378" s="19" t="n"/>
      <c r="K378" s="19" t="n"/>
      <c r="M378" s="19" t="n"/>
      <c r="O378" s="19" t="n"/>
      <c r="Q378" s="19" t="n"/>
      <c r="R378" s="19" t="n"/>
      <c r="S378" s="19" t="n"/>
      <c r="T378" s="19" t="n"/>
    </row>
    <row r="379" ht="15.75" customHeight="1" s="545">
      <c r="A379" s="19" t="n"/>
      <c r="B379" s="19" t="n"/>
      <c r="C379" s="19" t="n"/>
      <c r="D379" s="19" t="n"/>
      <c r="E379" s="19" t="n"/>
      <c r="F379" s="19" t="n"/>
      <c r="H379" s="19" t="n"/>
      <c r="I379" s="19" t="n"/>
      <c r="J379" s="19" t="n"/>
      <c r="K379" s="19" t="n"/>
      <c r="M379" s="19" t="n"/>
      <c r="O379" s="19" t="n"/>
      <c r="Q379" s="19" t="n"/>
      <c r="R379" s="19" t="n"/>
      <c r="S379" s="19" t="n"/>
      <c r="T379" s="19" t="n"/>
    </row>
    <row r="380" ht="15.75" customHeight="1" s="545">
      <c r="A380" s="19" t="n"/>
      <c r="B380" s="19" t="n"/>
      <c r="C380" s="19" t="n"/>
      <c r="D380" s="19" t="n"/>
      <c r="E380" s="19" t="n"/>
      <c r="F380" s="19" t="n"/>
      <c r="H380" s="19" t="n"/>
      <c r="I380" s="19" t="n"/>
      <c r="J380" s="19" t="n"/>
      <c r="K380" s="19" t="n"/>
      <c r="M380" s="19" t="n"/>
      <c r="O380" s="19" t="n"/>
      <c r="Q380" s="19" t="n"/>
      <c r="R380" s="19" t="n"/>
      <c r="S380" s="19" t="n"/>
      <c r="T380" s="19" t="n"/>
    </row>
    <row r="381" ht="15.75" customHeight="1" s="545">
      <c r="A381" s="19" t="n"/>
      <c r="B381" s="19" t="n"/>
      <c r="C381" s="19" t="n"/>
      <c r="D381" s="19" t="n"/>
      <c r="E381" s="19" t="n"/>
      <c r="F381" s="19" t="n"/>
      <c r="H381" s="19" t="n"/>
      <c r="I381" s="19" t="n"/>
      <c r="J381" s="19" t="n"/>
      <c r="K381" s="19" t="n"/>
      <c r="M381" s="19" t="n"/>
      <c r="O381" s="19" t="n"/>
      <c r="Q381" s="19" t="n"/>
      <c r="R381" s="19" t="n"/>
      <c r="S381" s="19" t="n"/>
      <c r="T381" s="19" t="n"/>
    </row>
    <row r="382" ht="15.75" customHeight="1" s="545">
      <c r="A382" s="19" t="n"/>
      <c r="B382" s="19" t="n"/>
      <c r="C382" s="19" t="n"/>
      <c r="D382" s="19" t="n"/>
      <c r="E382" s="19" t="n"/>
      <c r="F382" s="19" t="n"/>
      <c r="H382" s="19" t="n"/>
      <c r="I382" s="19" t="n"/>
      <c r="J382" s="19" t="n"/>
      <c r="K382" s="19" t="n"/>
      <c r="M382" s="19" t="n"/>
      <c r="O382" s="19" t="n"/>
      <c r="Q382" s="19" t="n"/>
      <c r="R382" s="19" t="n"/>
      <c r="S382" s="19" t="n"/>
      <c r="T382" s="19" t="n"/>
    </row>
    <row r="383" ht="15.75" customHeight="1" s="545">
      <c r="A383" s="19" t="n"/>
      <c r="B383" s="19" t="n"/>
      <c r="C383" s="19" t="n"/>
      <c r="D383" s="19" t="n"/>
      <c r="E383" s="19" t="n"/>
      <c r="F383" s="19" t="n"/>
      <c r="H383" s="19" t="n"/>
      <c r="I383" s="19" t="n"/>
      <c r="J383" s="19" t="n"/>
      <c r="K383" s="19" t="n"/>
      <c r="M383" s="19" t="n"/>
      <c r="O383" s="19" t="n"/>
      <c r="Q383" s="19" t="n"/>
      <c r="R383" s="19" t="n"/>
      <c r="S383" s="19" t="n"/>
      <c r="T383" s="19" t="n"/>
    </row>
    <row r="384" ht="15.75" customHeight="1" s="545">
      <c r="A384" s="19" t="n"/>
      <c r="B384" s="19" t="n"/>
      <c r="C384" s="19" t="n"/>
      <c r="D384" s="19" t="n"/>
      <c r="E384" s="19" t="n"/>
      <c r="F384" s="19" t="n"/>
      <c r="H384" s="19" t="n"/>
      <c r="I384" s="19" t="n"/>
      <c r="J384" s="19" t="n"/>
      <c r="K384" s="19" t="n"/>
      <c r="M384" s="19" t="n"/>
      <c r="O384" s="19" t="n"/>
      <c r="Q384" s="19" t="n"/>
      <c r="R384" s="19" t="n"/>
      <c r="S384" s="19" t="n"/>
      <c r="T384" s="19" t="n"/>
    </row>
    <row r="385" ht="15.75" customHeight="1" s="545">
      <c r="A385" s="19" t="n"/>
      <c r="B385" s="19" t="n"/>
      <c r="C385" s="19" t="n"/>
      <c r="D385" s="19" t="n"/>
      <c r="E385" s="19" t="n"/>
      <c r="F385" s="19" t="n"/>
      <c r="H385" s="19" t="n"/>
      <c r="I385" s="19" t="n"/>
      <c r="J385" s="19" t="n"/>
      <c r="K385" s="19" t="n"/>
      <c r="M385" s="19" t="n"/>
      <c r="O385" s="19" t="n"/>
      <c r="Q385" s="19" t="n"/>
      <c r="R385" s="19" t="n"/>
      <c r="S385" s="19" t="n"/>
      <c r="T385" s="19" t="n"/>
    </row>
    <row r="386" ht="15.75" customHeight="1" s="545">
      <c r="A386" s="19" t="n"/>
      <c r="B386" s="19" t="n"/>
      <c r="C386" s="19" t="n"/>
      <c r="D386" s="19" t="n"/>
      <c r="E386" s="19" t="n"/>
      <c r="F386" s="19" t="n"/>
      <c r="H386" s="19" t="n"/>
      <c r="I386" s="19" t="n"/>
      <c r="J386" s="19" t="n"/>
      <c r="K386" s="19" t="n"/>
      <c r="M386" s="19" t="n"/>
      <c r="O386" s="19" t="n"/>
      <c r="Q386" s="19" t="n"/>
      <c r="R386" s="19" t="n"/>
      <c r="S386" s="19" t="n"/>
      <c r="T386" s="19" t="n"/>
    </row>
    <row r="387" ht="15.75" customHeight="1" s="545">
      <c r="A387" s="19" t="n"/>
      <c r="B387" s="19" t="n"/>
      <c r="C387" s="19" t="n"/>
      <c r="D387" s="19" t="n"/>
      <c r="E387" s="19" t="n"/>
      <c r="F387" s="19" t="n"/>
      <c r="H387" s="19" t="n"/>
      <c r="I387" s="19" t="n"/>
      <c r="J387" s="19" t="n"/>
      <c r="K387" s="19" t="n"/>
      <c r="M387" s="19" t="n"/>
      <c r="O387" s="19" t="n"/>
      <c r="Q387" s="19" t="n"/>
      <c r="R387" s="19" t="n"/>
      <c r="S387" s="19" t="n"/>
      <c r="T387" s="19" t="n"/>
    </row>
    <row r="388" ht="15.75" customHeight="1" s="545">
      <c r="A388" s="19" t="n"/>
      <c r="B388" s="19" t="n"/>
      <c r="C388" s="19" t="n"/>
      <c r="D388" s="19" t="n"/>
      <c r="E388" s="19" t="n"/>
      <c r="F388" s="19" t="n"/>
      <c r="H388" s="19" t="n"/>
      <c r="I388" s="19" t="n"/>
      <c r="J388" s="19" t="n"/>
      <c r="K388" s="19" t="n"/>
      <c r="M388" s="19" t="n"/>
      <c r="O388" s="19" t="n"/>
      <c r="Q388" s="19" t="n"/>
      <c r="R388" s="19" t="n"/>
      <c r="S388" s="19" t="n"/>
      <c r="T388" s="19" t="n"/>
    </row>
    <row r="389" ht="15.75" customHeight="1" s="545">
      <c r="A389" s="19" t="n"/>
      <c r="B389" s="19" t="n"/>
      <c r="C389" s="19" t="n"/>
      <c r="D389" s="19" t="n"/>
      <c r="E389" s="19" t="n"/>
      <c r="F389" s="19" t="n"/>
      <c r="H389" s="19" t="n"/>
      <c r="I389" s="19" t="n"/>
      <c r="J389" s="19" t="n"/>
      <c r="K389" s="19" t="n"/>
      <c r="M389" s="19" t="n"/>
      <c r="O389" s="19" t="n"/>
      <c r="Q389" s="19" t="n"/>
      <c r="R389" s="19" t="n"/>
      <c r="S389" s="19" t="n"/>
      <c r="T389" s="19" t="n"/>
    </row>
    <row r="390" ht="15.75" customHeight="1" s="545">
      <c r="A390" s="19" t="n"/>
      <c r="B390" s="19" t="n"/>
      <c r="C390" s="19" t="n"/>
      <c r="D390" s="19" t="n"/>
      <c r="E390" s="19" t="n"/>
      <c r="F390" s="19" t="n"/>
      <c r="H390" s="19" t="n"/>
      <c r="I390" s="19" t="n"/>
      <c r="J390" s="19" t="n"/>
      <c r="K390" s="19" t="n"/>
      <c r="M390" s="19" t="n"/>
      <c r="O390" s="19" t="n"/>
      <c r="Q390" s="19" t="n"/>
      <c r="R390" s="19" t="n"/>
      <c r="S390" s="19" t="n"/>
      <c r="T390" s="19" t="n"/>
    </row>
    <row r="391" ht="15.75" customHeight="1" s="545">
      <c r="A391" s="19" t="n"/>
      <c r="B391" s="19" t="n"/>
      <c r="C391" s="19" t="n"/>
      <c r="D391" s="19" t="n"/>
      <c r="E391" s="19" t="n"/>
      <c r="F391" s="19" t="n"/>
      <c r="H391" s="19" t="n"/>
      <c r="I391" s="19" t="n"/>
      <c r="J391" s="19" t="n"/>
      <c r="K391" s="19" t="n"/>
      <c r="M391" s="19" t="n"/>
      <c r="O391" s="19" t="n"/>
      <c r="Q391" s="19" t="n"/>
      <c r="R391" s="19" t="n"/>
      <c r="S391" s="19" t="n"/>
      <c r="T391" s="19" t="n"/>
    </row>
    <row r="392" ht="15.75" customHeight="1" s="545">
      <c r="A392" s="19" t="n"/>
      <c r="B392" s="19" t="n"/>
      <c r="C392" s="19" t="n"/>
      <c r="D392" s="19" t="n"/>
      <c r="E392" s="19" t="n"/>
      <c r="F392" s="19" t="n"/>
      <c r="H392" s="19" t="n"/>
      <c r="I392" s="19" t="n"/>
      <c r="J392" s="19" t="n"/>
      <c r="K392" s="19" t="n"/>
      <c r="M392" s="19" t="n"/>
      <c r="O392" s="19" t="n"/>
      <c r="Q392" s="19" t="n"/>
      <c r="R392" s="19" t="n"/>
      <c r="S392" s="19" t="n"/>
      <c r="T392" s="19" t="n"/>
    </row>
    <row r="393" ht="15.75" customHeight="1" s="545">
      <c r="A393" s="19" t="n"/>
      <c r="B393" s="19" t="n"/>
      <c r="C393" s="19" t="n"/>
      <c r="D393" s="19" t="n"/>
      <c r="E393" s="19" t="n"/>
      <c r="F393" s="19" t="n"/>
      <c r="H393" s="19" t="n"/>
      <c r="I393" s="19" t="n"/>
      <c r="J393" s="19" t="n"/>
      <c r="K393" s="19" t="n"/>
      <c r="M393" s="19" t="n"/>
      <c r="O393" s="19" t="n"/>
      <c r="Q393" s="19" t="n"/>
      <c r="R393" s="19" t="n"/>
      <c r="S393" s="19" t="n"/>
      <c r="T393" s="19" t="n"/>
    </row>
    <row r="394" ht="15.75" customHeight="1" s="545">
      <c r="A394" s="19" t="n"/>
      <c r="B394" s="19" t="n"/>
      <c r="C394" s="19" t="n"/>
      <c r="D394" s="19" t="n"/>
      <c r="E394" s="19" t="n"/>
      <c r="F394" s="19" t="n"/>
      <c r="H394" s="19" t="n"/>
      <c r="I394" s="19" t="n"/>
      <c r="J394" s="19" t="n"/>
      <c r="K394" s="19" t="n"/>
      <c r="M394" s="19" t="n"/>
      <c r="O394" s="19" t="n"/>
      <c r="Q394" s="19" t="n"/>
      <c r="R394" s="19" t="n"/>
      <c r="S394" s="19" t="n"/>
      <c r="T394" s="19" t="n"/>
    </row>
    <row r="395" ht="15.75" customHeight="1" s="545">
      <c r="A395" s="19" t="n"/>
      <c r="B395" s="19" t="n"/>
      <c r="C395" s="19" t="n"/>
      <c r="D395" s="19" t="n"/>
      <c r="E395" s="19" t="n"/>
      <c r="F395" s="19" t="n"/>
      <c r="H395" s="19" t="n"/>
      <c r="I395" s="19" t="n"/>
      <c r="J395" s="19" t="n"/>
      <c r="K395" s="19" t="n"/>
      <c r="M395" s="19" t="n"/>
      <c r="O395" s="19" t="n"/>
      <c r="Q395" s="19" t="n"/>
      <c r="R395" s="19" t="n"/>
      <c r="S395" s="19" t="n"/>
      <c r="T395" s="19" t="n"/>
    </row>
    <row r="396" ht="15.75" customHeight="1" s="545">
      <c r="A396" s="19" t="n"/>
      <c r="B396" s="19" t="n"/>
      <c r="C396" s="19" t="n"/>
      <c r="D396" s="19" t="n"/>
      <c r="E396" s="19" t="n"/>
      <c r="F396" s="19" t="n"/>
      <c r="H396" s="19" t="n"/>
      <c r="I396" s="19" t="n"/>
      <c r="J396" s="19" t="n"/>
      <c r="K396" s="19" t="n"/>
      <c r="M396" s="19" t="n"/>
      <c r="O396" s="19" t="n"/>
      <c r="Q396" s="19" t="n"/>
      <c r="R396" s="19" t="n"/>
      <c r="S396" s="19" t="n"/>
      <c r="T396" s="19" t="n"/>
    </row>
    <row r="397" ht="15.75" customHeight="1" s="545">
      <c r="A397" s="19" t="n"/>
      <c r="B397" s="19" t="n"/>
      <c r="C397" s="19" t="n"/>
      <c r="D397" s="19" t="n"/>
      <c r="E397" s="19" t="n"/>
      <c r="F397" s="19" t="n"/>
      <c r="H397" s="19" t="n"/>
      <c r="I397" s="19" t="n"/>
      <c r="J397" s="19" t="n"/>
      <c r="K397" s="19" t="n"/>
      <c r="M397" s="19" t="n"/>
      <c r="O397" s="19" t="n"/>
      <c r="Q397" s="19" t="n"/>
      <c r="R397" s="19" t="n"/>
      <c r="S397" s="19" t="n"/>
      <c r="T397" s="19" t="n"/>
    </row>
    <row r="398" ht="15.75" customHeight="1" s="545">
      <c r="A398" s="19" t="n"/>
      <c r="B398" s="19" t="n"/>
      <c r="C398" s="19" t="n"/>
      <c r="D398" s="19" t="n"/>
      <c r="E398" s="19" t="n"/>
      <c r="F398" s="19" t="n"/>
      <c r="H398" s="19" t="n"/>
      <c r="I398" s="19" t="n"/>
      <c r="J398" s="19" t="n"/>
      <c r="K398" s="19" t="n"/>
      <c r="M398" s="19" t="n"/>
      <c r="O398" s="19" t="n"/>
      <c r="Q398" s="19" t="n"/>
      <c r="R398" s="19" t="n"/>
      <c r="S398" s="19" t="n"/>
      <c r="T398" s="19" t="n"/>
    </row>
    <row r="399" ht="15.75" customHeight="1" s="545">
      <c r="A399" s="19" t="n"/>
      <c r="B399" s="19" t="n"/>
      <c r="C399" s="19" t="n"/>
      <c r="D399" s="19" t="n"/>
      <c r="E399" s="19" t="n"/>
      <c r="F399" s="19" t="n"/>
      <c r="H399" s="19" t="n"/>
      <c r="I399" s="19" t="n"/>
      <c r="J399" s="19" t="n"/>
      <c r="K399" s="19" t="n"/>
      <c r="M399" s="19" t="n"/>
      <c r="O399" s="19" t="n"/>
      <c r="Q399" s="19" t="n"/>
      <c r="R399" s="19" t="n"/>
      <c r="S399" s="19" t="n"/>
      <c r="T399" s="19" t="n"/>
    </row>
    <row r="400" ht="15.75" customHeight="1" s="545">
      <c r="A400" s="19" t="n"/>
      <c r="B400" s="19" t="n"/>
      <c r="C400" s="19" t="n"/>
      <c r="D400" s="19" t="n"/>
      <c r="E400" s="19" t="n"/>
      <c r="F400" s="19" t="n"/>
      <c r="H400" s="19" t="n"/>
      <c r="I400" s="19" t="n"/>
      <c r="J400" s="19" t="n"/>
      <c r="K400" s="19" t="n"/>
      <c r="M400" s="19" t="n"/>
      <c r="O400" s="19" t="n"/>
      <c r="Q400" s="19" t="n"/>
      <c r="R400" s="19" t="n"/>
      <c r="S400" s="19" t="n"/>
      <c r="T400" s="19" t="n"/>
    </row>
    <row r="401" ht="15.75" customHeight="1" s="545">
      <c r="A401" s="19" t="n"/>
      <c r="B401" s="19" t="n"/>
      <c r="C401" s="19" t="n"/>
      <c r="D401" s="19" t="n"/>
      <c r="E401" s="19" t="n"/>
      <c r="F401" s="19" t="n"/>
      <c r="H401" s="19" t="n"/>
      <c r="I401" s="19" t="n"/>
      <c r="J401" s="19" t="n"/>
      <c r="K401" s="19" t="n"/>
      <c r="M401" s="19" t="n"/>
      <c r="O401" s="19" t="n"/>
      <c r="Q401" s="19" t="n"/>
      <c r="R401" s="19" t="n"/>
      <c r="S401" s="19" t="n"/>
      <c r="T401" s="19" t="n"/>
    </row>
    <row r="402" ht="15.75" customHeight="1" s="545">
      <c r="A402" s="19" t="n"/>
      <c r="B402" s="19" t="n"/>
      <c r="C402" s="19" t="n"/>
      <c r="D402" s="19" t="n"/>
      <c r="E402" s="19" t="n"/>
      <c r="F402" s="19" t="n"/>
      <c r="H402" s="19" t="n"/>
      <c r="I402" s="19" t="n"/>
      <c r="J402" s="19" t="n"/>
      <c r="K402" s="19" t="n"/>
      <c r="M402" s="19" t="n"/>
      <c r="O402" s="19" t="n"/>
      <c r="Q402" s="19" t="n"/>
      <c r="R402" s="19" t="n"/>
      <c r="S402" s="19" t="n"/>
      <c r="T402" s="19" t="n"/>
    </row>
    <row r="403" ht="15.75" customHeight="1" s="545">
      <c r="A403" s="19" t="n"/>
      <c r="B403" s="19" t="n"/>
      <c r="C403" s="19" t="n"/>
      <c r="D403" s="19" t="n"/>
      <c r="E403" s="19" t="n"/>
      <c r="F403" s="19" t="n"/>
      <c r="H403" s="19" t="n"/>
      <c r="I403" s="19" t="n"/>
      <c r="J403" s="19" t="n"/>
      <c r="K403" s="19" t="n"/>
      <c r="M403" s="19" t="n"/>
      <c r="O403" s="19" t="n"/>
      <c r="Q403" s="19" t="n"/>
      <c r="R403" s="19" t="n"/>
      <c r="S403" s="19" t="n"/>
      <c r="T403" s="19" t="n"/>
    </row>
    <row r="404" ht="15.75" customHeight="1" s="545">
      <c r="A404" s="19" t="n"/>
      <c r="B404" s="19" t="n"/>
      <c r="C404" s="19" t="n"/>
      <c r="D404" s="19" t="n"/>
      <c r="E404" s="19" t="n"/>
      <c r="F404" s="19" t="n"/>
      <c r="H404" s="19" t="n"/>
      <c r="I404" s="19" t="n"/>
      <c r="J404" s="19" t="n"/>
      <c r="K404" s="19" t="n"/>
      <c r="M404" s="19" t="n"/>
      <c r="O404" s="19" t="n"/>
      <c r="Q404" s="19" t="n"/>
      <c r="R404" s="19" t="n"/>
      <c r="S404" s="19" t="n"/>
      <c r="T404" s="19" t="n"/>
    </row>
    <row r="405" ht="15.75" customHeight="1" s="545">
      <c r="A405" s="19" t="n"/>
      <c r="B405" s="19" t="n"/>
      <c r="C405" s="19" t="n"/>
      <c r="D405" s="19" t="n"/>
      <c r="E405" s="19" t="n"/>
      <c r="F405" s="19" t="n"/>
      <c r="H405" s="19" t="n"/>
      <c r="I405" s="19" t="n"/>
      <c r="J405" s="19" t="n"/>
      <c r="K405" s="19" t="n"/>
      <c r="M405" s="19" t="n"/>
      <c r="O405" s="19" t="n"/>
      <c r="Q405" s="19" t="n"/>
      <c r="R405" s="19" t="n"/>
      <c r="S405" s="19" t="n"/>
      <c r="T405" s="19" t="n"/>
    </row>
    <row r="406" ht="15.75" customHeight="1" s="545">
      <c r="A406" s="19" t="n"/>
      <c r="B406" s="19" t="n"/>
      <c r="C406" s="19" t="n"/>
      <c r="D406" s="19" t="n"/>
      <c r="E406" s="19" t="n"/>
      <c r="F406" s="19" t="n"/>
      <c r="H406" s="19" t="n"/>
      <c r="I406" s="19" t="n"/>
      <c r="J406" s="19" t="n"/>
      <c r="K406" s="19" t="n"/>
      <c r="M406" s="19" t="n"/>
      <c r="O406" s="19" t="n"/>
      <c r="Q406" s="19" t="n"/>
      <c r="R406" s="19" t="n"/>
      <c r="S406" s="19" t="n"/>
      <c r="T406" s="19" t="n"/>
    </row>
    <row r="407" ht="15.75" customHeight="1" s="545">
      <c r="A407" s="19" t="n"/>
      <c r="B407" s="19" t="n"/>
      <c r="C407" s="19" t="n"/>
      <c r="D407" s="19" t="n"/>
      <c r="E407" s="19" t="n"/>
      <c r="F407" s="19" t="n"/>
      <c r="H407" s="19" t="n"/>
      <c r="I407" s="19" t="n"/>
      <c r="J407" s="19" t="n"/>
      <c r="K407" s="19" t="n"/>
      <c r="M407" s="19" t="n"/>
      <c r="O407" s="19" t="n"/>
      <c r="Q407" s="19" t="n"/>
      <c r="R407" s="19" t="n"/>
      <c r="S407" s="19" t="n"/>
      <c r="T407" s="19" t="n"/>
    </row>
    <row r="408" ht="15.75" customHeight="1" s="545">
      <c r="A408" s="19" t="n"/>
      <c r="B408" s="19" t="n"/>
      <c r="C408" s="19" t="n"/>
      <c r="D408" s="19" t="n"/>
      <c r="E408" s="19" t="n"/>
      <c r="F408" s="19" t="n"/>
      <c r="H408" s="19" t="n"/>
      <c r="I408" s="19" t="n"/>
      <c r="J408" s="19" t="n"/>
      <c r="K408" s="19" t="n"/>
      <c r="M408" s="19" t="n"/>
      <c r="O408" s="19" t="n"/>
      <c r="Q408" s="19" t="n"/>
      <c r="R408" s="19" t="n"/>
      <c r="S408" s="19" t="n"/>
      <c r="T408" s="19" t="n"/>
    </row>
    <row r="409" ht="15.75" customHeight="1" s="545">
      <c r="A409" s="19" t="n"/>
      <c r="B409" s="19" t="n"/>
      <c r="C409" s="19" t="n"/>
      <c r="D409" s="19" t="n"/>
      <c r="E409" s="19" t="n"/>
      <c r="F409" s="19" t="n"/>
      <c r="H409" s="19" t="n"/>
      <c r="I409" s="19" t="n"/>
      <c r="J409" s="19" t="n"/>
      <c r="K409" s="19" t="n"/>
      <c r="M409" s="19" t="n"/>
      <c r="O409" s="19" t="n"/>
      <c r="Q409" s="19" t="n"/>
      <c r="R409" s="19" t="n"/>
      <c r="S409" s="19" t="n"/>
      <c r="T409" s="19" t="n"/>
    </row>
    <row r="410" ht="15.75" customHeight="1" s="545">
      <c r="A410" s="19" t="n"/>
      <c r="B410" s="19" t="n"/>
      <c r="C410" s="19" t="n"/>
      <c r="D410" s="19" t="n"/>
      <c r="E410" s="19" t="n"/>
      <c r="F410" s="19" t="n"/>
      <c r="H410" s="19" t="n"/>
      <c r="I410" s="19" t="n"/>
      <c r="J410" s="19" t="n"/>
      <c r="K410" s="19" t="n"/>
      <c r="M410" s="19" t="n"/>
      <c r="O410" s="19" t="n"/>
      <c r="Q410" s="19" t="n"/>
      <c r="R410" s="19" t="n"/>
      <c r="S410" s="19" t="n"/>
      <c r="T410" s="19" t="n"/>
    </row>
    <row r="411" ht="15.75" customHeight="1" s="545">
      <c r="A411" s="19" t="n"/>
      <c r="B411" s="19" t="n"/>
      <c r="C411" s="19" t="n"/>
      <c r="D411" s="19" t="n"/>
      <c r="E411" s="19" t="n"/>
      <c r="F411" s="19" t="n"/>
      <c r="H411" s="19" t="n"/>
      <c r="I411" s="19" t="n"/>
      <c r="J411" s="19" t="n"/>
      <c r="K411" s="19" t="n"/>
      <c r="M411" s="19" t="n"/>
      <c r="O411" s="19" t="n"/>
      <c r="Q411" s="19" t="n"/>
      <c r="R411" s="19" t="n"/>
      <c r="S411" s="19" t="n"/>
      <c r="T411" s="19" t="n"/>
    </row>
    <row r="412" ht="15.75" customHeight="1" s="545">
      <c r="A412" s="19" t="n"/>
      <c r="B412" s="19" t="n"/>
      <c r="C412" s="19" t="n"/>
      <c r="D412" s="19" t="n"/>
      <c r="E412" s="19" t="n"/>
      <c r="F412" s="19" t="n"/>
      <c r="H412" s="19" t="n"/>
      <c r="I412" s="19" t="n"/>
      <c r="J412" s="19" t="n"/>
      <c r="K412" s="19" t="n"/>
      <c r="M412" s="19" t="n"/>
      <c r="O412" s="19" t="n"/>
      <c r="Q412" s="19" t="n"/>
      <c r="R412" s="19" t="n"/>
      <c r="S412" s="19" t="n"/>
      <c r="T412" s="19" t="n"/>
    </row>
    <row r="413" ht="15.75" customHeight="1" s="545">
      <c r="A413" s="19" t="n"/>
      <c r="B413" s="19" t="n"/>
      <c r="C413" s="19" t="n"/>
      <c r="D413" s="19" t="n"/>
      <c r="E413" s="19" t="n"/>
      <c r="F413" s="19" t="n"/>
      <c r="H413" s="19" t="n"/>
      <c r="I413" s="19" t="n"/>
      <c r="J413" s="19" t="n"/>
      <c r="K413" s="19" t="n"/>
      <c r="M413" s="19" t="n"/>
      <c r="O413" s="19" t="n"/>
      <c r="Q413" s="19" t="n"/>
      <c r="R413" s="19" t="n"/>
      <c r="S413" s="19" t="n"/>
      <c r="T413" s="19" t="n"/>
    </row>
    <row r="414" ht="15.75" customHeight="1" s="545">
      <c r="A414" s="19" t="n"/>
      <c r="B414" s="19" t="n"/>
      <c r="C414" s="19" t="n"/>
      <c r="D414" s="19" t="n"/>
      <c r="E414" s="19" t="n"/>
      <c r="F414" s="19" t="n"/>
      <c r="H414" s="19" t="n"/>
      <c r="I414" s="19" t="n"/>
      <c r="J414" s="19" t="n"/>
      <c r="K414" s="19" t="n"/>
      <c r="M414" s="19" t="n"/>
      <c r="O414" s="19" t="n"/>
      <c r="Q414" s="19" t="n"/>
      <c r="R414" s="19" t="n"/>
      <c r="S414" s="19" t="n"/>
      <c r="T414" s="19" t="n"/>
    </row>
    <row r="415" ht="15.75" customHeight="1" s="545">
      <c r="A415" s="19" t="n"/>
      <c r="B415" s="19" t="n"/>
      <c r="C415" s="19" t="n"/>
      <c r="D415" s="19" t="n"/>
      <c r="E415" s="19" t="n"/>
      <c r="F415" s="19" t="n"/>
      <c r="H415" s="19" t="n"/>
      <c r="I415" s="19" t="n"/>
      <c r="J415" s="19" t="n"/>
      <c r="K415" s="19" t="n"/>
      <c r="M415" s="19" t="n"/>
      <c r="O415" s="19" t="n"/>
      <c r="Q415" s="19" t="n"/>
      <c r="R415" s="19" t="n"/>
      <c r="S415" s="19" t="n"/>
      <c r="T415" s="19" t="n"/>
    </row>
    <row r="416" ht="15.75" customHeight="1" s="545">
      <c r="A416" s="19" t="n"/>
      <c r="B416" s="19" t="n"/>
      <c r="C416" s="19" t="n"/>
      <c r="D416" s="19" t="n"/>
      <c r="E416" s="19" t="n"/>
      <c r="F416" s="19" t="n"/>
      <c r="H416" s="19" t="n"/>
      <c r="I416" s="19" t="n"/>
      <c r="J416" s="19" t="n"/>
      <c r="K416" s="19" t="n"/>
      <c r="M416" s="19" t="n"/>
      <c r="O416" s="19" t="n"/>
      <c r="Q416" s="19" t="n"/>
      <c r="R416" s="19" t="n"/>
      <c r="S416" s="19" t="n"/>
      <c r="T416" s="19" t="n"/>
    </row>
    <row r="417" ht="15.75" customHeight="1" s="545">
      <c r="A417" s="19" t="n"/>
      <c r="B417" s="19" t="n"/>
      <c r="C417" s="19" t="n"/>
      <c r="D417" s="19" t="n"/>
      <c r="E417" s="19" t="n"/>
      <c r="F417" s="19" t="n"/>
      <c r="H417" s="19" t="n"/>
      <c r="I417" s="19" t="n"/>
      <c r="J417" s="19" t="n"/>
      <c r="K417" s="19" t="n"/>
      <c r="M417" s="19" t="n"/>
      <c r="O417" s="19" t="n"/>
      <c r="Q417" s="19" t="n"/>
      <c r="R417" s="19" t="n"/>
      <c r="S417" s="19" t="n"/>
      <c r="T417" s="19" t="n"/>
    </row>
    <row r="418" ht="15.75" customHeight="1" s="545">
      <c r="A418" s="19" t="n"/>
      <c r="B418" s="19" t="n"/>
      <c r="C418" s="19" t="n"/>
      <c r="D418" s="19" t="n"/>
      <c r="E418" s="19" t="n"/>
      <c r="F418" s="19" t="n"/>
      <c r="H418" s="19" t="n"/>
      <c r="I418" s="19" t="n"/>
      <c r="J418" s="19" t="n"/>
      <c r="K418" s="19" t="n"/>
      <c r="M418" s="19" t="n"/>
      <c r="O418" s="19" t="n"/>
      <c r="Q418" s="19" t="n"/>
      <c r="R418" s="19" t="n"/>
      <c r="S418" s="19" t="n"/>
      <c r="T418" s="19" t="n"/>
    </row>
    <row r="419" ht="15.75" customHeight="1" s="545">
      <c r="A419" s="19" t="n"/>
      <c r="B419" s="19" t="n"/>
      <c r="C419" s="19" t="n"/>
      <c r="D419" s="19" t="n"/>
      <c r="E419" s="19" t="n"/>
      <c r="F419" s="19" t="n"/>
      <c r="H419" s="19" t="n"/>
      <c r="I419" s="19" t="n"/>
      <c r="J419" s="19" t="n"/>
      <c r="K419" s="19" t="n"/>
      <c r="M419" s="19" t="n"/>
      <c r="O419" s="19" t="n"/>
      <c r="Q419" s="19" t="n"/>
      <c r="R419" s="19" t="n"/>
      <c r="S419" s="19" t="n"/>
      <c r="T419" s="19" t="n"/>
    </row>
    <row r="420" ht="15.75" customHeight="1" s="545">
      <c r="A420" s="19" t="n"/>
      <c r="B420" s="19" t="n"/>
      <c r="C420" s="19" t="n"/>
      <c r="D420" s="19" t="n"/>
      <c r="E420" s="19" t="n"/>
      <c r="F420" s="19" t="n"/>
      <c r="H420" s="19" t="n"/>
      <c r="I420" s="19" t="n"/>
      <c r="J420" s="19" t="n"/>
      <c r="K420" s="19" t="n"/>
      <c r="M420" s="19" t="n"/>
      <c r="O420" s="19" t="n"/>
      <c r="Q420" s="19" t="n"/>
      <c r="R420" s="19" t="n"/>
      <c r="S420" s="19" t="n"/>
      <c r="T420" s="19" t="n"/>
    </row>
    <row r="421" ht="15.75" customHeight="1" s="545">
      <c r="A421" s="19" t="n"/>
      <c r="B421" s="19" t="n"/>
      <c r="C421" s="19" t="n"/>
      <c r="D421" s="19" t="n"/>
      <c r="E421" s="19" t="n"/>
      <c r="F421" s="19" t="n"/>
      <c r="H421" s="19" t="n"/>
      <c r="I421" s="19" t="n"/>
      <c r="J421" s="19" t="n"/>
      <c r="K421" s="19" t="n"/>
      <c r="M421" s="19" t="n"/>
      <c r="O421" s="19" t="n"/>
      <c r="Q421" s="19" t="n"/>
      <c r="R421" s="19" t="n"/>
      <c r="S421" s="19" t="n"/>
      <c r="T421" s="19" t="n"/>
    </row>
    <row r="422" ht="15.75" customHeight="1" s="545">
      <c r="A422" s="19" t="n"/>
      <c r="B422" s="19" t="n"/>
      <c r="C422" s="19" t="n"/>
      <c r="D422" s="19" t="n"/>
      <c r="E422" s="19" t="n"/>
      <c r="F422" s="19" t="n"/>
      <c r="H422" s="19" t="n"/>
      <c r="I422" s="19" t="n"/>
      <c r="J422" s="19" t="n"/>
      <c r="K422" s="19" t="n"/>
      <c r="M422" s="19" t="n"/>
      <c r="O422" s="19" t="n"/>
      <c r="Q422" s="19" t="n"/>
      <c r="R422" s="19" t="n"/>
      <c r="S422" s="19" t="n"/>
      <c r="T422" s="19" t="n"/>
    </row>
    <row r="423" ht="15.75" customHeight="1" s="545">
      <c r="A423" s="19" t="n"/>
      <c r="B423" s="19" t="n"/>
      <c r="C423" s="19" t="n"/>
      <c r="D423" s="19" t="n"/>
      <c r="E423" s="19" t="n"/>
      <c r="F423" s="19" t="n"/>
      <c r="H423" s="19" t="n"/>
      <c r="I423" s="19" t="n"/>
      <c r="J423" s="19" t="n"/>
      <c r="K423" s="19" t="n"/>
      <c r="M423" s="19" t="n"/>
      <c r="O423" s="19" t="n"/>
      <c r="Q423" s="19" t="n"/>
      <c r="R423" s="19" t="n"/>
      <c r="S423" s="19" t="n"/>
      <c r="T423" s="19" t="n"/>
    </row>
    <row r="424" ht="15.75" customHeight="1" s="545">
      <c r="A424" s="19" t="n"/>
      <c r="B424" s="19" t="n"/>
      <c r="C424" s="19" t="n"/>
      <c r="D424" s="19" t="n"/>
      <c r="E424" s="19" t="n"/>
      <c r="F424" s="19" t="n"/>
      <c r="H424" s="19" t="n"/>
      <c r="I424" s="19" t="n"/>
      <c r="J424" s="19" t="n"/>
      <c r="K424" s="19" t="n"/>
      <c r="M424" s="19" t="n"/>
      <c r="O424" s="19" t="n"/>
      <c r="Q424" s="19" t="n"/>
      <c r="R424" s="19" t="n"/>
      <c r="S424" s="19" t="n"/>
      <c r="T424" s="19" t="n"/>
    </row>
    <row r="425" ht="15.75" customHeight="1" s="545">
      <c r="A425" s="19" t="n"/>
      <c r="B425" s="19" t="n"/>
      <c r="C425" s="19" t="n"/>
      <c r="D425" s="19" t="n"/>
      <c r="E425" s="19" t="n"/>
      <c r="F425" s="19" t="n"/>
      <c r="H425" s="19" t="n"/>
      <c r="I425" s="19" t="n"/>
      <c r="J425" s="19" t="n"/>
      <c r="K425" s="19" t="n"/>
      <c r="M425" s="19" t="n"/>
      <c r="O425" s="19" t="n"/>
      <c r="Q425" s="19" t="n"/>
      <c r="R425" s="19" t="n"/>
      <c r="S425" s="19" t="n"/>
      <c r="T425" s="19" t="n"/>
    </row>
    <row r="426" ht="15.75" customHeight="1" s="545">
      <c r="A426" s="19" t="n"/>
      <c r="B426" s="19" t="n"/>
      <c r="C426" s="19" t="n"/>
      <c r="D426" s="19" t="n"/>
      <c r="E426" s="19" t="n"/>
      <c r="F426" s="19" t="n"/>
      <c r="H426" s="19" t="n"/>
      <c r="I426" s="19" t="n"/>
      <c r="J426" s="19" t="n"/>
      <c r="K426" s="19" t="n"/>
      <c r="M426" s="19" t="n"/>
      <c r="O426" s="19" t="n"/>
      <c r="Q426" s="19" t="n"/>
      <c r="R426" s="19" t="n"/>
      <c r="S426" s="19" t="n"/>
      <c r="T426" s="19" t="n"/>
    </row>
    <row r="427" ht="15.75" customHeight="1" s="545">
      <c r="A427" s="19" t="n"/>
      <c r="B427" s="19" t="n"/>
      <c r="C427" s="19" t="n"/>
      <c r="D427" s="19" t="n"/>
      <c r="E427" s="19" t="n"/>
      <c r="F427" s="19" t="n"/>
      <c r="H427" s="19" t="n"/>
      <c r="I427" s="19" t="n"/>
      <c r="J427" s="19" t="n"/>
      <c r="K427" s="19" t="n"/>
      <c r="M427" s="19" t="n"/>
      <c r="O427" s="19" t="n"/>
      <c r="Q427" s="19" t="n"/>
      <c r="R427" s="19" t="n"/>
      <c r="S427" s="19" t="n"/>
      <c r="T427" s="19" t="n"/>
    </row>
    <row r="428" ht="15.75" customHeight="1" s="545">
      <c r="A428" s="19" t="n"/>
      <c r="B428" s="19" t="n"/>
      <c r="C428" s="19" t="n"/>
      <c r="D428" s="19" t="n"/>
      <c r="E428" s="19" t="n"/>
      <c r="F428" s="19" t="n"/>
      <c r="H428" s="19" t="n"/>
      <c r="I428" s="19" t="n"/>
      <c r="J428" s="19" t="n"/>
      <c r="K428" s="19" t="n"/>
      <c r="M428" s="19" t="n"/>
      <c r="O428" s="19" t="n"/>
      <c r="Q428" s="19" t="n"/>
      <c r="R428" s="19" t="n"/>
      <c r="S428" s="19" t="n"/>
      <c r="T428" s="19" t="n"/>
    </row>
    <row r="429" ht="15.75" customHeight="1" s="545">
      <c r="A429" s="19" t="n"/>
      <c r="B429" s="19" t="n"/>
      <c r="C429" s="19" t="n"/>
      <c r="D429" s="19" t="n"/>
      <c r="E429" s="19" t="n"/>
      <c r="F429" s="19" t="n"/>
      <c r="H429" s="19" t="n"/>
      <c r="I429" s="19" t="n"/>
      <c r="J429" s="19" t="n"/>
      <c r="K429" s="19" t="n"/>
      <c r="M429" s="19" t="n"/>
      <c r="O429" s="19" t="n"/>
      <c r="Q429" s="19" t="n"/>
      <c r="R429" s="19" t="n"/>
      <c r="S429" s="19" t="n"/>
      <c r="T429" s="19" t="n"/>
    </row>
    <row r="430" ht="15.75" customHeight="1" s="545">
      <c r="A430" s="19" t="n"/>
      <c r="B430" s="19" t="n"/>
      <c r="C430" s="19" t="n"/>
      <c r="D430" s="19" t="n"/>
      <c r="E430" s="19" t="n"/>
      <c r="F430" s="19" t="n"/>
      <c r="H430" s="19" t="n"/>
      <c r="I430" s="19" t="n"/>
      <c r="J430" s="19" t="n"/>
      <c r="K430" s="19" t="n"/>
      <c r="M430" s="19" t="n"/>
      <c r="O430" s="19" t="n"/>
      <c r="Q430" s="19" t="n"/>
      <c r="R430" s="19" t="n"/>
      <c r="S430" s="19" t="n"/>
      <c r="T430" s="19" t="n"/>
    </row>
    <row r="431" ht="15.75" customHeight="1" s="545">
      <c r="A431" s="19" t="n"/>
      <c r="B431" s="19" t="n"/>
      <c r="C431" s="19" t="n"/>
      <c r="D431" s="19" t="n"/>
      <c r="E431" s="19" t="n"/>
      <c r="F431" s="19" t="n"/>
      <c r="H431" s="19" t="n"/>
      <c r="I431" s="19" t="n"/>
      <c r="J431" s="19" t="n"/>
      <c r="K431" s="19" t="n"/>
      <c r="M431" s="19" t="n"/>
      <c r="O431" s="19" t="n"/>
      <c r="Q431" s="19" t="n"/>
      <c r="R431" s="19" t="n"/>
      <c r="S431" s="19" t="n"/>
      <c r="T431" s="19" t="n"/>
    </row>
    <row r="432" ht="15.75" customHeight="1" s="545">
      <c r="A432" s="19" t="n"/>
      <c r="B432" s="19" t="n"/>
      <c r="C432" s="19" t="n"/>
      <c r="D432" s="19" t="n"/>
      <c r="E432" s="19" t="n"/>
      <c r="F432" s="19" t="n"/>
      <c r="H432" s="19" t="n"/>
      <c r="I432" s="19" t="n"/>
      <c r="J432" s="19" t="n"/>
      <c r="K432" s="19" t="n"/>
      <c r="M432" s="19" t="n"/>
      <c r="O432" s="19" t="n"/>
      <c r="Q432" s="19" t="n"/>
      <c r="R432" s="19" t="n"/>
      <c r="S432" s="19" t="n"/>
      <c r="T432" s="19" t="n"/>
    </row>
    <row r="433" ht="15.75" customHeight="1" s="545">
      <c r="A433" s="19" t="n"/>
      <c r="B433" s="19" t="n"/>
      <c r="C433" s="19" t="n"/>
      <c r="D433" s="19" t="n"/>
      <c r="E433" s="19" t="n"/>
      <c r="F433" s="19" t="n"/>
      <c r="H433" s="19" t="n"/>
      <c r="I433" s="19" t="n"/>
      <c r="J433" s="19" t="n"/>
      <c r="K433" s="19" t="n"/>
      <c r="M433" s="19" t="n"/>
      <c r="O433" s="19" t="n"/>
      <c r="Q433" s="19" t="n"/>
      <c r="R433" s="19" t="n"/>
      <c r="S433" s="19" t="n"/>
      <c r="T433" s="19" t="n"/>
    </row>
    <row r="434" ht="15.75" customHeight="1" s="545">
      <c r="A434" s="19" t="n"/>
      <c r="B434" s="19" t="n"/>
      <c r="C434" s="19" t="n"/>
      <c r="D434" s="19" t="n"/>
      <c r="E434" s="19" t="n"/>
      <c r="F434" s="19" t="n"/>
      <c r="H434" s="19" t="n"/>
      <c r="I434" s="19" t="n"/>
      <c r="J434" s="19" t="n"/>
      <c r="K434" s="19" t="n"/>
      <c r="M434" s="19" t="n"/>
      <c r="O434" s="19" t="n"/>
      <c r="Q434" s="19" t="n"/>
      <c r="R434" s="19" t="n"/>
      <c r="S434" s="19" t="n"/>
      <c r="T434" s="19" t="n"/>
    </row>
    <row r="435" ht="15.75" customHeight="1" s="545">
      <c r="A435" s="19" t="n"/>
      <c r="B435" s="19" t="n"/>
      <c r="C435" s="19" t="n"/>
      <c r="D435" s="19" t="n"/>
      <c r="E435" s="19" t="n"/>
      <c r="F435" s="19" t="n"/>
      <c r="H435" s="19" t="n"/>
      <c r="I435" s="19" t="n"/>
      <c r="J435" s="19" t="n"/>
      <c r="K435" s="19" t="n"/>
      <c r="M435" s="19" t="n"/>
      <c r="O435" s="19" t="n"/>
      <c r="Q435" s="19" t="n"/>
      <c r="R435" s="19" t="n"/>
      <c r="S435" s="19" t="n"/>
      <c r="T435" s="19" t="n"/>
    </row>
    <row r="436" ht="15.75" customHeight="1" s="545">
      <c r="A436" s="19" t="n"/>
      <c r="B436" s="19" t="n"/>
      <c r="C436" s="19" t="n"/>
      <c r="D436" s="19" t="n"/>
      <c r="E436" s="19" t="n"/>
      <c r="F436" s="19" t="n"/>
      <c r="H436" s="19" t="n"/>
      <c r="I436" s="19" t="n"/>
      <c r="J436" s="19" t="n"/>
      <c r="K436" s="19" t="n"/>
      <c r="M436" s="19" t="n"/>
      <c r="O436" s="19" t="n"/>
      <c r="Q436" s="19" t="n"/>
      <c r="R436" s="19" t="n"/>
      <c r="S436" s="19" t="n"/>
      <c r="T436" s="19" t="n"/>
    </row>
    <row r="437" ht="15.75" customHeight="1" s="545">
      <c r="A437" s="19" t="n"/>
      <c r="B437" s="19" t="n"/>
      <c r="C437" s="19" t="n"/>
      <c r="D437" s="19" t="n"/>
      <c r="E437" s="19" t="n"/>
      <c r="F437" s="19" t="n"/>
      <c r="H437" s="19" t="n"/>
      <c r="I437" s="19" t="n"/>
      <c r="J437" s="19" t="n"/>
      <c r="K437" s="19" t="n"/>
      <c r="M437" s="19" t="n"/>
      <c r="O437" s="19" t="n"/>
      <c r="Q437" s="19" t="n"/>
      <c r="R437" s="19" t="n"/>
      <c r="S437" s="19" t="n"/>
      <c r="T437" s="19" t="n"/>
    </row>
    <row r="438" ht="15.75" customHeight="1" s="545">
      <c r="A438" s="19" t="n"/>
      <c r="B438" s="19" t="n"/>
      <c r="C438" s="19" t="n"/>
      <c r="D438" s="19" t="n"/>
      <c r="E438" s="19" t="n"/>
      <c r="F438" s="19" t="n"/>
      <c r="H438" s="19" t="n"/>
      <c r="I438" s="19" t="n"/>
      <c r="J438" s="19" t="n"/>
      <c r="K438" s="19" t="n"/>
      <c r="M438" s="19" t="n"/>
      <c r="O438" s="19" t="n"/>
      <c r="Q438" s="19" t="n"/>
      <c r="R438" s="19" t="n"/>
      <c r="S438" s="19" t="n"/>
      <c r="T438" s="19" t="n"/>
    </row>
    <row r="439" ht="15.75" customHeight="1" s="545">
      <c r="A439" s="19" t="n"/>
      <c r="B439" s="19" t="n"/>
      <c r="C439" s="19" t="n"/>
      <c r="D439" s="19" t="n"/>
      <c r="E439" s="19" t="n"/>
      <c r="F439" s="19" t="n"/>
      <c r="H439" s="19" t="n"/>
      <c r="I439" s="19" t="n"/>
      <c r="J439" s="19" t="n"/>
      <c r="K439" s="19" t="n"/>
      <c r="M439" s="19" t="n"/>
      <c r="O439" s="19" t="n"/>
      <c r="Q439" s="19" t="n"/>
      <c r="R439" s="19" t="n"/>
      <c r="S439" s="19" t="n"/>
      <c r="T439" s="19" t="n"/>
    </row>
    <row r="440" ht="15.75" customHeight="1" s="545">
      <c r="A440" s="19" t="n"/>
      <c r="B440" s="19" t="n"/>
      <c r="C440" s="19" t="n"/>
      <c r="D440" s="19" t="n"/>
      <c r="E440" s="19" t="n"/>
      <c r="F440" s="19" t="n"/>
      <c r="H440" s="19" t="n"/>
      <c r="I440" s="19" t="n"/>
      <c r="J440" s="19" t="n"/>
      <c r="K440" s="19" t="n"/>
      <c r="M440" s="19" t="n"/>
      <c r="O440" s="19" t="n"/>
      <c r="Q440" s="19" t="n"/>
      <c r="R440" s="19" t="n"/>
      <c r="S440" s="19" t="n"/>
      <c r="T440" s="19" t="n"/>
    </row>
    <row r="441" ht="15.75" customHeight="1" s="545">
      <c r="A441" s="19" t="n"/>
      <c r="B441" s="19" t="n"/>
      <c r="C441" s="19" t="n"/>
      <c r="D441" s="19" t="n"/>
      <c r="E441" s="19" t="n"/>
      <c r="F441" s="19" t="n"/>
      <c r="H441" s="19" t="n"/>
      <c r="I441" s="19" t="n"/>
      <c r="J441" s="19" t="n"/>
      <c r="K441" s="19" t="n"/>
      <c r="M441" s="19" t="n"/>
      <c r="O441" s="19" t="n"/>
      <c r="Q441" s="19" t="n"/>
      <c r="R441" s="19" t="n"/>
      <c r="S441" s="19" t="n"/>
      <c r="T441" s="19" t="n"/>
    </row>
    <row r="442" ht="15.75" customHeight="1" s="545">
      <c r="A442" s="19" t="n"/>
      <c r="B442" s="19" t="n"/>
      <c r="C442" s="19" t="n"/>
      <c r="D442" s="19" t="n"/>
      <c r="E442" s="19" t="n"/>
      <c r="F442" s="19" t="n"/>
      <c r="H442" s="19" t="n"/>
      <c r="I442" s="19" t="n"/>
      <c r="J442" s="19" t="n"/>
      <c r="K442" s="19" t="n"/>
      <c r="M442" s="19" t="n"/>
      <c r="O442" s="19" t="n"/>
      <c r="Q442" s="19" t="n"/>
      <c r="R442" s="19" t="n"/>
      <c r="S442" s="19" t="n"/>
      <c r="T442" s="19" t="n"/>
    </row>
    <row r="443" ht="15.75" customHeight="1" s="545">
      <c r="A443" s="19" t="n"/>
      <c r="B443" s="19" t="n"/>
      <c r="C443" s="19" t="n"/>
      <c r="D443" s="19" t="n"/>
      <c r="E443" s="19" t="n"/>
      <c r="F443" s="19" t="n"/>
      <c r="H443" s="19" t="n"/>
      <c r="I443" s="19" t="n"/>
      <c r="J443" s="19" t="n"/>
      <c r="K443" s="19" t="n"/>
      <c r="M443" s="19" t="n"/>
      <c r="O443" s="19" t="n"/>
      <c r="Q443" s="19" t="n"/>
      <c r="R443" s="19" t="n"/>
      <c r="S443" s="19" t="n"/>
      <c r="T443" s="19" t="n"/>
    </row>
    <row r="444" ht="15.75" customHeight="1" s="545">
      <c r="A444" s="19" t="n"/>
      <c r="B444" s="19" t="n"/>
      <c r="C444" s="19" t="n"/>
      <c r="D444" s="19" t="n"/>
      <c r="E444" s="19" t="n"/>
      <c r="F444" s="19" t="n"/>
      <c r="H444" s="19" t="n"/>
      <c r="I444" s="19" t="n"/>
      <c r="J444" s="19" t="n"/>
      <c r="K444" s="19" t="n"/>
      <c r="M444" s="19" t="n"/>
      <c r="O444" s="19" t="n"/>
      <c r="Q444" s="19" t="n"/>
      <c r="R444" s="19" t="n"/>
      <c r="S444" s="19" t="n"/>
      <c r="T444" s="19" t="n"/>
    </row>
    <row r="445" ht="15.75" customHeight="1" s="545">
      <c r="A445" s="19" t="n"/>
      <c r="B445" s="19" t="n"/>
      <c r="C445" s="19" t="n"/>
      <c r="D445" s="19" t="n"/>
      <c r="E445" s="19" t="n"/>
      <c r="F445" s="19" t="n"/>
      <c r="H445" s="19" t="n"/>
      <c r="I445" s="19" t="n"/>
      <c r="J445" s="19" t="n"/>
      <c r="K445" s="19" t="n"/>
      <c r="M445" s="19" t="n"/>
      <c r="O445" s="19" t="n"/>
      <c r="Q445" s="19" t="n"/>
      <c r="R445" s="19" t="n"/>
      <c r="S445" s="19" t="n"/>
      <c r="T445" s="19" t="n"/>
    </row>
    <row r="446" ht="15.75" customHeight="1" s="545">
      <c r="A446" s="19" t="n"/>
      <c r="B446" s="19" t="n"/>
      <c r="C446" s="19" t="n"/>
      <c r="D446" s="19" t="n"/>
      <c r="E446" s="19" t="n"/>
      <c r="F446" s="19" t="n"/>
      <c r="H446" s="19" t="n"/>
      <c r="I446" s="19" t="n"/>
      <c r="J446" s="19" t="n"/>
      <c r="K446" s="19" t="n"/>
      <c r="M446" s="19" t="n"/>
      <c r="O446" s="19" t="n"/>
      <c r="Q446" s="19" t="n"/>
      <c r="R446" s="19" t="n"/>
      <c r="S446" s="19" t="n"/>
      <c r="T446" s="19" t="n"/>
    </row>
    <row r="447" ht="15.75" customHeight="1" s="545">
      <c r="A447" s="19" t="n"/>
      <c r="B447" s="19" t="n"/>
      <c r="C447" s="19" t="n"/>
      <c r="D447" s="19" t="n"/>
      <c r="E447" s="19" t="n"/>
      <c r="F447" s="19" t="n"/>
      <c r="H447" s="19" t="n"/>
      <c r="I447" s="19" t="n"/>
      <c r="J447" s="19" t="n"/>
      <c r="K447" s="19" t="n"/>
      <c r="M447" s="19" t="n"/>
      <c r="O447" s="19" t="n"/>
      <c r="Q447" s="19" t="n"/>
      <c r="R447" s="19" t="n"/>
      <c r="S447" s="19" t="n"/>
      <c r="T447" s="19" t="n"/>
    </row>
    <row r="448" ht="15.75" customHeight="1" s="545">
      <c r="A448" s="19" t="n"/>
      <c r="B448" s="19" t="n"/>
      <c r="C448" s="19" t="n"/>
      <c r="D448" s="19" t="n"/>
      <c r="E448" s="19" t="n"/>
      <c r="F448" s="19" t="n"/>
      <c r="H448" s="19" t="n"/>
      <c r="I448" s="19" t="n"/>
      <c r="J448" s="19" t="n"/>
      <c r="K448" s="19" t="n"/>
      <c r="M448" s="19" t="n"/>
      <c r="O448" s="19" t="n"/>
      <c r="Q448" s="19" t="n"/>
      <c r="R448" s="19" t="n"/>
      <c r="S448" s="19" t="n"/>
      <c r="T448" s="19" t="n"/>
    </row>
    <row r="449" ht="15.75" customHeight="1" s="545">
      <c r="A449" s="19" t="n"/>
      <c r="B449" s="19" t="n"/>
      <c r="C449" s="19" t="n"/>
      <c r="D449" s="19" t="n"/>
      <c r="E449" s="19" t="n"/>
      <c r="F449" s="19" t="n"/>
      <c r="H449" s="19" t="n"/>
      <c r="I449" s="19" t="n"/>
      <c r="J449" s="19" t="n"/>
      <c r="K449" s="19" t="n"/>
      <c r="M449" s="19" t="n"/>
      <c r="O449" s="19" t="n"/>
      <c r="Q449" s="19" t="n"/>
      <c r="R449" s="19" t="n"/>
      <c r="S449" s="19" t="n"/>
      <c r="T449" s="19" t="n"/>
    </row>
    <row r="450" ht="15.75" customHeight="1" s="545">
      <c r="A450" s="19" t="n"/>
      <c r="B450" s="19" t="n"/>
      <c r="C450" s="19" t="n"/>
      <c r="D450" s="19" t="n"/>
      <c r="E450" s="19" t="n"/>
      <c r="F450" s="19" t="n"/>
      <c r="H450" s="19" t="n"/>
      <c r="I450" s="19" t="n"/>
      <c r="J450" s="19" t="n"/>
      <c r="K450" s="19" t="n"/>
      <c r="M450" s="19" t="n"/>
      <c r="O450" s="19" t="n"/>
      <c r="Q450" s="19" t="n"/>
      <c r="R450" s="19" t="n"/>
      <c r="S450" s="19" t="n"/>
      <c r="T450" s="19" t="n"/>
    </row>
    <row r="451" ht="15.75" customHeight="1" s="545">
      <c r="A451" s="19" t="n"/>
      <c r="B451" s="19" t="n"/>
      <c r="C451" s="19" t="n"/>
      <c r="D451" s="19" t="n"/>
      <c r="E451" s="19" t="n"/>
      <c r="F451" s="19" t="n"/>
      <c r="H451" s="19" t="n"/>
      <c r="I451" s="19" t="n"/>
      <c r="J451" s="19" t="n"/>
      <c r="K451" s="19" t="n"/>
      <c r="M451" s="19" t="n"/>
      <c r="O451" s="19" t="n"/>
      <c r="Q451" s="19" t="n"/>
      <c r="R451" s="19" t="n"/>
      <c r="S451" s="19" t="n"/>
      <c r="T451" s="19" t="n"/>
    </row>
    <row r="452" ht="15.75" customHeight="1" s="545">
      <c r="A452" s="19" t="n"/>
      <c r="B452" s="19" t="n"/>
      <c r="C452" s="19" t="n"/>
      <c r="D452" s="19" t="n"/>
      <c r="E452" s="19" t="n"/>
      <c r="F452" s="19" t="n"/>
      <c r="H452" s="19" t="n"/>
      <c r="I452" s="19" t="n"/>
      <c r="J452" s="19" t="n"/>
      <c r="K452" s="19" t="n"/>
      <c r="M452" s="19" t="n"/>
      <c r="O452" s="19" t="n"/>
      <c r="Q452" s="19" t="n"/>
      <c r="R452" s="19" t="n"/>
      <c r="S452" s="19" t="n"/>
      <c r="T452" s="19" t="n"/>
    </row>
    <row r="453" ht="15.75" customHeight="1" s="545">
      <c r="A453" s="19" t="n"/>
      <c r="B453" s="19" t="n"/>
      <c r="C453" s="19" t="n"/>
      <c r="D453" s="19" t="n"/>
      <c r="E453" s="19" t="n"/>
      <c r="F453" s="19" t="n"/>
      <c r="H453" s="19" t="n"/>
      <c r="I453" s="19" t="n"/>
      <c r="J453" s="19" t="n"/>
      <c r="K453" s="19" t="n"/>
      <c r="M453" s="19" t="n"/>
      <c r="O453" s="19" t="n"/>
      <c r="Q453" s="19" t="n"/>
      <c r="R453" s="19" t="n"/>
      <c r="S453" s="19" t="n"/>
      <c r="T453" s="19" t="n"/>
    </row>
    <row r="454" ht="15.75" customHeight="1" s="545">
      <c r="A454" s="19" t="n"/>
      <c r="B454" s="19" t="n"/>
      <c r="C454" s="19" t="n"/>
      <c r="D454" s="19" t="n"/>
      <c r="E454" s="19" t="n"/>
      <c r="F454" s="19" t="n"/>
      <c r="H454" s="19" t="n"/>
      <c r="I454" s="19" t="n"/>
      <c r="J454" s="19" t="n"/>
      <c r="K454" s="19" t="n"/>
      <c r="M454" s="19" t="n"/>
      <c r="O454" s="19" t="n"/>
      <c r="Q454" s="19" t="n"/>
      <c r="R454" s="19" t="n"/>
      <c r="S454" s="19" t="n"/>
      <c r="T454" s="19" t="n"/>
    </row>
    <row r="455" ht="15.75" customHeight="1" s="545">
      <c r="A455" s="19" t="n"/>
      <c r="B455" s="19" t="n"/>
      <c r="C455" s="19" t="n"/>
      <c r="D455" s="19" t="n"/>
      <c r="E455" s="19" t="n"/>
      <c r="F455" s="19" t="n"/>
      <c r="H455" s="19" t="n"/>
      <c r="I455" s="19" t="n"/>
      <c r="J455" s="19" t="n"/>
      <c r="K455" s="19" t="n"/>
      <c r="M455" s="19" t="n"/>
      <c r="O455" s="19" t="n"/>
      <c r="Q455" s="19" t="n"/>
      <c r="R455" s="19" t="n"/>
      <c r="S455" s="19" t="n"/>
      <c r="T455" s="19" t="n"/>
    </row>
    <row r="456" ht="15.75" customHeight="1" s="545">
      <c r="A456" s="19" t="n"/>
      <c r="B456" s="19" t="n"/>
      <c r="C456" s="19" t="n"/>
      <c r="D456" s="19" t="n"/>
      <c r="E456" s="19" t="n"/>
      <c r="F456" s="19" t="n"/>
      <c r="H456" s="19" t="n"/>
      <c r="I456" s="19" t="n"/>
      <c r="J456" s="19" t="n"/>
      <c r="K456" s="19" t="n"/>
      <c r="M456" s="19" t="n"/>
      <c r="O456" s="19" t="n"/>
      <c r="Q456" s="19" t="n"/>
      <c r="R456" s="19" t="n"/>
      <c r="S456" s="19" t="n"/>
      <c r="T456" s="19" t="n"/>
    </row>
    <row r="457" ht="15.75" customHeight="1" s="545">
      <c r="A457" s="19" t="n"/>
      <c r="B457" s="19" t="n"/>
      <c r="C457" s="19" t="n"/>
      <c r="D457" s="19" t="n"/>
      <c r="E457" s="19" t="n"/>
      <c r="F457" s="19" t="n"/>
      <c r="H457" s="19" t="n"/>
      <c r="I457" s="19" t="n"/>
      <c r="J457" s="19" t="n"/>
      <c r="K457" s="19" t="n"/>
      <c r="M457" s="19" t="n"/>
      <c r="O457" s="19" t="n"/>
      <c r="Q457" s="19" t="n"/>
      <c r="R457" s="19" t="n"/>
      <c r="S457" s="19" t="n"/>
      <c r="T457" s="19" t="n"/>
    </row>
    <row r="458" ht="15.75" customHeight="1" s="545">
      <c r="A458" s="19" t="n"/>
      <c r="B458" s="19" t="n"/>
      <c r="C458" s="19" t="n"/>
      <c r="D458" s="19" t="n"/>
      <c r="E458" s="19" t="n"/>
      <c r="F458" s="19" t="n"/>
      <c r="H458" s="19" t="n"/>
      <c r="I458" s="19" t="n"/>
      <c r="J458" s="19" t="n"/>
      <c r="K458" s="19" t="n"/>
      <c r="M458" s="19" t="n"/>
      <c r="O458" s="19" t="n"/>
      <c r="Q458" s="19" t="n"/>
      <c r="R458" s="19" t="n"/>
      <c r="S458" s="19" t="n"/>
      <c r="T458" s="19" t="n"/>
    </row>
    <row r="459" ht="15.75" customHeight="1" s="545">
      <c r="A459" s="19" t="n"/>
      <c r="B459" s="19" t="n"/>
      <c r="C459" s="19" t="n"/>
      <c r="D459" s="19" t="n"/>
      <c r="E459" s="19" t="n"/>
      <c r="F459" s="19" t="n"/>
      <c r="H459" s="19" t="n"/>
      <c r="I459" s="19" t="n"/>
      <c r="J459" s="19" t="n"/>
      <c r="K459" s="19" t="n"/>
      <c r="M459" s="19" t="n"/>
      <c r="O459" s="19" t="n"/>
      <c r="Q459" s="19" t="n"/>
      <c r="R459" s="19" t="n"/>
      <c r="S459" s="19" t="n"/>
      <c r="T459" s="19" t="n"/>
    </row>
    <row r="460" ht="15.75" customHeight="1" s="545">
      <c r="A460" s="19" t="n"/>
      <c r="B460" s="19" t="n"/>
      <c r="C460" s="19" t="n"/>
      <c r="D460" s="19" t="n"/>
      <c r="E460" s="19" t="n"/>
      <c r="F460" s="19" t="n"/>
      <c r="H460" s="19" t="n"/>
      <c r="I460" s="19" t="n"/>
      <c r="J460" s="19" t="n"/>
      <c r="K460" s="19" t="n"/>
      <c r="M460" s="19" t="n"/>
      <c r="O460" s="19" t="n"/>
      <c r="Q460" s="19" t="n"/>
      <c r="R460" s="19" t="n"/>
      <c r="S460" s="19" t="n"/>
      <c r="T460" s="19" t="n"/>
    </row>
    <row r="461" ht="15.75" customHeight="1" s="545">
      <c r="A461" s="19" t="n"/>
      <c r="B461" s="19" t="n"/>
      <c r="C461" s="19" t="n"/>
      <c r="D461" s="19" t="n"/>
      <c r="E461" s="19" t="n"/>
      <c r="F461" s="19" t="n"/>
      <c r="H461" s="19" t="n"/>
      <c r="I461" s="19" t="n"/>
      <c r="J461" s="19" t="n"/>
      <c r="K461" s="19" t="n"/>
      <c r="M461" s="19" t="n"/>
      <c r="O461" s="19" t="n"/>
      <c r="Q461" s="19" t="n"/>
      <c r="R461" s="19" t="n"/>
      <c r="S461" s="19" t="n"/>
      <c r="T461" s="19" t="n"/>
    </row>
    <row r="462" ht="15.75" customHeight="1" s="545">
      <c r="A462" s="19" t="n"/>
      <c r="B462" s="19" t="n"/>
      <c r="C462" s="19" t="n"/>
      <c r="D462" s="19" t="n"/>
      <c r="E462" s="19" t="n"/>
      <c r="F462" s="19" t="n"/>
      <c r="H462" s="19" t="n"/>
      <c r="I462" s="19" t="n"/>
      <c r="J462" s="19" t="n"/>
      <c r="K462" s="19" t="n"/>
      <c r="M462" s="19" t="n"/>
      <c r="O462" s="19" t="n"/>
      <c r="Q462" s="19" t="n"/>
      <c r="R462" s="19" t="n"/>
      <c r="S462" s="19" t="n"/>
      <c r="T462" s="19" t="n"/>
    </row>
    <row r="463" ht="15.75" customHeight="1" s="545">
      <c r="A463" s="19" t="n"/>
      <c r="B463" s="19" t="n"/>
      <c r="C463" s="19" t="n"/>
      <c r="D463" s="19" t="n"/>
      <c r="E463" s="19" t="n"/>
      <c r="F463" s="19" t="n"/>
      <c r="H463" s="19" t="n"/>
      <c r="I463" s="19" t="n"/>
      <c r="J463" s="19" t="n"/>
      <c r="K463" s="19" t="n"/>
      <c r="M463" s="19" t="n"/>
      <c r="O463" s="19" t="n"/>
      <c r="Q463" s="19" t="n"/>
      <c r="R463" s="19" t="n"/>
      <c r="S463" s="19" t="n"/>
      <c r="T463" s="19" t="n"/>
    </row>
    <row r="464" ht="15.75" customHeight="1" s="545">
      <c r="A464" s="19" t="n"/>
      <c r="B464" s="19" t="n"/>
      <c r="C464" s="19" t="n"/>
      <c r="D464" s="19" t="n"/>
      <c r="E464" s="19" t="n"/>
      <c r="F464" s="19" t="n"/>
      <c r="H464" s="19" t="n"/>
      <c r="I464" s="19" t="n"/>
      <c r="J464" s="19" t="n"/>
      <c r="K464" s="19" t="n"/>
      <c r="M464" s="19" t="n"/>
      <c r="O464" s="19" t="n"/>
      <c r="Q464" s="19" t="n"/>
      <c r="R464" s="19" t="n"/>
      <c r="S464" s="19" t="n"/>
      <c r="T464" s="19" t="n"/>
    </row>
    <row r="465" ht="15.75" customHeight="1" s="545">
      <c r="A465" s="19" t="n"/>
      <c r="B465" s="19" t="n"/>
      <c r="C465" s="19" t="n"/>
      <c r="D465" s="19" t="n"/>
      <c r="E465" s="19" t="n"/>
      <c r="F465" s="19" t="n"/>
      <c r="H465" s="19" t="n"/>
      <c r="I465" s="19" t="n"/>
      <c r="J465" s="19" t="n"/>
      <c r="K465" s="19" t="n"/>
      <c r="M465" s="19" t="n"/>
      <c r="O465" s="19" t="n"/>
      <c r="Q465" s="19" t="n"/>
      <c r="R465" s="19" t="n"/>
      <c r="S465" s="19" t="n"/>
      <c r="T465" s="19" t="n"/>
    </row>
    <row r="466" ht="15.75" customHeight="1" s="545">
      <c r="A466" s="19" t="n"/>
      <c r="B466" s="19" t="n"/>
      <c r="C466" s="19" t="n"/>
      <c r="D466" s="19" t="n"/>
      <c r="E466" s="19" t="n"/>
      <c r="F466" s="19" t="n"/>
      <c r="H466" s="19" t="n"/>
      <c r="I466" s="19" t="n"/>
      <c r="J466" s="19" t="n"/>
      <c r="K466" s="19" t="n"/>
      <c r="M466" s="19" t="n"/>
      <c r="O466" s="19" t="n"/>
      <c r="Q466" s="19" t="n"/>
      <c r="R466" s="19" t="n"/>
      <c r="S466" s="19" t="n"/>
      <c r="T466" s="19" t="n"/>
    </row>
    <row r="467" ht="15.75" customHeight="1" s="545">
      <c r="A467" s="19" t="n"/>
      <c r="B467" s="19" t="n"/>
      <c r="C467" s="19" t="n"/>
      <c r="D467" s="19" t="n"/>
      <c r="E467" s="19" t="n"/>
      <c r="F467" s="19" t="n"/>
      <c r="H467" s="19" t="n"/>
      <c r="I467" s="19" t="n"/>
      <c r="J467" s="19" t="n"/>
      <c r="K467" s="19" t="n"/>
      <c r="M467" s="19" t="n"/>
      <c r="O467" s="19" t="n"/>
      <c r="Q467" s="19" t="n"/>
      <c r="R467" s="19" t="n"/>
      <c r="S467" s="19" t="n"/>
      <c r="T467" s="19" t="n"/>
    </row>
    <row r="468" ht="15.75" customHeight="1" s="545">
      <c r="A468" s="19" t="n"/>
      <c r="B468" s="19" t="n"/>
      <c r="C468" s="19" t="n"/>
      <c r="D468" s="19" t="n"/>
      <c r="E468" s="19" t="n"/>
      <c r="F468" s="19" t="n"/>
      <c r="H468" s="19" t="n"/>
      <c r="I468" s="19" t="n"/>
      <c r="J468" s="19" t="n"/>
      <c r="K468" s="19" t="n"/>
      <c r="M468" s="19" t="n"/>
      <c r="O468" s="19" t="n"/>
      <c r="Q468" s="19" t="n"/>
      <c r="R468" s="19" t="n"/>
      <c r="S468" s="19" t="n"/>
      <c r="T468" s="19" t="n"/>
    </row>
    <row r="469" ht="15.75" customHeight="1" s="545">
      <c r="A469" s="19" t="n"/>
      <c r="B469" s="19" t="n"/>
      <c r="C469" s="19" t="n"/>
      <c r="D469" s="19" t="n"/>
      <c r="E469" s="19" t="n"/>
      <c r="F469" s="19" t="n"/>
      <c r="H469" s="19" t="n"/>
      <c r="I469" s="19" t="n"/>
      <c r="J469" s="19" t="n"/>
      <c r="K469" s="19" t="n"/>
      <c r="M469" s="19" t="n"/>
      <c r="O469" s="19" t="n"/>
      <c r="Q469" s="19" t="n"/>
      <c r="R469" s="19" t="n"/>
      <c r="S469" s="19" t="n"/>
      <c r="T469" s="19" t="n"/>
    </row>
    <row r="470" ht="15.75" customHeight="1" s="545">
      <c r="A470" s="19" t="n"/>
      <c r="B470" s="19" t="n"/>
      <c r="C470" s="19" t="n"/>
      <c r="D470" s="19" t="n"/>
      <c r="E470" s="19" t="n"/>
      <c r="F470" s="19" t="n"/>
      <c r="H470" s="19" t="n"/>
      <c r="I470" s="19" t="n"/>
      <c r="J470" s="19" t="n"/>
      <c r="K470" s="19" t="n"/>
      <c r="M470" s="19" t="n"/>
      <c r="O470" s="19" t="n"/>
      <c r="Q470" s="19" t="n"/>
      <c r="R470" s="19" t="n"/>
      <c r="S470" s="19" t="n"/>
      <c r="T470" s="19" t="n"/>
    </row>
    <row r="471" ht="15.75" customHeight="1" s="545">
      <c r="A471" s="19" t="n"/>
      <c r="B471" s="19" t="n"/>
      <c r="C471" s="19" t="n"/>
      <c r="D471" s="19" t="n"/>
      <c r="E471" s="19" t="n"/>
      <c r="F471" s="19" t="n"/>
      <c r="H471" s="19" t="n"/>
      <c r="I471" s="19" t="n"/>
      <c r="J471" s="19" t="n"/>
      <c r="K471" s="19" t="n"/>
      <c r="M471" s="19" t="n"/>
      <c r="O471" s="19" t="n"/>
      <c r="Q471" s="19" t="n"/>
      <c r="R471" s="19" t="n"/>
      <c r="S471" s="19" t="n"/>
      <c r="T471" s="19" t="n"/>
    </row>
    <row r="472" ht="15.75" customHeight="1" s="545">
      <c r="A472" s="19" t="n"/>
      <c r="B472" s="19" t="n"/>
      <c r="C472" s="19" t="n"/>
      <c r="D472" s="19" t="n"/>
      <c r="E472" s="19" t="n"/>
      <c r="F472" s="19" t="n"/>
      <c r="H472" s="19" t="n"/>
      <c r="I472" s="19" t="n"/>
      <c r="J472" s="19" t="n"/>
      <c r="K472" s="19" t="n"/>
      <c r="M472" s="19" t="n"/>
      <c r="O472" s="19" t="n"/>
      <c r="Q472" s="19" t="n"/>
      <c r="R472" s="19" t="n"/>
      <c r="S472" s="19" t="n"/>
      <c r="T472" s="19" t="n"/>
    </row>
    <row r="473" ht="15.75" customHeight="1" s="545">
      <c r="A473" s="19" t="n"/>
      <c r="B473" s="19" t="n"/>
      <c r="C473" s="19" t="n"/>
      <c r="D473" s="19" t="n"/>
      <c r="E473" s="19" t="n"/>
      <c r="F473" s="19" t="n"/>
      <c r="H473" s="19" t="n"/>
      <c r="I473" s="19" t="n"/>
      <c r="J473" s="19" t="n"/>
      <c r="K473" s="19" t="n"/>
      <c r="M473" s="19" t="n"/>
      <c r="O473" s="19" t="n"/>
      <c r="Q473" s="19" t="n"/>
      <c r="R473" s="19" t="n"/>
      <c r="S473" s="19" t="n"/>
      <c r="T473" s="19" t="n"/>
    </row>
    <row r="474" ht="15.75" customHeight="1" s="545">
      <c r="A474" s="19" t="n"/>
      <c r="B474" s="19" t="n"/>
      <c r="C474" s="19" t="n"/>
      <c r="D474" s="19" t="n"/>
      <c r="E474" s="19" t="n"/>
      <c r="F474" s="19" t="n"/>
      <c r="H474" s="19" t="n"/>
      <c r="I474" s="19" t="n"/>
      <c r="J474" s="19" t="n"/>
      <c r="K474" s="19" t="n"/>
      <c r="M474" s="19" t="n"/>
      <c r="O474" s="19" t="n"/>
      <c r="Q474" s="19" t="n"/>
      <c r="R474" s="19" t="n"/>
      <c r="S474" s="19" t="n"/>
      <c r="T474" s="19" t="n"/>
    </row>
    <row r="475" ht="15.75" customHeight="1" s="545">
      <c r="A475" s="19" t="n"/>
      <c r="B475" s="19" t="n"/>
      <c r="C475" s="19" t="n"/>
      <c r="D475" s="19" t="n"/>
      <c r="E475" s="19" t="n"/>
      <c r="F475" s="19" t="n"/>
      <c r="H475" s="19" t="n"/>
      <c r="I475" s="19" t="n"/>
      <c r="J475" s="19" t="n"/>
      <c r="K475" s="19" t="n"/>
      <c r="M475" s="19" t="n"/>
      <c r="O475" s="19" t="n"/>
      <c r="Q475" s="19" t="n"/>
      <c r="R475" s="19" t="n"/>
      <c r="S475" s="19" t="n"/>
      <c r="T475" s="19" t="n"/>
    </row>
    <row r="476" ht="15.75" customHeight="1" s="545">
      <c r="A476" s="19" t="n"/>
      <c r="B476" s="19" t="n"/>
      <c r="C476" s="19" t="n"/>
      <c r="D476" s="19" t="n"/>
      <c r="E476" s="19" t="n"/>
      <c r="F476" s="19" t="n"/>
      <c r="H476" s="19" t="n"/>
      <c r="I476" s="19" t="n"/>
      <c r="J476" s="19" t="n"/>
      <c r="K476" s="19" t="n"/>
      <c r="M476" s="19" t="n"/>
      <c r="O476" s="19" t="n"/>
      <c r="Q476" s="19" t="n"/>
      <c r="R476" s="19" t="n"/>
      <c r="S476" s="19" t="n"/>
      <c r="T476" s="19" t="n"/>
    </row>
    <row r="477" ht="15.75" customHeight="1" s="545">
      <c r="A477" s="19" t="n"/>
      <c r="B477" s="19" t="n"/>
      <c r="C477" s="19" t="n"/>
      <c r="D477" s="19" t="n"/>
      <c r="E477" s="19" t="n"/>
      <c r="F477" s="19" t="n"/>
      <c r="H477" s="19" t="n"/>
      <c r="I477" s="19" t="n"/>
      <c r="J477" s="19" t="n"/>
      <c r="K477" s="19" t="n"/>
      <c r="M477" s="19" t="n"/>
      <c r="O477" s="19" t="n"/>
      <c r="Q477" s="19" t="n"/>
      <c r="R477" s="19" t="n"/>
      <c r="S477" s="19" t="n"/>
      <c r="T477" s="19" t="n"/>
    </row>
    <row r="478" ht="15.75" customHeight="1" s="545">
      <c r="A478" s="19" t="n"/>
      <c r="B478" s="19" t="n"/>
      <c r="C478" s="19" t="n"/>
      <c r="D478" s="19" t="n"/>
      <c r="E478" s="19" t="n"/>
      <c r="F478" s="19" t="n"/>
      <c r="H478" s="19" t="n"/>
      <c r="I478" s="19" t="n"/>
      <c r="J478" s="19" t="n"/>
      <c r="K478" s="19" t="n"/>
      <c r="M478" s="19" t="n"/>
      <c r="O478" s="19" t="n"/>
      <c r="Q478" s="19" t="n"/>
      <c r="R478" s="19" t="n"/>
      <c r="S478" s="19" t="n"/>
      <c r="T478" s="19" t="n"/>
    </row>
    <row r="479" ht="15.75" customHeight="1" s="545">
      <c r="A479" s="19" t="n"/>
      <c r="B479" s="19" t="n"/>
      <c r="C479" s="19" t="n"/>
      <c r="D479" s="19" t="n"/>
      <c r="E479" s="19" t="n"/>
      <c r="F479" s="19" t="n"/>
      <c r="H479" s="19" t="n"/>
      <c r="I479" s="19" t="n"/>
      <c r="J479" s="19" t="n"/>
      <c r="K479" s="19" t="n"/>
      <c r="M479" s="19" t="n"/>
      <c r="O479" s="19" t="n"/>
      <c r="Q479" s="19" t="n"/>
      <c r="R479" s="19" t="n"/>
      <c r="S479" s="19" t="n"/>
      <c r="T479" s="19" t="n"/>
    </row>
    <row r="480" ht="15.75" customHeight="1" s="545">
      <c r="A480" s="19" t="n"/>
      <c r="B480" s="19" t="n"/>
      <c r="C480" s="19" t="n"/>
      <c r="D480" s="19" t="n"/>
      <c r="E480" s="19" t="n"/>
      <c r="F480" s="19" t="n"/>
      <c r="H480" s="19" t="n"/>
      <c r="I480" s="19" t="n"/>
      <c r="J480" s="19" t="n"/>
      <c r="K480" s="19" t="n"/>
      <c r="M480" s="19" t="n"/>
      <c r="O480" s="19" t="n"/>
      <c r="Q480" s="19" t="n"/>
      <c r="R480" s="19" t="n"/>
      <c r="S480" s="19" t="n"/>
      <c r="T480" s="19" t="n"/>
    </row>
    <row r="481" ht="15.75" customHeight="1" s="545">
      <c r="A481" s="19" t="n"/>
      <c r="B481" s="19" t="n"/>
      <c r="C481" s="19" t="n"/>
      <c r="D481" s="19" t="n"/>
      <c r="E481" s="19" t="n"/>
      <c r="F481" s="19" t="n"/>
      <c r="H481" s="19" t="n"/>
      <c r="I481" s="19" t="n"/>
      <c r="J481" s="19" t="n"/>
      <c r="K481" s="19" t="n"/>
      <c r="M481" s="19" t="n"/>
      <c r="O481" s="19" t="n"/>
      <c r="Q481" s="19" t="n"/>
      <c r="R481" s="19" t="n"/>
      <c r="S481" s="19" t="n"/>
      <c r="T481" s="19" t="n"/>
    </row>
    <row r="482" ht="15.75" customHeight="1" s="545">
      <c r="A482" s="19" t="n"/>
      <c r="B482" s="19" t="n"/>
      <c r="C482" s="19" t="n"/>
      <c r="D482" s="19" t="n"/>
      <c r="E482" s="19" t="n"/>
      <c r="F482" s="19" t="n"/>
      <c r="H482" s="19" t="n"/>
      <c r="I482" s="19" t="n"/>
      <c r="J482" s="19" t="n"/>
      <c r="K482" s="19" t="n"/>
      <c r="M482" s="19" t="n"/>
      <c r="O482" s="19" t="n"/>
      <c r="Q482" s="19" t="n"/>
      <c r="R482" s="19" t="n"/>
      <c r="S482" s="19" t="n"/>
      <c r="T482" s="19" t="n"/>
    </row>
    <row r="483" ht="15.75" customHeight="1" s="545">
      <c r="A483" s="19" t="n"/>
      <c r="B483" s="19" t="n"/>
      <c r="C483" s="19" t="n"/>
      <c r="D483" s="19" t="n"/>
      <c r="E483" s="19" t="n"/>
      <c r="F483" s="19" t="n"/>
      <c r="H483" s="19" t="n"/>
      <c r="I483" s="19" t="n"/>
      <c r="J483" s="19" t="n"/>
      <c r="K483" s="19" t="n"/>
      <c r="M483" s="19" t="n"/>
      <c r="O483" s="19" t="n"/>
      <c r="Q483" s="19" t="n"/>
      <c r="R483" s="19" t="n"/>
      <c r="S483" s="19" t="n"/>
      <c r="T483" s="19" t="n"/>
    </row>
    <row r="484" ht="15.75" customHeight="1" s="545">
      <c r="A484" s="19" t="n"/>
      <c r="B484" s="19" t="n"/>
      <c r="C484" s="19" t="n"/>
      <c r="D484" s="19" t="n"/>
      <c r="E484" s="19" t="n"/>
      <c r="F484" s="19" t="n"/>
      <c r="H484" s="19" t="n"/>
      <c r="I484" s="19" t="n"/>
      <c r="J484" s="19" t="n"/>
      <c r="K484" s="19" t="n"/>
      <c r="M484" s="19" t="n"/>
      <c r="O484" s="19" t="n"/>
      <c r="Q484" s="19" t="n"/>
      <c r="R484" s="19" t="n"/>
      <c r="S484" s="19" t="n"/>
      <c r="T484" s="19" t="n"/>
    </row>
    <row r="485" ht="15.75" customHeight="1" s="545">
      <c r="A485" s="19" t="n"/>
      <c r="B485" s="19" t="n"/>
      <c r="C485" s="19" t="n"/>
      <c r="D485" s="19" t="n"/>
      <c r="E485" s="19" t="n"/>
      <c r="F485" s="19" t="n"/>
      <c r="H485" s="19" t="n"/>
      <c r="I485" s="19" t="n"/>
      <c r="J485" s="19" t="n"/>
      <c r="K485" s="19" t="n"/>
      <c r="M485" s="19" t="n"/>
      <c r="O485" s="19" t="n"/>
      <c r="Q485" s="19" t="n"/>
      <c r="R485" s="19" t="n"/>
      <c r="S485" s="19" t="n"/>
      <c r="T485" s="19" t="n"/>
    </row>
    <row r="486" ht="15.75" customHeight="1" s="545">
      <c r="A486" s="19" t="n"/>
      <c r="B486" s="19" t="n"/>
      <c r="C486" s="19" t="n"/>
      <c r="D486" s="19" t="n"/>
      <c r="E486" s="19" t="n"/>
      <c r="F486" s="19" t="n"/>
      <c r="H486" s="19" t="n"/>
      <c r="I486" s="19" t="n"/>
      <c r="J486" s="19" t="n"/>
      <c r="K486" s="19" t="n"/>
      <c r="M486" s="19" t="n"/>
      <c r="O486" s="19" t="n"/>
      <c r="Q486" s="19" t="n"/>
      <c r="R486" s="19" t="n"/>
      <c r="S486" s="19" t="n"/>
      <c r="T486" s="19" t="n"/>
    </row>
    <row r="487" ht="15.75" customHeight="1" s="545">
      <c r="A487" s="19" t="n"/>
      <c r="B487" s="19" t="n"/>
      <c r="C487" s="19" t="n"/>
      <c r="D487" s="19" t="n"/>
      <c r="E487" s="19" t="n"/>
      <c r="F487" s="19" t="n"/>
      <c r="H487" s="19" t="n"/>
      <c r="I487" s="19" t="n"/>
      <c r="J487" s="19" t="n"/>
      <c r="K487" s="19" t="n"/>
      <c r="M487" s="19" t="n"/>
      <c r="O487" s="19" t="n"/>
      <c r="Q487" s="19" t="n"/>
      <c r="R487" s="19" t="n"/>
      <c r="S487" s="19" t="n"/>
      <c r="T487" s="19" t="n"/>
    </row>
    <row r="488" ht="15.75" customHeight="1" s="545">
      <c r="A488" s="19" t="n"/>
      <c r="B488" s="19" t="n"/>
      <c r="C488" s="19" t="n"/>
      <c r="D488" s="19" t="n"/>
      <c r="E488" s="19" t="n"/>
      <c r="F488" s="19" t="n"/>
      <c r="H488" s="19" t="n"/>
      <c r="I488" s="19" t="n"/>
      <c r="J488" s="19" t="n"/>
      <c r="K488" s="19" t="n"/>
      <c r="M488" s="19" t="n"/>
      <c r="O488" s="19" t="n"/>
      <c r="Q488" s="19" t="n"/>
      <c r="R488" s="19" t="n"/>
      <c r="S488" s="19" t="n"/>
      <c r="T488" s="19" t="n"/>
    </row>
    <row r="489" ht="15.75" customHeight="1" s="545">
      <c r="A489" s="19" t="n"/>
      <c r="B489" s="19" t="n"/>
      <c r="C489" s="19" t="n"/>
      <c r="D489" s="19" t="n"/>
      <c r="E489" s="19" t="n"/>
      <c r="F489" s="19" t="n"/>
      <c r="H489" s="19" t="n"/>
      <c r="I489" s="19" t="n"/>
      <c r="J489" s="19" t="n"/>
      <c r="K489" s="19" t="n"/>
      <c r="M489" s="19" t="n"/>
      <c r="O489" s="19" t="n"/>
      <c r="Q489" s="19" t="n"/>
      <c r="R489" s="19" t="n"/>
      <c r="S489" s="19" t="n"/>
      <c r="T489" s="19" t="n"/>
    </row>
    <row r="490" ht="15.75" customHeight="1" s="545">
      <c r="A490" s="19" t="n"/>
      <c r="B490" s="19" t="n"/>
      <c r="C490" s="19" t="n"/>
      <c r="D490" s="19" t="n"/>
      <c r="E490" s="19" t="n"/>
      <c r="F490" s="19" t="n"/>
      <c r="H490" s="19" t="n"/>
      <c r="I490" s="19" t="n"/>
      <c r="J490" s="19" t="n"/>
      <c r="K490" s="19" t="n"/>
      <c r="M490" s="19" t="n"/>
      <c r="O490" s="19" t="n"/>
      <c r="Q490" s="19" t="n"/>
      <c r="R490" s="19" t="n"/>
      <c r="S490" s="19" t="n"/>
      <c r="T490" s="19" t="n"/>
    </row>
    <row r="491" ht="15.75" customHeight="1" s="545">
      <c r="A491" s="19" t="n"/>
      <c r="B491" s="19" t="n"/>
      <c r="C491" s="19" t="n"/>
      <c r="D491" s="19" t="n"/>
      <c r="E491" s="19" t="n"/>
      <c r="F491" s="19" t="n"/>
      <c r="H491" s="19" t="n"/>
      <c r="I491" s="19" t="n"/>
      <c r="J491" s="19" t="n"/>
      <c r="K491" s="19" t="n"/>
      <c r="M491" s="19" t="n"/>
      <c r="O491" s="19" t="n"/>
      <c r="Q491" s="19" t="n"/>
      <c r="R491" s="19" t="n"/>
      <c r="S491" s="19" t="n"/>
      <c r="T491" s="19" t="n"/>
    </row>
    <row r="492" ht="15.75" customHeight="1" s="545">
      <c r="A492" s="19" t="n"/>
      <c r="B492" s="19" t="n"/>
      <c r="C492" s="19" t="n"/>
      <c r="D492" s="19" t="n"/>
      <c r="E492" s="19" t="n"/>
      <c r="F492" s="19" t="n"/>
      <c r="H492" s="19" t="n"/>
      <c r="I492" s="19" t="n"/>
      <c r="J492" s="19" t="n"/>
      <c r="K492" s="19" t="n"/>
      <c r="M492" s="19" t="n"/>
      <c r="O492" s="19" t="n"/>
      <c r="Q492" s="19" t="n"/>
      <c r="R492" s="19" t="n"/>
      <c r="S492" s="19" t="n"/>
      <c r="T492" s="19" t="n"/>
    </row>
    <row r="493" ht="15.75" customHeight="1" s="545">
      <c r="A493" s="19" t="n"/>
      <c r="B493" s="19" t="n"/>
      <c r="C493" s="19" t="n"/>
      <c r="D493" s="19" t="n"/>
      <c r="E493" s="19" t="n"/>
      <c r="F493" s="19" t="n"/>
      <c r="H493" s="19" t="n"/>
      <c r="I493" s="19" t="n"/>
      <c r="J493" s="19" t="n"/>
      <c r="K493" s="19" t="n"/>
      <c r="M493" s="19" t="n"/>
      <c r="O493" s="19" t="n"/>
      <c r="Q493" s="19" t="n"/>
      <c r="R493" s="19" t="n"/>
      <c r="S493" s="19" t="n"/>
      <c r="T493" s="19" t="n"/>
    </row>
    <row r="494" ht="15.75" customHeight="1" s="545">
      <c r="A494" s="19" t="n"/>
      <c r="B494" s="19" t="n"/>
      <c r="C494" s="19" t="n"/>
      <c r="D494" s="19" t="n"/>
      <c r="E494" s="19" t="n"/>
      <c r="F494" s="19" t="n"/>
      <c r="H494" s="19" t="n"/>
      <c r="I494" s="19" t="n"/>
      <c r="J494" s="19" t="n"/>
      <c r="K494" s="19" t="n"/>
      <c r="M494" s="19" t="n"/>
      <c r="O494" s="19" t="n"/>
      <c r="Q494" s="19" t="n"/>
      <c r="R494" s="19" t="n"/>
      <c r="S494" s="19" t="n"/>
      <c r="T494" s="19" t="n"/>
    </row>
    <row r="495" ht="15.75" customHeight="1" s="545">
      <c r="A495" s="19" t="n"/>
      <c r="B495" s="19" t="n"/>
      <c r="C495" s="19" t="n"/>
      <c r="D495" s="19" t="n"/>
      <c r="E495" s="19" t="n"/>
      <c r="F495" s="19" t="n"/>
      <c r="H495" s="19" t="n"/>
      <c r="I495" s="19" t="n"/>
      <c r="J495" s="19" t="n"/>
      <c r="K495" s="19" t="n"/>
      <c r="M495" s="19" t="n"/>
      <c r="O495" s="19" t="n"/>
      <c r="Q495" s="19" t="n"/>
      <c r="R495" s="19" t="n"/>
      <c r="S495" s="19" t="n"/>
      <c r="T495" s="19" t="n"/>
    </row>
    <row r="496" ht="15.75" customHeight="1" s="545">
      <c r="A496" s="19" t="n"/>
      <c r="B496" s="19" t="n"/>
      <c r="C496" s="19" t="n"/>
      <c r="D496" s="19" t="n"/>
      <c r="E496" s="19" t="n"/>
      <c r="F496" s="19" t="n"/>
      <c r="H496" s="19" t="n"/>
      <c r="I496" s="19" t="n"/>
      <c r="J496" s="19" t="n"/>
      <c r="K496" s="19" t="n"/>
      <c r="M496" s="19" t="n"/>
      <c r="O496" s="19" t="n"/>
      <c r="Q496" s="19" t="n"/>
      <c r="R496" s="19" t="n"/>
      <c r="S496" s="19" t="n"/>
      <c r="T496" s="19" t="n"/>
    </row>
    <row r="497" ht="15.75" customHeight="1" s="545">
      <c r="A497" s="19" t="n"/>
      <c r="B497" s="19" t="n"/>
      <c r="C497" s="19" t="n"/>
      <c r="D497" s="19" t="n"/>
      <c r="E497" s="19" t="n"/>
      <c r="F497" s="19" t="n"/>
      <c r="H497" s="19" t="n"/>
      <c r="I497" s="19" t="n"/>
      <c r="J497" s="19" t="n"/>
      <c r="K497" s="19" t="n"/>
      <c r="M497" s="19" t="n"/>
      <c r="O497" s="19" t="n"/>
      <c r="Q497" s="19" t="n"/>
      <c r="R497" s="19" t="n"/>
      <c r="S497" s="19" t="n"/>
      <c r="T497" s="19" t="n"/>
    </row>
    <row r="498" ht="15.75" customHeight="1" s="545">
      <c r="A498" s="19" t="n"/>
      <c r="B498" s="19" t="n"/>
      <c r="C498" s="19" t="n"/>
      <c r="D498" s="19" t="n"/>
      <c r="E498" s="19" t="n"/>
      <c r="F498" s="19" t="n"/>
      <c r="H498" s="19" t="n"/>
      <c r="I498" s="19" t="n"/>
      <c r="J498" s="19" t="n"/>
      <c r="K498" s="19" t="n"/>
      <c r="M498" s="19" t="n"/>
      <c r="O498" s="19" t="n"/>
      <c r="Q498" s="19" t="n"/>
      <c r="R498" s="19" t="n"/>
      <c r="S498" s="19" t="n"/>
      <c r="T498" s="19" t="n"/>
    </row>
    <row r="499" ht="15.75" customHeight="1" s="545">
      <c r="A499" s="19" t="n"/>
      <c r="B499" s="19" t="n"/>
      <c r="C499" s="19" t="n"/>
      <c r="D499" s="19" t="n"/>
      <c r="E499" s="19" t="n"/>
      <c r="F499" s="19" t="n"/>
      <c r="H499" s="19" t="n"/>
      <c r="I499" s="19" t="n"/>
      <c r="J499" s="19" t="n"/>
      <c r="K499" s="19" t="n"/>
      <c r="M499" s="19" t="n"/>
      <c r="O499" s="19" t="n"/>
      <c r="Q499" s="19" t="n"/>
      <c r="R499" s="19" t="n"/>
      <c r="S499" s="19" t="n"/>
      <c r="T499" s="19" t="n"/>
    </row>
    <row r="500" ht="15.75" customHeight="1" s="545">
      <c r="A500" s="19" t="n"/>
      <c r="B500" s="19" t="n"/>
      <c r="C500" s="19" t="n"/>
      <c r="D500" s="19" t="n"/>
      <c r="E500" s="19" t="n"/>
      <c r="F500" s="19" t="n"/>
      <c r="H500" s="19" t="n"/>
      <c r="I500" s="19" t="n"/>
      <c r="J500" s="19" t="n"/>
      <c r="K500" s="19" t="n"/>
      <c r="M500" s="19" t="n"/>
      <c r="O500" s="19" t="n"/>
      <c r="Q500" s="19" t="n"/>
      <c r="R500" s="19" t="n"/>
      <c r="S500" s="19" t="n"/>
      <c r="T500" s="19" t="n"/>
    </row>
    <row r="501" ht="15.75" customHeight="1" s="545">
      <c r="A501" s="19" t="n"/>
      <c r="B501" s="19" t="n"/>
      <c r="C501" s="19" t="n"/>
      <c r="D501" s="19" t="n"/>
      <c r="E501" s="19" t="n"/>
      <c r="F501" s="19" t="n"/>
      <c r="H501" s="19" t="n"/>
      <c r="I501" s="19" t="n"/>
      <c r="J501" s="19" t="n"/>
      <c r="K501" s="19" t="n"/>
      <c r="M501" s="19" t="n"/>
      <c r="O501" s="19" t="n"/>
      <c r="Q501" s="19" t="n"/>
      <c r="R501" s="19" t="n"/>
      <c r="S501" s="19" t="n"/>
      <c r="T501" s="19" t="n"/>
    </row>
    <row r="502" ht="15.75" customHeight="1" s="545">
      <c r="A502" s="19" t="n"/>
      <c r="B502" s="19" t="n"/>
      <c r="C502" s="19" t="n"/>
      <c r="D502" s="19" t="n"/>
      <c r="E502" s="19" t="n"/>
      <c r="F502" s="19" t="n"/>
      <c r="H502" s="19" t="n"/>
      <c r="I502" s="19" t="n"/>
      <c r="J502" s="19" t="n"/>
      <c r="K502" s="19" t="n"/>
      <c r="M502" s="19" t="n"/>
      <c r="O502" s="19" t="n"/>
      <c r="Q502" s="19" t="n"/>
      <c r="R502" s="19" t="n"/>
      <c r="S502" s="19" t="n"/>
      <c r="T502" s="19" t="n"/>
    </row>
    <row r="503" ht="15.75" customHeight="1" s="545">
      <c r="A503" s="19" t="n"/>
      <c r="B503" s="19" t="n"/>
      <c r="C503" s="19" t="n"/>
      <c r="D503" s="19" t="n"/>
      <c r="E503" s="19" t="n"/>
      <c r="F503" s="19" t="n"/>
      <c r="H503" s="19" t="n"/>
      <c r="I503" s="19" t="n"/>
      <c r="J503" s="19" t="n"/>
      <c r="K503" s="19" t="n"/>
      <c r="M503" s="19" t="n"/>
      <c r="O503" s="19" t="n"/>
      <c r="Q503" s="19" t="n"/>
      <c r="R503" s="19" t="n"/>
      <c r="S503" s="19" t="n"/>
      <c r="T503" s="19" t="n"/>
    </row>
    <row r="504" ht="15.75" customHeight="1" s="545">
      <c r="A504" s="19" t="n"/>
      <c r="B504" s="19" t="n"/>
      <c r="C504" s="19" t="n"/>
      <c r="D504" s="19" t="n"/>
      <c r="E504" s="19" t="n"/>
      <c r="F504" s="19" t="n"/>
      <c r="H504" s="19" t="n"/>
      <c r="I504" s="19" t="n"/>
      <c r="J504" s="19" t="n"/>
      <c r="K504" s="19" t="n"/>
      <c r="M504" s="19" t="n"/>
      <c r="O504" s="19" t="n"/>
      <c r="Q504" s="19" t="n"/>
      <c r="R504" s="19" t="n"/>
      <c r="S504" s="19" t="n"/>
      <c r="T504" s="19" t="n"/>
    </row>
    <row r="505" ht="15.75" customHeight="1" s="545">
      <c r="A505" s="19" t="n"/>
      <c r="B505" s="19" t="n"/>
      <c r="C505" s="19" t="n"/>
      <c r="D505" s="19" t="n"/>
      <c r="E505" s="19" t="n"/>
      <c r="F505" s="19" t="n"/>
      <c r="H505" s="19" t="n"/>
      <c r="I505" s="19" t="n"/>
      <c r="J505" s="19" t="n"/>
      <c r="K505" s="19" t="n"/>
      <c r="M505" s="19" t="n"/>
      <c r="O505" s="19" t="n"/>
      <c r="Q505" s="19" t="n"/>
      <c r="R505" s="19" t="n"/>
      <c r="S505" s="19" t="n"/>
      <c r="T505" s="19" t="n"/>
    </row>
    <row r="506" ht="15.75" customHeight="1" s="545">
      <c r="A506" s="19" t="n"/>
      <c r="B506" s="19" t="n"/>
      <c r="C506" s="19" t="n"/>
      <c r="D506" s="19" t="n"/>
      <c r="E506" s="19" t="n"/>
      <c r="F506" s="19" t="n"/>
      <c r="H506" s="19" t="n"/>
      <c r="I506" s="19" t="n"/>
      <c r="J506" s="19" t="n"/>
      <c r="K506" s="19" t="n"/>
      <c r="M506" s="19" t="n"/>
      <c r="O506" s="19" t="n"/>
      <c r="Q506" s="19" t="n"/>
      <c r="R506" s="19" t="n"/>
      <c r="S506" s="19" t="n"/>
      <c r="T506" s="19" t="n"/>
    </row>
    <row r="507" ht="15.75" customHeight="1" s="545">
      <c r="A507" s="19" t="n"/>
      <c r="B507" s="19" t="n"/>
      <c r="C507" s="19" t="n"/>
      <c r="D507" s="19" t="n"/>
      <c r="E507" s="19" t="n"/>
      <c r="F507" s="19" t="n"/>
      <c r="H507" s="19" t="n"/>
      <c r="I507" s="19" t="n"/>
      <c r="J507" s="19" t="n"/>
      <c r="K507" s="19" t="n"/>
      <c r="M507" s="19" t="n"/>
      <c r="O507" s="19" t="n"/>
      <c r="Q507" s="19" t="n"/>
      <c r="R507" s="19" t="n"/>
      <c r="S507" s="19" t="n"/>
      <c r="T507" s="19" t="n"/>
    </row>
    <row r="508" ht="15.75" customHeight="1" s="545">
      <c r="A508" s="19" t="n"/>
      <c r="B508" s="19" t="n"/>
      <c r="C508" s="19" t="n"/>
      <c r="D508" s="19" t="n"/>
      <c r="E508" s="19" t="n"/>
      <c r="F508" s="19" t="n"/>
      <c r="H508" s="19" t="n"/>
      <c r="I508" s="19" t="n"/>
      <c r="J508" s="19" t="n"/>
      <c r="K508" s="19" t="n"/>
      <c r="M508" s="19" t="n"/>
      <c r="O508" s="19" t="n"/>
      <c r="Q508" s="19" t="n"/>
      <c r="R508" s="19" t="n"/>
      <c r="S508" s="19" t="n"/>
      <c r="T508" s="19" t="n"/>
    </row>
    <row r="509" ht="15.75" customHeight="1" s="545">
      <c r="A509" s="19" t="n"/>
      <c r="B509" s="19" t="n"/>
      <c r="C509" s="19" t="n"/>
      <c r="D509" s="19" t="n"/>
      <c r="E509" s="19" t="n"/>
      <c r="F509" s="19" t="n"/>
      <c r="H509" s="19" t="n"/>
      <c r="I509" s="19" t="n"/>
      <c r="J509" s="19" t="n"/>
      <c r="K509" s="19" t="n"/>
      <c r="M509" s="19" t="n"/>
      <c r="O509" s="19" t="n"/>
      <c r="Q509" s="19" t="n"/>
      <c r="R509" s="19" t="n"/>
      <c r="S509" s="19" t="n"/>
      <c r="T509" s="19" t="n"/>
    </row>
    <row r="510" ht="15.75" customHeight="1" s="545">
      <c r="A510" s="19" t="n"/>
      <c r="B510" s="19" t="n"/>
      <c r="C510" s="19" t="n"/>
      <c r="D510" s="19" t="n"/>
      <c r="E510" s="19" t="n"/>
      <c r="F510" s="19" t="n"/>
      <c r="H510" s="19" t="n"/>
      <c r="I510" s="19" t="n"/>
      <c r="J510" s="19" t="n"/>
      <c r="K510" s="19" t="n"/>
      <c r="M510" s="19" t="n"/>
      <c r="O510" s="19" t="n"/>
      <c r="Q510" s="19" t="n"/>
      <c r="R510" s="19" t="n"/>
      <c r="S510" s="19" t="n"/>
      <c r="T510" s="19" t="n"/>
    </row>
    <row r="511" ht="15.75" customHeight="1" s="545">
      <c r="A511" s="19" t="n"/>
      <c r="B511" s="19" t="n"/>
      <c r="C511" s="19" t="n"/>
      <c r="D511" s="19" t="n"/>
      <c r="E511" s="19" t="n"/>
      <c r="F511" s="19" t="n"/>
      <c r="H511" s="19" t="n"/>
      <c r="I511" s="19" t="n"/>
      <c r="J511" s="19" t="n"/>
      <c r="K511" s="19" t="n"/>
      <c r="M511" s="19" t="n"/>
      <c r="O511" s="19" t="n"/>
      <c r="Q511" s="19" t="n"/>
      <c r="R511" s="19" t="n"/>
      <c r="S511" s="19" t="n"/>
      <c r="T511" s="19" t="n"/>
    </row>
    <row r="512" ht="15.75" customHeight="1" s="545">
      <c r="A512" s="19" t="n"/>
      <c r="B512" s="19" t="n"/>
      <c r="C512" s="19" t="n"/>
      <c r="D512" s="19" t="n"/>
      <c r="E512" s="19" t="n"/>
      <c r="F512" s="19" t="n"/>
      <c r="H512" s="19" t="n"/>
      <c r="I512" s="19" t="n"/>
      <c r="J512" s="19" t="n"/>
      <c r="K512" s="19" t="n"/>
      <c r="M512" s="19" t="n"/>
      <c r="O512" s="19" t="n"/>
      <c r="Q512" s="19" t="n"/>
      <c r="R512" s="19" t="n"/>
      <c r="S512" s="19" t="n"/>
      <c r="T512" s="19" t="n"/>
    </row>
    <row r="513" ht="15.75" customHeight="1" s="545">
      <c r="A513" s="19" t="n"/>
      <c r="B513" s="19" t="n"/>
      <c r="C513" s="19" t="n"/>
      <c r="D513" s="19" t="n"/>
      <c r="E513" s="19" t="n"/>
      <c r="F513" s="19" t="n"/>
      <c r="H513" s="19" t="n"/>
      <c r="I513" s="19" t="n"/>
      <c r="J513" s="19" t="n"/>
      <c r="K513" s="19" t="n"/>
      <c r="M513" s="19" t="n"/>
      <c r="O513" s="19" t="n"/>
      <c r="Q513" s="19" t="n"/>
      <c r="R513" s="19" t="n"/>
      <c r="S513" s="19" t="n"/>
      <c r="T513" s="19" t="n"/>
    </row>
    <row r="514" ht="15.75" customHeight="1" s="545">
      <c r="A514" s="19" t="n"/>
      <c r="B514" s="19" t="n"/>
      <c r="C514" s="19" t="n"/>
      <c r="D514" s="19" t="n"/>
      <c r="E514" s="19" t="n"/>
      <c r="F514" s="19" t="n"/>
      <c r="H514" s="19" t="n"/>
      <c r="I514" s="19" t="n"/>
      <c r="J514" s="19" t="n"/>
      <c r="K514" s="19" t="n"/>
      <c r="M514" s="19" t="n"/>
      <c r="O514" s="19" t="n"/>
      <c r="Q514" s="19" t="n"/>
      <c r="R514" s="19" t="n"/>
      <c r="S514" s="19" t="n"/>
      <c r="T514" s="19" t="n"/>
    </row>
    <row r="515" ht="15.75" customHeight="1" s="545">
      <c r="A515" s="19" t="n"/>
      <c r="B515" s="19" t="n"/>
      <c r="C515" s="19" t="n"/>
      <c r="D515" s="19" t="n"/>
      <c r="E515" s="19" t="n"/>
      <c r="F515" s="19" t="n"/>
      <c r="H515" s="19" t="n"/>
      <c r="I515" s="19" t="n"/>
      <c r="J515" s="19" t="n"/>
      <c r="K515" s="19" t="n"/>
      <c r="M515" s="19" t="n"/>
      <c r="O515" s="19" t="n"/>
      <c r="Q515" s="19" t="n"/>
      <c r="R515" s="19" t="n"/>
      <c r="S515" s="19" t="n"/>
      <c r="T515" s="19" t="n"/>
    </row>
    <row r="516" ht="15.75" customHeight="1" s="545">
      <c r="A516" s="19" t="n"/>
      <c r="B516" s="19" t="n"/>
      <c r="C516" s="19" t="n"/>
      <c r="D516" s="19" t="n"/>
      <c r="E516" s="19" t="n"/>
      <c r="F516" s="19" t="n"/>
      <c r="H516" s="19" t="n"/>
      <c r="I516" s="19" t="n"/>
      <c r="J516" s="19" t="n"/>
      <c r="K516" s="19" t="n"/>
      <c r="M516" s="19" t="n"/>
      <c r="O516" s="19" t="n"/>
      <c r="Q516" s="19" t="n"/>
      <c r="R516" s="19" t="n"/>
      <c r="S516" s="19" t="n"/>
      <c r="T516" s="19" t="n"/>
    </row>
    <row r="517" ht="15.75" customHeight="1" s="545">
      <c r="A517" s="19" t="n"/>
      <c r="B517" s="19" t="n"/>
      <c r="C517" s="19" t="n"/>
      <c r="D517" s="19" t="n"/>
      <c r="E517" s="19" t="n"/>
      <c r="F517" s="19" t="n"/>
      <c r="H517" s="19" t="n"/>
      <c r="I517" s="19" t="n"/>
      <c r="J517" s="19" t="n"/>
      <c r="K517" s="19" t="n"/>
      <c r="M517" s="19" t="n"/>
      <c r="O517" s="19" t="n"/>
      <c r="Q517" s="19" t="n"/>
      <c r="R517" s="19" t="n"/>
      <c r="S517" s="19" t="n"/>
      <c r="T517" s="19" t="n"/>
    </row>
    <row r="518" ht="15.75" customHeight="1" s="545">
      <c r="A518" s="19" t="n"/>
      <c r="B518" s="19" t="n"/>
      <c r="C518" s="19" t="n"/>
      <c r="D518" s="19" t="n"/>
      <c r="E518" s="19" t="n"/>
      <c r="F518" s="19" t="n"/>
      <c r="H518" s="19" t="n"/>
      <c r="I518" s="19" t="n"/>
      <c r="J518" s="19" t="n"/>
      <c r="K518" s="19" t="n"/>
      <c r="M518" s="19" t="n"/>
      <c r="O518" s="19" t="n"/>
      <c r="Q518" s="19" t="n"/>
      <c r="R518" s="19" t="n"/>
      <c r="S518" s="19" t="n"/>
      <c r="T518" s="19" t="n"/>
    </row>
    <row r="519" ht="15.75" customHeight="1" s="545">
      <c r="A519" s="19" t="n"/>
      <c r="B519" s="19" t="n"/>
      <c r="C519" s="19" t="n"/>
      <c r="D519" s="19" t="n"/>
      <c r="E519" s="19" t="n"/>
      <c r="F519" s="19" t="n"/>
      <c r="H519" s="19" t="n"/>
      <c r="I519" s="19" t="n"/>
      <c r="J519" s="19" t="n"/>
      <c r="K519" s="19" t="n"/>
      <c r="M519" s="19" t="n"/>
      <c r="O519" s="19" t="n"/>
      <c r="Q519" s="19" t="n"/>
      <c r="R519" s="19" t="n"/>
      <c r="S519" s="19" t="n"/>
      <c r="T519" s="19" t="n"/>
    </row>
    <row r="520" ht="15.75" customHeight="1" s="545">
      <c r="A520" s="19" t="n"/>
      <c r="B520" s="19" t="n"/>
      <c r="C520" s="19" t="n"/>
      <c r="D520" s="19" t="n"/>
      <c r="E520" s="19" t="n"/>
      <c r="F520" s="19" t="n"/>
      <c r="H520" s="19" t="n"/>
      <c r="I520" s="19" t="n"/>
      <c r="J520" s="19" t="n"/>
      <c r="K520" s="19" t="n"/>
      <c r="M520" s="19" t="n"/>
      <c r="O520" s="19" t="n"/>
      <c r="Q520" s="19" t="n"/>
      <c r="R520" s="19" t="n"/>
      <c r="S520" s="19" t="n"/>
      <c r="T520" s="19" t="n"/>
    </row>
    <row r="521" ht="15.75" customHeight="1" s="545">
      <c r="A521" s="19" t="n"/>
      <c r="B521" s="19" t="n"/>
      <c r="C521" s="19" t="n"/>
      <c r="D521" s="19" t="n"/>
      <c r="E521" s="19" t="n"/>
      <c r="F521" s="19" t="n"/>
      <c r="H521" s="19" t="n"/>
      <c r="I521" s="19" t="n"/>
      <c r="J521" s="19" t="n"/>
      <c r="K521" s="19" t="n"/>
      <c r="M521" s="19" t="n"/>
      <c r="O521" s="19" t="n"/>
      <c r="Q521" s="19" t="n"/>
      <c r="R521" s="19" t="n"/>
      <c r="S521" s="19" t="n"/>
      <c r="T521" s="19" t="n"/>
    </row>
    <row r="522" ht="15.75" customHeight="1" s="545">
      <c r="A522" s="19" t="n"/>
      <c r="B522" s="19" t="n"/>
      <c r="C522" s="19" t="n"/>
      <c r="D522" s="19" t="n"/>
      <c r="E522" s="19" t="n"/>
      <c r="F522" s="19" t="n"/>
      <c r="H522" s="19" t="n"/>
      <c r="I522" s="19" t="n"/>
      <c r="J522" s="19" t="n"/>
      <c r="K522" s="19" t="n"/>
      <c r="M522" s="19" t="n"/>
      <c r="O522" s="19" t="n"/>
      <c r="Q522" s="19" t="n"/>
      <c r="R522" s="19" t="n"/>
      <c r="S522" s="19" t="n"/>
      <c r="T522" s="19" t="n"/>
    </row>
    <row r="523" ht="15.75" customHeight="1" s="545">
      <c r="A523" s="19" t="n"/>
      <c r="B523" s="19" t="n"/>
      <c r="C523" s="19" t="n"/>
      <c r="D523" s="19" t="n"/>
      <c r="E523" s="19" t="n"/>
      <c r="F523" s="19" t="n"/>
      <c r="H523" s="19" t="n"/>
      <c r="I523" s="19" t="n"/>
      <c r="J523" s="19" t="n"/>
      <c r="K523" s="19" t="n"/>
      <c r="M523" s="19" t="n"/>
      <c r="O523" s="19" t="n"/>
      <c r="Q523" s="19" t="n"/>
      <c r="R523" s="19" t="n"/>
      <c r="S523" s="19" t="n"/>
      <c r="T523" s="19" t="n"/>
    </row>
    <row r="524" ht="15.75" customHeight="1" s="545">
      <c r="A524" s="19" t="n"/>
      <c r="B524" s="19" t="n"/>
      <c r="C524" s="19" t="n"/>
      <c r="D524" s="19" t="n"/>
      <c r="E524" s="19" t="n"/>
      <c r="F524" s="19" t="n"/>
      <c r="H524" s="19" t="n"/>
      <c r="I524" s="19" t="n"/>
      <c r="J524" s="19" t="n"/>
      <c r="K524" s="19" t="n"/>
      <c r="M524" s="19" t="n"/>
      <c r="O524" s="19" t="n"/>
      <c r="Q524" s="19" t="n"/>
      <c r="R524" s="19" t="n"/>
      <c r="S524" s="19" t="n"/>
      <c r="T524" s="19" t="n"/>
    </row>
    <row r="525" ht="15.75" customHeight="1" s="545">
      <c r="A525" s="19" t="n"/>
      <c r="B525" s="19" t="n"/>
      <c r="C525" s="19" t="n"/>
      <c r="D525" s="19" t="n"/>
      <c r="E525" s="19" t="n"/>
      <c r="F525" s="19" t="n"/>
      <c r="H525" s="19" t="n"/>
      <c r="I525" s="19" t="n"/>
      <c r="J525" s="19" t="n"/>
      <c r="K525" s="19" t="n"/>
      <c r="M525" s="19" t="n"/>
      <c r="O525" s="19" t="n"/>
      <c r="Q525" s="19" t="n"/>
      <c r="R525" s="19" t="n"/>
      <c r="S525" s="19" t="n"/>
      <c r="T525" s="19" t="n"/>
    </row>
    <row r="526" ht="15.75" customHeight="1" s="545">
      <c r="A526" s="19" t="n"/>
      <c r="B526" s="19" t="n"/>
      <c r="C526" s="19" t="n"/>
      <c r="D526" s="19" t="n"/>
      <c r="E526" s="19" t="n"/>
      <c r="F526" s="19" t="n"/>
      <c r="H526" s="19" t="n"/>
      <c r="I526" s="19" t="n"/>
      <c r="J526" s="19" t="n"/>
      <c r="K526" s="19" t="n"/>
      <c r="M526" s="19" t="n"/>
      <c r="O526" s="19" t="n"/>
      <c r="Q526" s="19" t="n"/>
      <c r="R526" s="19" t="n"/>
      <c r="S526" s="19" t="n"/>
      <c r="T526" s="19" t="n"/>
    </row>
    <row r="527" ht="15.75" customHeight="1" s="545">
      <c r="A527" s="19" t="n"/>
      <c r="B527" s="19" t="n"/>
      <c r="C527" s="19" t="n"/>
      <c r="D527" s="19" t="n"/>
      <c r="E527" s="19" t="n"/>
      <c r="F527" s="19" t="n"/>
      <c r="H527" s="19" t="n"/>
      <c r="I527" s="19" t="n"/>
      <c r="J527" s="19" t="n"/>
      <c r="K527" s="19" t="n"/>
      <c r="M527" s="19" t="n"/>
      <c r="O527" s="19" t="n"/>
      <c r="Q527" s="19" t="n"/>
      <c r="R527" s="19" t="n"/>
      <c r="S527" s="19" t="n"/>
      <c r="T527" s="19" t="n"/>
    </row>
    <row r="528" ht="15.75" customHeight="1" s="545">
      <c r="A528" s="19" t="n"/>
      <c r="B528" s="19" t="n"/>
      <c r="C528" s="19" t="n"/>
      <c r="D528" s="19" t="n"/>
      <c r="E528" s="19" t="n"/>
      <c r="F528" s="19" t="n"/>
      <c r="H528" s="19" t="n"/>
      <c r="I528" s="19" t="n"/>
      <c r="J528" s="19" t="n"/>
      <c r="K528" s="19" t="n"/>
      <c r="M528" s="19" t="n"/>
      <c r="O528" s="19" t="n"/>
      <c r="Q528" s="19" t="n"/>
      <c r="R528" s="19" t="n"/>
      <c r="S528" s="19" t="n"/>
      <c r="T528" s="19" t="n"/>
    </row>
    <row r="529" ht="15.75" customHeight="1" s="545">
      <c r="A529" s="19" t="n"/>
      <c r="B529" s="19" t="n"/>
      <c r="C529" s="19" t="n"/>
      <c r="D529" s="19" t="n"/>
      <c r="E529" s="19" t="n"/>
      <c r="F529" s="19" t="n"/>
      <c r="H529" s="19" t="n"/>
      <c r="I529" s="19" t="n"/>
      <c r="J529" s="19" t="n"/>
      <c r="K529" s="19" t="n"/>
      <c r="M529" s="19" t="n"/>
      <c r="O529" s="19" t="n"/>
      <c r="Q529" s="19" t="n"/>
      <c r="R529" s="19" t="n"/>
      <c r="S529" s="19" t="n"/>
      <c r="T529" s="19" t="n"/>
    </row>
    <row r="530" ht="15.75" customHeight="1" s="545">
      <c r="A530" s="19" t="n"/>
      <c r="B530" s="19" t="n"/>
      <c r="C530" s="19" t="n"/>
      <c r="D530" s="19" t="n"/>
      <c r="E530" s="19" t="n"/>
      <c r="F530" s="19" t="n"/>
      <c r="H530" s="19" t="n"/>
      <c r="I530" s="19" t="n"/>
      <c r="J530" s="19" t="n"/>
      <c r="K530" s="19" t="n"/>
      <c r="M530" s="19" t="n"/>
      <c r="O530" s="19" t="n"/>
      <c r="Q530" s="19" t="n"/>
      <c r="R530" s="19" t="n"/>
      <c r="S530" s="19" t="n"/>
      <c r="T530" s="19" t="n"/>
    </row>
    <row r="531" ht="15.75" customHeight="1" s="545">
      <c r="A531" s="19" t="n"/>
      <c r="B531" s="19" t="n"/>
      <c r="C531" s="19" t="n"/>
      <c r="D531" s="19" t="n"/>
      <c r="E531" s="19" t="n"/>
      <c r="F531" s="19" t="n"/>
      <c r="H531" s="19" t="n"/>
      <c r="I531" s="19" t="n"/>
      <c r="J531" s="19" t="n"/>
      <c r="K531" s="19" t="n"/>
      <c r="M531" s="19" t="n"/>
      <c r="O531" s="19" t="n"/>
      <c r="Q531" s="19" t="n"/>
      <c r="R531" s="19" t="n"/>
      <c r="S531" s="19" t="n"/>
      <c r="T531" s="19" t="n"/>
    </row>
    <row r="532" ht="15.75" customHeight="1" s="545">
      <c r="A532" s="19" t="n"/>
      <c r="B532" s="19" t="n"/>
      <c r="C532" s="19" t="n"/>
      <c r="D532" s="19" t="n"/>
      <c r="E532" s="19" t="n"/>
      <c r="F532" s="19" t="n"/>
      <c r="H532" s="19" t="n"/>
      <c r="I532" s="19" t="n"/>
      <c r="J532" s="19" t="n"/>
      <c r="K532" s="19" t="n"/>
      <c r="M532" s="19" t="n"/>
      <c r="O532" s="19" t="n"/>
      <c r="Q532" s="19" t="n"/>
      <c r="R532" s="19" t="n"/>
      <c r="S532" s="19" t="n"/>
      <c r="T532" s="19" t="n"/>
    </row>
    <row r="533" ht="15.75" customHeight="1" s="545">
      <c r="A533" s="19" t="n"/>
      <c r="B533" s="19" t="n"/>
      <c r="C533" s="19" t="n"/>
      <c r="D533" s="19" t="n"/>
      <c r="E533" s="19" t="n"/>
      <c r="F533" s="19" t="n"/>
      <c r="H533" s="19" t="n"/>
      <c r="I533" s="19" t="n"/>
      <c r="J533" s="19" t="n"/>
      <c r="K533" s="19" t="n"/>
      <c r="M533" s="19" t="n"/>
      <c r="O533" s="19" t="n"/>
      <c r="Q533" s="19" t="n"/>
      <c r="R533" s="19" t="n"/>
      <c r="S533" s="19" t="n"/>
      <c r="T533" s="19" t="n"/>
    </row>
    <row r="534" ht="15.75" customHeight="1" s="545">
      <c r="A534" s="19" t="n"/>
      <c r="B534" s="19" t="n"/>
      <c r="C534" s="19" t="n"/>
      <c r="D534" s="19" t="n"/>
      <c r="E534" s="19" t="n"/>
      <c r="F534" s="19" t="n"/>
      <c r="H534" s="19" t="n"/>
      <c r="I534" s="19" t="n"/>
      <c r="J534" s="19" t="n"/>
      <c r="K534" s="19" t="n"/>
      <c r="M534" s="19" t="n"/>
      <c r="O534" s="19" t="n"/>
      <c r="Q534" s="19" t="n"/>
      <c r="R534" s="19" t="n"/>
      <c r="S534" s="19" t="n"/>
      <c r="T534" s="19" t="n"/>
    </row>
    <row r="535" ht="15.75" customHeight="1" s="545">
      <c r="A535" s="19" t="n"/>
      <c r="B535" s="19" t="n"/>
      <c r="C535" s="19" t="n"/>
      <c r="D535" s="19" t="n"/>
      <c r="E535" s="19" t="n"/>
      <c r="F535" s="19" t="n"/>
      <c r="H535" s="19" t="n"/>
      <c r="I535" s="19" t="n"/>
      <c r="J535" s="19" t="n"/>
      <c r="K535" s="19" t="n"/>
      <c r="M535" s="19" t="n"/>
      <c r="O535" s="19" t="n"/>
      <c r="Q535" s="19" t="n"/>
      <c r="R535" s="19" t="n"/>
      <c r="S535" s="19" t="n"/>
      <c r="T535" s="19" t="n"/>
    </row>
    <row r="536" ht="15.75" customHeight="1" s="545">
      <c r="A536" s="19" t="n"/>
      <c r="B536" s="19" t="n"/>
      <c r="C536" s="19" t="n"/>
      <c r="D536" s="19" t="n"/>
      <c r="E536" s="19" t="n"/>
      <c r="F536" s="19" t="n"/>
      <c r="H536" s="19" t="n"/>
      <c r="I536" s="19" t="n"/>
      <c r="J536" s="19" t="n"/>
      <c r="K536" s="19" t="n"/>
      <c r="M536" s="19" t="n"/>
      <c r="O536" s="19" t="n"/>
      <c r="Q536" s="19" t="n"/>
      <c r="R536" s="19" t="n"/>
      <c r="S536" s="19" t="n"/>
      <c r="T536" s="19" t="n"/>
    </row>
    <row r="537" ht="15.75" customHeight="1" s="545">
      <c r="A537" s="19" t="n"/>
      <c r="B537" s="19" t="n"/>
      <c r="C537" s="19" t="n"/>
      <c r="D537" s="19" t="n"/>
      <c r="E537" s="19" t="n"/>
      <c r="F537" s="19" t="n"/>
      <c r="H537" s="19" t="n"/>
      <c r="I537" s="19" t="n"/>
      <c r="J537" s="19" t="n"/>
      <c r="K537" s="19" t="n"/>
      <c r="M537" s="19" t="n"/>
      <c r="O537" s="19" t="n"/>
      <c r="Q537" s="19" t="n"/>
      <c r="R537" s="19" t="n"/>
      <c r="S537" s="19" t="n"/>
      <c r="T537" s="19" t="n"/>
    </row>
    <row r="538" ht="15.75" customHeight="1" s="545">
      <c r="A538" s="19" t="n"/>
      <c r="B538" s="19" t="n"/>
      <c r="C538" s="19" t="n"/>
      <c r="D538" s="19" t="n"/>
      <c r="E538" s="19" t="n"/>
      <c r="F538" s="19" t="n"/>
      <c r="H538" s="19" t="n"/>
      <c r="I538" s="19" t="n"/>
      <c r="J538" s="19" t="n"/>
      <c r="K538" s="19" t="n"/>
      <c r="M538" s="19" t="n"/>
      <c r="O538" s="19" t="n"/>
      <c r="Q538" s="19" t="n"/>
      <c r="R538" s="19" t="n"/>
      <c r="S538" s="19" t="n"/>
      <c r="T538" s="19" t="n"/>
    </row>
    <row r="539" ht="15.75" customHeight="1" s="545">
      <c r="A539" s="19" t="n"/>
      <c r="B539" s="19" t="n"/>
      <c r="C539" s="19" t="n"/>
      <c r="D539" s="19" t="n"/>
      <c r="E539" s="19" t="n"/>
      <c r="F539" s="19" t="n"/>
      <c r="H539" s="19" t="n"/>
      <c r="I539" s="19" t="n"/>
      <c r="J539" s="19" t="n"/>
      <c r="K539" s="19" t="n"/>
      <c r="M539" s="19" t="n"/>
      <c r="O539" s="19" t="n"/>
      <c r="Q539" s="19" t="n"/>
      <c r="R539" s="19" t="n"/>
      <c r="S539" s="19" t="n"/>
      <c r="T539" s="19" t="n"/>
    </row>
    <row r="540" ht="15.75" customHeight="1" s="545">
      <c r="A540" s="19" t="n"/>
      <c r="B540" s="19" t="n"/>
      <c r="C540" s="19" t="n"/>
      <c r="D540" s="19" t="n"/>
      <c r="E540" s="19" t="n"/>
      <c r="F540" s="19" t="n"/>
      <c r="H540" s="19" t="n"/>
      <c r="I540" s="19" t="n"/>
      <c r="J540" s="19" t="n"/>
      <c r="K540" s="19" t="n"/>
      <c r="M540" s="19" t="n"/>
      <c r="O540" s="19" t="n"/>
      <c r="Q540" s="19" t="n"/>
      <c r="R540" s="19" t="n"/>
      <c r="S540" s="19" t="n"/>
      <c r="T540" s="19" t="n"/>
    </row>
    <row r="541" ht="15.75" customHeight="1" s="545">
      <c r="A541" s="19" t="n"/>
      <c r="B541" s="19" t="n"/>
      <c r="C541" s="19" t="n"/>
      <c r="D541" s="19" t="n"/>
      <c r="E541" s="19" t="n"/>
      <c r="F541" s="19" t="n"/>
      <c r="H541" s="19" t="n"/>
      <c r="I541" s="19" t="n"/>
      <c r="J541" s="19" t="n"/>
      <c r="K541" s="19" t="n"/>
      <c r="M541" s="19" t="n"/>
      <c r="O541" s="19" t="n"/>
      <c r="Q541" s="19" t="n"/>
      <c r="R541" s="19" t="n"/>
      <c r="S541" s="19" t="n"/>
      <c r="T541" s="19" t="n"/>
    </row>
    <row r="542" ht="15.75" customHeight="1" s="545">
      <c r="A542" s="19" t="n"/>
      <c r="B542" s="19" t="n"/>
      <c r="C542" s="19" t="n"/>
      <c r="D542" s="19" t="n"/>
      <c r="E542" s="19" t="n"/>
      <c r="F542" s="19" t="n"/>
      <c r="H542" s="19" t="n"/>
      <c r="I542" s="19" t="n"/>
      <c r="J542" s="19" t="n"/>
      <c r="K542" s="19" t="n"/>
      <c r="M542" s="19" t="n"/>
      <c r="O542" s="19" t="n"/>
      <c r="Q542" s="19" t="n"/>
      <c r="R542" s="19" t="n"/>
      <c r="S542" s="19" t="n"/>
      <c r="T542" s="19" t="n"/>
    </row>
    <row r="543" ht="15.75" customHeight="1" s="545">
      <c r="A543" s="19" t="n"/>
      <c r="B543" s="19" t="n"/>
      <c r="C543" s="19" t="n"/>
      <c r="D543" s="19" t="n"/>
      <c r="E543" s="19" t="n"/>
      <c r="F543" s="19" t="n"/>
      <c r="H543" s="19" t="n"/>
      <c r="I543" s="19" t="n"/>
      <c r="J543" s="19" t="n"/>
      <c r="K543" s="19" t="n"/>
      <c r="M543" s="19" t="n"/>
      <c r="O543" s="19" t="n"/>
      <c r="Q543" s="19" t="n"/>
      <c r="R543" s="19" t="n"/>
      <c r="S543" s="19" t="n"/>
      <c r="T543" s="19" t="n"/>
    </row>
    <row r="544" ht="15.75" customHeight="1" s="545">
      <c r="A544" s="19" t="n"/>
      <c r="B544" s="19" t="n"/>
      <c r="C544" s="19" t="n"/>
      <c r="D544" s="19" t="n"/>
      <c r="E544" s="19" t="n"/>
      <c r="F544" s="19" t="n"/>
      <c r="H544" s="19" t="n"/>
      <c r="I544" s="19" t="n"/>
      <c r="J544" s="19" t="n"/>
      <c r="K544" s="19" t="n"/>
      <c r="M544" s="19" t="n"/>
      <c r="O544" s="19" t="n"/>
      <c r="Q544" s="19" t="n"/>
      <c r="R544" s="19" t="n"/>
      <c r="S544" s="19" t="n"/>
      <c r="T544" s="19" t="n"/>
    </row>
    <row r="545" ht="15.75" customHeight="1" s="545">
      <c r="A545" s="19" t="n"/>
      <c r="B545" s="19" t="n"/>
      <c r="C545" s="19" t="n"/>
      <c r="D545" s="19" t="n"/>
      <c r="E545" s="19" t="n"/>
      <c r="F545" s="19" t="n"/>
      <c r="H545" s="19" t="n"/>
      <c r="I545" s="19" t="n"/>
      <c r="J545" s="19" t="n"/>
      <c r="K545" s="19" t="n"/>
      <c r="M545" s="19" t="n"/>
      <c r="O545" s="19" t="n"/>
      <c r="Q545" s="19" t="n"/>
      <c r="R545" s="19" t="n"/>
      <c r="S545" s="19" t="n"/>
      <c r="T545" s="19" t="n"/>
    </row>
    <row r="546" ht="15.75" customHeight="1" s="545">
      <c r="A546" s="19" t="n"/>
      <c r="B546" s="19" t="n"/>
      <c r="C546" s="19" t="n"/>
      <c r="D546" s="19" t="n"/>
      <c r="E546" s="19" t="n"/>
      <c r="F546" s="19" t="n"/>
      <c r="H546" s="19" t="n"/>
      <c r="I546" s="19" t="n"/>
      <c r="J546" s="19" t="n"/>
      <c r="K546" s="19" t="n"/>
      <c r="M546" s="19" t="n"/>
      <c r="O546" s="19" t="n"/>
      <c r="Q546" s="19" t="n"/>
      <c r="R546" s="19" t="n"/>
      <c r="S546" s="19" t="n"/>
      <c r="T546" s="19" t="n"/>
    </row>
    <row r="547" ht="15.75" customHeight="1" s="545">
      <c r="A547" s="19" t="n"/>
      <c r="B547" s="19" t="n"/>
      <c r="C547" s="19" t="n"/>
      <c r="D547" s="19" t="n"/>
      <c r="E547" s="19" t="n"/>
      <c r="F547" s="19" t="n"/>
      <c r="H547" s="19" t="n"/>
      <c r="I547" s="19" t="n"/>
      <c r="J547" s="19" t="n"/>
      <c r="K547" s="19" t="n"/>
      <c r="M547" s="19" t="n"/>
      <c r="O547" s="19" t="n"/>
      <c r="Q547" s="19" t="n"/>
      <c r="R547" s="19" t="n"/>
      <c r="S547" s="19" t="n"/>
      <c r="T547" s="19" t="n"/>
    </row>
    <row r="548" ht="15.75" customHeight="1" s="545">
      <c r="A548" s="19" t="n"/>
      <c r="B548" s="19" t="n"/>
      <c r="C548" s="19" t="n"/>
      <c r="D548" s="19" t="n"/>
      <c r="E548" s="19" t="n"/>
      <c r="F548" s="19" t="n"/>
      <c r="H548" s="19" t="n"/>
      <c r="I548" s="19" t="n"/>
      <c r="J548" s="19" t="n"/>
      <c r="K548" s="19" t="n"/>
      <c r="M548" s="19" t="n"/>
      <c r="O548" s="19" t="n"/>
      <c r="Q548" s="19" t="n"/>
      <c r="R548" s="19" t="n"/>
      <c r="S548" s="19" t="n"/>
      <c r="T548" s="19" t="n"/>
    </row>
    <row r="549" ht="15.75" customHeight="1" s="545">
      <c r="A549" s="19" t="n"/>
      <c r="B549" s="19" t="n"/>
      <c r="C549" s="19" t="n"/>
      <c r="D549" s="19" t="n"/>
      <c r="E549" s="19" t="n"/>
      <c r="F549" s="19" t="n"/>
      <c r="H549" s="19" t="n"/>
      <c r="I549" s="19" t="n"/>
      <c r="J549" s="19" t="n"/>
      <c r="K549" s="19" t="n"/>
      <c r="M549" s="19" t="n"/>
      <c r="O549" s="19" t="n"/>
      <c r="Q549" s="19" t="n"/>
      <c r="R549" s="19" t="n"/>
      <c r="S549" s="19" t="n"/>
      <c r="T549" s="19" t="n"/>
    </row>
    <row r="550" ht="15.75" customHeight="1" s="545">
      <c r="A550" s="19" t="n"/>
      <c r="B550" s="19" t="n"/>
      <c r="C550" s="19" t="n"/>
      <c r="D550" s="19" t="n"/>
      <c r="E550" s="19" t="n"/>
      <c r="F550" s="19" t="n"/>
      <c r="H550" s="19" t="n"/>
      <c r="I550" s="19" t="n"/>
      <c r="J550" s="19" t="n"/>
      <c r="K550" s="19" t="n"/>
      <c r="M550" s="19" t="n"/>
      <c r="O550" s="19" t="n"/>
      <c r="Q550" s="19" t="n"/>
      <c r="R550" s="19" t="n"/>
      <c r="S550" s="19" t="n"/>
      <c r="T550" s="19" t="n"/>
    </row>
    <row r="551" ht="15.75" customHeight="1" s="545">
      <c r="A551" s="19" t="n"/>
      <c r="B551" s="19" t="n"/>
      <c r="C551" s="19" t="n"/>
      <c r="D551" s="19" t="n"/>
      <c r="E551" s="19" t="n"/>
      <c r="F551" s="19" t="n"/>
      <c r="H551" s="19" t="n"/>
      <c r="I551" s="19" t="n"/>
      <c r="J551" s="19" t="n"/>
      <c r="K551" s="19" t="n"/>
      <c r="M551" s="19" t="n"/>
      <c r="O551" s="19" t="n"/>
      <c r="Q551" s="19" t="n"/>
      <c r="R551" s="19" t="n"/>
      <c r="S551" s="19" t="n"/>
      <c r="T551" s="19" t="n"/>
    </row>
    <row r="552" ht="15.75" customHeight="1" s="545">
      <c r="A552" s="19" t="n"/>
      <c r="B552" s="19" t="n"/>
      <c r="C552" s="19" t="n"/>
      <c r="D552" s="19" t="n"/>
      <c r="E552" s="19" t="n"/>
      <c r="F552" s="19" t="n"/>
      <c r="H552" s="19" t="n"/>
      <c r="I552" s="19" t="n"/>
      <c r="J552" s="19" t="n"/>
      <c r="K552" s="19" t="n"/>
      <c r="M552" s="19" t="n"/>
      <c r="O552" s="19" t="n"/>
      <c r="Q552" s="19" t="n"/>
      <c r="R552" s="19" t="n"/>
      <c r="S552" s="19" t="n"/>
      <c r="T552" s="19" t="n"/>
    </row>
    <row r="553" ht="15.75" customHeight="1" s="545">
      <c r="A553" s="19" t="n"/>
      <c r="B553" s="19" t="n"/>
      <c r="C553" s="19" t="n"/>
      <c r="D553" s="19" t="n"/>
      <c r="E553" s="19" t="n"/>
      <c r="F553" s="19" t="n"/>
      <c r="H553" s="19" t="n"/>
      <c r="I553" s="19" t="n"/>
      <c r="J553" s="19" t="n"/>
      <c r="K553" s="19" t="n"/>
      <c r="M553" s="19" t="n"/>
      <c r="O553" s="19" t="n"/>
      <c r="Q553" s="19" t="n"/>
      <c r="R553" s="19" t="n"/>
      <c r="S553" s="19" t="n"/>
      <c r="T553" s="19" t="n"/>
    </row>
    <row r="554" ht="15.75" customHeight="1" s="545">
      <c r="A554" s="19" t="n"/>
      <c r="B554" s="19" t="n"/>
      <c r="C554" s="19" t="n"/>
      <c r="D554" s="19" t="n"/>
      <c r="E554" s="19" t="n"/>
      <c r="F554" s="19" t="n"/>
      <c r="H554" s="19" t="n"/>
      <c r="I554" s="19" t="n"/>
      <c r="J554" s="19" t="n"/>
      <c r="K554" s="19" t="n"/>
      <c r="M554" s="19" t="n"/>
      <c r="O554" s="19" t="n"/>
      <c r="Q554" s="19" t="n"/>
      <c r="R554" s="19" t="n"/>
      <c r="S554" s="19" t="n"/>
      <c r="T554" s="19" t="n"/>
    </row>
    <row r="555" ht="15.75" customHeight="1" s="545">
      <c r="A555" s="19" t="n"/>
      <c r="B555" s="19" t="n"/>
      <c r="C555" s="19" t="n"/>
      <c r="D555" s="19" t="n"/>
      <c r="E555" s="19" t="n"/>
      <c r="F555" s="19" t="n"/>
      <c r="H555" s="19" t="n"/>
      <c r="I555" s="19" t="n"/>
      <c r="J555" s="19" t="n"/>
      <c r="K555" s="19" t="n"/>
      <c r="M555" s="19" t="n"/>
      <c r="O555" s="19" t="n"/>
      <c r="Q555" s="19" t="n"/>
      <c r="R555" s="19" t="n"/>
      <c r="S555" s="19" t="n"/>
      <c r="T555" s="19" t="n"/>
    </row>
    <row r="556" ht="15.75" customHeight="1" s="545">
      <c r="A556" s="19" t="n"/>
      <c r="B556" s="19" t="n"/>
      <c r="C556" s="19" t="n"/>
      <c r="D556" s="19" t="n"/>
      <c r="E556" s="19" t="n"/>
      <c r="F556" s="19" t="n"/>
      <c r="H556" s="19" t="n"/>
      <c r="I556" s="19" t="n"/>
      <c r="J556" s="19" t="n"/>
      <c r="K556" s="19" t="n"/>
      <c r="M556" s="19" t="n"/>
      <c r="O556" s="19" t="n"/>
      <c r="Q556" s="19" t="n"/>
      <c r="R556" s="19" t="n"/>
      <c r="S556" s="19" t="n"/>
      <c r="T556" s="19" t="n"/>
    </row>
    <row r="557" ht="15.75" customHeight="1" s="545">
      <c r="A557" s="19" t="n"/>
      <c r="B557" s="19" t="n"/>
      <c r="C557" s="19" t="n"/>
      <c r="D557" s="19" t="n"/>
      <c r="E557" s="19" t="n"/>
      <c r="F557" s="19" t="n"/>
      <c r="H557" s="19" t="n"/>
      <c r="I557" s="19" t="n"/>
      <c r="J557" s="19" t="n"/>
      <c r="K557" s="19" t="n"/>
      <c r="M557" s="19" t="n"/>
      <c r="O557" s="19" t="n"/>
      <c r="Q557" s="19" t="n"/>
      <c r="R557" s="19" t="n"/>
      <c r="S557" s="19" t="n"/>
      <c r="T557" s="19" t="n"/>
    </row>
    <row r="558" ht="15.75" customHeight="1" s="545">
      <c r="A558" s="19" t="n"/>
      <c r="B558" s="19" t="n"/>
      <c r="C558" s="19" t="n"/>
      <c r="D558" s="19" t="n"/>
      <c r="E558" s="19" t="n"/>
      <c r="F558" s="19" t="n"/>
      <c r="H558" s="19" t="n"/>
      <c r="I558" s="19" t="n"/>
      <c r="J558" s="19" t="n"/>
      <c r="K558" s="19" t="n"/>
      <c r="M558" s="19" t="n"/>
      <c r="O558" s="19" t="n"/>
      <c r="Q558" s="19" t="n"/>
      <c r="R558" s="19" t="n"/>
      <c r="S558" s="19" t="n"/>
      <c r="T558" s="19" t="n"/>
    </row>
    <row r="559" ht="15.75" customHeight="1" s="545">
      <c r="A559" s="19" t="n"/>
      <c r="B559" s="19" t="n"/>
      <c r="C559" s="19" t="n"/>
      <c r="D559" s="19" t="n"/>
      <c r="E559" s="19" t="n"/>
      <c r="F559" s="19" t="n"/>
      <c r="H559" s="19" t="n"/>
      <c r="I559" s="19" t="n"/>
      <c r="J559" s="19" t="n"/>
      <c r="K559" s="19" t="n"/>
      <c r="M559" s="19" t="n"/>
      <c r="O559" s="19" t="n"/>
      <c r="Q559" s="19" t="n"/>
      <c r="R559" s="19" t="n"/>
      <c r="S559" s="19" t="n"/>
      <c r="T559" s="19" t="n"/>
    </row>
    <row r="560" ht="15.75" customHeight="1" s="545">
      <c r="A560" s="19" t="n"/>
      <c r="B560" s="19" t="n"/>
      <c r="C560" s="19" t="n"/>
      <c r="D560" s="19" t="n"/>
      <c r="E560" s="19" t="n"/>
      <c r="F560" s="19" t="n"/>
      <c r="H560" s="19" t="n"/>
      <c r="I560" s="19" t="n"/>
      <c r="J560" s="19" t="n"/>
      <c r="K560" s="19" t="n"/>
      <c r="M560" s="19" t="n"/>
      <c r="O560" s="19" t="n"/>
      <c r="Q560" s="19" t="n"/>
      <c r="R560" s="19" t="n"/>
      <c r="S560" s="19" t="n"/>
      <c r="T560" s="19" t="n"/>
    </row>
    <row r="561" ht="15.75" customHeight="1" s="545">
      <c r="A561" s="19" t="n"/>
      <c r="B561" s="19" t="n"/>
      <c r="C561" s="19" t="n"/>
      <c r="D561" s="19" t="n"/>
      <c r="E561" s="19" t="n"/>
      <c r="F561" s="19" t="n"/>
      <c r="H561" s="19" t="n"/>
      <c r="I561" s="19" t="n"/>
      <c r="J561" s="19" t="n"/>
      <c r="K561" s="19" t="n"/>
      <c r="M561" s="19" t="n"/>
      <c r="O561" s="19" t="n"/>
      <c r="Q561" s="19" t="n"/>
      <c r="R561" s="19" t="n"/>
      <c r="S561" s="19" t="n"/>
      <c r="T561" s="19" t="n"/>
    </row>
    <row r="562" ht="15.75" customHeight="1" s="545">
      <c r="A562" s="19" t="n"/>
      <c r="B562" s="19" t="n"/>
      <c r="C562" s="19" t="n"/>
      <c r="D562" s="19" t="n"/>
      <c r="E562" s="19" t="n"/>
      <c r="F562" s="19" t="n"/>
      <c r="H562" s="19" t="n"/>
      <c r="I562" s="19" t="n"/>
      <c r="J562" s="19" t="n"/>
      <c r="K562" s="19" t="n"/>
      <c r="M562" s="19" t="n"/>
      <c r="O562" s="19" t="n"/>
      <c r="Q562" s="19" t="n"/>
      <c r="R562" s="19" t="n"/>
      <c r="S562" s="19" t="n"/>
      <c r="T562" s="19" t="n"/>
    </row>
    <row r="563" ht="15.75" customHeight="1" s="545">
      <c r="A563" s="19" t="n"/>
      <c r="B563" s="19" t="n"/>
      <c r="C563" s="19" t="n"/>
      <c r="D563" s="19" t="n"/>
      <c r="E563" s="19" t="n"/>
      <c r="F563" s="19" t="n"/>
      <c r="H563" s="19" t="n"/>
      <c r="I563" s="19" t="n"/>
      <c r="J563" s="19" t="n"/>
      <c r="K563" s="19" t="n"/>
      <c r="M563" s="19" t="n"/>
      <c r="O563" s="19" t="n"/>
      <c r="Q563" s="19" t="n"/>
      <c r="R563" s="19" t="n"/>
      <c r="S563" s="19" t="n"/>
      <c r="T563" s="19" t="n"/>
    </row>
    <row r="564" ht="15.75" customHeight="1" s="545">
      <c r="A564" s="19" t="n"/>
      <c r="B564" s="19" t="n"/>
      <c r="C564" s="19" t="n"/>
      <c r="D564" s="19" t="n"/>
      <c r="E564" s="19" t="n"/>
      <c r="F564" s="19" t="n"/>
      <c r="H564" s="19" t="n"/>
      <c r="I564" s="19" t="n"/>
      <c r="J564" s="19" t="n"/>
      <c r="K564" s="19" t="n"/>
      <c r="M564" s="19" t="n"/>
      <c r="O564" s="19" t="n"/>
      <c r="Q564" s="19" t="n"/>
      <c r="R564" s="19" t="n"/>
      <c r="S564" s="19" t="n"/>
      <c r="T564" s="19" t="n"/>
    </row>
    <row r="565" ht="15.75" customHeight="1" s="545">
      <c r="A565" s="19" t="n"/>
      <c r="B565" s="19" t="n"/>
      <c r="C565" s="19" t="n"/>
      <c r="D565" s="19" t="n"/>
      <c r="E565" s="19" t="n"/>
      <c r="F565" s="19" t="n"/>
      <c r="H565" s="19" t="n"/>
      <c r="I565" s="19" t="n"/>
      <c r="J565" s="19" t="n"/>
      <c r="K565" s="19" t="n"/>
      <c r="M565" s="19" t="n"/>
      <c r="O565" s="19" t="n"/>
      <c r="Q565" s="19" t="n"/>
      <c r="R565" s="19" t="n"/>
      <c r="S565" s="19" t="n"/>
      <c r="T565" s="19" t="n"/>
    </row>
    <row r="566" ht="15.75" customHeight="1" s="545">
      <c r="A566" s="19" t="n"/>
      <c r="B566" s="19" t="n"/>
      <c r="C566" s="19" t="n"/>
      <c r="D566" s="19" t="n"/>
      <c r="E566" s="19" t="n"/>
      <c r="F566" s="19" t="n"/>
      <c r="H566" s="19" t="n"/>
      <c r="I566" s="19" t="n"/>
      <c r="J566" s="19" t="n"/>
      <c r="K566" s="19" t="n"/>
      <c r="M566" s="19" t="n"/>
      <c r="O566" s="19" t="n"/>
      <c r="Q566" s="19" t="n"/>
      <c r="R566" s="19" t="n"/>
      <c r="S566" s="19" t="n"/>
      <c r="T566" s="19" t="n"/>
    </row>
    <row r="567" ht="15.75" customHeight="1" s="545">
      <c r="A567" s="19" t="n"/>
      <c r="B567" s="19" t="n"/>
      <c r="C567" s="19" t="n"/>
      <c r="D567" s="19" t="n"/>
      <c r="E567" s="19" t="n"/>
      <c r="F567" s="19" t="n"/>
      <c r="H567" s="19" t="n"/>
      <c r="I567" s="19" t="n"/>
      <c r="J567" s="19" t="n"/>
      <c r="K567" s="19" t="n"/>
      <c r="M567" s="19" t="n"/>
      <c r="O567" s="19" t="n"/>
      <c r="Q567" s="19" t="n"/>
      <c r="R567" s="19" t="n"/>
      <c r="S567" s="19" t="n"/>
      <c r="T567" s="19" t="n"/>
    </row>
    <row r="568" ht="15.75" customHeight="1" s="545">
      <c r="A568" s="19" t="n"/>
      <c r="B568" s="19" t="n"/>
      <c r="C568" s="19" t="n"/>
      <c r="D568" s="19" t="n"/>
      <c r="E568" s="19" t="n"/>
      <c r="F568" s="19" t="n"/>
      <c r="H568" s="19" t="n"/>
      <c r="I568" s="19" t="n"/>
      <c r="J568" s="19" t="n"/>
      <c r="K568" s="19" t="n"/>
      <c r="M568" s="19" t="n"/>
      <c r="O568" s="19" t="n"/>
      <c r="Q568" s="19" t="n"/>
      <c r="R568" s="19" t="n"/>
      <c r="S568" s="19" t="n"/>
      <c r="T568" s="19" t="n"/>
    </row>
    <row r="569" ht="15.75" customHeight="1" s="545">
      <c r="A569" s="19" t="n"/>
      <c r="B569" s="19" t="n"/>
      <c r="C569" s="19" t="n"/>
      <c r="D569" s="19" t="n"/>
      <c r="E569" s="19" t="n"/>
      <c r="F569" s="19" t="n"/>
      <c r="H569" s="19" t="n"/>
      <c r="I569" s="19" t="n"/>
      <c r="J569" s="19" t="n"/>
      <c r="K569" s="19" t="n"/>
      <c r="M569" s="19" t="n"/>
      <c r="O569" s="19" t="n"/>
      <c r="Q569" s="19" t="n"/>
      <c r="R569" s="19" t="n"/>
      <c r="S569" s="19" t="n"/>
      <c r="T569" s="19" t="n"/>
    </row>
    <row r="570" ht="15.75" customHeight="1" s="545">
      <c r="A570" s="19" t="n"/>
      <c r="B570" s="19" t="n"/>
      <c r="C570" s="19" t="n"/>
      <c r="D570" s="19" t="n"/>
      <c r="E570" s="19" t="n"/>
      <c r="F570" s="19" t="n"/>
      <c r="H570" s="19" t="n"/>
      <c r="I570" s="19" t="n"/>
      <c r="J570" s="19" t="n"/>
      <c r="K570" s="19" t="n"/>
      <c r="M570" s="19" t="n"/>
      <c r="O570" s="19" t="n"/>
      <c r="Q570" s="19" t="n"/>
      <c r="R570" s="19" t="n"/>
      <c r="S570" s="19" t="n"/>
      <c r="T570" s="19" t="n"/>
    </row>
    <row r="571" ht="15.75" customHeight="1" s="545">
      <c r="A571" s="19" t="n"/>
      <c r="B571" s="19" t="n"/>
      <c r="C571" s="19" t="n"/>
      <c r="D571" s="19" t="n"/>
      <c r="E571" s="19" t="n"/>
      <c r="F571" s="19" t="n"/>
      <c r="H571" s="19" t="n"/>
      <c r="I571" s="19" t="n"/>
      <c r="J571" s="19" t="n"/>
      <c r="K571" s="19" t="n"/>
      <c r="M571" s="19" t="n"/>
      <c r="O571" s="19" t="n"/>
      <c r="Q571" s="19" t="n"/>
      <c r="R571" s="19" t="n"/>
      <c r="S571" s="19" t="n"/>
      <c r="T571" s="19" t="n"/>
    </row>
    <row r="572" ht="15.75" customHeight="1" s="545">
      <c r="A572" s="19" t="n"/>
      <c r="B572" s="19" t="n"/>
      <c r="C572" s="19" t="n"/>
      <c r="D572" s="19" t="n"/>
      <c r="E572" s="19" t="n"/>
      <c r="F572" s="19" t="n"/>
      <c r="H572" s="19" t="n"/>
      <c r="I572" s="19" t="n"/>
      <c r="J572" s="19" t="n"/>
      <c r="K572" s="19" t="n"/>
      <c r="M572" s="19" t="n"/>
      <c r="O572" s="19" t="n"/>
      <c r="Q572" s="19" t="n"/>
      <c r="R572" s="19" t="n"/>
      <c r="S572" s="19" t="n"/>
      <c r="T572" s="19" t="n"/>
    </row>
    <row r="573" ht="15.75" customHeight="1" s="545">
      <c r="A573" s="19" t="n"/>
      <c r="B573" s="19" t="n"/>
      <c r="C573" s="19" t="n"/>
      <c r="D573" s="19" t="n"/>
      <c r="E573" s="19" t="n"/>
      <c r="F573" s="19" t="n"/>
      <c r="H573" s="19" t="n"/>
      <c r="I573" s="19" t="n"/>
      <c r="J573" s="19" t="n"/>
      <c r="K573" s="19" t="n"/>
      <c r="M573" s="19" t="n"/>
      <c r="O573" s="19" t="n"/>
      <c r="Q573" s="19" t="n"/>
      <c r="R573" s="19" t="n"/>
      <c r="S573" s="19" t="n"/>
      <c r="T573" s="19" t="n"/>
    </row>
    <row r="574" ht="15.75" customHeight="1" s="545">
      <c r="A574" s="19" t="n"/>
      <c r="B574" s="19" t="n"/>
      <c r="C574" s="19" t="n"/>
      <c r="D574" s="19" t="n"/>
      <c r="E574" s="19" t="n"/>
      <c r="F574" s="19" t="n"/>
      <c r="H574" s="19" t="n"/>
      <c r="I574" s="19" t="n"/>
      <c r="J574" s="19" t="n"/>
      <c r="K574" s="19" t="n"/>
      <c r="M574" s="19" t="n"/>
      <c r="O574" s="19" t="n"/>
      <c r="Q574" s="19" t="n"/>
      <c r="R574" s="19" t="n"/>
      <c r="S574" s="19" t="n"/>
      <c r="T574" s="19" t="n"/>
    </row>
    <row r="575" ht="15.75" customHeight="1" s="545">
      <c r="A575" s="19" t="n"/>
      <c r="B575" s="19" t="n"/>
      <c r="C575" s="19" t="n"/>
      <c r="D575" s="19" t="n"/>
      <c r="E575" s="19" t="n"/>
      <c r="F575" s="19" t="n"/>
      <c r="H575" s="19" t="n"/>
      <c r="I575" s="19" t="n"/>
      <c r="J575" s="19" t="n"/>
      <c r="K575" s="19" t="n"/>
      <c r="M575" s="19" t="n"/>
      <c r="O575" s="19" t="n"/>
      <c r="Q575" s="19" t="n"/>
      <c r="R575" s="19" t="n"/>
      <c r="S575" s="19" t="n"/>
      <c r="T575" s="19" t="n"/>
    </row>
    <row r="576" ht="15.75" customHeight="1" s="545">
      <c r="A576" s="19" t="n"/>
      <c r="B576" s="19" t="n"/>
      <c r="C576" s="19" t="n"/>
      <c r="D576" s="19" t="n"/>
      <c r="E576" s="19" t="n"/>
      <c r="F576" s="19" t="n"/>
      <c r="H576" s="19" t="n"/>
      <c r="I576" s="19" t="n"/>
      <c r="J576" s="19" t="n"/>
      <c r="K576" s="19" t="n"/>
      <c r="M576" s="19" t="n"/>
      <c r="O576" s="19" t="n"/>
      <c r="Q576" s="19" t="n"/>
      <c r="R576" s="19" t="n"/>
      <c r="S576" s="19" t="n"/>
      <c r="T576" s="19" t="n"/>
    </row>
    <row r="577" ht="15.75" customHeight="1" s="545">
      <c r="A577" s="19" t="n"/>
      <c r="B577" s="19" t="n"/>
      <c r="C577" s="19" t="n"/>
      <c r="D577" s="19" t="n"/>
      <c r="E577" s="19" t="n"/>
      <c r="F577" s="19" t="n"/>
      <c r="H577" s="19" t="n"/>
      <c r="I577" s="19" t="n"/>
      <c r="J577" s="19" t="n"/>
      <c r="K577" s="19" t="n"/>
      <c r="M577" s="19" t="n"/>
      <c r="O577" s="19" t="n"/>
      <c r="Q577" s="19" t="n"/>
      <c r="R577" s="19" t="n"/>
      <c r="S577" s="19" t="n"/>
      <c r="T577" s="19" t="n"/>
    </row>
    <row r="578" ht="15.75" customHeight="1" s="545">
      <c r="A578" s="19" t="n"/>
      <c r="B578" s="19" t="n"/>
      <c r="C578" s="19" t="n"/>
      <c r="D578" s="19" t="n"/>
      <c r="E578" s="19" t="n"/>
      <c r="F578" s="19" t="n"/>
      <c r="H578" s="19" t="n"/>
      <c r="I578" s="19" t="n"/>
      <c r="J578" s="19" t="n"/>
      <c r="K578" s="19" t="n"/>
      <c r="M578" s="19" t="n"/>
      <c r="O578" s="19" t="n"/>
      <c r="Q578" s="19" t="n"/>
      <c r="R578" s="19" t="n"/>
      <c r="S578" s="19" t="n"/>
      <c r="T578" s="19" t="n"/>
    </row>
    <row r="579" ht="15.75" customHeight="1" s="545">
      <c r="A579" s="19" t="n"/>
      <c r="B579" s="19" t="n"/>
      <c r="C579" s="19" t="n"/>
      <c r="D579" s="19" t="n"/>
      <c r="E579" s="19" t="n"/>
      <c r="F579" s="19" t="n"/>
      <c r="H579" s="19" t="n"/>
      <c r="I579" s="19" t="n"/>
      <c r="J579" s="19" t="n"/>
      <c r="K579" s="19" t="n"/>
      <c r="M579" s="19" t="n"/>
      <c r="O579" s="19" t="n"/>
      <c r="Q579" s="19" t="n"/>
      <c r="R579" s="19" t="n"/>
      <c r="S579" s="19" t="n"/>
      <c r="T579" s="19" t="n"/>
    </row>
    <row r="580" ht="15.75" customHeight="1" s="545">
      <c r="A580" s="19" t="n"/>
      <c r="B580" s="19" t="n"/>
      <c r="C580" s="19" t="n"/>
      <c r="D580" s="19" t="n"/>
      <c r="E580" s="19" t="n"/>
      <c r="F580" s="19" t="n"/>
      <c r="H580" s="19" t="n"/>
      <c r="I580" s="19" t="n"/>
      <c r="J580" s="19" t="n"/>
      <c r="K580" s="19" t="n"/>
      <c r="M580" s="19" t="n"/>
      <c r="O580" s="19" t="n"/>
      <c r="Q580" s="19" t="n"/>
      <c r="R580" s="19" t="n"/>
      <c r="S580" s="19" t="n"/>
      <c r="T580" s="19" t="n"/>
    </row>
    <row r="581" ht="15.75" customHeight="1" s="545">
      <c r="A581" s="19" t="n"/>
      <c r="B581" s="19" t="n"/>
      <c r="C581" s="19" t="n"/>
      <c r="D581" s="19" t="n"/>
      <c r="E581" s="19" t="n"/>
      <c r="F581" s="19" t="n"/>
      <c r="H581" s="19" t="n"/>
      <c r="I581" s="19" t="n"/>
      <c r="J581" s="19" t="n"/>
      <c r="K581" s="19" t="n"/>
      <c r="M581" s="19" t="n"/>
      <c r="O581" s="19" t="n"/>
      <c r="Q581" s="19" t="n"/>
      <c r="R581" s="19" t="n"/>
      <c r="S581" s="19" t="n"/>
      <c r="T581" s="19" t="n"/>
    </row>
    <row r="582" ht="15.75" customHeight="1" s="545">
      <c r="A582" s="19" t="n"/>
      <c r="B582" s="19" t="n"/>
      <c r="C582" s="19" t="n"/>
      <c r="D582" s="19" t="n"/>
      <c r="E582" s="19" t="n"/>
      <c r="F582" s="19" t="n"/>
      <c r="H582" s="19" t="n"/>
      <c r="I582" s="19" t="n"/>
      <c r="J582" s="19" t="n"/>
      <c r="K582" s="19" t="n"/>
      <c r="M582" s="19" t="n"/>
      <c r="O582" s="19" t="n"/>
      <c r="Q582" s="19" t="n"/>
      <c r="R582" s="19" t="n"/>
      <c r="S582" s="19" t="n"/>
      <c r="T582" s="19" t="n"/>
    </row>
    <row r="583" ht="15.75" customHeight="1" s="545">
      <c r="A583" s="19" t="n"/>
      <c r="B583" s="19" t="n"/>
      <c r="C583" s="19" t="n"/>
      <c r="D583" s="19" t="n"/>
      <c r="E583" s="19" t="n"/>
      <c r="F583" s="19" t="n"/>
      <c r="H583" s="19" t="n"/>
      <c r="I583" s="19" t="n"/>
      <c r="J583" s="19" t="n"/>
      <c r="K583" s="19" t="n"/>
      <c r="M583" s="19" t="n"/>
      <c r="O583" s="19" t="n"/>
      <c r="Q583" s="19" t="n"/>
      <c r="R583" s="19" t="n"/>
      <c r="S583" s="19" t="n"/>
      <c r="T583" s="19" t="n"/>
    </row>
    <row r="584" ht="15.75" customHeight="1" s="545">
      <c r="A584" s="19" t="n"/>
      <c r="B584" s="19" t="n"/>
      <c r="C584" s="19" t="n"/>
      <c r="D584" s="19" t="n"/>
      <c r="E584" s="19" t="n"/>
      <c r="F584" s="19" t="n"/>
      <c r="H584" s="19" t="n"/>
      <c r="I584" s="19" t="n"/>
      <c r="J584" s="19" t="n"/>
      <c r="K584" s="19" t="n"/>
      <c r="M584" s="19" t="n"/>
      <c r="O584" s="19" t="n"/>
      <c r="Q584" s="19" t="n"/>
      <c r="R584" s="19" t="n"/>
      <c r="S584" s="19" t="n"/>
      <c r="T584" s="19" t="n"/>
    </row>
    <row r="585" ht="15.75" customHeight="1" s="545">
      <c r="A585" s="19" t="n"/>
      <c r="B585" s="19" t="n"/>
      <c r="C585" s="19" t="n"/>
      <c r="D585" s="19" t="n"/>
      <c r="E585" s="19" t="n"/>
      <c r="F585" s="19" t="n"/>
      <c r="H585" s="19" t="n"/>
      <c r="I585" s="19" t="n"/>
      <c r="J585" s="19" t="n"/>
      <c r="K585" s="19" t="n"/>
      <c r="M585" s="19" t="n"/>
      <c r="O585" s="19" t="n"/>
      <c r="Q585" s="19" t="n"/>
      <c r="R585" s="19" t="n"/>
      <c r="S585" s="19" t="n"/>
      <c r="T585" s="19" t="n"/>
    </row>
    <row r="586" ht="15.75" customHeight="1" s="545">
      <c r="A586" s="19" t="n"/>
      <c r="B586" s="19" t="n"/>
      <c r="C586" s="19" t="n"/>
      <c r="D586" s="19" t="n"/>
      <c r="E586" s="19" t="n"/>
      <c r="F586" s="19" t="n"/>
      <c r="H586" s="19" t="n"/>
      <c r="I586" s="19" t="n"/>
      <c r="J586" s="19" t="n"/>
      <c r="K586" s="19" t="n"/>
      <c r="M586" s="19" t="n"/>
      <c r="O586" s="19" t="n"/>
      <c r="Q586" s="19" t="n"/>
      <c r="R586" s="19" t="n"/>
      <c r="S586" s="19" t="n"/>
      <c r="T586" s="19" t="n"/>
    </row>
    <row r="587" ht="15.75" customHeight="1" s="545">
      <c r="A587" s="19" t="n"/>
      <c r="B587" s="19" t="n"/>
      <c r="C587" s="19" t="n"/>
      <c r="D587" s="19" t="n"/>
      <c r="E587" s="19" t="n"/>
      <c r="F587" s="19" t="n"/>
      <c r="H587" s="19" t="n"/>
      <c r="I587" s="19" t="n"/>
      <c r="J587" s="19" t="n"/>
      <c r="K587" s="19" t="n"/>
      <c r="M587" s="19" t="n"/>
      <c r="O587" s="19" t="n"/>
      <c r="Q587" s="19" t="n"/>
      <c r="R587" s="19" t="n"/>
      <c r="S587" s="19" t="n"/>
      <c r="T587" s="19" t="n"/>
    </row>
    <row r="588" ht="15.75" customHeight="1" s="545">
      <c r="A588" s="19" t="n"/>
      <c r="B588" s="19" t="n"/>
      <c r="C588" s="19" t="n"/>
      <c r="D588" s="19" t="n"/>
      <c r="E588" s="19" t="n"/>
      <c r="F588" s="19" t="n"/>
      <c r="H588" s="19" t="n"/>
      <c r="I588" s="19" t="n"/>
      <c r="J588" s="19" t="n"/>
      <c r="K588" s="19" t="n"/>
      <c r="M588" s="19" t="n"/>
      <c r="O588" s="19" t="n"/>
      <c r="Q588" s="19" t="n"/>
      <c r="R588" s="19" t="n"/>
      <c r="S588" s="19" t="n"/>
      <c r="T588" s="19" t="n"/>
    </row>
    <row r="589" ht="15.75" customHeight="1" s="545">
      <c r="A589" s="19" t="n"/>
      <c r="B589" s="19" t="n"/>
      <c r="C589" s="19" t="n"/>
      <c r="D589" s="19" t="n"/>
      <c r="E589" s="19" t="n"/>
      <c r="F589" s="19" t="n"/>
      <c r="H589" s="19" t="n"/>
      <c r="I589" s="19" t="n"/>
      <c r="J589" s="19" t="n"/>
      <c r="K589" s="19" t="n"/>
      <c r="M589" s="19" t="n"/>
      <c r="O589" s="19" t="n"/>
      <c r="Q589" s="19" t="n"/>
      <c r="R589" s="19" t="n"/>
      <c r="S589" s="19" t="n"/>
      <c r="T589" s="19" t="n"/>
    </row>
    <row r="590" ht="15.75" customHeight="1" s="545">
      <c r="A590" s="19" t="n"/>
      <c r="B590" s="19" t="n"/>
      <c r="C590" s="19" t="n"/>
      <c r="D590" s="19" t="n"/>
      <c r="E590" s="19" t="n"/>
      <c r="F590" s="19" t="n"/>
      <c r="H590" s="19" t="n"/>
      <c r="I590" s="19" t="n"/>
      <c r="J590" s="19" t="n"/>
      <c r="K590" s="19" t="n"/>
      <c r="M590" s="19" t="n"/>
      <c r="O590" s="19" t="n"/>
      <c r="Q590" s="19" t="n"/>
      <c r="R590" s="19" t="n"/>
      <c r="S590" s="19" t="n"/>
      <c r="T590" s="19" t="n"/>
    </row>
    <row r="591" ht="15.75" customHeight="1" s="545">
      <c r="A591" s="19" t="n"/>
      <c r="B591" s="19" t="n"/>
      <c r="C591" s="19" t="n"/>
      <c r="D591" s="19" t="n"/>
      <c r="E591" s="19" t="n"/>
      <c r="F591" s="19" t="n"/>
      <c r="H591" s="19" t="n"/>
      <c r="I591" s="19" t="n"/>
      <c r="J591" s="19" t="n"/>
      <c r="K591" s="19" t="n"/>
      <c r="M591" s="19" t="n"/>
      <c r="O591" s="19" t="n"/>
      <c r="Q591" s="19" t="n"/>
      <c r="R591" s="19" t="n"/>
      <c r="S591" s="19" t="n"/>
      <c r="T591" s="19" t="n"/>
    </row>
    <row r="592" ht="15.75" customHeight="1" s="545">
      <c r="A592" s="19" t="n"/>
      <c r="B592" s="19" t="n"/>
      <c r="C592" s="19" t="n"/>
      <c r="D592" s="19" t="n"/>
      <c r="E592" s="19" t="n"/>
      <c r="F592" s="19" t="n"/>
      <c r="H592" s="19" t="n"/>
      <c r="I592" s="19" t="n"/>
      <c r="J592" s="19" t="n"/>
      <c r="K592" s="19" t="n"/>
      <c r="M592" s="19" t="n"/>
      <c r="O592" s="19" t="n"/>
      <c r="Q592" s="19" t="n"/>
      <c r="R592" s="19" t="n"/>
      <c r="S592" s="19" t="n"/>
      <c r="T592" s="19" t="n"/>
    </row>
    <row r="593" ht="15.75" customHeight="1" s="545">
      <c r="A593" s="19" t="n"/>
      <c r="B593" s="19" t="n"/>
      <c r="C593" s="19" t="n"/>
      <c r="D593" s="19" t="n"/>
      <c r="E593" s="19" t="n"/>
      <c r="F593" s="19" t="n"/>
      <c r="H593" s="19" t="n"/>
      <c r="I593" s="19" t="n"/>
      <c r="J593" s="19" t="n"/>
      <c r="K593" s="19" t="n"/>
      <c r="M593" s="19" t="n"/>
      <c r="O593" s="19" t="n"/>
      <c r="Q593" s="19" t="n"/>
      <c r="R593" s="19" t="n"/>
      <c r="S593" s="19" t="n"/>
      <c r="T593" s="19" t="n"/>
    </row>
    <row r="594" ht="15.75" customHeight="1" s="545">
      <c r="A594" s="19" t="n"/>
      <c r="B594" s="19" t="n"/>
      <c r="C594" s="19" t="n"/>
      <c r="D594" s="19" t="n"/>
      <c r="E594" s="19" t="n"/>
      <c r="F594" s="19" t="n"/>
      <c r="H594" s="19" t="n"/>
      <c r="I594" s="19" t="n"/>
      <c r="J594" s="19" t="n"/>
      <c r="K594" s="19" t="n"/>
      <c r="M594" s="19" t="n"/>
      <c r="O594" s="19" t="n"/>
      <c r="Q594" s="19" t="n"/>
      <c r="R594" s="19" t="n"/>
      <c r="S594" s="19" t="n"/>
      <c r="T594" s="19" t="n"/>
    </row>
    <row r="595" ht="15.75" customHeight="1" s="545">
      <c r="A595" s="19" t="n"/>
      <c r="B595" s="19" t="n"/>
      <c r="C595" s="19" t="n"/>
      <c r="D595" s="19" t="n"/>
      <c r="E595" s="19" t="n"/>
      <c r="F595" s="19" t="n"/>
      <c r="H595" s="19" t="n"/>
      <c r="I595" s="19" t="n"/>
      <c r="J595" s="19" t="n"/>
      <c r="K595" s="19" t="n"/>
      <c r="M595" s="19" t="n"/>
      <c r="O595" s="19" t="n"/>
      <c r="Q595" s="19" t="n"/>
      <c r="R595" s="19" t="n"/>
      <c r="S595" s="19" t="n"/>
      <c r="T595" s="19" t="n"/>
    </row>
    <row r="596" ht="15.75" customHeight="1" s="545">
      <c r="A596" s="19" t="n"/>
      <c r="B596" s="19" t="n"/>
      <c r="C596" s="19" t="n"/>
      <c r="D596" s="19" t="n"/>
      <c r="E596" s="19" t="n"/>
      <c r="F596" s="19" t="n"/>
      <c r="H596" s="19" t="n"/>
      <c r="I596" s="19" t="n"/>
      <c r="J596" s="19" t="n"/>
      <c r="K596" s="19" t="n"/>
      <c r="M596" s="19" t="n"/>
      <c r="O596" s="19" t="n"/>
      <c r="Q596" s="19" t="n"/>
      <c r="R596" s="19" t="n"/>
      <c r="S596" s="19" t="n"/>
      <c r="T596" s="19" t="n"/>
    </row>
    <row r="597" ht="15.75" customHeight="1" s="545">
      <c r="A597" s="19" t="n"/>
      <c r="B597" s="19" t="n"/>
      <c r="C597" s="19" t="n"/>
      <c r="D597" s="19" t="n"/>
      <c r="E597" s="19" t="n"/>
      <c r="F597" s="19" t="n"/>
      <c r="H597" s="19" t="n"/>
      <c r="I597" s="19" t="n"/>
      <c r="J597" s="19" t="n"/>
      <c r="K597" s="19" t="n"/>
      <c r="M597" s="19" t="n"/>
      <c r="O597" s="19" t="n"/>
      <c r="Q597" s="19" t="n"/>
      <c r="R597" s="19" t="n"/>
      <c r="S597" s="19" t="n"/>
      <c r="T597" s="19" t="n"/>
    </row>
    <row r="598" ht="15.75" customHeight="1" s="545">
      <c r="A598" s="19" t="n"/>
      <c r="B598" s="19" t="n"/>
      <c r="C598" s="19" t="n"/>
      <c r="D598" s="19" t="n"/>
      <c r="E598" s="19" t="n"/>
      <c r="F598" s="19" t="n"/>
      <c r="H598" s="19" t="n"/>
      <c r="I598" s="19" t="n"/>
      <c r="J598" s="19" t="n"/>
      <c r="K598" s="19" t="n"/>
      <c r="M598" s="19" t="n"/>
      <c r="O598" s="19" t="n"/>
      <c r="Q598" s="19" t="n"/>
      <c r="R598" s="19" t="n"/>
      <c r="S598" s="19" t="n"/>
      <c r="T598" s="19" t="n"/>
    </row>
    <row r="599" ht="15.75" customHeight="1" s="545">
      <c r="A599" s="19" t="n"/>
      <c r="B599" s="19" t="n"/>
      <c r="C599" s="19" t="n"/>
      <c r="D599" s="19" t="n"/>
      <c r="E599" s="19" t="n"/>
      <c r="F599" s="19" t="n"/>
      <c r="H599" s="19" t="n"/>
      <c r="I599" s="19" t="n"/>
      <c r="J599" s="19" t="n"/>
      <c r="K599" s="19" t="n"/>
      <c r="M599" s="19" t="n"/>
      <c r="O599" s="19" t="n"/>
      <c r="Q599" s="19" t="n"/>
      <c r="R599" s="19" t="n"/>
      <c r="S599" s="19" t="n"/>
      <c r="T599" s="19" t="n"/>
    </row>
    <row r="600" ht="15.75" customHeight="1" s="545">
      <c r="A600" s="19" t="n"/>
      <c r="B600" s="19" t="n"/>
      <c r="C600" s="19" t="n"/>
      <c r="D600" s="19" t="n"/>
      <c r="E600" s="19" t="n"/>
      <c r="F600" s="19" t="n"/>
      <c r="H600" s="19" t="n"/>
      <c r="I600" s="19" t="n"/>
      <c r="J600" s="19" t="n"/>
      <c r="K600" s="19" t="n"/>
      <c r="M600" s="19" t="n"/>
      <c r="O600" s="19" t="n"/>
      <c r="Q600" s="19" t="n"/>
      <c r="R600" s="19" t="n"/>
      <c r="S600" s="19" t="n"/>
      <c r="T600" s="19" t="n"/>
    </row>
    <row r="601" ht="15.75" customHeight="1" s="545">
      <c r="A601" s="19" t="n"/>
      <c r="B601" s="19" t="n"/>
      <c r="C601" s="19" t="n"/>
      <c r="D601" s="19" t="n"/>
      <c r="E601" s="19" t="n"/>
      <c r="F601" s="19" t="n"/>
      <c r="H601" s="19" t="n"/>
      <c r="I601" s="19" t="n"/>
      <c r="J601" s="19" t="n"/>
      <c r="K601" s="19" t="n"/>
      <c r="M601" s="19" t="n"/>
      <c r="O601" s="19" t="n"/>
      <c r="Q601" s="19" t="n"/>
      <c r="R601" s="19" t="n"/>
      <c r="S601" s="19" t="n"/>
      <c r="T601" s="19" t="n"/>
    </row>
    <row r="602" ht="15.75" customHeight="1" s="545">
      <c r="A602" s="19" t="n"/>
      <c r="B602" s="19" t="n"/>
      <c r="C602" s="19" t="n"/>
      <c r="D602" s="19" t="n"/>
      <c r="E602" s="19" t="n"/>
      <c r="F602" s="19" t="n"/>
      <c r="H602" s="19" t="n"/>
      <c r="I602" s="19" t="n"/>
      <c r="J602" s="19" t="n"/>
      <c r="K602" s="19" t="n"/>
      <c r="M602" s="19" t="n"/>
      <c r="O602" s="19" t="n"/>
      <c r="Q602" s="19" t="n"/>
      <c r="R602" s="19" t="n"/>
      <c r="S602" s="19" t="n"/>
      <c r="T602" s="19" t="n"/>
    </row>
    <row r="603" ht="15.75" customHeight="1" s="545">
      <c r="A603" s="19" t="n"/>
      <c r="B603" s="19" t="n"/>
      <c r="C603" s="19" t="n"/>
      <c r="D603" s="19" t="n"/>
      <c r="E603" s="19" t="n"/>
      <c r="F603" s="19" t="n"/>
      <c r="H603" s="19" t="n"/>
      <c r="I603" s="19" t="n"/>
      <c r="J603" s="19" t="n"/>
      <c r="K603" s="19" t="n"/>
      <c r="M603" s="19" t="n"/>
      <c r="O603" s="19" t="n"/>
      <c r="Q603" s="19" t="n"/>
      <c r="R603" s="19" t="n"/>
      <c r="S603" s="19" t="n"/>
      <c r="T603" s="19" t="n"/>
    </row>
    <row r="604" ht="15.75" customHeight="1" s="545">
      <c r="A604" s="19" t="n"/>
      <c r="B604" s="19" t="n"/>
      <c r="C604" s="19" t="n"/>
      <c r="D604" s="19" t="n"/>
      <c r="E604" s="19" t="n"/>
      <c r="F604" s="19" t="n"/>
      <c r="H604" s="19" t="n"/>
      <c r="I604" s="19" t="n"/>
      <c r="J604" s="19" t="n"/>
      <c r="K604" s="19" t="n"/>
      <c r="M604" s="19" t="n"/>
      <c r="O604" s="19" t="n"/>
      <c r="Q604" s="19" t="n"/>
      <c r="R604" s="19" t="n"/>
      <c r="S604" s="19" t="n"/>
      <c r="T604" s="19" t="n"/>
    </row>
    <row r="605" ht="15.75" customHeight="1" s="545">
      <c r="A605" s="19" t="n"/>
      <c r="B605" s="19" t="n"/>
      <c r="C605" s="19" t="n"/>
      <c r="D605" s="19" t="n"/>
      <c r="E605" s="19" t="n"/>
      <c r="F605" s="19" t="n"/>
      <c r="H605" s="19" t="n"/>
      <c r="I605" s="19" t="n"/>
      <c r="J605" s="19" t="n"/>
      <c r="K605" s="19" t="n"/>
      <c r="M605" s="19" t="n"/>
      <c r="O605" s="19" t="n"/>
      <c r="Q605" s="19" t="n"/>
      <c r="R605" s="19" t="n"/>
      <c r="S605" s="19" t="n"/>
      <c r="T605" s="19" t="n"/>
    </row>
    <row r="606" ht="15.75" customHeight="1" s="545">
      <c r="A606" s="19" t="n"/>
      <c r="B606" s="19" t="n"/>
      <c r="C606" s="19" t="n"/>
      <c r="D606" s="19" t="n"/>
      <c r="E606" s="19" t="n"/>
      <c r="F606" s="19" t="n"/>
      <c r="H606" s="19" t="n"/>
      <c r="I606" s="19" t="n"/>
      <c r="J606" s="19" t="n"/>
      <c r="K606" s="19" t="n"/>
      <c r="M606" s="19" t="n"/>
      <c r="O606" s="19" t="n"/>
      <c r="Q606" s="19" t="n"/>
      <c r="R606" s="19" t="n"/>
      <c r="S606" s="19" t="n"/>
      <c r="T606" s="19" t="n"/>
    </row>
    <row r="607" ht="15.75" customHeight="1" s="545">
      <c r="A607" s="19" t="n"/>
      <c r="B607" s="19" t="n"/>
      <c r="C607" s="19" t="n"/>
      <c r="D607" s="19" t="n"/>
      <c r="E607" s="19" t="n"/>
      <c r="F607" s="19" t="n"/>
      <c r="H607" s="19" t="n"/>
      <c r="I607" s="19" t="n"/>
      <c r="J607" s="19" t="n"/>
      <c r="K607" s="19" t="n"/>
      <c r="M607" s="19" t="n"/>
      <c r="O607" s="19" t="n"/>
      <c r="Q607" s="19" t="n"/>
      <c r="R607" s="19" t="n"/>
      <c r="S607" s="19" t="n"/>
      <c r="T607" s="19" t="n"/>
    </row>
    <row r="608" ht="15.75" customHeight="1" s="545">
      <c r="A608" s="19" t="n"/>
      <c r="B608" s="19" t="n"/>
      <c r="C608" s="19" t="n"/>
      <c r="D608" s="19" t="n"/>
      <c r="E608" s="19" t="n"/>
      <c r="F608" s="19" t="n"/>
      <c r="H608" s="19" t="n"/>
      <c r="I608" s="19" t="n"/>
      <c r="J608" s="19" t="n"/>
      <c r="K608" s="19" t="n"/>
      <c r="M608" s="19" t="n"/>
      <c r="O608" s="19" t="n"/>
      <c r="Q608" s="19" t="n"/>
      <c r="R608" s="19" t="n"/>
      <c r="S608" s="19" t="n"/>
      <c r="T608" s="19" t="n"/>
    </row>
    <row r="609" ht="15.75" customHeight="1" s="545">
      <c r="A609" s="19" t="n"/>
      <c r="B609" s="19" t="n"/>
      <c r="C609" s="19" t="n"/>
      <c r="D609" s="19" t="n"/>
      <c r="E609" s="19" t="n"/>
      <c r="F609" s="19" t="n"/>
      <c r="H609" s="19" t="n"/>
      <c r="I609" s="19" t="n"/>
      <c r="J609" s="19" t="n"/>
      <c r="K609" s="19" t="n"/>
      <c r="M609" s="19" t="n"/>
      <c r="O609" s="19" t="n"/>
      <c r="Q609" s="19" t="n"/>
      <c r="R609" s="19" t="n"/>
      <c r="S609" s="19" t="n"/>
      <c r="T609" s="19" t="n"/>
    </row>
    <row r="610" ht="15.75" customHeight="1" s="545">
      <c r="A610" s="19" t="n"/>
      <c r="B610" s="19" t="n"/>
      <c r="C610" s="19" t="n"/>
      <c r="D610" s="19" t="n"/>
      <c r="E610" s="19" t="n"/>
      <c r="F610" s="19" t="n"/>
      <c r="H610" s="19" t="n"/>
      <c r="I610" s="19" t="n"/>
      <c r="J610" s="19" t="n"/>
      <c r="K610" s="19" t="n"/>
      <c r="M610" s="19" t="n"/>
      <c r="O610" s="19" t="n"/>
      <c r="Q610" s="19" t="n"/>
      <c r="R610" s="19" t="n"/>
      <c r="S610" s="19" t="n"/>
      <c r="T610" s="19" t="n"/>
    </row>
    <row r="611" ht="15.75" customHeight="1" s="545">
      <c r="A611" s="19" t="n"/>
      <c r="B611" s="19" t="n"/>
      <c r="C611" s="19" t="n"/>
      <c r="D611" s="19" t="n"/>
      <c r="E611" s="19" t="n"/>
      <c r="F611" s="19" t="n"/>
      <c r="H611" s="19" t="n"/>
      <c r="I611" s="19" t="n"/>
      <c r="J611" s="19" t="n"/>
      <c r="K611" s="19" t="n"/>
      <c r="M611" s="19" t="n"/>
      <c r="O611" s="19" t="n"/>
      <c r="Q611" s="19" t="n"/>
      <c r="R611" s="19" t="n"/>
      <c r="S611" s="19" t="n"/>
      <c r="T611" s="19" t="n"/>
    </row>
    <row r="612" ht="15.75" customHeight="1" s="545">
      <c r="A612" s="19" t="n"/>
      <c r="B612" s="19" t="n"/>
      <c r="C612" s="19" t="n"/>
      <c r="D612" s="19" t="n"/>
      <c r="E612" s="19" t="n"/>
      <c r="F612" s="19" t="n"/>
      <c r="H612" s="19" t="n"/>
      <c r="I612" s="19" t="n"/>
      <c r="J612" s="19" t="n"/>
      <c r="K612" s="19" t="n"/>
      <c r="M612" s="19" t="n"/>
      <c r="O612" s="19" t="n"/>
      <c r="Q612" s="19" t="n"/>
      <c r="R612" s="19" t="n"/>
      <c r="S612" s="19" t="n"/>
      <c r="T612" s="19" t="n"/>
    </row>
    <row r="613" ht="15.75" customHeight="1" s="545">
      <c r="A613" s="19" t="n"/>
      <c r="B613" s="19" t="n"/>
      <c r="C613" s="19" t="n"/>
      <c r="D613" s="19" t="n"/>
      <c r="E613" s="19" t="n"/>
      <c r="F613" s="19" t="n"/>
      <c r="H613" s="19" t="n"/>
      <c r="I613" s="19" t="n"/>
      <c r="J613" s="19" t="n"/>
      <c r="K613" s="19" t="n"/>
      <c r="M613" s="19" t="n"/>
      <c r="O613" s="19" t="n"/>
      <c r="Q613" s="19" t="n"/>
      <c r="R613" s="19" t="n"/>
      <c r="S613" s="19" t="n"/>
      <c r="T613" s="19" t="n"/>
    </row>
    <row r="614" ht="15.75" customHeight="1" s="545">
      <c r="A614" s="19" t="n"/>
      <c r="B614" s="19" t="n"/>
      <c r="C614" s="19" t="n"/>
      <c r="D614" s="19" t="n"/>
      <c r="E614" s="19" t="n"/>
      <c r="F614" s="19" t="n"/>
      <c r="H614" s="19" t="n"/>
      <c r="I614" s="19" t="n"/>
      <c r="J614" s="19" t="n"/>
      <c r="K614" s="19" t="n"/>
      <c r="M614" s="19" t="n"/>
      <c r="O614" s="19" t="n"/>
      <c r="Q614" s="19" t="n"/>
      <c r="R614" s="19" t="n"/>
      <c r="S614" s="19" t="n"/>
      <c r="T614" s="19" t="n"/>
    </row>
    <row r="615" ht="15.75" customHeight="1" s="545">
      <c r="A615" s="19" t="n"/>
      <c r="B615" s="19" t="n"/>
      <c r="C615" s="19" t="n"/>
      <c r="D615" s="19" t="n"/>
      <c r="E615" s="19" t="n"/>
      <c r="F615" s="19" t="n"/>
      <c r="H615" s="19" t="n"/>
      <c r="I615" s="19" t="n"/>
      <c r="J615" s="19" t="n"/>
      <c r="K615" s="19" t="n"/>
      <c r="M615" s="19" t="n"/>
      <c r="O615" s="19" t="n"/>
      <c r="Q615" s="19" t="n"/>
      <c r="R615" s="19" t="n"/>
      <c r="S615" s="19" t="n"/>
      <c r="T615" s="19" t="n"/>
    </row>
    <row r="616" ht="15.75" customHeight="1" s="545">
      <c r="A616" s="19" t="n"/>
      <c r="B616" s="19" t="n"/>
      <c r="C616" s="19" t="n"/>
      <c r="D616" s="19" t="n"/>
      <c r="E616" s="19" t="n"/>
      <c r="F616" s="19" t="n"/>
      <c r="H616" s="19" t="n"/>
      <c r="I616" s="19" t="n"/>
      <c r="J616" s="19" t="n"/>
      <c r="K616" s="19" t="n"/>
      <c r="M616" s="19" t="n"/>
      <c r="O616" s="19" t="n"/>
      <c r="Q616" s="19" t="n"/>
      <c r="R616" s="19" t="n"/>
      <c r="S616" s="19" t="n"/>
      <c r="T616" s="19" t="n"/>
    </row>
    <row r="617" ht="15.75" customHeight="1" s="545">
      <c r="A617" s="19" t="n"/>
      <c r="B617" s="19" t="n"/>
      <c r="C617" s="19" t="n"/>
      <c r="D617" s="19" t="n"/>
      <c r="E617" s="19" t="n"/>
      <c r="F617" s="19" t="n"/>
      <c r="H617" s="19" t="n"/>
      <c r="I617" s="19" t="n"/>
      <c r="J617" s="19" t="n"/>
      <c r="K617" s="19" t="n"/>
      <c r="M617" s="19" t="n"/>
      <c r="O617" s="19" t="n"/>
      <c r="Q617" s="19" t="n"/>
      <c r="R617" s="19" t="n"/>
      <c r="S617" s="19" t="n"/>
      <c r="T617" s="19" t="n"/>
    </row>
    <row r="618" ht="15.75" customHeight="1" s="545">
      <c r="A618" s="19" t="n"/>
      <c r="B618" s="19" t="n"/>
      <c r="C618" s="19" t="n"/>
      <c r="D618" s="19" t="n"/>
      <c r="E618" s="19" t="n"/>
      <c r="F618" s="19" t="n"/>
      <c r="H618" s="19" t="n"/>
      <c r="I618" s="19" t="n"/>
      <c r="J618" s="19" t="n"/>
      <c r="K618" s="19" t="n"/>
      <c r="M618" s="19" t="n"/>
      <c r="O618" s="19" t="n"/>
      <c r="Q618" s="19" t="n"/>
      <c r="R618" s="19" t="n"/>
      <c r="S618" s="19" t="n"/>
      <c r="T618" s="19" t="n"/>
    </row>
    <row r="619" ht="15.75" customHeight="1" s="545">
      <c r="A619" s="19" t="n"/>
      <c r="B619" s="19" t="n"/>
      <c r="C619" s="19" t="n"/>
      <c r="D619" s="19" t="n"/>
      <c r="E619" s="19" t="n"/>
      <c r="F619" s="19" t="n"/>
      <c r="H619" s="19" t="n"/>
      <c r="I619" s="19" t="n"/>
      <c r="J619" s="19" t="n"/>
      <c r="K619" s="19" t="n"/>
      <c r="M619" s="19" t="n"/>
      <c r="O619" s="19" t="n"/>
      <c r="Q619" s="19" t="n"/>
      <c r="R619" s="19" t="n"/>
      <c r="S619" s="19" t="n"/>
      <c r="T619" s="19" t="n"/>
    </row>
    <row r="620" ht="15.75" customHeight="1" s="545">
      <c r="A620" s="19" t="n"/>
      <c r="B620" s="19" t="n"/>
      <c r="C620" s="19" t="n"/>
      <c r="D620" s="19" t="n"/>
      <c r="E620" s="19" t="n"/>
      <c r="F620" s="19" t="n"/>
      <c r="H620" s="19" t="n"/>
      <c r="I620" s="19" t="n"/>
      <c r="J620" s="19" t="n"/>
      <c r="K620" s="19" t="n"/>
      <c r="M620" s="19" t="n"/>
      <c r="O620" s="19" t="n"/>
      <c r="Q620" s="19" t="n"/>
      <c r="R620" s="19" t="n"/>
      <c r="S620" s="19" t="n"/>
      <c r="T620" s="19" t="n"/>
    </row>
    <row r="621" ht="15.75" customHeight="1" s="545">
      <c r="A621" s="19" t="n"/>
      <c r="B621" s="19" t="n"/>
      <c r="C621" s="19" t="n"/>
      <c r="D621" s="19" t="n"/>
      <c r="E621" s="19" t="n"/>
      <c r="F621" s="19" t="n"/>
      <c r="H621" s="19" t="n"/>
      <c r="I621" s="19" t="n"/>
      <c r="J621" s="19" t="n"/>
      <c r="K621" s="19" t="n"/>
      <c r="M621" s="19" t="n"/>
      <c r="O621" s="19" t="n"/>
      <c r="Q621" s="19" t="n"/>
      <c r="R621" s="19" t="n"/>
      <c r="S621" s="19" t="n"/>
      <c r="T621" s="19" t="n"/>
    </row>
    <row r="622" ht="15.75" customHeight="1" s="545">
      <c r="A622" s="19" t="n"/>
      <c r="B622" s="19" t="n"/>
      <c r="C622" s="19" t="n"/>
      <c r="D622" s="19" t="n"/>
      <c r="E622" s="19" t="n"/>
      <c r="F622" s="19" t="n"/>
      <c r="H622" s="19" t="n"/>
      <c r="I622" s="19" t="n"/>
      <c r="J622" s="19" t="n"/>
      <c r="K622" s="19" t="n"/>
      <c r="M622" s="19" t="n"/>
      <c r="O622" s="19" t="n"/>
      <c r="Q622" s="19" t="n"/>
      <c r="R622" s="19" t="n"/>
      <c r="S622" s="19" t="n"/>
      <c r="T622" s="19" t="n"/>
    </row>
    <row r="623" ht="15.75" customHeight="1" s="545">
      <c r="A623" s="19" t="n"/>
      <c r="B623" s="19" t="n"/>
      <c r="C623" s="19" t="n"/>
      <c r="D623" s="19" t="n"/>
      <c r="E623" s="19" t="n"/>
      <c r="F623" s="19" t="n"/>
      <c r="H623" s="19" t="n"/>
      <c r="I623" s="19" t="n"/>
      <c r="J623" s="19" t="n"/>
      <c r="K623" s="19" t="n"/>
      <c r="M623" s="19" t="n"/>
      <c r="O623" s="19" t="n"/>
      <c r="Q623" s="19" t="n"/>
      <c r="R623" s="19" t="n"/>
      <c r="S623" s="19" t="n"/>
      <c r="T623" s="19" t="n"/>
    </row>
    <row r="624" ht="15.75" customHeight="1" s="545">
      <c r="A624" s="19" t="n"/>
      <c r="B624" s="19" t="n"/>
      <c r="C624" s="19" t="n"/>
      <c r="D624" s="19" t="n"/>
      <c r="E624" s="19" t="n"/>
      <c r="F624" s="19" t="n"/>
      <c r="H624" s="19" t="n"/>
      <c r="I624" s="19" t="n"/>
      <c r="J624" s="19" t="n"/>
      <c r="K624" s="19" t="n"/>
      <c r="M624" s="19" t="n"/>
      <c r="O624" s="19" t="n"/>
      <c r="Q624" s="19" t="n"/>
      <c r="R624" s="19" t="n"/>
      <c r="S624" s="19" t="n"/>
      <c r="T624" s="19" t="n"/>
    </row>
    <row r="625" ht="15.75" customHeight="1" s="545">
      <c r="A625" s="19" t="n"/>
      <c r="B625" s="19" t="n"/>
      <c r="C625" s="19" t="n"/>
      <c r="D625" s="19" t="n"/>
      <c r="E625" s="19" t="n"/>
      <c r="F625" s="19" t="n"/>
      <c r="H625" s="19" t="n"/>
      <c r="I625" s="19" t="n"/>
      <c r="J625" s="19" t="n"/>
      <c r="K625" s="19" t="n"/>
      <c r="M625" s="19" t="n"/>
      <c r="O625" s="19" t="n"/>
      <c r="Q625" s="19" t="n"/>
      <c r="R625" s="19" t="n"/>
      <c r="S625" s="19" t="n"/>
      <c r="T625" s="19" t="n"/>
    </row>
    <row r="626" ht="15.75" customHeight="1" s="545">
      <c r="A626" s="19" t="n"/>
      <c r="B626" s="19" t="n"/>
      <c r="C626" s="19" t="n"/>
      <c r="D626" s="19" t="n"/>
      <c r="E626" s="19" t="n"/>
      <c r="F626" s="19" t="n"/>
      <c r="H626" s="19" t="n"/>
      <c r="I626" s="19" t="n"/>
      <c r="J626" s="19" t="n"/>
      <c r="K626" s="19" t="n"/>
      <c r="M626" s="19" t="n"/>
      <c r="O626" s="19" t="n"/>
      <c r="Q626" s="19" t="n"/>
      <c r="R626" s="19" t="n"/>
      <c r="S626" s="19" t="n"/>
      <c r="T626" s="19" t="n"/>
    </row>
    <row r="627" ht="15.75" customHeight="1" s="545">
      <c r="A627" s="19" t="n"/>
      <c r="B627" s="19" t="n"/>
      <c r="C627" s="19" t="n"/>
      <c r="D627" s="19" t="n"/>
      <c r="E627" s="19" t="n"/>
      <c r="F627" s="19" t="n"/>
      <c r="H627" s="19" t="n"/>
      <c r="I627" s="19" t="n"/>
      <c r="J627" s="19" t="n"/>
      <c r="K627" s="19" t="n"/>
      <c r="M627" s="19" t="n"/>
      <c r="O627" s="19" t="n"/>
      <c r="Q627" s="19" t="n"/>
      <c r="R627" s="19" t="n"/>
      <c r="S627" s="19" t="n"/>
      <c r="T627" s="19" t="n"/>
    </row>
    <row r="628" ht="15.75" customHeight="1" s="545">
      <c r="A628" s="19" t="n"/>
      <c r="B628" s="19" t="n"/>
      <c r="C628" s="19" t="n"/>
      <c r="D628" s="19" t="n"/>
      <c r="E628" s="19" t="n"/>
      <c r="F628" s="19" t="n"/>
      <c r="H628" s="19" t="n"/>
      <c r="I628" s="19" t="n"/>
      <c r="J628" s="19" t="n"/>
      <c r="K628" s="19" t="n"/>
      <c r="M628" s="19" t="n"/>
      <c r="O628" s="19" t="n"/>
      <c r="Q628" s="19" t="n"/>
      <c r="R628" s="19" t="n"/>
      <c r="S628" s="19" t="n"/>
      <c r="T628" s="19" t="n"/>
    </row>
    <row r="629" ht="15.75" customHeight="1" s="545">
      <c r="A629" s="19" t="n"/>
      <c r="B629" s="19" t="n"/>
      <c r="C629" s="19" t="n"/>
      <c r="D629" s="19" t="n"/>
      <c r="E629" s="19" t="n"/>
      <c r="F629" s="19" t="n"/>
      <c r="H629" s="19" t="n"/>
      <c r="I629" s="19" t="n"/>
      <c r="J629" s="19" t="n"/>
      <c r="K629" s="19" t="n"/>
      <c r="M629" s="19" t="n"/>
      <c r="O629" s="19" t="n"/>
      <c r="Q629" s="19" t="n"/>
      <c r="R629" s="19" t="n"/>
      <c r="S629" s="19" t="n"/>
      <c r="T629" s="19" t="n"/>
    </row>
    <row r="630" ht="15.75" customHeight="1" s="545">
      <c r="A630" s="19" t="n"/>
      <c r="B630" s="19" t="n"/>
      <c r="C630" s="19" t="n"/>
      <c r="D630" s="19" t="n"/>
      <c r="E630" s="19" t="n"/>
      <c r="F630" s="19" t="n"/>
      <c r="H630" s="19" t="n"/>
      <c r="I630" s="19" t="n"/>
      <c r="J630" s="19" t="n"/>
      <c r="K630" s="19" t="n"/>
      <c r="M630" s="19" t="n"/>
      <c r="O630" s="19" t="n"/>
      <c r="Q630" s="19" t="n"/>
      <c r="R630" s="19" t="n"/>
      <c r="S630" s="19" t="n"/>
      <c r="T630" s="19" t="n"/>
    </row>
    <row r="631" ht="15.75" customHeight="1" s="545">
      <c r="A631" s="19" t="n"/>
      <c r="B631" s="19" t="n"/>
      <c r="C631" s="19" t="n"/>
      <c r="D631" s="19" t="n"/>
      <c r="E631" s="19" t="n"/>
      <c r="F631" s="19" t="n"/>
      <c r="H631" s="19" t="n"/>
      <c r="I631" s="19" t="n"/>
      <c r="J631" s="19" t="n"/>
      <c r="K631" s="19" t="n"/>
      <c r="M631" s="19" t="n"/>
      <c r="O631" s="19" t="n"/>
      <c r="Q631" s="19" t="n"/>
      <c r="R631" s="19" t="n"/>
      <c r="S631" s="19" t="n"/>
      <c r="T631" s="19" t="n"/>
    </row>
    <row r="632" ht="15.75" customHeight="1" s="545">
      <c r="A632" s="19" t="n"/>
      <c r="B632" s="19" t="n"/>
      <c r="C632" s="19" t="n"/>
      <c r="D632" s="19" t="n"/>
      <c r="E632" s="19" t="n"/>
      <c r="F632" s="19" t="n"/>
      <c r="H632" s="19" t="n"/>
      <c r="I632" s="19" t="n"/>
      <c r="J632" s="19" t="n"/>
      <c r="K632" s="19" t="n"/>
      <c r="M632" s="19" t="n"/>
      <c r="O632" s="19" t="n"/>
      <c r="Q632" s="19" t="n"/>
      <c r="R632" s="19" t="n"/>
      <c r="S632" s="19" t="n"/>
      <c r="T632" s="19" t="n"/>
    </row>
    <row r="633" ht="15.75" customHeight="1" s="545">
      <c r="A633" s="19" t="n"/>
      <c r="B633" s="19" t="n"/>
      <c r="C633" s="19" t="n"/>
      <c r="D633" s="19" t="n"/>
      <c r="E633" s="19" t="n"/>
      <c r="F633" s="19" t="n"/>
      <c r="H633" s="19" t="n"/>
      <c r="I633" s="19" t="n"/>
      <c r="J633" s="19" t="n"/>
      <c r="K633" s="19" t="n"/>
      <c r="M633" s="19" t="n"/>
      <c r="O633" s="19" t="n"/>
      <c r="Q633" s="19" t="n"/>
      <c r="R633" s="19" t="n"/>
      <c r="S633" s="19" t="n"/>
      <c r="T633" s="19" t="n"/>
    </row>
    <row r="634" ht="15.75" customHeight="1" s="545">
      <c r="A634" s="19" t="n"/>
      <c r="B634" s="19" t="n"/>
      <c r="C634" s="19" t="n"/>
      <c r="D634" s="19" t="n"/>
      <c r="E634" s="19" t="n"/>
      <c r="F634" s="19" t="n"/>
      <c r="H634" s="19" t="n"/>
      <c r="I634" s="19" t="n"/>
      <c r="J634" s="19" t="n"/>
      <c r="K634" s="19" t="n"/>
      <c r="M634" s="19" t="n"/>
      <c r="O634" s="19" t="n"/>
      <c r="Q634" s="19" t="n"/>
      <c r="R634" s="19" t="n"/>
      <c r="S634" s="19" t="n"/>
      <c r="T634" s="19" t="n"/>
    </row>
    <row r="635" ht="15.75" customHeight="1" s="545">
      <c r="A635" s="19" t="n"/>
      <c r="B635" s="19" t="n"/>
      <c r="C635" s="19" t="n"/>
      <c r="D635" s="19" t="n"/>
      <c r="E635" s="19" t="n"/>
      <c r="F635" s="19" t="n"/>
      <c r="H635" s="19" t="n"/>
      <c r="I635" s="19" t="n"/>
      <c r="J635" s="19" t="n"/>
      <c r="K635" s="19" t="n"/>
      <c r="M635" s="19" t="n"/>
      <c r="O635" s="19" t="n"/>
      <c r="Q635" s="19" t="n"/>
      <c r="R635" s="19" t="n"/>
      <c r="S635" s="19" t="n"/>
      <c r="T635" s="19" t="n"/>
    </row>
    <row r="636" ht="15.75" customHeight="1" s="545">
      <c r="A636" s="19" t="n"/>
      <c r="B636" s="19" t="n"/>
      <c r="C636" s="19" t="n"/>
      <c r="D636" s="19" t="n"/>
      <c r="E636" s="19" t="n"/>
      <c r="F636" s="19" t="n"/>
      <c r="H636" s="19" t="n"/>
      <c r="I636" s="19" t="n"/>
      <c r="J636" s="19" t="n"/>
      <c r="K636" s="19" t="n"/>
      <c r="M636" s="19" t="n"/>
      <c r="O636" s="19" t="n"/>
      <c r="Q636" s="19" t="n"/>
      <c r="R636" s="19" t="n"/>
      <c r="S636" s="19" t="n"/>
      <c r="T636" s="19" t="n"/>
    </row>
    <row r="637" ht="15.75" customHeight="1" s="545">
      <c r="A637" s="19" t="n"/>
      <c r="B637" s="19" t="n"/>
      <c r="C637" s="19" t="n"/>
      <c r="D637" s="19" t="n"/>
      <c r="E637" s="19" t="n"/>
      <c r="F637" s="19" t="n"/>
      <c r="H637" s="19" t="n"/>
      <c r="I637" s="19" t="n"/>
      <c r="J637" s="19" t="n"/>
      <c r="K637" s="19" t="n"/>
      <c r="M637" s="19" t="n"/>
      <c r="O637" s="19" t="n"/>
      <c r="Q637" s="19" t="n"/>
      <c r="R637" s="19" t="n"/>
      <c r="S637" s="19" t="n"/>
      <c r="T637" s="19" t="n"/>
    </row>
    <row r="638" ht="15.75" customHeight="1" s="545">
      <c r="A638" s="19" t="n"/>
      <c r="B638" s="19" t="n"/>
      <c r="C638" s="19" t="n"/>
      <c r="D638" s="19" t="n"/>
      <c r="E638" s="19" t="n"/>
      <c r="F638" s="19" t="n"/>
      <c r="H638" s="19" t="n"/>
      <c r="I638" s="19" t="n"/>
      <c r="J638" s="19" t="n"/>
      <c r="K638" s="19" t="n"/>
      <c r="M638" s="19" t="n"/>
      <c r="O638" s="19" t="n"/>
      <c r="Q638" s="19" t="n"/>
      <c r="R638" s="19" t="n"/>
      <c r="S638" s="19" t="n"/>
      <c r="T638" s="19" t="n"/>
    </row>
    <row r="639" ht="15.75" customHeight="1" s="545">
      <c r="A639" s="19" t="n"/>
      <c r="B639" s="19" t="n"/>
      <c r="C639" s="19" t="n"/>
      <c r="D639" s="19" t="n"/>
      <c r="E639" s="19" t="n"/>
      <c r="F639" s="19" t="n"/>
      <c r="H639" s="19" t="n"/>
      <c r="I639" s="19" t="n"/>
      <c r="J639" s="19" t="n"/>
      <c r="K639" s="19" t="n"/>
      <c r="M639" s="19" t="n"/>
      <c r="O639" s="19" t="n"/>
      <c r="Q639" s="19" t="n"/>
      <c r="R639" s="19" t="n"/>
      <c r="S639" s="19" t="n"/>
      <c r="T639" s="19" t="n"/>
    </row>
    <row r="640" ht="15.75" customHeight="1" s="545">
      <c r="A640" s="19" t="n"/>
      <c r="B640" s="19" t="n"/>
      <c r="C640" s="19" t="n"/>
      <c r="D640" s="19" t="n"/>
      <c r="E640" s="19" t="n"/>
      <c r="F640" s="19" t="n"/>
      <c r="H640" s="19" t="n"/>
      <c r="I640" s="19" t="n"/>
      <c r="J640" s="19" t="n"/>
      <c r="K640" s="19" t="n"/>
      <c r="M640" s="19" t="n"/>
      <c r="O640" s="19" t="n"/>
      <c r="Q640" s="19" t="n"/>
      <c r="R640" s="19" t="n"/>
      <c r="S640" s="19" t="n"/>
      <c r="T640" s="19" t="n"/>
    </row>
    <row r="641" ht="15.75" customHeight="1" s="545">
      <c r="A641" s="19" t="n"/>
      <c r="B641" s="19" t="n"/>
      <c r="C641" s="19" t="n"/>
      <c r="D641" s="19" t="n"/>
      <c r="E641" s="19" t="n"/>
      <c r="F641" s="19" t="n"/>
      <c r="H641" s="19" t="n"/>
      <c r="I641" s="19" t="n"/>
      <c r="J641" s="19" t="n"/>
      <c r="K641" s="19" t="n"/>
      <c r="M641" s="19" t="n"/>
      <c r="O641" s="19" t="n"/>
      <c r="Q641" s="19" t="n"/>
      <c r="R641" s="19" t="n"/>
      <c r="S641" s="19" t="n"/>
      <c r="T641" s="19" t="n"/>
    </row>
    <row r="642" ht="15.75" customHeight="1" s="545">
      <c r="A642" s="19" t="n"/>
      <c r="B642" s="19" t="n"/>
      <c r="C642" s="19" t="n"/>
      <c r="D642" s="19" t="n"/>
      <c r="E642" s="19" t="n"/>
      <c r="F642" s="19" t="n"/>
      <c r="H642" s="19" t="n"/>
      <c r="I642" s="19" t="n"/>
      <c r="J642" s="19" t="n"/>
      <c r="K642" s="19" t="n"/>
      <c r="M642" s="19" t="n"/>
      <c r="O642" s="19" t="n"/>
      <c r="Q642" s="19" t="n"/>
      <c r="R642" s="19" t="n"/>
      <c r="S642" s="19" t="n"/>
      <c r="T642" s="19" t="n"/>
    </row>
    <row r="643" ht="15.75" customHeight="1" s="545">
      <c r="A643" s="19" t="n"/>
      <c r="B643" s="19" t="n"/>
      <c r="C643" s="19" t="n"/>
      <c r="D643" s="19" t="n"/>
      <c r="E643" s="19" t="n"/>
      <c r="F643" s="19" t="n"/>
      <c r="H643" s="19" t="n"/>
      <c r="I643" s="19" t="n"/>
      <c r="J643" s="19" t="n"/>
      <c r="K643" s="19" t="n"/>
      <c r="M643" s="19" t="n"/>
      <c r="O643" s="19" t="n"/>
      <c r="Q643" s="19" t="n"/>
      <c r="R643" s="19" t="n"/>
      <c r="S643" s="19" t="n"/>
      <c r="T643" s="19" t="n"/>
    </row>
    <row r="644" ht="15.75" customHeight="1" s="545">
      <c r="A644" s="19" t="n"/>
      <c r="B644" s="19" t="n"/>
      <c r="C644" s="19" t="n"/>
      <c r="D644" s="19" t="n"/>
      <c r="E644" s="19" t="n"/>
      <c r="F644" s="19" t="n"/>
      <c r="H644" s="19" t="n"/>
      <c r="I644" s="19" t="n"/>
      <c r="J644" s="19" t="n"/>
      <c r="K644" s="19" t="n"/>
      <c r="M644" s="19" t="n"/>
      <c r="O644" s="19" t="n"/>
      <c r="Q644" s="19" t="n"/>
      <c r="R644" s="19" t="n"/>
      <c r="S644" s="19" t="n"/>
      <c r="T644" s="19" t="n"/>
    </row>
    <row r="645" ht="15.75" customHeight="1" s="545">
      <c r="A645" s="19" t="n"/>
      <c r="B645" s="19" t="n"/>
      <c r="C645" s="19" t="n"/>
      <c r="D645" s="19" t="n"/>
      <c r="E645" s="19" t="n"/>
      <c r="F645" s="19" t="n"/>
      <c r="H645" s="19" t="n"/>
      <c r="I645" s="19" t="n"/>
      <c r="J645" s="19" t="n"/>
      <c r="K645" s="19" t="n"/>
      <c r="M645" s="19" t="n"/>
      <c r="O645" s="19" t="n"/>
      <c r="Q645" s="19" t="n"/>
      <c r="R645" s="19" t="n"/>
      <c r="S645" s="19" t="n"/>
      <c r="T645" s="19" t="n"/>
    </row>
    <row r="646" ht="15.75" customHeight="1" s="545">
      <c r="A646" s="19" t="n"/>
      <c r="B646" s="19" t="n"/>
      <c r="C646" s="19" t="n"/>
      <c r="D646" s="19" t="n"/>
      <c r="E646" s="19" t="n"/>
      <c r="F646" s="19" t="n"/>
      <c r="H646" s="19" t="n"/>
      <c r="I646" s="19" t="n"/>
      <c r="J646" s="19" t="n"/>
      <c r="K646" s="19" t="n"/>
      <c r="M646" s="19" t="n"/>
      <c r="O646" s="19" t="n"/>
      <c r="Q646" s="19" t="n"/>
      <c r="R646" s="19" t="n"/>
      <c r="S646" s="19" t="n"/>
      <c r="T646" s="19" t="n"/>
    </row>
    <row r="647" ht="15.75" customHeight="1" s="545">
      <c r="A647" s="19" t="n"/>
      <c r="B647" s="19" t="n"/>
      <c r="C647" s="19" t="n"/>
      <c r="D647" s="19" t="n"/>
      <c r="E647" s="19" t="n"/>
      <c r="F647" s="19" t="n"/>
      <c r="H647" s="19" t="n"/>
      <c r="I647" s="19" t="n"/>
      <c r="J647" s="19" t="n"/>
      <c r="K647" s="19" t="n"/>
      <c r="M647" s="19" t="n"/>
      <c r="O647" s="19" t="n"/>
      <c r="Q647" s="19" t="n"/>
      <c r="R647" s="19" t="n"/>
      <c r="S647" s="19" t="n"/>
      <c r="T647" s="19" t="n"/>
    </row>
    <row r="648" ht="15.75" customHeight="1" s="545">
      <c r="A648" s="19" t="n"/>
      <c r="B648" s="19" t="n"/>
      <c r="C648" s="19" t="n"/>
      <c r="D648" s="19" t="n"/>
      <c r="E648" s="19" t="n"/>
      <c r="F648" s="19" t="n"/>
      <c r="H648" s="19" t="n"/>
      <c r="I648" s="19" t="n"/>
      <c r="J648" s="19" t="n"/>
      <c r="K648" s="19" t="n"/>
      <c r="M648" s="19" t="n"/>
      <c r="O648" s="19" t="n"/>
      <c r="Q648" s="19" t="n"/>
      <c r="R648" s="19" t="n"/>
      <c r="S648" s="19" t="n"/>
      <c r="T648" s="19" t="n"/>
    </row>
    <row r="649" ht="15.75" customHeight="1" s="545">
      <c r="A649" s="19" t="n"/>
      <c r="B649" s="19" t="n"/>
      <c r="C649" s="19" t="n"/>
      <c r="D649" s="19" t="n"/>
      <c r="E649" s="19" t="n"/>
      <c r="F649" s="19" t="n"/>
      <c r="H649" s="19" t="n"/>
      <c r="I649" s="19" t="n"/>
      <c r="J649" s="19" t="n"/>
      <c r="K649" s="19" t="n"/>
      <c r="M649" s="19" t="n"/>
      <c r="O649" s="19" t="n"/>
      <c r="Q649" s="19" t="n"/>
      <c r="R649" s="19" t="n"/>
      <c r="S649" s="19" t="n"/>
      <c r="T649" s="19" t="n"/>
    </row>
    <row r="650" ht="15.75" customHeight="1" s="545">
      <c r="A650" s="19" t="n"/>
      <c r="B650" s="19" t="n"/>
      <c r="C650" s="19" t="n"/>
      <c r="D650" s="19" t="n"/>
      <c r="E650" s="19" t="n"/>
      <c r="F650" s="19" t="n"/>
      <c r="H650" s="19" t="n"/>
      <c r="I650" s="19" t="n"/>
      <c r="J650" s="19" t="n"/>
      <c r="K650" s="19" t="n"/>
      <c r="M650" s="19" t="n"/>
      <c r="O650" s="19" t="n"/>
      <c r="Q650" s="19" t="n"/>
      <c r="R650" s="19" t="n"/>
      <c r="S650" s="19" t="n"/>
      <c r="T650" s="19" t="n"/>
    </row>
    <row r="651" ht="15.75" customHeight="1" s="545">
      <c r="A651" s="19" t="n"/>
      <c r="B651" s="19" t="n"/>
      <c r="C651" s="19" t="n"/>
      <c r="D651" s="19" t="n"/>
      <c r="E651" s="19" t="n"/>
      <c r="F651" s="19" t="n"/>
      <c r="H651" s="19" t="n"/>
      <c r="I651" s="19" t="n"/>
      <c r="J651" s="19" t="n"/>
      <c r="K651" s="19" t="n"/>
      <c r="M651" s="19" t="n"/>
      <c r="O651" s="19" t="n"/>
      <c r="Q651" s="19" t="n"/>
      <c r="R651" s="19" t="n"/>
      <c r="S651" s="19" t="n"/>
      <c r="T651" s="19" t="n"/>
    </row>
    <row r="652" ht="15.75" customHeight="1" s="545">
      <c r="A652" s="19" t="n"/>
      <c r="B652" s="19" t="n"/>
      <c r="C652" s="19" t="n"/>
      <c r="D652" s="19" t="n"/>
      <c r="E652" s="19" t="n"/>
      <c r="F652" s="19" t="n"/>
      <c r="H652" s="19" t="n"/>
      <c r="I652" s="19" t="n"/>
      <c r="J652" s="19" t="n"/>
      <c r="K652" s="19" t="n"/>
      <c r="M652" s="19" t="n"/>
      <c r="O652" s="19" t="n"/>
      <c r="Q652" s="19" t="n"/>
      <c r="R652" s="19" t="n"/>
      <c r="S652" s="19" t="n"/>
      <c r="T652" s="19" t="n"/>
    </row>
    <row r="653" ht="15.75" customHeight="1" s="545">
      <c r="A653" s="19" t="n"/>
      <c r="B653" s="19" t="n"/>
      <c r="C653" s="19" t="n"/>
      <c r="D653" s="19" t="n"/>
      <c r="E653" s="19" t="n"/>
      <c r="F653" s="19" t="n"/>
      <c r="H653" s="19" t="n"/>
      <c r="I653" s="19" t="n"/>
      <c r="J653" s="19" t="n"/>
      <c r="K653" s="19" t="n"/>
      <c r="M653" s="19" t="n"/>
      <c r="O653" s="19" t="n"/>
      <c r="Q653" s="19" t="n"/>
      <c r="R653" s="19" t="n"/>
      <c r="S653" s="19" t="n"/>
      <c r="T653" s="19" t="n"/>
    </row>
    <row r="654" ht="15.75" customHeight="1" s="545">
      <c r="A654" s="19" t="n"/>
      <c r="B654" s="19" t="n"/>
      <c r="C654" s="19" t="n"/>
      <c r="D654" s="19" t="n"/>
      <c r="E654" s="19" t="n"/>
      <c r="F654" s="19" t="n"/>
      <c r="H654" s="19" t="n"/>
      <c r="I654" s="19" t="n"/>
      <c r="J654" s="19" t="n"/>
      <c r="K654" s="19" t="n"/>
      <c r="M654" s="19" t="n"/>
      <c r="O654" s="19" t="n"/>
      <c r="Q654" s="19" t="n"/>
      <c r="R654" s="19" t="n"/>
      <c r="S654" s="19" t="n"/>
      <c r="T654" s="19" t="n"/>
    </row>
    <row r="655" ht="15.75" customHeight="1" s="545">
      <c r="A655" s="19" t="n"/>
      <c r="B655" s="19" t="n"/>
      <c r="C655" s="19" t="n"/>
      <c r="D655" s="19" t="n"/>
      <c r="E655" s="19" t="n"/>
      <c r="F655" s="19" t="n"/>
      <c r="H655" s="19" t="n"/>
      <c r="I655" s="19" t="n"/>
      <c r="J655" s="19" t="n"/>
      <c r="K655" s="19" t="n"/>
      <c r="M655" s="19" t="n"/>
      <c r="O655" s="19" t="n"/>
      <c r="Q655" s="19" t="n"/>
      <c r="R655" s="19" t="n"/>
      <c r="S655" s="19" t="n"/>
      <c r="T655" s="19" t="n"/>
    </row>
    <row r="656" ht="15.75" customHeight="1" s="545">
      <c r="A656" s="19" t="n"/>
      <c r="B656" s="19" t="n"/>
      <c r="C656" s="19" t="n"/>
      <c r="D656" s="19" t="n"/>
      <c r="E656" s="19" t="n"/>
      <c r="F656" s="19" t="n"/>
      <c r="H656" s="19" t="n"/>
      <c r="I656" s="19" t="n"/>
      <c r="J656" s="19" t="n"/>
      <c r="K656" s="19" t="n"/>
      <c r="M656" s="19" t="n"/>
      <c r="O656" s="19" t="n"/>
      <c r="Q656" s="19" t="n"/>
      <c r="R656" s="19" t="n"/>
      <c r="S656" s="19" t="n"/>
      <c r="T656" s="19" t="n"/>
    </row>
    <row r="657" ht="15.75" customHeight="1" s="545">
      <c r="A657" s="19" t="n"/>
      <c r="B657" s="19" t="n"/>
      <c r="C657" s="19" t="n"/>
      <c r="D657" s="19" t="n"/>
      <c r="E657" s="19" t="n"/>
      <c r="F657" s="19" t="n"/>
      <c r="H657" s="19" t="n"/>
      <c r="I657" s="19" t="n"/>
      <c r="J657" s="19" t="n"/>
      <c r="K657" s="19" t="n"/>
      <c r="M657" s="19" t="n"/>
      <c r="O657" s="19" t="n"/>
      <c r="Q657" s="19" t="n"/>
      <c r="R657" s="19" t="n"/>
      <c r="S657" s="19" t="n"/>
      <c r="T657" s="19" t="n"/>
    </row>
    <row r="658" ht="15.75" customHeight="1" s="545">
      <c r="A658" s="19" t="n"/>
      <c r="B658" s="19" t="n"/>
      <c r="C658" s="19" t="n"/>
      <c r="D658" s="19" t="n"/>
      <c r="E658" s="19" t="n"/>
      <c r="F658" s="19" t="n"/>
      <c r="H658" s="19" t="n"/>
      <c r="I658" s="19" t="n"/>
      <c r="J658" s="19" t="n"/>
      <c r="K658" s="19" t="n"/>
      <c r="M658" s="19" t="n"/>
      <c r="O658" s="19" t="n"/>
      <c r="Q658" s="19" t="n"/>
      <c r="R658" s="19" t="n"/>
      <c r="S658" s="19" t="n"/>
      <c r="T658" s="19" t="n"/>
    </row>
    <row r="659" ht="15.75" customHeight="1" s="545">
      <c r="A659" s="19" t="n"/>
      <c r="B659" s="19" t="n"/>
      <c r="C659" s="19" t="n"/>
      <c r="D659" s="19" t="n"/>
      <c r="E659" s="19" t="n"/>
      <c r="F659" s="19" t="n"/>
      <c r="H659" s="19" t="n"/>
      <c r="I659" s="19" t="n"/>
      <c r="J659" s="19" t="n"/>
      <c r="K659" s="19" t="n"/>
      <c r="M659" s="19" t="n"/>
      <c r="O659" s="19" t="n"/>
      <c r="Q659" s="19" t="n"/>
      <c r="R659" s="19" t="n"/>
      <c r="S659" s="19" t="n"/>
      <c r="T659" s="19" t="n"/>
    </row>
    <row r="660" ht="15.75" customHeight="1" s="545">
      <c r="A660" s="19" t="n"/>
      <c r="B660" s="19" t="n"/>
      <c r="C660" s="19" t="n"/>
      <c r="D660" s="19" t="n"/>
      <c r="E660" s="19" t="n"/>
      <c r="F660" s="19" t="n"/>
      <c r="H660" s="19" t="n"/>
      <c r="I660" s="19" t="n"/>
      <c r="J660" s="19" t="n"/>
      <c r="K660" s="19" t="n"/>
      <c r="M660" s="19" t="n"/>
      <c r="O660" s="19" t="n"/>
      <c r="Q660" s="19" t="n"/>
      <c r="R660" s="19" t="n"/>
      <c r="S660" s="19" t="n"/>
      <c r="T660" s="19" t="n"/>
    </row>
    <row r="661" ht="15.75" customHeight="1" s="545">
      <c r="A661" s="19" t="n"/>
      <c r="B661" s="19" t="n"/>
      <c r="C661" s="19" t="n"/>
      <c r="D661" s="19" t="n"/>
      <c r="E661" s="19" t="n"/>
      <c r="F661" s="19" t="n"/>
      <c r="H661" s="19" t="n"/>
      <c r="I661" s="19" t="n"/>
      <c r="J661" s="19" t="n"/>
      <c r="K661" s="19" t="n"/>
      <c r="M661" s="19" t="n"/>
      <c r="O661" s="19" t="n"/>
      <c r="Q661" s="19" t="n"/>
      <c r="R661" s="19" t="n"/>
      <c r="S661" s="19" t="n"/>
      <c r="T661" s="19" t="n"/>
    </row>
    <row r="662" ht="15.75" customHeight="1" s="545">
      <c r="A662" s="19" t="n"/>
      <c r="B662" s="19" t="n"/>
      <c r="C662" s="19" t="n"/>
      <c r="D662" s="19" t="n"/>
      <c r="E662" s="19" t="n"/>
      <c r="F662" s="19" t="n"/>
      <c r="H662" s="19" t="n"/>
      <c r="I662" s="19" t="n"/>
      <c r="J662" s="19" t="n"/>
      <c r="K662" s="19" t="n"/>
      <c r="M662" s="19" t="n"/>
      <c r="O662" s="19" t="n"/>
      <c r="Q662" s="19" t="n"/>
      <c r="R662" s="19" t="n"/>
      <c r="S662" s="19" t="n"/>
      <c r="T662" s="19" t="n"/>
    </row>
    <row r="663" ht="15.75" customHeight="1" s="545">
      <c r="A663" s="19" t="n"/>
      <c r="B663" s="19" t="n"/>
      <c r="C663" s="19" t="n"/>
      <c r="D663" s="19" t="n"/>
      <c r="E663" s="19" t="n"/>
      <c r="F663" s="19" t="n"/>
      <c r="H663" s="19" t="n"/>
      <c r="I663" s="19" t="n"/>
      <c r="J663" s="19" t="n"/>
      <c r="K663" s="19" t="n"/>
      <c r="M663" s="19" t="n"/>
      <c r="O663" s="19" t="n"/>
      <c r="Q663" s="19" t="n"/>
      <c r="R663" s="19" t="n"/>
      <c r="S663" s="19" t="n"/>
      <c r="T663" s="19" t="n"/>
    </row>
    <row r="664" ht="15.75" customHeight="1" s="545">
      <c r="A664" s="19" t="n"/>
      <c r="B664" s="19" t="n"/>
      <c r="C664" s="19" t="n"/>
      <c r="D664" s="19" t="n"/>
      <c r="E664" s="19" t="n"/>
      <c r="F664" s="19" t="n"/>
      <c r="H664" s="19" t="n"/>
      <c r="I664" s="19" t="n"/>
      <c r="J664" s="19" t="n"/>
      <c r="K664" s="19" t="n"/>
      <c r="M664" s="19" t="n"/>
      <c r="O664" s="19" t="n"/>
      <c r="Q664" s="19" t="n"/>
      <c r="R664" s="19" t="n"/>
      <c r="S664" s="19" t="n"/>
      <c r="T664" s="19" t="n"/>
    </row>
    <row r="665" ht="15.75" customHeight="1" s="545">
      <c r="A665" s="19" t="n"/>
      <c r="B665" s="19" t="n"/>
      <c r="C665" s="19" t="n"/>
      <c r="D665" s="19" t="n"/>
      <c r="E665" s="19" t="n"/>
      <c r="F665" s="19" t="n"/>
      <c r="H665" s="19" t="n"/>
      <c r="I665" s="19" t="n"/>
      <c r="J665" s="19" t="n"/>
      <c r="K665" s="19" t="n"/>
      <c r="M665" s="19" t="n"/>
      <c r="O665" s="19" t="n"/>
      <c r="Q665" s="19" t="n"/>
      <c r="R665" s="19" t="n"/>
      <c r="S665" s="19" t="n"/>
      <c r="T665" s="19" t="n"/>
    </row>
    <row r="666" ht="15.75" customHeight="1" s="545">
      <c r="A666" s="19" t="n"/>
      <c r="B666" s="19" t="n"/>
      <c r="C666" s="19" t="n"/>
      <c r="D666" s="19" t="n"/>
      <c r="E666" s="19" t="n"/>
      <c r="F666" s="19" t="n"/>
      <c r="H666" s="19" t="n"/>
      <c r="I666" s="19" t="n"/>
      <c r="J666" s="19" t="n"/>
      <c r="K666" s="19" t="n"/>
      <c r="M666" s="19" t="n"/>
      <c r="O666" s="19" t="n"/>
      <c r="Q666" s="19" t="n"/>
      <c r="R666" s="19" t="n"/>
      <c r="S666" s="19" t="n"/>
      <c r="T666" s="19" t="n"/>
    </row>
    <row r="667" ht="15.75" customHeight="1" s="545">
      <c r="A667" s="19" t="n"/>
      <c r="B667" s="19" t="n"/>
      <c r="C667" s="19" t="n"/>
      <c r="D667" s="19" t="n"/>
      <c r="E667" s="19" t="n"/>
      <c r="F667" s="19" t="n"/>
      <c r="H667" s="19" t="n"/>
      <c r="I667" s="19" t="n"/>
      <c r="J667" s="19" t="n"/>
      <c r="K667" s="19" t="n"/>
      <c r="M667" s="19" t="n"/>
      <c r="O667" s="19" t="n"/>
      <c r="Q667" s="19" t="n"/>
      <c r="R667" s="19" t="n"/>
      <c r="S667" s="19" t="n"/>
      <c r="T667" s="19" t="n"/>
    </row>
    <row r="668" ht="15.75" customHeight="1" s="545">
      <c r="A668" s="19" t="n"/>
      <c r="B668" s="19" t="n"/>
      <c r="C668" s="19" t="n"/>
      <c r="D668" s="19" t="n"/>
      <c r="E668" s="19" t="n"/>
      <c r="F668" s="19" t="n"/>
      <c r="H668" s="19" t="n"/>
      <c r="I668" s="19" t="n"/>
      <c r="J668" s="19" t="n"/>
      <c r="K668" s="19" t="n"/>
      <c r="M668" s="19" t="n"/>
      <c r="O668" s="19" t="n"/>
      <c r="Q668" s="19" t="n"/>
      <c r="R668" s="19" t="n"/>
      <c r="S668" s="19" t="n"/>
      <c r="T668" s="19" t="n"/>
    </row>
    <row r="669" ht="15.75" customHeight="1" s="545">
      <c r="A669" s="19" t="n"/>
      <c r="B669" s="19" t="n"/>
      <c r="C669" s="19" t="n"/>
      <c r="D669" s="19" t="n"/>
      <c r="E669" s="19" t="n"/>
      <c r="F669" s="19" t="n"/>
      <c r="H669" s="19" t="n"/>
      <c r="I669" s="19" t="n"/>
      <c r="J669" s="19" t="n"/>
      <c r="K669" s="19" t="n"/>
      <c r="M669" s="19" t="n"/>
      <c r="O669" s="19" t="n"/>
      <c r="Q669" s="19" t="n"/>
      <c r="R669" s="19" t="n"/>
      <c r="S669" s="19" t="n"/>
      <c r="T669" s="19" t="n"/>
    </row>
    <row r="670" ht="15.75" customHeight="1" s="545">
      <c r="A670" s="19" t="n"/>
      <c r="B670" s="19" t="n"/>
      <c r="C670" s="19" t="n"/>
      <c r="D670" s="19" t="n"/>
      <c r="E670" s="19" t="n"/>
      <c r="F670" s="19" t="n"/>
      <c r="H670" s="19" t="n"/>
      <c r="I670" s="19" t="n"/>
      <c r="J670" s="19" t="n"/>
      <c r="K670" s="19" t="n"/>
      <c r="M670" s="19" t="n"/>
      <c r="O670" s="19" t="n"/>
      <c r="Q670" s="19" t="n"/>
      <c r="R670" s="19" t="n"/>
      <c r="S670" s="19" t="n"/>
      <c r="T670" s="19" t="n"/>
    </row>
    <row r="671" ht="15.75" customHeight="1" s="545">
      <c r="A671" s="19" t="n"/>
      <c r="B671" s="19" t="n"/>
      <c r="C671" s="19" t="n"/>
      <c r="D671" s="19" t="n"/>
      <c r="E671" s="19" t="n"/>
      <c r="F671" s="19" t="n"/>
      <c r="H671" s="19" t="n"/>
      <c r="I671" s="19" t="n"/>
      <c r="J671" s="19" t="n"/>
      <c r="K671" s="19" t="n"/>
      <c r="M671" s="19" t="n"/>
      <c r="O671" s="19" t="n"/>
      <c r="Q671" s="19" t="n"/>
      <c r="R671" s="19" t="n"/>
      <c r="S671" s="19" t="n"/>
      <c r="T671" s="19" t="n"/>
    </row>
    <row r="672" ht="15.75" customHeight="1" s="545">
      <c r="A672" s="19" t="n"/>
      <c r="B672" s="19" t="n"/>
      <c r="C672" s="19" t="n"/>
      <c r="D672" s="19" t="n"/>
      <c r="E672" s="19" t="n"/>
      <c r="F672" s="19" t="n"/>
      <c r="H672" s="19" t="n"/>
      <c r="I672" s="19" t="n"/>
      <c r="J672" s="19" t="n"/>
      <c r="K672" s="19" t="n"/>
      <c r="M672" s="19" t="n"/>
      <c r="O672" s="19" t="n"/>
      <c r="Q672" s="19" t="n"/>
      <c r="R672" s="19" t="n"/>
      <c r="S672" s="19" t="n"/>
      <c r="T672" s="19" t="n"/>
    </row>
    <row r="673" ht="15.75" customHeight="1" s="545">
      <c r="A673" s="19" t="n"/>
      <c r="B673" s="19" t="n"/>
      <c r="C673" s="19" t="n"/>
      <c r="D673" s="19" t="n"/>
      <c r="E673" s="19" t="n"/>
      <c r="F673" s="19" t="n"/>
      <c r="H673" s="19" t="n"/>
      <c r="I673" s="19" t="n"/>
      <c r="J673" s="19" t="n"/>
      <c r="K673" s="19" t="n"/>
      <c r="M673" s="19" t="n"/>
      <c r="O673" s="19" t="n"/>
      <c r="Q673" s="19" t="n"/>
      <c r="R673" s="19" t="n"/>
      <c r="S673" s="19" t="n"/>
      <c r="T673" s="19" t="n"/>
    </row>
    <row r="674" ht="15.75" customHeight="1" s="545">
      <c r="A674" s="19" t="n"/>
      <c r="B674" s="19" t="n"/>
      <c r="C674" s="19" t="n"/>
      <c r="D674" s="19" t="n"/>
      <c r="E674" s="19" t="n"/>
      <c r="F674" s="19" t="n"/>
      <c r="H674" s="19" t="n"/>
      <c r="I674" s="19" t="n"/>
      <c r="J674" s="19" t="n"/>
      <c r="K674" s="19" t="n"/>
      <c r="M674" s="19" t="n"/>
      <c r="O674" s="19" t="n"/>
      <c r="Q674" s="19" t="n"/>
      <c r="R674" s="19" t="n"/>
      <c r="S674" s="19" t="n"/>
      <c r="T674" s="19" t="n"/>
    </row>
    <row r="675" ht="15.75" customHeight="1" s="545">
      <c r="A675" s="19" t="n"/>
      <c r="B675" s="19" t="n"/>
      <c r="C675" s="19" t="n"/>
      <c r="D675" s="19" t="n"/>
      <c r="E675" s="19" t="n"/>
      <c r="F675" s="19" t="n"/>
      <c r="H675" s="19" t="n"/>
      <c r="I675" s="19" t="n"/>
      <c r="J675" s="19" t="n"/>
      <c r="K675" s="19" t="n"/>
      <c r="M675" s="19" t="n"/>
      <c r="O675" s="19" t="n"/>
      <c r="Q675" s="19" t="n"/>
      <c r="R675" s="19" t="n"/>
      <c r="S675" s="19" t="n"/>
      <c r="T675" s="19" t="n"/>
    </row>
    <row r="676" ht="15.75" customHeight="1" s="545">
      <c r="A676" s="19" t="n"/>
      <c r="B676" s="19" t="n"/>
      <c r="C676" s="19" t="n"/>
      <c r="D676" s="19" t="n"/>
      <c r="E676" s="19" t="n"/>
      <c r="F676" s="19" t="n"/>
      <c r="H676" s="19" t="n"/>
      <c r="I676" s="19" t="n"/>
      <c r="J676" s="19" t="n"/>
      <c r="K676" s="19" t="n"/>
      <c r="M676" s="19" t="n"/>
      <c r="O676" s="19" t="n"/>
      <c r="Q676" s="19" t="n"/>
      <c r="R676" s="19" t="n"/>
      <c r="S676" s="19" t="n"/>
      <c r="T676" s="19" t="n"/>
    </row>
    <row r="677" ht="15.75" customHeight="1" s="545">
      <c r="A677" s="19" t="n"/>
      <c r="B677" s="19" t="n"/>
      <c r="C677" s="19" t="n"/>
      <c r="D677" s="19" t="n"/>
      <c r="E677" s="19" t="n"/>
      <c r="F677" s="19" t="n"/>
      <c r="H677" s="19" t="n"/>
      <c r="I677" s="19" t="n"/>
      <c r="J677" s="19" t="n"/>
      <c r="K677" s="19" t="n"/>
      <c r="M677" s="19" t="n"/>
      <c r="O677" s="19" t="n"/>
      <c r="Q677" s="19" t="n"/>
      <c r="R677" s="19" t="n"/>
      <c r="S677" s="19" t="n"/>
      <c r="T677" s="19" t="n"/>
    </row>
    <row r="678" ht="15.75" customHeight="1" s="545">
      <c r="A678" s="19" t="n"/>
      <c r="B678" s="19" t="n"/>
      <c r="C678" s="19" t="n"/>
      <c r="D678" s="19" t="n"/>
      <c r="E678" s="19" t="n"/>
      <c r="F678" s="19" t="n"/>
      <c r="H678" s="19" t="n"/>
      <c r="I678" s="19" t="n"/>
      <c r="J678" s="19" t="n"/>
      <c r="K678" s="19" t="n"/>
      <c r="M678" s="19" t="n"/>
      <c r="O678" s="19" t="n"/>
      <c r="Q678" s="19" t="n"/>
      <c r="R678" s="19" t="n"/>
      <c r="S678" s="19" t="n"/>
      <c r="T678" s="19" t="n"/>
    </row>
    <row r="679" ht="15.75" customHeight="1" s="545">
      <c r="A679" s="19" t="n"/>
      <c r="B679" s="19" t="n"/>
      <c r="C679" s="19" t="n"/>
      <c r="D679" s="19" t="n"/>
      <c r="E679" s="19" t="n"/>
      <c r="F679" s="19" t="n"/>
      <c r="H679" s="19" t="n"/>
      <c r="I679" s="19" t="n"/>
      <c r="J679" s="19" t="n"/>
      <c r="K679" s="19" t="n"/>
      <c r="M679" s="19" t="n"/>
      <c r="O679" s="19" t="n"/>
      <c r="Q679" s="19" t="n"/>
      <c r="R679" s="19" t="n"/>
      <c r="S679" s="19" t="n"/>
      <c r="T679" s="19" t="n"/>
    </row>
    <row r="680" ht="15.75" customHeight="1" s="545">
      <c r="A680" s="19" t="n"/>
      <c r="B680" s="19" t="n"/>
      <c r="C680" s="19" t="n"/>
      <c r="D680" s="19" t="n"/>
      <c r="E680" s="19" t="n"/>
      <c r="F680" s="19" t="n"/>
      <c r="H680" s="19" t="n"/>
      <c r="I680" s="19" t="n"/>
      <c r="J680" s="19" t="n"/>
      <c r="K680" s="19" t="n"/>
      <c r="M680" s="19" t="n"/>
      <c r="O680" s="19" t="n"/>
      <c r="Q680" s="19" t="n"/>
      <c r="R680" s="19" t="n"/>
      <c r="S680" s="19" t="n"/>
      <c r="T680" s="19" t="n"/>
    </row>
    <row r="681" ht="15.75" customHeight="1" s="545">
      <c r="A681" s="19" t="n"/>
      <c r="B681" s="19" t="n"/>
      <c r="C681" s="19" t="n"/>
      <c r="D681" s="19" t="n"/>
      <c r="E681" s="19" t="n"/>
      <c r="F681" s="19" t="n"/>
      <c r="H681" s="19" t="n"/>
      <c r="I681" s="19" t="n"/>
      <c r="J681" s="19" t="n"/>
      <c r="K681" s="19" t="n"/>
      <c r="M681" s="19" t="n"/>
      <c r="O681" s="19" t="n"/>
      <c r="Q681" s="19" t="n"/>
      <c r="R681" s="19" t="n"/>
      <c r="S681" s="19" t="n"/>
      <c r="T681" s="19" t="n"/>
    </row>
    <row r="682" ht="15.75" customHeight="1" s="545">
      <c r="A682" s="19" t="n"/>
      <c r="B682" s="19" t="n"/>
      <c r="C682" s="19" t="n"/>
      <c r="D682" s="19" t="n"/>
      <c r="E682" s="19" t="n"/>
      <c r="F682" s="19" t="n"/>
      <c r="H682" s="19" t="n"/>
      <c r="I682" s="19" t="n"/>
      <c r="J682" s="19" t="n"/>
      <c r="K682" s="19" t="n"/>
      <c r="M682" s="19" t="n"/>
      <c r="O682" s="19" t="n"/>
      <c r="Q682" s="19" t="n"/>
      <c r="R682" s="19" t="n"/>
      <c r="S682" s="19" t="n"/>
      <c r="T682" s="19" t="n"/>
    </row>
    <row r="683" ht="15.75" customHeight="1" s="545">
      <c r="A683" s="19" t="n"/>
      <c r="B683" s="19" t="n"/>
      <c r="C683" s="19" t="n"/>
      <c r="D683" s="19" t="n"/>
      <c r="E683" s="19" t="n"/>
      <c r="F683" s="19" t="n"/>
      <c r="H683" s="19" t="n"/>
      <c r="I683" s="19" t="n"/>
      <c r="J683" s="19" t="n"/>
      <c r="K683" s="19" t="n"/>
      <c r="M683" s="19" t="n"/>
      <c r="O683" s="19" t="n"/>
      <c r="Q683" s="19" t="n"/>
      <c r="R683" s="19" t="n"/>
      <c r="S683" s="19" t="n"/>
      <c r="T683" s="19" t="n"/>
    </row>
    <row r="684" ht="15.75" customHeight="1" s="545">
      <c r="A684" s="19" t="n"/>
      <c r="B684" s="19" t="n"/>
      <c r="C684" s="19" t="n"/>
      <c r="D684" s="19" t="n"/>
      <c r="E684" s="19" t="n"/>
      <c r="F684" s="19" t="n"/>
      <c r="H684" s="19" t="n"/>
      <c r="I684" s="19" t="n"/>
      <c r="J684" s="19" t="n"/>
      <c r="K684" s="19" t="n"/>
      <c r="M684" s="19" t="n"/>
      <c r="O684" s="19" t="n"/>
      <c r="Q684" s="19" t="n"/>
      <c r="R684" s="19" t="n"/>
      <c r="S684" s="19" t="n"/>
      <c r="T684" s="19" t="n"/>
    </row>
    <row r="685" ht="15.75" customHeight="1" s="545">
      <c r="A685" s="19" t="n"/>
      <c r="B685" s="19" t="n"/>
      <c r="C685" s="19" t="n"/>
      <c r="D685" s="19" t="n"/>
      <c r="E685" s="19" t="n"/>
      <c r="F685" s="19" t="n"/>
      <c r="H685" s="19" t="n"/>
      <c r="I685" s="19" t="n"/>
      <c r="J685" s="19" t="n"/>
      <c r="K685" s="19" t="n"/>
      <c r="M685" s="19" t="n"/>
      <c r="O685" s="19" t="n"/>
      <c r="Q685" s="19" t="n"/>
      <c r="R685" s="19" t="n"/>
      <c r="S685" s="19" t="n"/>
      <c r="T685" s="19" t="n"/>
    </row>
    <row r="686" ht="15.75" customHeight="1" s="545">
      <c r="A686" s="19" t="n"/>
      <c r="B686" s="19" t="n"/>
      <c r="C686" s="19" t="n"/>
      <c r="D686" s="19" t="n"/>
      <c r="E686" s="19" t="n"/>
      <c r="F686" s="19" t="n"/>
      <c r="H686" s="19" t="n"/>
      <c r="I686" s="19" t="n"/>
      <c r="J686" s="19" t="n"/>
      <c r="K686" s="19" t="n"/>
      <c r="M686" s="19" t="n"/>
      <c r="O686" s="19" t="n"/>
      <c r="Q686" s="19" t="n"/>
      <c r="R686" s="19" t="n"/>
      <c r="S686" s="19" t="n"/>
      <c r="T686" s="19" t="n"/>
    </row>
    <row r="687" ht="15.75" customHeight="1" s="545">
      <c r="A687" s="19" t="n"/>
      <c r="B687" s="19" t="n"/>
      <c r="C687" s="19" t="n"/>
      <c r="D687" s="19" t="n"/>
      <c r="E687" s="19" t="n"/>
      <c r="F687" s="19" t="n"/>
      <c r="H687" s="19" t="n"/>
      <c r="I687" s="19" t="n"/>
      <c r="J687" s="19" t="n"/>
      <c r="K687" s="19" t="n"/>
      <c r="M687" s="19" t="n"/>
      <c r="O687" s="19" t="n"/>
      <c r="Q687" s="19" t="n"/>
      <c r="R687" s="19" t="n"/>
      <c r="S687" s="19" t="n"/>
      <c r="T687" s="19" t="n"/>
    </row>
    <row r="688" ht="15.75" customHeight="1" s="545">
      <c r="A688" s="19" t="n"/>
      <c r="B688" s="19" t="n"/>
      <c r="C688" s="19" t="n"/>
      <c r="D688" s="19" t="n"/>
      <c r="E688" s="19" t="n"/>
      <c r="F688" s="19" t="n"/>
      <c r="H688" s="19" t="n"/>
      <c r="I688" s="19" t="n"/>
      <c r="J688" s="19" t="n"/>
      <c r="K688" s="19" t="n"/>
      <c r="M688" s="19" t="n"/>
      <c r="O688" s="19" t="n"/>
      <c r="Q688" s="19" t="n"/>
      <c r="R688" s="19" t="n"/>
      <c r="S688" s="19" t="n"/>
      <c r="T688" s="19" t="n"/>
    </row>
    <row r="689" ht="15.75" customHeight="1" s="545">
      <c r="A689" s="19" t="n"/>
      <c r="B689" s="19" t="n"/>
      <c r="C689" s="19" t="n"/>
      <c r="D689" s="19" t="n"/>
      <c r="E689" s="19" t="n"/>
      <c r="F689" s="19" t="n"/>
      <c r="H689" s="19" t="n"/>
      <c r="I689" s="19" t="n"/>
      <c r="J689" s="19" t="n"/>
      <c r="K689" s="19" t="n"/>
      <c r="M689" s="19" t="n"/>
      <c r="O689" s="19" t="n"/>
      <c r="Q689" s="19" t="n"/>
      <c r="R689" s="19" t="n"/>
      <c r="S689" s="19" t="n"/>
      <c r="T689" s="19" t="n"/>
    </row>
    <row r="690" ht="15.75" customHeight="1" s="545">
      <c r="A690" s="19" t="n"/>
      <c r="B690" s="19" t="n"/>
      <c r="C690" s="19" t="n"/>
      <c r="D690" s="19" t="n"/>
      <c r="E690" s="19" t="n"/>
      <c r="F690" s="19" t="n"/>
      <c r="H690" s="19" t="n"/>
      <c r="I690" s="19" t="n"/>
      <c r="J690" s="19" t="n"/>
      <c r="K690" s="19" t="n"/>
      <c r="M690" s="19" t="n"/>
      <c r="O690" s="19" t="n"/>
      <c r="Q690" s="19" t="n"/>
      <c r="R690" s="19" t="n"/>
      <c r="S690" s="19" t="n"/>
      <c r="T690" s="19" t="n"/>
    </row>
    <row r="691" ht="15.75" customHeight="1" s="545">
      <c r="A691" s="19" t="n"/>
      <c r="B691" s="19" t="n"/>
      <c r="C691" s="19" t="n"/>
      <c r="D691" s="19" t="n"/>
      <c r="E691" s="19" t="n"/>
      <c r="F691" s="19" t="n"/>
      <c r="H691" s="19" t="n"/>
      <c r="I691" s="19" t="n"/>
      <c r="J691" s="19" t="n"/>
      <c r="K691" s="19" t="n"/>
      <c r="M691" s="19" t="n"/>
      <c r="O691" s="19" t="n"/>
      <c r="Q691" s="19" t="n"/>
      <c r="R691" s="19" t="n"/>
      <c r="S691" s="19" t="n"/>
      <c r="T691" s="19" t="n"/>
    </row>
    <row r="692" ht="15.75" customHeight="1" s="545">
      <c r="A692" s="19" t="n"/>
      <c r="B692" s="19" t="n"/>
      <c r="C692" s="19" t="n"/>
      <c r="D692" s="19" t="n"/>
      <c r="E692" s="19" t="n"/>
      <c r="F692" s="19" t="n"/>
      <c r="H692" s="19" t="n"/>
      <c r="I692" s="19" t="n"/>
      <c r="J692" s="19" t="n"/>
      <c r="K692" s="19" t="n"/>
      <c r="M692" s="19" t="n"/>
      <c r="O692" s="19" t="n"/>
      <c r="Q692" s="19" t="n"/>
      <c r="R692" s="19" t="n"/>
      <c r="S692" s="19" t="n"/>
      <c r="T692" s="19" t="n"/>
    </row>
    <row r="693" ht="15.75" customHeight="1" s="545">
      <c r="A693" s="19" t="n"/>
      <c r="B693" s="19" t="n"/>
      <c r="C693" s="19" t="n"/>
      <c r="D693" s="19" t="n"/>
      <c r="E693" s="19" t="n"/>
      <c r="F693" s="19" t="n"/>
      <c r="H693" s="19" t="n"/>
      <c r="I693" s="19" t="n"/>
      <c r="J693" s="19" t="n"/>
      <c r="K693" s="19" t="n"/>
      <c r="M693" s="19" t="n"/>
      <c r="O693" s="19" t="n"/>
      <c r="Q693" s="19" t="n"/>
      <c r="R693" s="19" t="n"/>
      <c r="S693" s="19" t="n"/>
      <c r="T693" s="19" t="n"/>
    </row>
    <row r="694" ht="15.75" customHeight="1" s="545">
      <c r="A694" s="19" t="n"/>
      <c r="B694" s="19" t="n"/>
      <c r="C694" s="19" t="n"/>
      <c r="D694" s="19" t="n"/>
      <c r="E694" s="19" t="n"/>
      <c r="F694" s="19" t="n"/>
      <c r="H694" s="19" t="n"/>
      <c r="I694" s="19" t="n"/>
      <c r="J694" s="19" t="n"/>
      <c r="K694" s="19" t="n"/>
      <c r="M694" s="19" t="n"/>
      <c r="O694" s="19" t="n"/>
      <c r="Q694" s="19" t="n"/>
      <c r="R694" s="19" t="n"/>
      <c r="S694" s="19" t="n"/>
      <c r="T694" s="19" t="n"/>
    </row>
    <row r="695" ht="15.75" customHeight="1" s="545">
      <c r="A695" s="19" t="n"/>
      <c r="B695" s="19" t="n"/>
      <c r="C695" s="19" t="n"/>
      <c r="D695" s="19" t="n"/>
      <c r="E695" s="19" t="n"/>
      <c r="F695" s="19" t="n"/>
      <c r="H695" s="19" t="n"/>
      <c r="I695" s="19" t="n"/>
      <c r="J695" s="19" t="n"/>
      <c r="K695" s="19" t="n"/>
      <c r="M695" s="19" t="n"/>
      <c r="O695" s="19" t="n"/>
      <c r="Q695" s="19" t="n"/>
      <c r="R695" s="19" t="n"/>
      <c r="S695" s="19" t="n"/>
      <c r="T695" s="19" t="n"/>
    </row>
    <row r="696" ht="15.75" customHeight="1" s="545">
      <c r="A696" s="19" t="n"/>
      <c r="B696" s="19" t="n"/>
      <c r="C696" s="19" t="n"/>
      <c r="D696" s="19" t="n"/>
      <c r="E696" s="19" t="n"/>
      <c r="F696" s="19" t="n"/>
      <c r="H696" s="19" t="n"/>
      <c r="I696" s="19" t="n"/>
      <c r="J696" s="19" t="n"/>
      <c r="K696" s="19" t="n"/>
      <c r="M696" s="19" t="n"/>
      <c r="O696" s="19" t="n"/>
      <c r="Q696" s="19" t="n"/>
      <c r="R696" s="19" t="n"/>
      <c r="S696" s="19" t="n"/>
      <c r="T696" s="19" t="n"/>
    </row>
    <row r="697" ht="15.75" customHeight="1" s="545">
      <c r="A697" s="19" t="n"/>
      <c r="B697" s="19" t="n"/>
      <c r="C697" s="19" t="n"/>
      <c r="D697" s="19" t="n"/>
      <c r="E697" s="19" t="n"/>
      <c r="F697" s="19" t="n"/>
      <c r="H697" s="19" t="n"/>
      <c r="I697" s="19" t="n"/>
      <c r="J697" s="19" t="n"/>
      <c r="K697" s="19" t="n"/>
      <c r="M697" s="19" t="n"/>
      <c r="O697" s="19" t="n"/>
      <c r="Q697" s="19" t="n"/>
      <c r="R697" s="19" t="n"/>
      <c r="S697" s="19" t="n"/>
      <c r="T697" s="19" t="n"/>
    </row>
    <row r="698" ht="15.75" customHeight="1" s="545">
      <c r="A698" s="19" t="n"/>
      <c r="B698" s="19" t="n"/>
      <c r="C698" s="19" t="n"/>
      <c r="D698" s="19" t="n"/>
      <c r="E698" s="19" t="n"/>
      <c r="F698" s="19" t="n"/>
      <c r="H698" s="19" t="n"/>
      <c r="I698" s="19" t="n"/>
      <c r="J698" s="19" t="n"/>
      <c r="K698" s="19" t="n"/>
      <c r="M698" s="19" t="n"/>
      <c r="O698" s="19" t="n"/>
      <c r="Q698" s="19" t="n"/>
      <c r="R698" s="19" t="n"/>
      <c r="S698" s="19" t="n"/>
      <c r="T698" s="19" t="n"/>
    </row>
    <row r="699" ht="15.75" customHeight="1" s="545">
      <c r="A699" s="19" t="n"/>
      <c r="B699" s="19" t="n"/>
      <c r="C699" s="19" t="n"/>
      <c r="D699" s="19" t="n"/>
      <c r="E699" s="19" t="n"/>
      <c r="F699" s="19" t="n"/>
      <c r="H699" s="19" t="n"/>
      <c r="I699" s="19" t="n"/>
      <c r="J699" s="19" t="n"/>
      <c r="K699" s="19" t="n"/>
      <c r="M699" s="19" t="n"/>
      <c r="O699" s="19" t="n"/>
      <c r="Q699" s="19" t="n"/>
      <c r="R699" s="19" t="n"/>
      <c r="S699" s="19" t="n"/>
      <c r="T699" s="19" t="n"/>
    </row>
    <row r="700" ht="15.75" customHeight="1" s="545">
      <c r="A700" s="19" t="n"/>
      <c r="B700" s="19" t="n"/>
      <c r="C700" s="19" t="n"/>
      <c r="D700" s="19" t="n"/>
      <c r="E700" s="19" t="n"/>
      <c r="F700" s="19" t="n"/>
      <c r="H700" s="19" t="n"/>
      <c r="I700" s="19" t="n"/>
      <c r="J700" s="19" t="n"/>
      <c r="K700" s="19" t="n"/>
      <c r="M700" s="19" t="n"/>
      <c r="O700" s="19" t="n"/>
      <c r="Q700" s="19" t="n"/>
      <c r="R700" s="19" t="n"/>
      <c r="S700" s="19" t="n"/>
      <c r="T700" s="19" t="n"/>
    </row>
    <row r="701" ht="15.75" customHeight="1" s="545">
      <c r="A701" s="19" t="n"/>
      <c r="B701" s="19" t="n"/>
      <c r="C701" s="19" t="n"/>
      <c r="D701" s="19" t="n"/>
      <c r="E701" s="19" t="n"/>
      <c r="F701" s="19" t="n"/>
      <c r="H701" s="19" t="n"/>
      <c r="I701" s="19" t="n"/>
      <c r="J701" s="19" t="n"/>
      <c r="K701" s="19" t="n"/>
      <c r="M701" s="19" t="n"/>
      <c r="O701" s="19" t="n"/>
      <c r="Q701" s="19" t="n"/>
      <c r="R701" s="19" t="n"/>
      <c r="S701" s="19" t="n"/>
      <c r="T701" s="19" t="n"/>
    </row>
    <row r="702" ht="15.75" customHeight="1" s="545">
      <c r="A702" s="19" t="n"/>
      <c r="B702" s="19" t="n"/>
      <c r="C702" s="19" t="n"/>
      <c r="D702" s="19" t="n"/>
      <c r="E702" s="19" t="n"/>
      <c r="F702" s="19" t="n"/>
      <c r="H702" s="19" t="n"/>
      <c r="I702" s="19" t="n"/>
      <c r="J702" s="19" t="n"/>
      <c r="K702" s="19" t="n"/>
      <c r="M702" s="19" t="n"/>
      <c r="O702" s="19" t="n"/>
      <c r="Q702" s="19" t="n"/>
      <c r="R702" s="19" t="n"/>
      <c r="S702" s="19" t="n"/>
      <c r="T702" s="19" t="n"/>
    </row>
    <row r="703" ht="15.75" customHeight="1" s="545">
      <c r="A703" s="19" t="n"/>
      <c r="B703" s="19" t="n"/>
      <c r="C703" s="19" t="n"/>
      <c r="D703" s="19" t="n"/>
      <c r="E703" s="19" t="n"/>
      <c r="F703" s="19" t="n"/>
      <c r="H703" s="19" t="n"/>
      <c r="I703" s="19" t="n"/>
      <c r="J703" s="19" t="n"/>
      <c r="K703" s="19" t="n"/>
      <c r="M703" s="19" t="n"/>
      <c r="O703" s="19" t="n"/>
      <c r="Q703" s="19" t="n"/>
      <c r="R703" s="19" t="n"/>
      <c r="S703" s="19" t="n"/>
      <c r="T703" s="19" t="n"/>
    </row>
    <row r="704" ht="15.75" customHeight="1" s="545">
      <c r="A704" s="19" t="n"/>
      <c r="B704" s="19" t="n"/>
      <c r="C704" s="19" t="n"/>
      <c r="D704" s="19" t="n"/>
      <c r="E704" s="19" t="n"/>
      <c r="F704" s="19" t="n"/>
      <c r="H704" s="19" t="n"/>
      <c r="I704" s="19" t="n"/>
      <c r="J704" s="19" t="n"/>
      <c r="K704" s="19" t="n"/>
      <c r="M704" s="19" t="n"/>
      <c r="O704" s="19" t="n"/>
      <c r="Q704" s="19" t="n"/>
      <c r="R704" s="19" t="n"/>
      <c r="S704" s="19" t="n"/>
      <c r="T704" s="19" t="n"/>
    </row>
    <row r="705" ht="15.75" customHeight="1" s="545">
      <c r="A705" s="19" t="n"/>
      <c r="B705" s="19" t="n"/>
      <c r="C705" s="19" t="n"/>
      <c r="D705" s="19" t="n"/>
      <c r="E705" s="19" t="n"/>
      <c r="F705" s="19" t="n"/>
      <c r="H705" s="19" t="n"/>
      <c r="I705" s="19" t="n"/>
      <c r="J705" s="19" t="n"/>
      <c r="K705" s="19" t="n"/>
      <c r="M705" s="19" t="n"/>
      <c r="O705" s="19" t="n"/>
      <c r="Q705" s="19" t="n"/>
      <c r="R705" s="19" t="n"/>
      <c r="S705" s="19" t="n"/>
      <c r="T705" s="19" t="n"/>
    </row>
    <row r="706" ht="15.75" customHeight="1" s="545">
      <c r="A706" s="19" t="n"/>
      <c r="B706" s="19" t="n"/>
      <c r="C706" s="19" t="n"/>
      <c r="D706" s="19" t="n"/>
      <c r="E706" s="19" t="n"/>
      <c r="F706" s="19" t="n"/>
      <c r="H706" s="19" t="n"/>
      <c r="I706" s="19" t="n"/>
      <c r="J706" s="19" t="n"/>
      <c r="K706" s="19" t="n"/>
      <c r="M706" s="19" t="n"/>
      <c r="O706" s="19" t="n"/>
      <c r="Q706" s="19" t="n"/>
      <c r="R706" s="19" t="n"/>
      <c r="S706" s="19" t="n"/>
      <c r="T706" s="19" t="n"/>
    </row>
    <row r="707" ht="15.75" customHeight="1" s="545">
      <c r="A707" s="19" t="n"/>
      <c r="B707" s="19" t="n"/>
      <c r="C707" s="19" t="n"/>
      <c r="D707" s="19" t="n"/>
      <c r="E707" s="19" t="n"/>
      <c r="F707" s="19" t="n"/>
      <c r="H707" s="19" t="n"/>
      <c r="I707" s="19" t="n"/>
      <c r="J707" s="19" t="n"/>
      <c r="K707" s="19" t="n"/>
      <c r="M707" s="19" t="n"/>
      <c r="O707" s="19" t="n"/>
      <c r="Q707" s="19" t="n"/>
      <c r="R707" s="19" t="n"/>
      <c r="S707" s="19" t="n"/>
      <c r="T707" s="19" t="n"/>
    </row>
    <row r="708" ht="15.75" customHeight="1" s="545">
      <c r="A708" s="19" t="n"/>
      <c r="B708" s="19" t="n"/>
      <c r="C708" s="19" t="n"/>
      <c r="D708" s="19" t="n"/>
      <c r="E708" s="19" t="n"/>
      <c r="F708" s="19" t="n"/>
      <c r="H708" s="19" t="n"/>
      <c r="I708" s="19" t="n"/>
      <c r="J708" s="19" t="n"/>
      <c r="K708" s="19" t="n"/>
      <c r="M708" s="19" t="n"/>
      <c r="O708" s="19" t="n"/>
      <c r="Q708" s="19" t="n"/>
      <c r="R708" s="19" t="n"/>
      <c r="S708" s="19" t="n"/>
      <c r="T708" s="19" t="n"/>
    </row>
    <row r="709" ht="15.75" customHeight="1" s="545">
      <c r="A709" s="19" t="n"/>
      <c r="B709" s="19" t="n"/>
      <c r="C709" s="19" t="n"/>
      <c r="D709" s="19" t="n"/>
      <c r="E709" s="19" t="n"/>
      <c r="F709" s="19" t="n"/>
      <c r="H709" s="19" t="n"/>
      <c r="I709" s="19" t="n"/>
      <c r="J709" s="19" t="n"/>
      <c r="K709" s="19" t="n"/>
      <c r="M709" s="19" t="n"/>
      <c r="O709" s="19" t="n"/>
      <c r="Q709" s="19" t="n"/>
      <c r="R709" s="19" t="n"/>
      <c r="S709" s="19" t="n"/>
      <c r="T709" s="19" t="n"/>
    </row>
    <row r="710" ht="15.75" customHeight="1" s="545">
      <c r="A710" s="19" t="n"/>
      <c r="B710" s="19" t="n"/>
      <c r="C710" s="19" t="n"/>
      <c r="D710" s="19" t="n"/>
      <c r="E710" s="19" t="n"/>
      <c r="F710" s="19" t="n"/>
      <c r="H710" s="19" t="n"/>
      <c r="I710" s="19" t="n"/>
      <c r="J710" s="19" t="n"/>
      <c r="K710" s="19" t="n"/>
      <c r="M710" s="19" t="n"/>
      <c r="O710" s="19" t="n"/>
      <c r="Q710" s="19" t="n"/>
      <c r="R710" s="19" t="n"/>
      <c r="S710" s="19" t="n"/>
      <c r="T710" s="19" t="n"/>
    </row>
    <row r="711" ht="15.75" customHeight="1" s="545">
      <c r="A711" s="19" t="n"/>
      <c r="B711" s="19" t="n"/>
      <c r="C711" s="19" t="n"/>
      <c r="D711" s="19" t="n"/>
      <c r="E711" s="19" t="n"/>
      <c r="F711" s="19" t="n"/>
      <c r="H711" s="19" t="n"/>
      <c r="I711" s="19" t="n"/>
      <c r="J711" s="19" t="n"/>
      <c r="K711" s="19" t="n"/>
      <c r="M711" s="19" t="n"/>
      <c r="O711" s="19" t="n"/>
      <c r="Q711" s="19" t="n"/>
      <c r="R711" s="19" t="n"/>
      <c r="S711" s="19" t="n"/>
      <c r="T711" s="19" t="n"/>
    </row>
    <row r="712" ht="15.75" customHeight="1" s="545">
      <c r="A712" s="19" t="n"/>
      <c r="B712" s="19" t="n"/>
      <c r="C712" s="19" t="n"/>
      <c r="D712" s="19" t="n"/>
      <c r="E712" s="19" t="n"/>
      <c r="F712" s="19" t="n"/>
      <c r="H712" s="19" t="n"/>
      <c r="I712" s="19" t="n"/>
      <c r="J712" s="19" t="n"/>
      <c r="K712" s="19" t="n"/>
      <c r="M712" s="19" t="n"/>
      <c r="O712" s="19" t="n"/>
      <c r="Q712" s="19" t="n"/>
      <c r="R712" s="19" t="n"/>
      <c r="S712" s="19" t="n"/>
      <c r="T712" s="19" t="n"/>
    </row>
    <row r="713" ht="15.75" customHeight="1" s="545">
      <c r="A713" s="19" t="n"/>
      <c r="B713" s="19" t="n"/>
      <c r="C713" s="19" t="n"/>
      <c r="D713" s="19" t="n"/>
      <c r="E713" s="19" t="n"/>
      <c r="F713" s="19" t="n"/>
      <c r="H713" s="19" t="n"/>
      <c r="I713" s="19" t="n"/>
      <c r="J713" s="19" t="n"/>
      <c r="K713" s="19" t="n"/>
      <c r="M713" s="19" t="n"/>
      <c r="O713" s="19" t="n"/>
      <c r="Q713" s="19" t="n"/>
      <c r="R713" s="19" t="n"/>
      <c r="S713" s="19" t="n"/>
      <c r="T713" s="19" t="n"/>
    </row>
    <row r="714" ht="15.75" customHeight="1" s="545">
      <c r="A714" s="19" t="n"/>
      <c r="B714" s="19" t="n"/>
      <c r="C714" s="19" t="n"/>
      <c r="D714" s="19" t="n"/>
      <c r="E714" s="19" t="n"/>
      <c r="F714" s="19" t="n"/>
      <c r="H714" s="19" t="n"/>
      <c r="I714" s="19" t="n"/>
      <c r="J714" s="19" t="n"/>
      <c r="K714" s="19" t="n"/>
      <c r="M714" s="19" t="n"/>
      <c r="O714" s="19" t="n"/>
      <c r="Q714" s="19" t="n"/>
      <c r="R714" s="19" t="n"/>
      <c r="S714" s="19" t="n"/>
      <c r="T714" s="19" t="n"/>
    </row>
    <row r="715" ht="15.75" customHeight="1" s="545">
      <c r="A715" s="19" t="n"/>
      <c r="B715" s="19" t="n"/>
      <c r="C715" s="19" t="n"/>
      <c r="D715" s="19" t="n"/>
      <c r="E715" s="19" t="n"/>
      <c r="F715" s="19" t="n"/>
      <c r="H715" s="19" t="n"/>
      <c r="I715" s="19" t="n"/>
      <c r="J715" s="19" t="n"/>
      <c r="K715" s="19" t="n"/>
      <c r="M715" s="19" t="n"/>
      <c r="O715" s="19" t="n"/>
      <c r="Q715" s="19" t="n"/>
      <c r="R715" s="19" t="n"/>
      <c r="S715" s="19" t="n"/>
      <c r="T715" s="19" t="n"/>
    </row>
    <row r="716" ht="15.75" customHeight="1" s="545">
      <c r="A716" s="19" t="n"/>
      <c r="B716" s="19" t="n"/>
      <c r="C716" s="19" t="n"/>
      <c r="D716" s="19" t="n"/>
      <c r="E716" s="19" t="n"/>
      <c r="F716" s="19" t="n"/>
      <c r="H716" s="19" t="n"/>
      <c r="I716" s="19" t="n"/>
      <c r="J716" s="19" t="n"/>
      <c r="K716" s="19" t="n"/>
      <c r="M716" s="19" t="n"/>
      <c r="O716" s="19" t="n"/>
      <c r="Q716" s="19" t="n"/>
      <c r="R716" s="19" t="n"/>
      <c r="S716" s="19" t="n"/>
      <c r="T716" s="19" t="n"/>
    </row>
    <row r="717" ht="15.75" customHeight="1" s="545">
      <c r="A717" s="19" t="n"/>
      <c r="B717" s="19" t="n"/>
      <c r="C717" s="19" t="n"/>
      <c r="D717" s="19" t="n"/>
      <c r="E717" s="19" t="n"/>
      <c r="F717" s="19" t="n"/>
      <c r="H717" s="19" t="n"/>
      <c r="I717" s="19" t="n"/>
      <c r="J717" s="19" t="n"/>
      <c r="K717" s="19" t="n"/>
      <c r="M717" s="19" t="n"/>
      <c r="O717" s="19" t="n"/>
      <c r="Q717" s="19" t="n"/>
      <c r="R717" s="19" t="n"/>
      <c r="S717" s="19" t="n"/>
      <c r="T717" s="19" t="n"/>
    </row>
    <row r="718" ht="15.75" customHeight="1" s="545">
      <c r="A718" s="19" t="n"/>
      <c r="B718" s="19" t="n"/>
      <c r="C718" s="19" t="n"/>
      <c r="D718" s="19" t="n"/>
      <c r="E718" s="19" t="n"/>
      <c r="F718" s="19" t="n"/>
      <c r="H718" s="19" t="n"/>
      <c r="I718" s="19" t="n"/>
      <c r="J718" s="19" t="n"/>
      <c r="K718" s="19" t="n"/>
      <c r="M718" s="19" t="n"/>
      <c r="O718" s="19" t="n"/>
      <c r="Q718" s="19" t="n"/>
      <c r="R718" s="19" t="n"/>
      <c r="S718" s="19" t="n"/>
      <c r="T718" s="19" t="n"/>
    </row>
    <row r="719" ht="15.75" customHeight="1" s="545">
      <c r="A719" s="19" t="n"/>
      <c r="B719" s="19" t="n"/>
      <c r="C719" s="19" t="n"/>
      <c r="D719" s="19" t="n"/>
      <c r="E719" s="19" t="n"/>
      <c r="F719" s="19" t="n"/>
      <c r="H719" s="19" t="n"/>
      <c r="I719" s="19" t="n"/>
      <c r="J719" s="19" t="n"/>
      <c r="K719" s="19" t="n"/>
      <c r="M719" s="19" t="n"/>
      <c r="O719" s="19" t="n"/>
      <c r="Q719" s="19" t="n"/>
      <c r="R719" s="19" t="n"/>
      <c r="S719" s="19" t="n"/>
      <c r="T719" s="19" t="n"/>
    </row>
    <row r="720" ht="15.75" customHeight="1" s="545">
      <c r="A720" s="19" t="n"/>
      <c r="B720" s="19" t="n"/>
      <c r="C720" s="19" t="n"/>
      <c r="D720" s="19" t="n"/>
      <c r="E720" s="19" t="n"/>
      <c r="F720" s="19" t="n"/>
      <c r="H720" s="19" t="n"/>
      <c r="I720" s="19" t="n"/>
      <c r="J720" s="19" t="n"/>
      <c r="K720" s="19" t="n"/>
      <c r="M720" s="19" t="n"/>
      <c r="O720" s="19" t="n"/>
      <c r="Q720" s="19" t="n"/>
      <c r="R720" s="19" t="n"/>
      <c r="S720" s="19" t="n"/>
      <c r="T720" s="19" t="n"/>
    </row>
    <row r="721" ht="15.75" customHeight="1" s="545">
      <c r="A721" s="19" t="n"/>
      <c r="B721" s="19" t="n"/>
      <c r="C721" s="19" t="n"/>
      <c r="D721" s="19" t="n"/>
      <c r="E721" s="19" t="n"/>
      <c r="F721" s="19" t="n"/>
      <c r="H721" s="19" t="n"/>
      <c r="I721" s="19" t="n"/>
      <c r="J721" s="19" t="n"/>
      <c r="K721" s="19" t="n"/>
      <c r="M721" s="19" t="n"/>
      <c r="O721" s="19" t="n"/>
      <c r="Q721" s="19" t="n"/>
      <c r="R721" s="19" t="n"/>
      <c r="S721" s="19" t="n"/>
      <c r="T721" s="19" t="n"/>
    </row>
    <row r="722" ht="15.75" customHeight="1" s="545">
      <c r="A722" s="19" t="n"/>
      <c r="B722" s="19" t="n"/>
      <c r="C722" s="19" t="n"/>
      <c r="D722" s="19" t="n"/>
      <c r="E722" s="19" t="n"/>
      <c r="F722" s="19" t="n"/>
      <c r="H722" s="19" t="n"/>
      <c r="I722" s="19" t="n"/>
      <c r="J722" s="19" t="n"/>
      <c r="K722" s="19" t="n"/>
      <c r="M722" s="19" t="n"/>
      <c r="O722" s="19" t="n"/>
      <c r="Q722" s="19" t="n"/>
      <c r="R722" s="19" t="n"/>
      <c r="S722" s="19" t="n"/>
      <c r="T722" s="19" t="n"/>
    </row>
    <row r="723" ht="15.75" customHeight="1" s="545">
      <c r="A723" s="19" t="n"/>
      <c r="B723" s="19" t="n"/>
      <c r="C723" s="19" t="n"/>
      <c r="D723" s="19" t="n"/>
      <c r="E723" s="19" t="n"/>
      <c r="F723" s="19" t="n"/>
      <c r="H723" s="19" t="n"/>
      <c r="I723" s="19" t="n"/>
      <c r="J723" s="19" t="n"/>
      <c r="K723" s="19" t="n"/>
      <c r="M723" s="19" t="n"/>
      <c r="O723" s="19" t="n"/>
      <c r="Q723" s="19" t="n"/>
      <c r="R723" s="19" t="n"/>
      <c r="S723" s="19" t="n"/>
      <c r="T723" s="19" t="n"/>
    </row>
    <row r="724" ht="15.75" customHeight="1" s="545">
      <c r="A724" s="19" t="n"/>
      <c r="B724" s="19" t="n"/>
      <c r="C724" s="19" t="n"/>
      <c r="D724" s="19" t="n"/>
      <c r="E724" s="19" t="n"/>
      <c r="F724" s="19" t="n"/>
      <c r="H724" s="19" t="n"/>
      <c r="I724" s="19" t="n"/>
      <c r="J724" s="19" t="n"/>
      <c r="K724" s="19" t="n"/>
      <c r="M724" s="19" t="n"/>
      <c r="O724" s="19" t="n"/>
      <c r="Q724" s="19" t="n"/>
      <c r="R724" s="19" t="n"/>
      <c r="S724" s="19" t="n"/>
      <c r="T724" s="19" t="n"/>
    </row>
    <row r="725" ht="15.75" customHeight="1" s="545">
      <c r="A725" s="19" t="n"/>
      <c r="B725" s="19" t="n"/>
      <c r="C725" s="19" t="n"/>
      <c r="D725" s="19" t="n"/>
      <c r="E725" s="19" t="n"/>
      <c r="F725" s="19" t="n"/>
      <c r="H725" s="19" t="n"/>
      <c r="I725" s="19" t="n"/>
      <c r="J725" s="19" t="n"/>
      <c r="K725" s="19" t="n"/>
      <c r="M725" s="19" t="n"/>
      <c r="O725" s="19" t="n"/>
      <c r="Q725" s="19" t="n"/>
      <c r="R725" s="19" t="n"/>
      <c r="S725" s="19" t="n"/>
      <c r="T725" s="19" t="n"/>
    </row>
    <row r="726" ht="15.75" customHeight="1" s="545">
      <c r="A726" s="19" t="n"/>
      <c r="B726" s="19" t="n"/>
      <c r="C726" s="19" t="n"/>
      <c r="D726" s="19" t="n"/>
      <c r="E726" s="19" t="n"/>
      <c r="F726" s="19" t="n"/>
      <c r="H726" s="19" t="n"/>
      <c r="I726" s="19" t="n"/>
      <c r="J726" s="19" t="n"/>
      <c r="K726" s="19" t="n"/>
      <c r="M726" s="19" t="n"/>
      <c r="O726" s="19" t="n"/>
      <c r="Q726" s="19" t="n"/>
      <c r="R726" s="19" t="n"/>
      <c r="S726" s="19" t="n"/>
      <c r="T726" s="19" t="n"/>
    </row>
    <row r="727" ht="15.75" customHeight="1" s="545">
      <c r="A727" s="19" t="n"/>
      <c r="B727" s="19" t="n"/>
      <c r="C727" s="19" t="n"/>
      <c r="D727" s="19" t="n"/>
      <c r="E727" s="19" t="n"/>
      <c r="F727" s="19" t="n"/>
      <c r="H727" s="19" t="n"/>
      <c r="I727" s="19" t="n"/>
      <c r="J727" s="19" t="n"/>
      <c r="K727" s="19" t="n"/>
      <c r="M727" s="19" t="n"/>
      <c r="O727" s="19" t="n"/>
      <c r="Q727" s="19" t="n"/>
      <c r="R727" s="19" t="n"/>
      <c r="S727" s="19" t="n"/>
      <c r="T727" s="19" t="n"/>
    </row>
    <row r="728" ht="15.75" customHeight="1" s="545">
      <c r="A728" s="19" t="n"/>
      <c r="B728" s="19" t="n"/>
      <c r="C728" s="19" t="n"/>
      <c r="D728" s="19" t="n"/>
      <c r="E728" s="19" t="n"/>
      <c r="F728" s="19" t="n"/>
      <c r="H728" s="19" t="n"/>
      <c r="I728" s="19" t="n"/>
      <c r="J728" s="19" t="n"/>
      <c r="K728" s="19" t="n"/>
      <c r="M728" s="19" t="n"/>
      <c r="O728" s="19" t="n"/>
      <c r="Q728" s="19" t="n"/>
      <c r="R728" s="19" t="n"/>
      <c r="S728" s="19" t="n"/>
      <c r="T728" s="19" t="n"/>
    </row>
    <row r="729" ht="15.75" customHeight="1" s="545">
      <c r="A729" s="19" t="n"/>
      <c r="B729" s="19" t="n"/>
      <c r="C729" s="19" t="n"/>
      <c r="D729" s="19" t="n"/>
      <c r="E729" s="19" t="n"/>
      <c r="F729" s="19" t="n"/>
      <c r="H729" s="19" t="n"/>
      <c r="I729" s="19" t="n"/>
      <c r="J729" s="19" t="n"/>
      <c r="K729" s="19" t="n"/>
      <c r="M729" s="19" t="n"/>
      <c r="O729" s="19" t="n"/>
      <c r="Q729" s="19" t="n"/>
      <c r="R729" s="19" t="n"/>
      <c r="S729" s="19" t="n"/>
      <c r="T729" s="19" t="n"/>
    </row>
    <row r="730" ht="15.75" customHeight="1" s="545">
      <c r="A730" s="19" t="n"/>
      <c r="B730" s="19" t="n"/>
      <c r="C730" s="19" t="n"/>
      <c r="D730" s="19" t="n"/>
      <c r="E730" s="19" t="n"/>
      <c r="F730" s="19" t="n"/>
      <c r="H730" s="19" t="n"/>
      <c r="I730" s="19" t="n"/>
      <c r="J730" s="19" t="n"/>
      <c r="K730" s="19" t="n"/>
      <c r="M730" s="19" t="n"/>
      <c r="O730" s="19" t="n"/>
      <c r="Q730" s="19" t="n"/>
      <c r="R730" s="19" t="n"/>
      <c r="S730" s="19" t="n"/>
      <c r="T730" s="19" t="n"/>
    </row>
    <row r="731" ht="15.75" customHeight="1" s="545">
      <c r="A731" s="19" t="n"/>
      <c r="B731" s="19" t="n"/>
      <c r="C731" s="19" t="n"/>
      <c r="D731" s="19" t="n"/>
      <c r="E731" s="19" t="n"/>
      <c r="F731" s="19" t="n"/>
      <c r="H731" s="19" t="n"/>
      <c r="I731" s="19" t="n"/>
      <c r="J731" s="19" t="n"/>
      <c r="K731" s="19" t="n"/>
      <c r="M731" s="19" t="n"/>
      <c r="O731" s="19" t="n"/>
      <c r="Q731" s="19" t="n"/>
      <c r="R731" s="19" t="n"/>
      <c r="S731" s="19" t="n"/>
      <c r="T731" s="19" t="n"/>
    </row>
    <row r="732" ht="15.75" customHeight="1" s="545">
      <c r="A732" s="19" t="n"/>
      <c r="B732" s="19" t="n"/>
      <c r="C732" s="19" t="n"/>
      <c r="D732" s="19" t="n"/>
      <c r="E732" s="19" t="n"/>
      <c r="F732" s="19" t="n"/>
      <c r="H732" s="19" t="n"/>
      <c r="I732" s="19" t="n"/>
      <c r="J732" s="19" t="n"/>
      <c r="K732" s="19" t="n"/>
      <c r="M732" s="19" t="n"/>
      <c r="O732" s="19" t="n"/>
      <c r="Q732" s="19" t="n"/>
      <c r="R732" s="19" t="n"/>
      <c r="S732" s="19" t="n"/>
      <c r="T732" s="19" t="n"/>
    </row>
    <row r="733" ht="15.75" customHeight="1" s="545">
      <c r="A733" s="19" t="n"/>
      <c r="B733" s="19" t="n"/>
      <c r="C733" s="19" t="n"/>
      <c r="D733" s="19" t="n"/>
      <c r="E733" s="19" t="n"/>
      <c r="F733" s="19" t="n"/>
      <c r="H733" s="19" t="n"/>
      <c r="I733" s="19" t="n"/>
      <c r="J733" s="19" t="n"/>
      <c r="K733" s="19" t="n"/>
      <c r="M733" s="19" t="n"/>
      <c r="O733" s="19" t="n"/>
      <c r="Q733" s="19" t="n"/>
      <c r="R733" s="19" t="n"/>
      <c r="S733" s="19" t="n"/>
      <c r="T733" s="19" t="n"/>
    </row>
    <row r="734" ht="15.75" customHeight="1" s="545">
      <c r="A734" s="19" t="n"/>
      <c r="B734" s="19" t="n"/>
      <c r="C734" s="19" t="n"/>
      <c r="D734" s="19" t="n"/>
      <c r="E734" s="19" t="n"/>
      <c r="F734" s="19" t="n"/>
      <c r="H734" s="19" t="n"/>
      <c r="I734" s="19" t="n"/>
      <c r="J734" s="19" t="n"/>
      <c r="K734" s="19" t="n"/>
      <c r="M734" s="19" t="n"/>
      <c r="O734" s="19" t="n"/>
      <c r="Q734" s="19" t="n"/>
      <c r="R734" s="19" t="n"/>
      <c r="S734" s="19" t="n"/>
      <c r="T734" s="19" t="n"/>
    </row>
    <row r="735" ht="15.75" customHeight="1" s="545">
      <c r="A735" s="19" t="n"/>
      <c r="B735" s="19" t="n"/>
      <c r="C735" s="19" t="n"/>
      <c r="D735" s="19" t="n"/>
      <c r="E735" s="19" t="n"/>
      <c r="F735" s="19" t="n"/>
      <c r="H735" s="19" t="n"/>
      <c r="I735" s="19" t="n"/>
      <c r="J735" s="19" t="n"/>
      <c r="K735" s="19" t="n"/>
      <c r="M735" s="19" t="n"/>
      <c r="O735" s="19" t="n"/>
      <c r="Q735" s="19" t="n"/>
      <c r="R735" s="19" t="n"/>
      <c r="S735" s="19" t="n"/>
      <c r="T735" s="19" t="n"/>
    </row>
    <row r="736" ht="15.75" customHeight="1" s="545">
      <c r="A736" s="19" t="n"/>
      <c r="B736" s="19" t="n"/>
      <c r="C736" s="19" t="n"/>
      <c r="D736" s="19" t="n"/>
      <c r="E736" s="19" t="n"/>
      <c r="F736" s="19" t="n"/>
      <c r="H736" s="19" t="n"/>
      <c r="I736" s="19" t="n"/>
      <c r="J736" s="19" t="n"/>
      <c r="K736" s="19" t="n"/>
      <c r="M736" s="19" t="n"/>
      <c r="O736" s="19" t="n"/>
      <c r="Q736" s="19" t="n"/>
      <c r="R736" s="19" t="n"/>
      <c r="S736" s="19" t="n"/>
      <c r="T736" s="19" t="n"/>
    </row>
    <row r="737" ht="15.75" customHeight="1" s="545">
      <c r="A737" s="19" t="n"/>
      <c r="B737" s="19" t="n"/>
      <c r="C737" s="19" t="n"/>
      <c r="D737" s="19" t="n"/>
      <c r="E737" s="19" t="n"/>
      <c r="F737" s="19" t="n"/>
      <c r="H737" s="19" t="n"/>
      <c r="I737" s="19" t="n"/>
      <c r="J737" s="19" t="n"/>
      <c r="K737" s="19" t="n"/>
      <c r="M737" s="19" t="n"/>
      <c r="O737" s="19" t="n"/>
      <c r="Q737" s="19" t="n"/>
      <c r="R737" s="19" t="n"/>
      <c r="S737" s="19" t="n"/>
      <c r="T737" s="19" t="n"/>
    </row>
    <row r="738" ht="15.75" customHeight="1" s="545">
      <c r="A738" s="19" t="n"/>
      <c r="B738" s="19" t="n"/>
      <c r="C738" s="19" t="n"/>
      <c r="D738" s="19" t="n"/>
      <c r="E738" s="19" t="n"/>
      <c r="F738" s="19" t="n"/>
      <c r="H738" s="19" t="n"/>
      <c r="I738" s="19" t="n"/>
      <c r="J738" s="19" t="n"/>
      <c r="K738" s="19" t="n"/>
      <c r="M738" s="19" t="n"/>
      <c r="O738" s="19" t="n"/>
      <c r="Q738" s="19" t="n"/>
      <c r="R738" s="19" t="n"/>
      <c r="S738" s="19" t="n"/>
      <c r="T738" s="19" t="n"/>
    </row>
    <row r="739" ht="15.75" customHeight="1" s="545">
      <c r="A739" s="19" t="n"/>
      <c r="B739" s="19" t="n"/>
      <c r="C739" s="19" t="n"/>
      <c r="D739" s="19" t="n"/>
      <c r="E739" s="19" t="n"/>
      <c r="F739" s="19" t="n"/>
      <c r="H739" s="19" t="n"/>
      <c r="I739" s="19" t="n"/>
      <c r="J739" s="19" t="n"/>
      <c r="K739" s="19" t="n"/>
      <c r="M739" s="19" t="n"/>
      <c r="O739" s="19" t="n"/>
      <c r="Q739" s="19" t="n"/>
      <c r="R739" s="19" t="n"/>
      <c r="S739" s="19" t="n"/>
      <c r="T739" s="19" t="n"/>
    </row>
    <row r="740" ht="15.75" customHeight="1" s="545">
      <c r="A740" s="19" t="n"/>
      <c r="B740" s="19" t="n"/>
      <c r="C740" s="19" t="n"/>
      <c r="D740" s="19" t="n"/>
      <c r="E740" s="19" t="n"/>
      <c r="F740" s="19" t="n"/>
      <c r="H740" s="19" t="n"/>
      <c r="I740" s="19" t="n"/>
      <c r="J740" s="19" t="n"/>
      <c r="K740" s="19" t="n"/>
      <c r="M740" s="19" t="n"/>
      <c r="O740" s="19" t="n"/>
      <c r="Q740" s="19" t="n"/>
      <c r="R740" s="19" t="n"/>
      <c r="S740" s="19" t="n"/>
      <c r="T740" s="19" t="n"/>
    </row>
    <row r="741" ht="15.75" customHeight="1" s="545">
      <c r="A741" s="19" t="n"/>
      <c r="B741" s="19" t="n"/>
      <c r="C741" s="19" t="n"/>
      <c r="D741" s="19" t="n"/>
      <c r="E741" s="19" t="n"/>
      <c r="F741" s="19" t="n"/>
      <c r="H741" s="19" t="n"/>
      <c r="I741" s="19" t="n"/>
      <c r="J741" s="19" t="n"/>
      <c r="K741" s="19" t="n"/>
      <c r="M741" s="19" t="n"/>
      <c r="O741" s="19" t="n"/>
      <c r="Q741" s="19" t="n"/>
      <c r="R741" s="19" t="n"/>
      <c r="S741" s="19" t="n"/>
      <c r="T741" s="19" t="n"/>
    </row>
    <row r="742" ht="15.75" customHeight="1" s="545">
      <c r="A742" s="19" t="n"/>
      <c r="B742" s="19" t="n"/>
      <c r="C742" s="19" t="n"/>
      <c r="D742" s="19" t="n"/>
      <c r="E742" s="19" t="n"/>
      <c r="F742" s="19" t="n"/>
      <c r="H742" s="19" t="n"/>
      <c r="I742" s="19" t="n"/>
      <c r="J742" s="19" t="n"/>
      <c r="K742" s="19" t="n"/>
      <c r="M742" s="19" t="n"/>
      <c r="O742" s="19" t="n"/>
      <c r="Q742" s="19" t="n"/>
      <c r="R742" s="19" t="n"/>
      <c r="S742" s="19" t="n"/>
      <c r="T742" s="19" t="n"/>
    </row>
    <row r="743" ht="15.75" customHeight="1" s="545">
      <c r="A743" s="19" t="n"/>
      <c r="B743" s="19" t="n"/>
      <c r="C743" s="19" t="n"/>
      <c r="D743" s="19" t="n"/>
      <c r="E743" s="19" t="n"/>
      <c r="F743" s="19" t="n"/>
      <c r="H743" s="19" t="n"/>
      <c r="I743" s="19" t="n"/>
      <c r="J743" s="19" t="n"/>
      <c r="K743" s="19" t="n"/>
      <c r="M743" s="19" t="n"/>
      <c r="O743" s="19" t="n"/>
      <c r="Q743" s="19" t="n"/>
      <c r="R743" s="19" t="n"/>
      <c r="S743" s="19" t="n"/>
      <c r="T743" s="19" t="n"/>
    </row>
    <row r="744" ht="15.75" customHeight="1" s="545">
      <c r="A744" s="19" t="n"/>
      <c r="B744" s="19" t="n"/>
      <c r="C744" s="19" t="n"/>
      <c r="D744" s="19" t="n"/>
      <c r="E744" s="19" t="n"/>
      <c r="F744" s="19" t="n"/>
      <c r="H744" s="19" t="n"/>
      <c r="I744" s="19" t="n"/>
      <c r="J744" s="19" t="n"/>
      <c r="K744" s="19" t="n"/>
      <c r="M744" s="19" t="n"/>
      <c r="O744" s="19" t="n"/>
      <c r="Q744" s="19" t="n"/>
      <c r="R744" s="19" t="n"/>
      <c r="S744" s="19" t="n"/>
      <c r="T744" s="19" t="n"/>
    </row>
    <row r="745" ht="15.75" customHeight="1" s="545">
      <c r="A745" s="19" t="n"/>
      <c r="B745" s="19" t="n"/>
      <c r="C745" s="19" t="n"/>
      <c r="D745" s="19" t="n"/>
      <c r="E745" s="19" t="n"/>
      <c r="F745" s="19" t="n"/>
      <c r="H745" s="19" t="n"/>
      <c r="I745" s="19" t="n"/>
      <c r="J745" s="19" t="n"/>
      <c r="K745" s="19" t="n"/>
      <c r="M745" s="19" t="n"/>
      <c r="O745" s="19" t="n"/>
      <c r="Q745" s="19" t="n"/>
      <c r="R745" s="19" t="n"/>
      <c r="S745" s="19" t="n"/>
      <c r="T745" s="19" t="n"/>
    </row>
    <row r="746" ht="15.75" customHeight="1" s="545">
      <c r="A746" s="19" t="n"/>
      <c r="B746" s="19" t="n"/>
      <c r="C746" s="19" t="n"/>
      <c r="D746" s="19" t="n"/>
      <c r="E746" s="19" t="n"/>
      <c r="F746" s="19" t="n"/>
      <c r="H746" s="19" t="n"/>
      <c r="I746" s="19" t="n"/>
      <c r="J746" s="19" t="n"/>
      <c r="K746" s="19" t="n"/>
      <c r="M746" s="19" t="n"/>
      <c r="O746" s="19" t="n"/>
      <c r="Q746" s="19" t="n"/>
      <c r="R746" s="19" t="n"/>
      <c r="S746" s="19" t="n"/>
      <c r="T746" s="19" t="n"/>
    </row>
    <row r="747" ht="15.75" customHeight="1" s="545">
      <c r="A747" s="19" t="n"/>
      <c r="B747" s="19" t="n"/>
      <c r="C747" s="19" t="n"/>
      <c r="D747" s="19" t="n"/>
      <c r="E747" s="19" t="n"/>
      <c r="F747" s="19" t="n"/>
      <c r="H747" s="19" t="n"/>
      <c r="I747" s="19" t="n"/>
      <c r="J747" s="19" t="n"/>
      <c r="K747" s="19" t="n"/>
      <c r="M747" s="19" t="n"/>
      <c r="O747" s="19" t="n"/>
      <c r="Q747" s="19" t="n"/>
      <c r="R747" s="19" t="n"/>
      <c r="S747" s="19" t="n"/>
      <c r="T747" s="19" t="n"/>
    </row>
    <row r="748" ht="15.75" customHeight="1" s="545">
      <c r="A748" s="19" t="n"/>
      <c r="B748" s="19" t="n"/>
      <c r="C748" s="19" t="n"/>
      <c r="D748" s="19" t="n"/>
      <c r="E748" s="19" t="n"/>
      <c r="F748" s="19" t="n"/>
      <c r="H748" s="19" t="n"/>
      <c r="I748" s="19" t="n"/>
      <c r="J748" s="19" t="n"/>
      <c r="K748" s="19" t="n"/>
      <c r="M748" s="19" t="n"/>
      <c r="O748" s="19" t="n"/>
      <c r="Q748" s="19" t="n"/>
      <c r="R748" s="19" t="n"/>
      <c r="S748" s="19" t="n"/>
      <c r="T748" s="19" t="n"/>
    </row>
    <row r="749" ht="15.75" customHeight="1" s="545">
      <c r="A749" s="19" t="n"/>
      <c r="B749" s="19" t="n"/>
      <c r="C749" s="19" t="n"/>
      <c r="D749" s="19" t="n"/>
      <c r="E749" s="19" t="n"/>
      <c r="F749" s="19" t="n"/>
      <c r="H749" s="19" t="n"/>
      <c r="I749" s="19" t="n"/>
      <c r="J749" s="19" t="n"/>
      <c r="K749" s="19" t="n"/>
      <c r="M749" s="19" t="n"/>
      <c r="O749" s="19" t="n"/>
      <c r="Q749" s="19" t="n"/>
      <c r="R749" s="19" t="n"/>
      <c r="S749" s="19" t="n"/>
      <c r="T749" s="19" t="n"/>
    </row>
    <row r="750" ht="15.75" customHeight="1" s="545">
      <c r="A750" s="19" t="n"/>
      <c r="B750" s="19" t="n"/>
      <c r="C750" s="19" t="n"/>
      <c r="D750" s="19" t="n"/>
      <c r="E750" s="19" t="n"/>
      <c r="F750" s="19" t="n"/>
      <c r="H750" s="19" t="n"/>
      <c r="I750" s="19" t="n"/>
      <c r="J750" s="19" t="n"/>
      <c r="K750" s="19" t="n"/>
      <c r="M750" s="19" t="n"/>
      <c r="O750" s="19" t="n"/>
      <c r="Q750" s="19" t="n"/>
      <c r="R750" s="19" t="n"/>
      <c r="S750" s="19" t="n"/>
      <c r="T750" s="19" t="n"/>
    </row>
    <row r="751" ht="15.75" customHeight="1" s="545">
      <c r="A751" s="19" t="n"/>
      <c r="B751" s="19" t="n"/>
      <c r="C751" s="19" t="n"/>
      <c r="D751" s="19" t="n"/>
      <c r="E751" s="19" t="n"/>
      <c r="F751" s="19" t="n"/>
      <c r="H751" s="19" t="n"/>
      <c r="I751" s="19" t="n"/>
      <c r="J751" s="19" t="n"/>
      <c r="K751" s="19" t="n"/>
      <c r="M751" s="19" t="n"/>
      <c r="O751" s="19" t="n"/>
      <c r="Q751" s="19" t="n"/>
      <c r="R751" s="19" t="n"/>
      <c r="S751" s="19" t="n"/>
      <c r="T751" s="19" t="n"/>
    </row>
    <row r="752" ht="15.75" customHeight="1" s="545">
      <c r="A752" s="19" t="n"/>
      <c r="B752" s="19" t="n"/>
      <c r="C752" s="19" t="n"/>
      <c r="D752" s="19" t="n"/>
      <c r="E752" s="19" t="n"/>
      <c r="F752" s="19" t="n"/>
      <c r="H752" s="19" t="n"/>
      <c r="I752" s="19" t="n"/>
      <c r="J752" s="19" t="n"/>
      <c r="K752" s="19" t="n"/>
      <c r="M752" s="19" t="n"/>
      <c r="O752" s="19" t="n"/>
      <c r="Q752" s="19" t="n"/>
      <c r="R752" s="19" t="n"/>
      <c r="S752" s="19" t="n"/>
      <c r="T752" s="19" t="n"/>
    </row>
    <row r="753" ht="15.75" customHeight="1" s="545">
      <c r="A753" s="19" t="n"/>
      <c r="B753" s="19" t="n"/>
      <c r="C753" s="19" t="n"/>
      <c r="D753" s="19" t="n"/>
      <c r="E753" s="19" t="n"/>
      <c r="F753" s="19" t="n"/>
      <c r="H753" s="19" t="n"/>
      <c r="I753" s="19" t="n"/>
      <c r="J753" s="19" t="n"/>
      <c r="K753" s="19" t="n"/>
      <c r="M753" s="19" t="n"/>
      <c r="O753" s="19" t="n"/>
      <c r="Q753" s="19" t="n"/>
      <c r="R753" s="19" t="n"/>
      <c r="S753" s="19" t="n"/>
      <c r="T753" s="19" t="n"/>
    </row>
    <row r="754" ht="15.75" customHeight="1" s="545">
      <c r="A754" s="19" t="n"/>
      <c r="B754" s="19" t="n"/>
      <c r="C754" s="19" t="n"/>
      <c r="D754" s="19" t="n"/>
      <c r="E754" s="19" t="n"/>
      <c r="F754" s="19" t="n"/>
      <c r="H754" s="19" t="n"/>
      <c r="I754" s="19" t="n"/>
      <c r="J754" s="19" t="n"/>
      <c r="K754" s="19" t="n"/>
      <c r="M754" s="19" t="n"/>
      <c r="O754" s="19" t="n"/>
      <c r="Q754" s="19" t="n"/>
      <c r="R754" s="19" t="n"/>
      <c r="S754" s="19" t="n"/>
      <c r="T754" s="19" t="n"/>
    </row>
    <row r="755" ht="15.75" customHeight="1" s="545">
      <c r="A755" s="19" t="n"/>
      <c r="B755" s="19" t="n"/>
      <c r="C755" s="19" t="n"/>
      <c r="D755" s="19" t="n"/>
      <c r="E755" s="19" t="n"/>
      <c r="F755" s="19" t="n"/>
      <c r="H755" s="19" t="n"/>
      <c r="I755" s="19" t="n"/>
      <c r="J755" s="19" t="n"/>
      <c r="K755" s="19" t="n"/>
      <c r="M755" s="19" t="n"/>
      <c r="O755" s="19" t="n"/>
      <c r="Q755" s="19" t="n"/>
      <c r="R755" s="19" t="n"/>
      <c r="S755" s="19" t="n"/>
      <c r="T755" s="19" t="n"/>
    </row>
    <row r="756" ht="15.75" customHeight="1" s="545">
      <c r="A756" s="19" t="n"/>
      <c r="B756" s="19" t="n"/>
      <c r="C756" s="19" t="n"/>
      <c r="D756" s="19" t="n"/>
      <c r="E756" s="19" t="n"/>
      <c r="F756" s="19" t="n"/>
      <c r="H756" s="19" t="n"/>
      <c r="I756" s="19" t="n"/>
      <c r="J756" s="19" t="n"/>
      <c r="K756" s="19" t="n"/>
      <c r="M756" s="19" t="n"/>
      <c r="O756" s="19" t="n"/>
      <c r="Q756" s="19" t="n"/>
      <c r="R756" s="19" t="n"/>
      <c r="S756" s="19" t="n"/>
      <c r="T756" s="19" t="n"/>
    </row>
    <row r="757" ht="15.75" customHeight="1" s="545">
      <c r="A757" s="19" t="n"/>
      <c r="B757" s="19" t="n"/>
      <c r="C757" s="19" t="n"/>
      <c r="D757" s="19" t="n"/>
      <c r="E757" s="19" t="n"/>
      <c r="F757" s="19" t="n"/>
      <c r="H757" s="19" t="n"/>
      <c r="I757" s="19" t="n"/>
      <c r="J757" s="19" t="n"/>
      <c r="K757" s="19" t="n"/>
      <c r="M757" s="19" t="n"/>
      <c r="O757" s="19" t="n"/>
      <c r="Q757" s="19" t="n"/>
      <c r="R757" s="19" t="n"/>
      <c r="S757" s="19" t="n"/>
      <c r="T757" s="19" t="n"/>
    </row>
    <row r="758" ht="15.75" customHeight="1" s="545">
      <c r="A758" s="19" t="n"/>
      <c r="B758" s="19" t="n"/>
      <c r="C758" s="19" t="n"/>
      <c r="D758" s="19" t="n"/>
      <c r="E758" s="19" t="n"/>
      <c r="F758" s="19" t="n"/>
      <c r="H758" s="19" t="n"/>
      <c r="I758" s="19" t="n"/>
      <c r="J758" s="19" t="n"/>
      <c r="K758" s="19" t="n"/>
      <c r="M758" s="19" t="n"/>
      <c r="O758" s="19" t="n"/>
      <c r="Q758" s="19" t="n"/>
      <c r="R758" s="19" t="n"/>
      <c r="S758" s="19" t="n"/>
      <c r="T758" s="19" t="n"/>
    </row>
    <row r="759" ht="15.75" customHeight="1" s="545">
      <c r="A759" s="19" t="n"/>
      <c r="B759" s="19" t="n"/>
      <c r="C759" s="19" t="n"/>
      <c r="D759" s="19" t="n"/>
      <c r="E759" s="19" t="n"/>
      <c r="F759" s="19" t="n"/>
      <c r="H759" s="19" t="n"/>
      <c r="I759" s="19" t="n"/>
      <c r="J759" s="19" t="n"/>
      <c r="K759" s="19" t="n"/>
      <c r="M759" s="19" t="n"/>
      <c r="O759" s="19" t="n"/>
      <c r="Q759" s="19" t="n"/>
      <c r="R759" s="19" t="n"/>
      <c r="S759" s="19" t="n"/>
      <c r="T759" s="19" t="n"/>
    </row>
    <row r="760" ht="15.75" customHeight="1" s="545">
      <c r="A760" s="19" t="n"/>
      <c r="B760" s="19" t="n"/>
      <c r="C760" s="19" t="n"/>
      <c r="D760" s="19" t="n"/>
      <c r="E760" s="19" t="n"/>
      <c r="F760" s="19" t="n"/>
      <c r="H760" s="19" t="n"/>
      <c r="I760" s="19" t="n"/>
      <c r="J760" s="19" t="n"/>
      <c r="K760" s="19" t="n"/>
      <c r="M760" s="19" t="n"/>
      <c r="O760" s="19" t="n"/>
      <c r="Q760" s="19" t="n"/>
      <c r="R760" s="19" t="n"/>
      <c r="S760" s="19" t="n"/>
      <c r="T760" s="19" t="n"/>
    </row>
    <row r="761" ht="15.75" customHeight="1" s="545">
      <c r="A761" s="19" t="n"/>
      <c r="B761" s="19" t="n"/>
      <c r="C761" s="19" t="n"/>
      <c r="D761" s="19" t="n"/>
      <c r="E761" s="19" t="n"/>
      <c r="F761" s="19" t="n"/>
      <c r="H761" s="19" t="n"/>
      <c r="I761" s="19" t="n"/>
      <c r="J761" s="19" t="n"/>
      <c r="K761" s="19" t="n"/>
      <c r="M761" s="19" t="n"/>
      <c r="O761" s="19" t="n"/>
      <c r="Q761" s="19" t="n"/>
      <c r="R761" s="19" t="n"/>
      <c r="S761" s="19" t="n"/>
      <c r="T761" s="19" t="n"/>
    </row>
    <row r="762" ht="15.75" customHeight="1" s="545">
      <c r="A762" s="19" t="n"/>
      <c r="B762" s="19" t="n"/>
      <c r="C762" s="19" t="n"/>
      <c r="D762" s="19" t="n"/>
      <c r="E762" s="19" t="n"/>
      <c r="F762" s="19" t="n"/>
      <c r="H762" s="19" t="n"/>
      <c r="I762" s="19" t="n"/>
      <c r="J762" s="19" t="n"/>
      <c r="K762" s="19" t="n"/>
      <c r="M762" s="19" t="n"/>
      <c r="O762" s="19" t="n"/>
      <c r="Q762" s="19" t="n"/>
      <c r="R762" s="19" t="n"/>
      <c r="S762" s="19" t="n"/>
      <c r="T762" s="19" t="n"/>
    </row>
    <row r="763" ht="15.75" customHeight="1" s="545">
      <c r="A763" s="19" t="n"/>
      <c r="B763" s="19" t="n"/>
      <c r="C763" s="19" t="n"/>
      <c r="D763" s="19" t="n"/>
      <c r="E763" s="19" t="n"/>
      <c r="F763" s="19" t="n"/>
      <c r="H763" s="19" t="n"/>
      <c r="I763" s="19" t="n"/>
      <c r="J763" s="19" t="n"/>
      <c r="K763" s="19" t="n"/>
      <c r="M763" s="19" t="n"/>
      <c r="O763" s="19" t="n"/>
      <c r="Q763" s="19" t="n"/>
      <c r="R763" s="19" t="n"/>
      <c r="S763" s="19" t="n"/>
      <c r="T763" s="19" t="n"/>
    </row>
    <row r="764" ht="15.75" customHeight="1" s="545">
      <c r="A764" s="19" t="n"/>
      <c r="B764" s="19" t="n"/>
      <c r="C764" s="19" t="n"/>
      <c r="D764" s="19" t="n"/>
      <c r="E764" s="19" t="n"/>
      <c r="F764" s="19" t="n"/>
      <c r="H764" s="19" t="n"/>
      <c r="I764" s="19" t="n"/>
      <c r="J764" s="19" t="n"/>
      <c r="K764" s="19" t="n"/>
      <c r="M764" s="19" t="n"/>
      <c r="O764" s="19" t="n"/>
      <c r="Q764" s="19" t="n"/>
      <c r="R764" s="19" t="n"/>
      <c r="S764" s="19" t="n"/>
      <c r="T764" s="19" t="n"/>
    </row>
    <row r="765" ht="15.75" customHeight="1" s="545">
      <c r="A765" s="19" t="n"/>
      <c r="B765" s="19" t="n"/>
      <c r="C765" s="19" t="n"/>
      <c r="D765" s="19" t="n"/>
      <c r="E765" s="19" t="n"/>
      <c r="F765" s="19" t="n"/>
      <c r="H765" s="19" t="n"/>
      <c r="I765" s="19" t="n"/>
      <c r="J765" s="19" t="n"/>
      <c r="K765" s="19" t="n"/>
      <c r="M765" s="19" t="n"/>
      <c r="O765" s="19" t="n"/>
      <c r="Q765" s="19" t="n"/>
      <c r="R765" s="19" t="n"/>
      <c r="S765" s="19" t="n"/>
      <c r="T765" s="19" t="n"/>
    </row>
    <row r="766" ht="15.75" customHeight="1" s="545">
      <c r="A766" s="19" t="n"/>
      <c r="B766" s="19" t="n"/>
      <c r="C766" s="19" t="n"/>
      <c r="D766" s="19" t="n"/>
      <c r="E766" s="19" t="n"/>
      <c r="F766" s="19" t="n"/>
      <c r="H766" s="19" t="n"/>
      <c r="I766" s="19" t="n"/>
      <c r="J766" s="19" t="n"/>
      <c r="K766" s="19" t="n"/>
      <c r="M766" s="19" t="n"/>
      <c r="O766" s="19" t="n"/>
      <c r="Q766" s="19" t="n"/>
      <c r="R766" s="19" t="n"/>
      <c r="S766" s="19" t="n"/>
      <c r="T766" s="19" t="n"/>
    </row>
    <row r="767" ht="15.75" customHeight="1" s="545">
      <c r="A767" s="19" t="n"/>
      <c r="B767" s="19" t="n"/>
      <c r="C767" s="19" t="n"/>
      <c r="D767" s="19" t="n"/>
      <c r="E767" s="19" t="n"/>
      <c r="F767" s="19" t="n"/>
      <c r="H767" s="19" t="n"/>
      <c r="I767" s="19" t="n"/>
      <c r="J767" s="19" t="n"/>
      <c r="K767" s="19" t="n"/>
      <c r="M767" s="19" t="n"/>
      <c r="O767" s="19" t="n"/>
      <c r="Q767" s="19" t="n"/>
      <c r="R767" s="19" t="n"/>
      <c r="S767" s="19" t="n"/>
      <c r="T767" s="19" t="n"/>
    </row>
    <row r="768" ht="15.75" customHeight="1" s="545">
      <c r="A768" s="19" t="n"/>
      <c r="B768" s="19" t="n"/>
      <c r="C768" s="19" t="n"/>
      <c r="D768" s="19" t="n"/>
      <c r="E768" s="19" t="n"/>
      <c r="F768" s="19" t="n"/>
      <c r="H768" s="19" t="n"/>
      <c r="I768" s="19" t="n"/>
      <c r="J768" s="19" t="n"/>
      <c r="K768" s="19" t="n"/>
      <c r="M768" s="19" t="n"/>
      <c r="O768" s="19" t="n"/>
      <c r="Q768" s="19" t="n"/>
      <c r="R768" s="19" t="n"/>
      <c r="S768" s="19" t="n"/>
      <c r="T768" s="19" t="n"/>
    </row>
    <row r="769" ht="15.75" customHeight="1" s="545">
      <c r="A769" s="19" t="n"/>
      <c r="B769" s="19" t="n"/>
      <c r="C769" s="19" t="n"/>
      <c r="D769" s="19" t="n"/>
      <c r="E769" s="19" t="n"/>
      <c r="F769" s="19" t="n"/>
      <c r="H769" s="19" t="n"/>
      <c r="I769" s="19" t="n"/>
      <c r="J769" s="19" t="n"/>
      <c r="K769" s="19" t="n"/>
      <c r="M769" s="19" t="n"/>
      <c r="O769" s="19" t="n"/>
      <c r="Q769" s="19" t="n"/>
      <c r="R769" s="19" t="n"/>
      <c r="S769" s="19" t="n"/>
      <c r="T769" s="19" t="n"/>
    </row>
    <row r="770" ht="15.75" customHeight="1" s="545">
      <c r="A770" s="19" t="n"/>
      <c r="B770" s="19" t="n"/>
      <c r="C770" s="19" t="n"/>
      <c r="D770" s="19" t="n"/>
      <c r="E770" s="19" t="n"/>
      <c r="F770" s="19" t="n"/>
      <c r="H770" s="19" t="n"/>
      <c r="I770" s="19" t="n"/>
      <c r="J770" s="19" t="n"/>
      <c r="K770" s="19" t="n"/>
      <c r="M770" s="19" t="n"/>
      <c r="O770" s="19" t="n"/>
      <c r="Q770" s="19" t="n"/>
      <c r="R770" s="19" t="n"/>
      <c r="S770" s="19" t="n"/>
      <c r="T770" s="19" t="n"/>
    </row>
    <row r="771" ht="15.75" customHeight="1" s="545">
      <c r="A771" s="19" t="n"/>
      <c r="B771" s="19" t="n"/>
      <c r="C771" s="19" t="n"/>
      <c r="D771" s="19" t="n"/>
      <c r="E771" s="19" t="n"/>
      <c r="F771" s="19" t="n"/>
      <c r="H771" s="19" t="n"/>
      <c r="I771" s="19" t="n"/>
      <c r="J771" s="19" t="n"/>
      <c r="K771" s="19" t="n"/>
      <c r="M771" s="19" t="n"/>
      <c r="O771" s="19" t="n"/>
      <c r="Q771" s="19" t="n"/>
      <c r="R771" s="19" t="n"/>
      <c r="S771" s="19" t="n"/>
      <c r="T771" s="19" t="n"/>
    </row>
    <row r="772" ht="15.75" customHeight="1" s="545">
      <c r="A772" s="19" t="n"/>
      <c r="B772" s="19" t="n"/>
      <c r="C772" s="19" t="n"/>
      <c r="D772" s="19" t="n"/>
      <c r="E772" s="19" t="n"/>
      <c r="F772" s="19" t="n"/>
      <c r="H772" s="19" t="n"/>
      <c r="I772" s="19" t="n"/>
      <c r="J772" s="19" t="n"/>
      <c r="K772" s="19" t="n"/>
      <c r="M772" s="19" t="n"/>
      <c r="O772" s="19" t="n"/>
      <c r="Q772" s="19" t="n"/>
      <c r="R772" s="19" t="n"/>
      <c r="S772" s="19" t="n"/>
      <c r="T772" s="19" t="n"/>
    </row>
    <row r="773" ht="15.75" customHeight="1" s="545">
      <c r="A773" s="19" t="n"/>
      <c r="B773" s="19" t="n"/>
      <c r="C773" s="19" t="n"/>
      <c r="D773" s="19" t="n"/>
      <c r="E773" s="19" t="n"/>
      <c r="F773" s="19" t="n"/>
      <c r="H773" s="19" t="n"/>
      <c r="I773" s="19" t="n"/>
      <c r="J773" s="19" t="n"/>
      <c r="K773" s="19" t="n"/>
      <c r="M773" s="19" t="n"/>
      <c r="O773" s="19" t="n"/>
      <c r="Q773" s="19" t="n"/>
      <c r="R773" s="19" t="n"/>
      <c r="S773" s="19" t="n"/>
      <c r="T773" s="19" t="n"/>
    </row>
    <row r="774" ht="15.75" customHeight="1" s="545">
      <c r="A774" s="19" t="n"/>
      <c r="B774" s="19" t="n"/>
      <c r="C774" s="19" t="n"/>
      <c r="D774" s="19" t="n"/>
      <c r="E774" s="19" t="n"/>
      <c r="F774" s="19" t="n"/>
      <c r="H774" s="19" t="n"/>
      <c r="I774" s="19" t="n"/>
      <c r="J774" s="19" t="n"/>
      <c r="K774" s="19" t="n"/>
      <c r="M774" s="19" t="n"/>
      <c r="O774" s="19" t="n"/>
      <c r="Q774" s="19" t="n"/>
      <c r="R774" s="19" t="n"/>
      <c r="S774" s="19" t="n"/>
      <c r="T774" s="19" t="n"/>
    </row>
    <row r="775" ht="15.75" customHeight="1" s="545">
      <c r="A775" s="19" t="n"/>
      <c r="B775" s="19" t="n"/>
      <c r="C775" s="19" t="n"/>
      <c r="D775" s="19" t="n"/>
      <c r="E775" s="19" t="n"/>
      <c r="F775" s="19" t="n"/>
      <c r="H775" s="19" t="n"/>
      <c r="I775" s="19" t="n"/>
      <c r="J775" s="19" t="n"/>
      <c r="K775" s="19" t="n"/>
      <c r="M775" s="19" t="n"/>
      <c r="O775" s="19" t="n"/>
      <c r="Q775" s="19" t="n"/>
      <c r="R775" s="19" t="n"/>
      <c r="S775" s="19" t="n"/>
      <c r="T775" s="19" t="n"/>
    </row>
    <row r="776" ht="15.75" customHeight="1" s="545">
      <c r="A776" s="19" t="n"/>
      <c r="B776" s="19" t="n"/>
      <c r="C776" s="19" t="n"/>
      <c r="D776" s="19" t="n"/>
      <c r="E776" s="19" t="n"/>
      <c r="F776" s="19" t="n"/>
      <c r="H776" s="19" t="n"/>
      <c r="I776" s="19" t="n"/>
      <c r="J776" s="19" t="n"/>
      <c r="K776" s="19" t="n"/>
      <c r="M776" s="19" t="n"/>
      <c r="O776" s="19" t="n"/>
      <c r="Q776" s="19" t="n"/>
      <c r="R776" s="19" t="n"/>
      <c r="S776" s="19" t="n"/>
      <c r="T776" s="19" t="n"/>
    </row>
    <row r="777" ht="15.75" customHeight="1" s="545">
      <c r="A777" s="19" t="n"/>
      <c r="B777" s="19" t="n"/>
      <c r="C777" s="19" t="n"/>
      <c r="D777" s="19" t="n"/>
      <c r="E777" s="19" t="n"/>
      <c r="F777" s="19" t="n"/>
      <c r="H777" s="19" t="n"/>
      <c r="I777" s="19" t="n"/>
      <c r="J777" s="19" t="n"/>
      <c r="K777" s="19" t="n"/>
      <c r="M777" s="19" t="n"/>
      <c r="O777" s="19" t="n"/>
      <c r="Q777" s="19" t="n"/>
      <c r="R777" s="19" t="n"/>
      <c r="S777" s="19" t="n"/>
      <c r="T777" s="19" t="n"/>
    </row>
    <row r="778" ht="15.75" customHeight="1" s="545">
      <c r="A778" s="19" t="n"/>
      <c r="B778" s="19" t="n"/>
      <c r="C778" s="19" t="n"/>
      <c r="D778" s="19" t="n"/>
      <c r="E778" s="19" t="n"/>
      <c r="F778" s="19" t="n"/>
      <c r="H778" s="19" t="n"/>
      <c r="I778" s="19" t="n"/>
      <c r="J778" s="19" t="n"/>
      <c r="K778" s="19" t="n"/>
      <c r="M778" s="19" t="n"/>
      <c r="O778" s="19" t="n"/>
      <c r="Q778" s="19" t="n"/>
      <c r="R778" s="19" t="n"/>
      <c r="S778" s="19" t="n"/>
      <c r="T778" s="19" t="n"/>
    </row>
    <row r="779" ht="15.75" customHeight="1" s="545">
      <c r="A779" s="19" t="n"/>
      <c r="B779" s="19" t="n"/>
      <c r="C779" s="19" t="n"/>
      <c r="D779" s="19" t="n"/>
      <c r="E779" s="19" t="n"/>
      <c r="F779" s="19" t="n"/>
      <c r="H779" s="19" t="n"/>
      <c r="I779" s="19" t="n"/>
      <c r="J779" s="19" t="n"/>
      <c r="K779" s="19" t="n"/>
      <c r="M779" s="19" t="n"/>
      <c r="O779" s="19" t="n"/>
      <c r="Q779" s="19" t="n"/>
      <c r="R779" s="19" t="n"/>
      <c r="S779" s="19" t="n"/>
      <c r="T779" s="19" t="n"/>
    </row>
    <row r="780" ht="15.75" customHeight="1" s="545">
      <c r="A780" s="19" t="n"/>
      <c r="B780" s="19" t="n"/>
      <c r="C780" s="19" t="n"/>
      <c r="D780" s="19" t="n"/>
      <c r="E780" s="19" t="n"/>
      <c r="F780" s="19" t="n"/>
      <c r="H780" s="19" t="n"/>
      <c r="I780" s="19" t="n"/>
      <c r="J780" s="19" t="n"/>
      <c r="K780" s="19" t="n"/>
      <c r="M780" s="19" t="n"/>
      <c r="O780" s="19" t="n"/>
      <c r="Q780" s="19" t="n"/>
      <c r="R780" s="19" t="n"/>
      <c r="S780" s="19" t="n"/>
      <c r="T780" s="19" t="n"/>
    </row>
    <row r="781" ht="15.75" customHeight="1" s="545">
      <c r="A781" s="19" t="n"/>
      <c r="B781" s="19" t="n"/>
      <c r="C781" s="19" t="n"/>
      <c r="D781" s="19" t="n"/>
      <c r="E781" s="19" t="n"/>
      <c r="F781" s="19" t="n"/>
      <c r="H781" s="19" t="n"/>
      <c r="I781" s="19" t="n"/>
      <c r="J781" s="19" t="n"/>
      <c r="K781" s="19" t="n"/>
      <c r="M781" s="19" t="n"/>
      <c r="O781" s="19" t="n"/>
      <c r="Q781" s="19" t="n"/>
      <c r="R781" s="19" t="n"/>
      <c r="S781" s="19" t="n"/>
      <c r="T781" s="19" t="n"/>
    </row>
    <row r="782" ht="15.75" customHeight="1" s="545">
      <c r="A782" s="19" t="n"/>
      <c r="B782" s="19" t="n"/>
      <c r="C782" s="19" t="n"/>
      <c r="D782" s="19" t="n"/>
      <c r="E782" s="19" t="n"/>
      <c r="F782" s="19" t="n"/>
      <c r="H782" s="19" t="n"/>
      <c r="I782" s="19" t="n"/>
      <c r="J782" s="19" t="n"/>
      <c r="K782" s="19" t="n"/>
      <c r="M782" s="19" t="n"/>
      <c r="O782" s="19" t="n"/>
      <c r="Q782" s="19" t="n"/>
      <c r="R782" s="19" t="n"/>
      <c r="S782" s="19" t="n"/>
      <c r="T782" s="19" t="n"/>
    </row>
    <row r="783" ht="15.75" customHeight="1" s="545">
      <c r="A783" s="19" t="n"/>
      <c r="B783" s="19" t="n"/>
      <c r="C783" s="19" t="n"/>
      <c r="D783" s="19" t="n"/>
      <c r="E783" s="19" t="n"/>
      <c r="F783" s="19" t="n"/>
      <c r="H783" s="19" t="n"/>
      <c r="I783" s="19" t="n"/>
      <c r="J783" s="19" t="n"/>
      <c r="K783" s="19" t="n"/>
      <c r="M783" s="19" t="n"/>
      <c r="O783" s="19" t="n"/>
      <c r="Q783" s="19" t="n"/>
      <c r="R783" s="19" t="n"/>
      <c r="S783" s="19" t="n"/>
      <c r="T783" s="19" t="n"/>
    </row>
    <row r="784" ht="15.75" customHeight="1" s="545">
      <c r="A784" s="19" t="n"/>
      <c r="B784" s="19" t="n"/>
      <c r="C784" s="19" t="n"/>
      <c r="D784" s="19" t="n"/>
      <c r="E784" s="19" t="n"/>
      <c r="F784" s="19" t="n"/>
      <c r="H784" s="19" t="n"/>
      <c r="I784" s="19" t="n"/>
      <c r="J784" s="19" t="n"/>
      <c r="K784" s="19" t="n"/>
      <c r="M784" s="19" t="n"/>
      <c r="O784" s="19" t="n"/>
      <c r="Q784" s="19" t="n"/>
      <c r="R784" s="19" t="n"/>
      <c r="S784" s="19" t="n"/>
      <c r="T784" s="19" t="n"/>
    </row>
    <row r="785" ht="15.75" customHeight="1" s="545">
      <c r="A785" s="19" t="n"/>
      <c r="B785" s="19" t="n"/>
      <c r="C785" s="19" t="n"/>
      <c r="D785" s="19" t="n"/>
      <c r="E785" s="19" t="n"/>
      <c r="F785" s="19" t="n"/>
      <c r="H785" s="19" t="n"/>
      <c r="I785" s="19" t="n"/>
      <c r="J785" s="19" t="n"/>
      <c r="K785" s="19" t="n"/>
      <c r="M785" s="19" t="n"/>
      <c r="O785" s="19" t="n"/>
      <c r="Q785" s="19" t="n"/>
      <c r="R785" s="19" t="n"/>
      <c r="S785" s="19" t="n"/>
      <c r="T785" s="19" t="n"/>
    </row>
    <row r="786" ht="15.75" customHeight="1" s="545">
      <c r="A786" s="19" t="n"/>
      <c r="B786" s="19" t="n"/>
      <c r="C786" s="19" t="n"/>
      <c r="D786" s="19" t="n"/>
      <c r="E786" s="19" t="n"/>
      <c r="F786" s="19" t="n"/>
      <c r="H786" s="19" t="n"/>
      <c r="I786" s="19" t="n"/>
      <c r="J786" s="19" t="n"/>
      <c r="K786" s="19" t="n"/>
      <c r="M786" s="19" t="n"/>
      <c r="O786" s="19" t="n"/>
      <c r="Q786" s="19" t="n"/>
      <c r="R786" s="19" t="n"/>
      <c r="S786" s="19" t="n"/>
      <c r="T786" s="19" t="n"/>
    </row>
    <row r="787" ht="15.75" customHeight="1" s="545">
      <c r="A787" s="19" t="n"/>
      <c r="B787" s="19" t="n"/>
      <c r="C787" s="19" t="n"/>
      <c r="D787" s="19" t="n"/>
      <c r="E787" s="19" t="n"/>
      <c r="F787" s="19" t="n"/>
      <c r="H787" s="19" t="n"/>
      <c r="I787" s="19" t="n"/>
      <c r="J787" s="19" t="n"/>
      <c r="K787" s="19" t="n"/>
      <c r="M787" s="19" t="n"/>
      <c r="O787" s="19" t="n"/>
      <c r="Q787" s="19" t="n"/>
      <c r="R787" s="19" t="n"/>
      <c r="S787" s="19" t="n"/>
      <c r="T787" s="19" t="n"/>
    </row>
    <row r="788" ht="15.75" customHeight="1" s="545">
      <c r="A788" s="19" t="n"/>
      <c r="B788" s="19" t="n"/>
      <c r="C788" s="19" t="n"/>
      <c r="D788" s="19" t="n"/>
      <c r="E788" s="19" t="n"/>
      <c r="F788" s="19" t="n"/>
      <c r="H788" s="19" t="n"/>
      <c r="I788" s="19" t="n"/>
      <c r="J788" s="19" t="n"/>
      <c r="K788" s="19" t="n"/>
      <c r="M788" s="19" t="n"/>
      <c r="O788" s="19" t="n"/>
      <c r="Q788" s="19" t="n"/>
      <c r="R788" s="19" t="n"/>
      <c r="S788" s="19" t="n"/>
      <c r="T788" s="19" t="n"/>
    </row>
    <row r="789" ht="15.75" customHeight="1" s="545">
      <c r="A789" s="19" t="n"/>
      <c r="B789" s="19" t="n"/>
      <c r="C789" s="19" t="n"/>
      <c r="D789" s="19" t="n"/>
      <c r="E789" s="19" t="n"/>
      <c r="F789" s="19" t="n"/>
      <c r="H789" s="19" t="n"/>
      <c r="I789" s="19" t="n"/>
      <c r="J789" s="19" t="n"/>
      <c r="K789" s="19" t="n"/>
      <c r="M789" s="19" t="n"/>
      <c r="O789" s="19" t="n"/>
      <c r="Q789" s="19" t="n"/>
      <c r="R789" s="19" t="n"/>
      <c r="S789" s="19" t="n"/>
      <c r="T789" s="19" t="n"/>
    </row>
    <row r="790" ht="15.75" customHeight="1" s="545">
      <c r="A790" s="19" t="n"/>
      <c r="B790" s="19" t="n"/>
      <c r="C790" s="19" t="n"/>
      <c r="D790" s="19" t="n"/>
      <c r="E790" s="19" t="n"/>
      <c r="F790" s="19" t="n"/>
      <c r="H790" s="19" t="n"/>
      <c r="I790" s="19" t="n"/>
      <c r="J790" s="19" t="n"/>
      <c r="K790" s="19" t="n"/>
      <c r="M790" s="19" t="n"/>
      <c r="O790" s="19" t="n"/>
      <c r="Q790" s="19" t="n"/>
      <c r="R790" s="19" t="n"/>
      <c r="S790" s="19" t="n"/>
      <c r="T790" s="19" t="n"/>
    </row>
    <row r="791" ht="15.75" customHeight="1" s="545">
      <c r="A791" s="19" t="n"/>
      <c r="B791" s="19" t="n"/>
      <c r="C791" s="19" t="n"/>
      <c r="D791" s="19" t="n"/>
      <c r="E791" s="19" t="n"/>
      <c r="F791" s="19" t="n"/>
      <c r="H791" s="19" t="n"/>
      <c r="I791" s="19" t="n"/>
      <c r="J791" s="19" t="n"/>
      <c r="K791" s="19" t="n"/>
      <c r="M791" s="19" t="n"/>
      <c r="O791" s="19" t="n"/>
      <c r="Q791" s="19" t="n"/>
      <c r="R791" s="19" t="n"/>
      <c r="S791" s="19" t="n"/>
      <c r="T791" s="19" t="n"/>
    </row>
    <row r="792" ht="15.75" customHeight="1" s="545">
      <c r="A792" s="19" t="n"/>
      <c r="B792" s="19" t="n"/>
      <c r="C792" s="19" t="n"/>
      <c r="D792" s="19" t="n"/>
      <c r="E792" s="19" t="n"/>
      <c r="F792" s="19" t="n"/>
      <c r="H792" s="19" t="n"/>
      <c r="I792" s="19" t="n"/>
      <c r="J792" s="19" t="n"/>
      <c r="K792" s="19" t="n"/>
      <c r="M792" s="19" t="n"/>
      <c r="O792" s="19" t="n"/>
      <c r="Q792" s="19" t="n"/>
      <c r="R792" s="19" t="n"/>
      <c r="S792" s="19" t="n"/>
      <c r="T792" s="19" t="n"/>
    </row>
    <row r="793" ht="15.75" customHeight="1" s="545">
      <c r="A793" s="19" t="n"/>
      <c r="B793" s="19" t="n"/>
      <c r="C793" s="19" t="n"/>
      <c r="D793" s="19" t="n"/>
      <c r="E793" s="19" t="n"/>
      <c r="F793" s="19" t="n"/>
      <c r="H793" s="19" t="n"/>
      <c r="I793" s="19" t="n"/>
      <c r="J793" s="19" t="n"/>
      <c r="K793" s="19" t="n"/>
      <c r="M793" s="19" t="n"/>
      <c r="O793" s="19" t="n"/>
      <c r="Q793" s="19" t="n"/>
      <c r="R793" s="19" t="n"/>
      <c r="S793" s="19" t="n"/>
      <c r="T793" s="19" t="n"/>
    </row>
    <row r="794" ht="15.75" customHeight="1" s="545">
      <c r="A794" s="19" t="n"/>
      <c r="B794" s="19" t="n"/>
      <c r="C794" s="19" t="n"/>
      <c r="D794" s="19" t="n"/>
      <c r="E794" s="19" t="n"/>
      <c r="F794" s="19" t="n"/>
      <c r="H794" s="19" t="n"/>
      <c r="I794" s="19" t="n"/>
      <c r="J794" s="19" t="n"/>
      <c r="K794" s="19" t="n"/>
      <c r="M794" s="19" t="n"/>
      <c r="O794" s="19" t="n"/>
      <c r="Q794" s="19" t="n"/>
      <c r="R794" s="19" t="n"/>
      <c r="S794" s="19" t="n"/>
      <c r="T794" s="19" t="n"/>
    </row>
    <row r="795" ht="15.75" customHeight="1" s="545">
      <c r="A795" s="19" t="n"/>
      <c r="B795" s="19" t="n"/>
      <c r="C795" s="19" t="n"/>
      <c r="D795" s="19" t="n"/>
      <c r="E795" s="19" t="n"/>
      <c r="F795" s="19" t="n"/>
      <c r="H795" s="19" t="n"/>
      <c r="I795" s="19" t="n"/>
      <c r="J795" s="19" t="n"/>
      <c r="K795" s="19" t="n"/>
      <c r="M795" s="19" t="n"/>
      <c r="O795" s="19" t="n"/>
      <c r="Q795" s="19" t="n"/>
      <c r="R795" s="19" t="n"/>
      <c r="S795" s="19" t="n"/>
      <c r="T795" s="19" t="n"/>
    </row>
    <row r="796" ht="15.75" customHeight="1" s="545">
      <c r="A796" s="19" t="n"/>
      <c r="B796" s="19" t="n"/>
      <c r="C796" s="19" t="n"/>
      <c r="D796" s="19" t="n"/>
      <c r="E796" s="19" t="n"/>
      <c r="F796" s="19" t="n"/>
      <c r="H796" s="19" t="n"/>
      <c r="I796" s="19" t="n"/>
      <c r="J796" s="19" t="n"/>
      <c r="K796" s="19" t="n"/>
      <c r="M796" s="19" t="n"/>
      <c r="O796" s="19" t="n"/>
      <c r="Q796" s="19" t="n"/>
      <c r="R796" s="19" t="n"/>
      <c r="S796" s="19" t="n"/>
      <c r="T796" s="19" t="n"/>
    </row>
    <row r="797" ht="15.75" customHeight="1" s="545">
      <c r="A797" s="19" t="n"/>
      <c r="B797" s="19" t="n"/>
      <c r="C797" s="19" t="n"/>
      <c r="D797" s="19" t="n"/>
      <c r="E797" s="19" t="n"/>
      <c r="F797" s="19" t="n"/>
      <c r="H797" s="19" t="n"/>
      <c r="I797" s="19" t="n"/>
      <c r="J797" s="19" t="n"/>
      <c r="K797" s="19" t="n"/>
      <c r="M797" s="19" t="n"/>
      <c r="O797" s="19" t="n"/>
      <c r="Q797" s="19" t="n"/>
      <c r="R797" s="19" t="n"/>
      <c r="S797" s="19" t="n"/>
      <c r="T797" s="19" t="n"/>
    </row>
    <row r="798" ht="15.75" customHeight="1" s="545">
      <c r="A798" s="19" t="n"/>
      <c r="B798" s="19" t="n"/>
      <c r="C798" s="19" t="n"/>
      <c r="D798" s="19" t="n"/>
      <c r="E798" s="19" t="n"/>
      <c r="F798" s="19" t="n"/>
      <c r="H798" s="19" t="n"/>
      <c r="I798" s="19" t="n"/>
      <c r="J798" s="19" t="n"/>
      <c r="K798" s="19" t="n"/>
      <c r="M798" s="19" t="n"/>
      <c r="O798" s="19" t="n"/>
      <c r="Q798" s="19" t="n"/>
      <c r="R798" s="19" t="n"/>
      <c r="S798" s="19" t="n"/>
      <c r="T798" s="19" t="n"/>
    </row>
    <row r="799" ht="15.75" customHeight="1" s="545">
      <c r="A799" s="19" t="n"/>
      <c r="B799" s="19" t="n"/>
      <c r="C799" s="19" t="n"/>
      <c r="D799" s="19" t="n"/>
      <c r="E799" s="19" t="n"/>
      <c r="F799" s="19" t="n"/>
      <c r="H799" s="19" t="n"/>
      <c r="I799" s="19" t="n"/>
      <c r="J799" s="19" t="n"/>
      <c r="K799" s="19" t="n"/>
      <c r="M799" s="19" t="n"/>
      <c r="O799" s="19" t="n"/>
      <c r="Q799" s="19" t="n"/>
      <c r="R799" s="19" t="n"/>
      <c r="S799" s="19" t="n"/>
      <c r="T799" s="19" t="n"/>
    </row>
    <row r="800" ht="15.75" customHeight="1" s="545">
      <c r="A800" s="19" t="n"/>
      <c r="B800" s="19" t="n"/>
      <c r="C800" s="19" t="n"/>
      <c r="D800" s="19" t="n"/>
      <c r="E800" s="19" t="n"/>
      <c r="F800" s="19" t="n"/>
      <c r="H800" s="19" t="n"/>
      <c r="I800" s="19" t="n"/>
      <c r="J800" s="19" t="n"/>
      <c r="K800" s="19" t="n"/>
      <c r="M800" s="19" t="n"/>
      <c r="O800" s="19" t="n"/>
      <c r="Q800" s="19" t="n"/>
      <c r="R800" s="19" t="n"/>
      <c r="S800" s="19" t="n"/>
      <c r="T800" s="19" t="n"/>
    </row>
    <row r="801" ht="15.75" customHeight="1" s="545">
      <c r="A801" s="19" t="n"/>
      <c r="B801" s="19" t="n"/>
      <c r="C801" s="19" t="n"/>
      <c r="D801" s="19" t="n"/>
      <c r="E801" s="19" t="n"/>
      <c r="F801" s="19" t="n"/>
      <c r="H801" s="19" t="n"/>
      <c r="I801" s="19" t="n"/>
      <c r="J801" s="19" t="n"/>
      <c r="K801" s="19" t="n"/>
      <c r="M801" s="19" t="n"/>
      <c r="O801" s="19" t="n"/>
      <c r="Q801" s="19" t="n"/>
      <c r="R801" s="19" t="n"/>
      <c r="S801" s="19" t="n"/>
      <c r="T801" s="19" t="n"/>
    </row>
    <row r="802" ht="15.75" customHeight="1" s="545">
      <c r="A802" s="19" t="n"/>
      <c r="B802" s="19" t="n"/>
      <c r="C802" s="19" t="n"/>
      <c r="D802" s="19" t="n"/>
      <c r="E802" s="19" t="n"/>
      <c r="F802" s="19" t="n"/>
      <c r="H802" s="19" t="n"/>
      <c r="I802" s="19" t="n"/>
      <c r="J802" s="19" t="n"/>
      <c r="K802" s="19" t="n"/>
      <c r="M802" s="19" t="n"/>
      <c r="O802" s="19" t="n"/>
      <c r="Q802" s="19" t="n"/>
      <c r="R802" s="19" t="n"/>
      <c r="S802" s="19" t="n"/>
      <c r="T802" s="19" t="n"/>
    </row>
    <row r="803" ht="15.75" customHeight="1" s="545">
      <c r="A803" s="19" t="n"/>
      <c r="B803" s="19" t="n"/>
      <c r="C803" s="19" t="n"/>
      <c r="D803" s="19" t="n"/>
      <c r="E803" s="19" t="n"/>
      <c r="F803" s="19" t="n"/>
      <c r="H803" s="19" t="n"/>
      <c r="I803" s="19" t="n"/>
      <c r="J803" s="19" t="n"/>
      <c r="K803" s="19" t="n"/>
      <c r="M803" s="19" t="n"/>
      <c r="O803" s="19" t="n"/>
      <c r="Q803" s="19" t="n"/>
      <c r="R803" s="19" t="n"/>
      <c r="S803" s="19" t="n"/>
      <c r="T803" s="19" t="n"/>
    </row>
    <row r="804" ht="15.75" customHeight="1" s="545">
      <c r="A804" s="19" t="n"/>
      <c r="B804" s="19" t="n"/>
      <c r="C804" s="19" t="n"/>
      <c r="D804" s="19" t="n"/>
      <c r="E804" s="19" t="n"/>
      <c r="F804" s="19" t="n"/>
      <c r="H804" s="19" t="n"/>
      <c r="I804" s="19" t="n"/>
      <c r="J804" s="19" t="n"/>
      <c r="K804" s="19" t="n"/>
      <c r="M804" s="19" t="n"/>
      <c r="O804" s="19" t="n"/>
      <c r="Q804" s="19" t="n"/>
      <c r="R804" s="19" t="n"/>
      <c r="S804" s="19" t="n"/>
      <c r="T804" s="19" t="n"/>
    </row>
    <row r="805" ht="15.75" customHeight="1" s="545">
      <c r="A805" s="19" t="n"/>
      <c r="B805" s="19" t="n"/>
      <c r="C805" s="19" t="n"/>
      <c r="D805" s="19" t="n"/>
      <c r="E805" s="19" t="n"/>
      <c r="F805" s="19" t="n"/>
      <c r="H805" s="19" t="n"/>
      <c r="I805" s="19" t="n"/>
      <c r="J805" s="19" t="n"/>
      <c r="K805" s="19" t="n"/>
      <c r="M805" s="19" t="n"/>
      <c r="O805" s="19" t="n"/>
      <c r="Q805" s="19" t="n"/>
      <c r="R805" s="19" t="n"/>
      <c r="S805" s="19" t="n"/>
      <c r="T805" s="19" t="n"/>
    </row>
    <row r="806" ht="15.75" customHeight="1" s="545">
      <c r="A806" s="19" t="n"/>
      <c r="B806" s="19" t="n"/>
      <c r="C806" s="19" t="n"/>
      <c r="D806" s="19" t="n"/>
      <c r="E806" s="19" t="n"/>
      <c r="F806" s="19" t="n"/>
      <c r="H806" s="19" t="n"/>
      <c r="I806" s="19" t="n"/>
      <c r="J806" s="19" t="n"/>
      <c r="K806" s="19" t="n"/>
      <c r="M806" s="19" t="n"/>
      <c r="O806" s="19" t="n"/>
      <c r="Q806" s="19" t="n"/>
      <c r="R806" s="19" t="n"/>
      <c r="S806" s="19" t="n"/>
      <c r="T806" s="19" t="n"/>
    </row>
    <row r="807" ht="15.75" customHeight="1" s="545">
      <c r="A807" s="19" t="n"/>
      <c r="B807" s="19" t="n"/>
      <c r="C807" s="19" t="n"/>
      <c r="D807" s="19" t="n"/>
      <c r="E807" s="19" t="n"/>
      <c r="F807" s="19" t="n"/>
      <c r="H807" s="19" t="n"/>
      <c r="I807" s="19" t="n"/>
      <c r="J807" s="19" t="n"/>
      <c r="K807" s="19" t="n"/>
      <c r="M807" s="19" t="n"/>
      <c r="O807" s="19" t="n"/>
      <c r="Q807" s="19" t="n"/>
      <c r="R807" s="19" t="n"/>
      <c r="S807" s="19" t="n"/>
      <c r="T807" s="19" t="n"/>
    </row>
    <row r="808" ht="15.75" customHeight="1" s="545">
      <c r="A808" s="19" t="n"/>
      <c r="B808" s="19" t="n"/>
      <c r="C808" s="19" t="n"/>
      <c r="D808" s="19" t="n"/>
      <c r="E808" s="19" t="n"/>
      <c r="F808" s="19" t="n"/>
      <c r="H808" s="19" t="n"/>
      <c r="I808" s="19" t="n"/>
      <c r="J808" s="19" t="n"/>
      <c r="K808" s="19" t="n"/>
      <c r="M808" s="19" t="n"/>
      <c r="O808" s="19" t="n"/>
      <c r="Q808" s="19" t="n"/>
      <c r="R808" s="19" t="n"/>
      <c r="S808" s="19" t="n"/>
      <c r="T808" s="19" t="n"/>
    </row>
    <row r="809" ht="15.75" customHeight="1" s="545">
      <c r="A809" s="19" t="n"/>
      <c r="B809" s="19" t="n"/>
      <c r="C809" s="19" t="n"/>
      <c r="D809" s="19" t="n"/>
      <c r="E809" s="19" t="n"/>
      <c r="F809" s="19" t="n"/>
      <c r="H809" s="19" t="n"/>
      <c r="I809" s="19" t="n"/>
      <c r="J809" s="19" t="n"/>
      <c r="K809" s="19" t="n"/>
      <c r="M809" s="19" t="n"/>
      <c r="O809" s="19" t="n"/>
      <c r="Q809" s="19" t="n"/>
      <c r="R809" s="19" t="n"/>
      <c r="S809" s="19" t="n"/>
      <c r="T809" s="19" t="n"/>
    </row>
    <row r="810" ht="15.75" customHeight="1" s="545">
      <c r="A810" s="19" t="n"/>
      <c r="B810" s="19" t="n"/>
      <c r="C810" s="19" t="n"/>
      <c r="D810" s="19" t="n"/>
      <c r="E810" s="19" t="n"/>
      <c r="F810" s="19" t="n"/>
      <c r="H810" s="19" t="n"/>
      <c r="I810" s="19" t="n"/>
      <c r="J810" s="19" t="n"/>
      <c r="K810" s="19" t="n"/>
      <c r="M810" s="19" t="n"/>
      <c r="O810" s="19" t="n"/>
      <c r="Q810" s="19" t="n"/>
      <c r="R810" s="19" t="n"/>
      <c r="S810" s="19" t="n"/>
      <c r="T810" s="19" t="n"/>
    </row>
    <row r="811" ht="15.75" customHeight="1" s="545">
      <c r="A811" s="19" t="n"/>
      <c r="B811" s="19" t="n"/>
      <c r="C811" s="19" t="n"/>
      <c r="D811" s="19" t="n"/>
      <c r="E811" s="19" t="n"/>
      <c r="F811" s="19" t="n"/>
      <c r="H811" s="19" t="n"/>
      <c r="I811" s="19" t="n"/>
      <c r="J811" s="19" t="n"/>
      <c r="K811" s="19" t="n"/>
      <c r="M811" s="19" t="n"/>
      <c r="O811" s="19" t="n"/>
      <c r="Q811" s="19" t="n"/>
      <c r="R811" s="19" t="n"/>
      <c r="S811" s="19" t="n"/>
      <c r="T811" s="19" t="n"/>
    </row>
    <row r="812" ht="15.75" customHeight="1" s="545">
      <c r="A812" s="19" t="n"/>
      <c r="B812" s="19" t="n"/>
      <c r="C812" s="19" t="n"/>
      <c r="D812" s="19" t="n"/>
      <c r="E812" s="19" t="n"/>
      <c r="F812" s="19" t="n"/>
      <c r="H812" s="19" t="n"/>
      <c r="I812" s="19" t="n"/>
      <c r="J812" s="19" t="n"/>
      <c r="K812" s="19" t="n"/>
      <c r="M812" s="19" t="n"/>
      <c r="O812" s="19" t="n"/>
      <c r="Q812" s="19" t="n"/>
      <c r="R812" s="19" t="n"/>
      <c r="S812" s="19" t="n"/>
      <c r="T812" s="19" t="n"/>
    </row>
    <row r="813" ht="15.75" customHeight="1" s="545">
      <c r="A813" s="19" t="n"/>
      <c r="B813" s="19" t="n"/>
      <c r="C813" s="19" t="n"/>
      <c r="D813" s="19" t="n"/>
      <c r="E813" s="19" t="n"/>
      <c r="F813" s="19" t="n"/>
      <c r="H813" s="19" t="n"/>
      <c r="I813" s="19" t="n"/>
      <c r="J813" s="19" t="n"/>
      <c r="K813" s="19" t="n"/>
      <c r="M813" s="19" t="n"/>
      <c r="O813" s="19" t="n"/>
      <c r="Q813" s="19" t="n"/>
      <c r="R813" s="19" t="n"/>
      <c r="S813" s="19" t="n"/>
      <c r="T813" s="19" t="n"/>
    </row>
    <row r="814" ht="15.75" customHeight="1" s="545">
      <c r="A814" s="19" t="n"/>
      <c r="B814" s="19" t="n"/>
      <c r="C814" s="19" t="n"/>
      <c r="D814" s="19" t="n"/>
      <c r="E814" s="19" t="n"/>
      <c r="F814" s="19" t="n"/>
      <c r="H814" s="19" t="n"/>
      <c r="I814" s="19" t="n"/>
      <c r="J814" s="19" t="n"/>
      <c r="K814" s="19" t="n"/>
      <c r="M814" s="19" t="n"/>
      <c r="O814" s="19" t="n"/>
      <c r="Q814" s="19" t="n"/>
      <c r="R814" s="19" t="n"/>
      <c r="S814" s="19" t="n"/>
      <c r="T814" s="19" t="n"/>
    </row>
    <row r="815" ht="15.75" customHeight="1" s="545">
      <c r="A815" s="19" t="n"/>
      <c r="B815" s="19" t="n"/>
      <c r="C815" s="19" t="n"/>
      <c r="D815" s="19" t="n"/>
      <c r="E815" s="19" t="n"/>
      <c r="F815" s="19" t="n"/>
      <c r="H815" s="19" t="n"/>
      <c r="I815" s="19" t="n"/>
      <c r="J815" s="19" t="n"/>
      <c r="K815" s="19" t="n"/>
      <c r="M815" s="19" t="n"/>
      <c r="O815" s="19" t="n"/>
      <c r="Q815" s="19" t="n"/>
      <c r="R815" s="19" t="n"/>
      <c r="S815" s="19" t="n"/>
      <c r="T815" s="19" t="n"/>
    </row>
    <row r="816" ht="15.75" customHeight="1" s="545">
      <c r="A816" s="19" t="n"/>
      <c r="B816" s="19" t="n"/>
      <c r="C816" s="19" t="n"/>
      <c r="D816" s="19" t="n"/>
      <c r="E816" s="19" t="n"/>
      <c r="F816" s="19" t="n"/>
      <c r="H816" s="19" t="n"/>
      <c r="I816" s="19" t="n"/>
      <c r="J816" s="19" t="n"/>
      <c r="K816" s="19" t="n"/>
      <c r="M816" s="19" t="n"/>
      <c r="O816" s="19" t="n"/>
      <c r="Q816" s="19" t="n"/>
      <c r="R816" s="19" t="n"/>
      <c r="S816" s="19" t="n"/>
      <c r="T816" s="19" t="n"/>
    </row>
    <row r="817" ht="15.75" customHeight="1" s="545">
      <c r="A817" s="19" t="n"/>
      <c r="B817" s="19" t="n"/>
      <c r="C817" s="19" t="n"/>
      <c r="D817" s="19" t="n"/>
      <c r="E817" s="19" t="n"/>
      <c r="F817" s="19" t="n"/>
      <c r="H817" s="19" t="n"/>
      <c r="I817" s="19" t="n"/>
      <c r="J817" s="19" t="n"/>
      <c r="K817" s="19" t="n"/>
      <c r="M817" s="19" t="n"/>
      <c r="O817" s="19" t="n"/>
      <c r="Q817" s="19" t="n"/>
      <c r="R817" s="19" t="n"/>
      <c r="S817" s="19" t="n"/>
      <c r="T817" s="19" t="n"/>
    </row>
    <row r="818" ht="15.75" customHeight="1" s="545">
      <c r="A818" s="19" t="n"/>
      <c r="B818" s="19" t="n"/>
      <c r="C818" s="19" t="n"/>
      <c r="D818" s="19" t="n"/>
      <c r="E818" s="19" t="n"/>
      <c r="F818" s="19" t="n"/>
      <c r="H818" s="19" t="n"/>
      <c r="I818" s="19" t="n"/>
      <c r="J818" s="19" t="n"/>
      <c r="K818" s="19" t="n"/>
      <c r="M818" s="19" t="n"/>
      <c r="O818" s="19" t="n"/>
      <c r="Q818" s="19" t="n"/>
      <c r="R818" s="19" t="n"/>
      <c r="S818" s="19" t="n"/>
      <c r="T818" s="19" t="n"/>
    </row>
    <row r="819" ht="15.75" customHeight="1" s="545">
      <c r="A819" s="19" t="n"/>
      <c r="B819" s="19" t="n"/>
      <c r="C819" s="19" t="n"/>
      <c r="D819" s="19" t="n"/>
      <c r="E819" s="19" t="n"/>
      <c r="F819" s="19" t="n"/>
      <c r="H819" s="19" t="n"/>
      <c r="I819" s="19" t="n"/>
      <c r="J819" s="19" t="n"/>
      <c r="K819" s="19" t="n"/>
      <c r="M819" s="19" t="n"/>
      <c r="O819" s="19" t="n"/>
      <c r="Q819" s="19" t="n"/>
      <c r="R819" s="19" t="n"/>
      <c r="S819" s="19" t="n"/>
      <c r="T819" s="19" t="n"/>
    </row>
    <row r="820" ht="15.75" customHeight="1" s="545">
      <c r="A820" s="19" t="n"/>
      <c r="B820" s="19" t="n"/>
      <c r="C820" s="19" t="n"/>
      <c r="D820" s="19" t="n"/>
      <c r="E820" s="19" t="n"/>
      <c r="F820" s="19" t="n"/>
      <c r="H820" s="19" t="n"/>
      <c r="I820" s="19" t="n"/>
      <c r="J820" s="19" t="n"/>
      <c r="K820" s="19" t="n"/>
      <c r="M820" s="19" t="n"/>
      <c r="O820" s="19" t="n"/>
      <c r="Q820" s="19" t="n"/>
      <c r="R820" s="19" t="n"/>
      <c r="S820" s="19" t="n"/>
      <c r="T820" s="19" t="n"/>
    </row>
    <row r="821" ht="15.75" customHeight="1" s="545">
      <c r="A821" s="19" t="n"/>
      <c r="B821" s="19" t="n"/>
      <c r="C821" s="19" t="n"/>
      <c r="D821" s="19" t="n"/>
      <c r="E821" s="19" t="n"/>
      <c r="F821" s="19" t="n"/>
      <c r="H821" s="19" t="n"/>
      <c r="I821" s="19" t="n"/>
      <c r="J821" s="19" t="n"/>
      <c r="K821" s="19" t="n"/>
      <c r="M821" s="19" t="n"/>
      <c r="O821" s="19" t="n"/>
      <c r="Q821" s="19" t="n"/>
      <c r="R821" s="19" t="n"/>
      <c r="S821" s="19" t="n"/>
      <c r="T821" s="19" t="n"/>
    </row>
    <row r="822" ht="15.75" customHeight="1" s="545">
      <c r="A822" s="19" t="n"/>
      <c r="B822" s="19" t="n"/>
      <c r="C822" s="19" t="n"/>
      <c r="D822" s="19" t="n"/>
      <c r="E822" s="19" t="n"/>
      <c r="F822" s="19" t="n"/>
      <c r="H822" s="19" t="n"/>
      <c r="I822" s="19" t="n"/>
      <c r="J822" s="19" t="n"/>
      <c r="K822" s="19" t="n"/>
      <c r="M822" s="19" t="n"/>
      <c r="O822" s="19" t="n"/>
      <c r="Q822" s="19" t="n"/>
      <c r="R822" s="19" t="n"/>
      <c r="S822" s="19" t="n"/>
      <c r="T822" s="19" t="n"/>
    </row>
    <row r="823" ht="15.75" customHeight="1" s="545">
      <c r="A823" s="19" t="n"/>
      <c r="B823" s="19" t="n"/>
      <c r="C823" s="19" t="n"/>
      <c r="D823" s="19" t="n"/>
      <c r="E823" s="19" t="n"/>
      <c r="F823" s="19" t="n"/>
      <c r="H823" s="19" t="n"/>
      <c r="I823" s="19" t="n"/>
      <c r="J823" s="19" t="n"/>
      <c r="K823" s="19" t="n"/>
      <c r="M823" s="19" t="n"/>
      <c r="O823" s="19" t="n"/>
      <c r="Q823" s="19" t="n"/>
      <c r="R823" s="19" t="n"/>
      <c r="S823" s="19" t="n"/>
      <c r="T823" s="19" t="n"/>
    </row>
    <row r="824" ht="15.75" customHeight="1" s="545">
      <c r="A824" s="19" t="n"/>
      <c r="B824" s="19" t="n"/>
      <c r="C824" s="19" t="n"/>
      <c r="D824" s="19" t="n"/>
      <c r="E824" s="19" t="n"/>
      <c r="F824" s="19" t="n"/>
      <c r="H824" s="19" t="n"/>
      <c r="I824" s="19" t="n"/>
      <c r="J824" s="19" t="n"/>
      <c r="K824" s="19" t="n"/>
      <c r="M824" s="19" t="n"/>
      <c r="O824" s="19" t="n"/>
      <c r="Q824" s="19" t="n"/>
      <c r="R824" s="19" t="n"/>
      <c r="S824" s="19" t="n"/>
      <c r="T824" s="19" t="n"/>
    </row>
    <row r="825" ht="15.75" customHeight="1" s="545">
      <c r="A825" s="19" t="n"/>
      <c r="B825" s="19" t="n"/>
      <c r="C825" s="19" t="n"/>
      <c r="D825" s="19" t="n"/>
      <c r="E825" s="19" t="n"/>
      <c r="F825" s="19" t="n"/>
      <c r="H825" s="19" t="n"/>
      <c r="I825" s="19" t="n"/>
      <c r="J825" s="19" t="n"/>
      <c r="K825" s="19" t="n"/>
      <c r="M825" s="19" t="n"/>
      <c r="O825" s="19" t="n"/>
      <c r="Q825" s="19" t="n"/>
      <c r="R825" s="19" t="n"/>
      <c r="S825" s="19" t="n"/>
      <c r="T825" s="19" t="n"/>
    </row>
    <row r="826" ht="15.75" customHeight="1" s="545">
      <c r="A826" s="19" t="n"/>
      <c r="B826" s="19" t="n"/>
      <c r="C826" s="19" t="n"/>
      <c r="D826" s="19" t="n"/>
      <c r="E826" s="19" t="n"/>
      <c r="F826" s="19" t="n"/>
      <c r="H826" s="19" t="n"/>
      <c r="I826" s="19" t="n"/>
      <c r="J826" s="19" t="n"/>
      <c r="K826" s="19" t="n"/>
      <c r="M826" s="19" t="n"/>
      <c r="O826" s="19" t="n"/>
      <c r="Q826" s="19" t="n"/>
      <c r="R826" s="19" t="n"/>
      <c r="S826" s="19" t="n"/>
      <c r="T826" s="19" t="n"/>
    </row>
    <row r="827" ht="15.75" customHeight="1" s="545">
      <c r="A827" s="19" t="n"/>
      <c r="B827" s="19" t="n"/>
      <c r="C827" s="19" t="n"/>
      <c r="D827" s="19" t="n"/>
      <c r="E827" s="19" t="n"/>
      <c r="F827" s="19" t="n"/>
      <c r="H827" s="19" t="n"/>
      <c r="I827" s="19" t="n"/>
      <c r="J827" s="19" t="n"/>
      <c r="K827" s="19" t="n"/>
      <c r="M827" s="19" t="n"/>
      <c r="O827" s="19" t="n"/>
      <c r="Q827" s="19" t="n"/>
      <c r="R827" s="19" t="n"/>
      <c r="S827" s="19" t="n"/>
      <c r="T827" s="19" t="n"/>
    </row>
    <row r="828" ht="15.75" customHeight="1" s="545">
      <c r="A828" s="19" t="n"/>
      <c r="B828" s="19" t="n"/>
      <c r="C828" s="19" t="n"/>
      <c r="D828" s="19" t="n"/>
      <c r="E828" s="19" t="n"/>
      <c r="F828" s="19" t="n"/>
      <c r="H828" s="19" t="n"/>
      <c r="I828" s="19" t="n"/>
      <c r="J828" s="19" t="n"/>
      <c r="K828" s="19" t="n"/>
      <c r="M828" s="19" t="n"/>
      <c r="O828" s="19" t="n"/>
      <c r="Q828" s="19" t="n"/>
      <c r="R828" s="19" t="n"/>
      <c r="S828" s="19" t="n"/>
      <c r="T828" s="19" t="n"/>
    </row>
    <row r="829" ht="15.75" customHeight="1" s="545">
      <c r="A829" s="19" t="n"/>
      <c r="B829" s="19" t="n"/>
      <c r="C829" s="19" t="n"/>
      <c r="D829" s="19" t="n"/>
      <c r="E829" s="19" t="n"/>
      <c r="F829" s="19" t="n"/>
      <c r="H829" s="19" t="n"/>
      <c r="I829" s="19" t="n"/>
      <c r="J829" s="19" t="n"/>
      <c r="K829" s="19" t="n"/>
      <c r="M829" s="19" t="n"/>
      <c r="O829" s="19" t="n"/>
      <c r="Q829" s="19" t="n"/>
      <c r="R829" s="19" t="n"/>
      <c r="S829" s="19" t="n"/>
      <c r="T829" s="19" t="n"/>
    </row>
    <row r="830" ht="15.75" customHeight="1" s="545">
      <c r="A830" s="19" t="n"/>
      <c r="B830" s="19" t="n"/>
      <c r="C830" s="19" t="n"/>
      <c r="D830" s="19" t="n"/>
      <c r="E830" s="19" t="n"/>
      <c r="F830" s="19" t="n"/>
      <c r="H830" s="19" t="n"/>
      <c r="I830" s="19" t="n"/>
      <c r="J830" s="19" t="n"/>
      <c r="K830" s="19" t="n"/>
      <c r="M830" s="19" t="n"/>
      <c r="O830" s="19" t="n"/>
      <c r="Q830" s="19" t="n"/>
      <c r="R830" s="19" t="n"/>
      <c r="S830" s="19" t="n"/>
      <c r="T830" s="19" t="n"/>
    </row>
    <row r="831" ht="15.75" customHeight="1" s="545">
      <c r="A831" s="19" t="n"/>
      <c r="B831" s="19" t="n"/>
      <c r="C831" s="19" t="n"/>
      <c r="D831" s="19" t="n"/>
      <c r="E831" s="19" t="n"/>
      <c r="F831" s="19" t="n"/>
      <c r="H831" s="19" t="n"/>
      <c r="I831" s="19" t="n"/>
      <c r="J831" s="19" t="n"/>
      <c r="K831" s="19" t="n"/>
      <c r="M831" s="19" t="n"/>
      <c r="O831" s="19" t="n"/>
      <c r="Q831" s="19" t="n"/>
      <c r="R831" s="19" t="n"/>
      <c r="S831" s="19" t="n"/>
      <c r="T831" s="19" t="n"/>
    </row>
    <row r="832" ht="15.75" customHeight="1" s="545">
      <c r="A832" s="19" t="n"/>
      <c r="B832" s="19" t="n"/>
      <c r="C832" s="19" t="n"/>
      <c r="D832" s="19" t="n"/>
      <c r="E832" s="19" t="n"/>
      <c r="F832" s="19" t="n"/>
      <c r="H832" s="19" t="n"/>
      <c r="I832" s="19" t="n"/>
      <c r="J832" s="19" t="n"/>
      <c r="K832" s="19" t="n"/>
      <c r="M832" s="19" t="n"/>
      <c r="O832" s="19" t="n"/>
      <c r="Q832" s="19" t="n"/>
      <c r="R832" s="19" t="n"/>
      <c r="S832" s="19" t="n"/>
      <c r="T832" s="19" t="n"/>
    </row>
    <row r="833" ht="15.75" customHeight="1" s="545">
      <c r="A833" s="19" t="n"/>
      <c r="B833" s="19" t="n"/>
      <c r="C833" s="19" t="n"/>
      <c r="D833" s="19" t="n"/>
      <c r="E833" s="19" t="n"/>
      <c r="F833" s="19" t="n"/>
      <c r="H833" s="19" t="n"/>
      <c r="I833" s="19" t="n"/>
      <c r="J833" s="19" t="n"/>
      <c r="K833" s="19" t="n"/>
      <c r="M833" s="19" t="n"/>
      <c r="O833" s="19" t="n"/>
      <c r="Q833" s="19" t="n"/>
      <c r="R833" s="19" t="n"/>
      <c r="S833" s="19" t="n"/>
      <c r="T833" s="19" t="n"/>
    </row>
    <row r="834" ht="15.75" customHeight="1" s="545">
      <c r="A834" s="19" t="n"/>
      <c r="B834" s="19" t="n"/>
      <c r="C834" s="19" t="n"/>
      <c r="D834" s="19" t="n"/>
      <c r="E834" s="19" t="n"/>
      <c r="F834" s="19" t="n"/>
      <c r="H834" s="19" t="n"/>
      <c r="I834" s="19" t="n"/>
      <c r="J834" s="19" t="n"/>
      <c r="K834" s="19" t="n"/>
      <c r="M834" s="19" t="n"/>
      <c r="O834" s="19" t="n"/>
      <c r="Q834" s="19" t="n"/>
      <c r="R834" s="19" t="n"/>
      <c r="S834" s="19" t="n"/>
      <c r="T834" s="19" t="n"/>
    </row>
    <row r="835" ht="15.75" customHeight="1" s="545">
      <c r="A835" s="19" t="n"/>
      <c r="B835" s="19" t="n"/>
      <c r="C835" s="19" t="n"/>
      <c r="D835" s="19" t="n"/>
      <c r="E835" s="19" t="n"/>
      <c r="F835" s="19" t="n"/>
      <c r="H835" s="19" t="n"/>
      <c r="I835" s="19" t="n"/>
      <c r="J835" s="19" t="n"/>
      <c r="K835" s="19" t="n"/>
      <c r="M835" s="19" t="n"/>
      <c r="O835" s="19" t="n"/>
      <c r="Q835" s="19" t="n"/>
      <c r="R835" s="19" t="n"/>
      <c r="S835" s="19" t="n"/>
      <c r="T835" s="19" t="n"/>
    </row>
    <row r="836" ht="15.75" customHeight="1" s="545">
      <c r="A836" s="19" t="n"/>
      <c r="B836" s="19" t="n"/>
      <c r="C836" s="19" t="n"/>
      <c r="D836" s="19" t="n"/>
      <c r="E836" s="19" t="n"/>
      <c r="F836" s="19" t="n"/>
      <c r="H836" s="19" t="n"/>
      <c r="I836" s="19" t="n"/>
      <c r="J836" s="19" t="n"/>
      <c r="K836" s="19" t="n"/>
      <c r="M836" s="19" t="n"/>
      <c r="O836" s="19" t="n"/>
      <c r="Q836" s="19" t="n"/>
      <c r="R836" s="19" t="n"/>
      <c r="S836" s="19" t="n"/>
      <c r="T836" s="19" t="n"/>
    </row>
    <row r="837" ht="15.75" customHeight="1" s="545">
      <c r="A837" s="19" t="n"/>
      <c r="B837" s="19" t="n"/>
      <c r="C837" s="19" t="n"/>
      <c r="D837" s="19" t="n"/>
      <c r="E837" s="19" t="n"/>
      <c r="F837" s="19" t="n"/>
      <c r="H837" s="19" t="n"/>
      <c r="I837" s="19" t="n"/>
      <c r="J837" s="19" t="n"/>
      <c r="K837" s="19" t="n"/>
      <c r="M837" s="19" t="n"/>
      <c r="O837" s="19" t="n"/>
      <c r="Q837" s="19" t="n"/>
      <c r="R837" s="19" t="n"/>
      <c r="S837" s="19" t="n"/>
      <c r="T837" s="19" t="n"/>
    </row>
    <row r="838" ht="15.75" customHeight="1" s="545">
      <c r="A838" s="19" t="n"/>
      <c r="B838" s="19" t="n"/>
      <c r="C838" s="19" t="n"/>
      <c r="D838" s="19" t="n"/>
      <c r="E838" s="19" t="n"/>
      <c r="F838" s="19" t="n"/>
      <c r="H838" s="19" t="n"/>
      <c r="I838" s="19" t="n"/>
      <c r="J838" s="19" t="n"/>
      <c r="K838" s="19" t="n"/>
      <c r="M838" s="19" t="n"/>
      <c r="O838" s="19" t="n"/>
      <c r="Q838" s="19" t="n"/>
      <c r="R838" s="19" t="n"/>
      <c r="S838" s="19" t="n"/>
      <c r="T838" s="19" t="n"/>
    </row>
    <row r="839" ht="15.75" customHeight="1" s="545">
      <c r="A839" s="19" t="n"/>
      <c r="B839" s="19" t="n"/>
      <c r="C839" s="19" t="n"/>
      <c r="D839" s="19" t="n"/>
      <c r="E839" s="19" t="n"/>
      <c r="F839" s="19" t="n"/>
      <c r="H839" s="19" t="n"/>
      <c r="I839" s="19" t="n"/>
      <c r="J839" s="19" t="n"/>
      <c r="K839" s="19" t="n"/>
      <c r="M839" s="19" t="n"/>
      <c r="O839" s="19" t="n"/>
      <c r="Q839" s="19" t="n"/>
      <c r="R839" s="19" t="n"/>
      <c r="S839" s="19" t="n"/>
      <c r="T839" s="19" t="n"/>
    </row>
    <row r="840" ht="15.75" customHeight="1" s="545">
      <c r="A840" s="19" t="n"/>
      <c r="B840" s="19" t="n"/>
      <c r="C840" s="19" t="n"/>
      <c r="D840" s="19" t="n"/>
      <c r="E840" s="19" t="n"/>
      <c r="F840" s="19" t="n"/>
      <c r="H840" s="19" t="n"/>
      <c r="I840" s="19" t="n"/>
      <c r="J840" s="19" t="n"/>
      <c r="K840" s="19" t="n"/>
      <c r="M840" s="19" t="n"/>
      <c r="O840" s="19" t="n"/>
      <c r="Q840" s="19" t="n"/>
      <c r="R840" s="19" t="n"/>
      <c r="S840" s="19" t="n"/>
      <c r="T840" s="19" t="n"/>
    </row>
    <row r="841" ht="15.75" customHeight="1" s="545">
      <c r="A841" s="19" t="n"/>
      <c r="B841" s="19" t="n"/>
      <c r="C841" s="19" t="n"/>
      <c r="D841" s="19" t="n"/>
      <c r="E841" s="19" t="n"/>
      <c r="F841" s="19" t="n"/>
      <c r="H841" s="19" t="n"/>
      <c r="I841" s="19" t="n"/>
      <c r="J841" s="19" t="n"/>
      <c r="K841" s="19" t="n"/>
      <c r="M841" s="19" t="n"/>
      <c r="O841" s="19" t="n"/>
      <c r="Q841" s="19" t="n"/>
      <c r="R841" s="19" t="n"/>
      <c r="S841" s="19" t="n"/>
      <c r="T841" s="19" t="n"/>
    </row>
    <row r="842" ht="15.75" customHeight="1" s="545">
      <c r="A842" s="19" t="n"/>
      <c r="B842" s="19" t="n"/>
      <c r="C842" s="19" t="n"/>
      <c r="D842" s="19" t="n"/>
      <c r="E842" s="19" t="n"/>
      <c r="F842" s="19" t="n"/>
      <c r="H842" s="19" t="n"/>
      <c r="I842" s="19" t="n"/>
      <c r="J842" s="19" t="n"/>
      <c r="K842" s="19" t="n"/>
      <c r="M842" s="19" t="n"/>
      <c r="O842" s="19" t="n"/>
      <c r="Q842" s="19" t="n"/>
      <c r="R842" s="19" t="n"/>
      <c r="S842" s="19" t="n"/>
      <c r="T842" s="19" t="n"/>
    </row>
    <row r="843" ht="15.75" customHeight="1" s="545">
      <c r="A843" s="19" t="n"/>
      <c r="B843" s="19" t="n"/>
      <c r="C843" s="19" t="n"/>
      <c r="D843" s="19" t="n"/>
      <c r="E843" s="19" t="n"/>
      <c r="F843" s="19" t="n"/>
      <c r="H843" s="19" t="n"/>
      <c r="I843" s="19" t="n"/>
      <c r="J843" s="19" t="n"/>
      <c r="K843" s="19" t="n"/>
      <c r="M843" s="19" t="n"/>
      <c r="O843" s="19" t="n"/>
      <c r="Q843" s="19" t="n"/>
      <c r="R843" s="19" t="n"/>
      <c r="S843" s="19" t="n"/>
      <c r="T843" s="19" t="n"/>
    </row>
    <row r="844" ht="15.75" customHeight="1" s="545">
      <c r="A844" s="19" t="n"/>
      <c r="B844" s="19" t="n"/>
      <c r="C844" s="19" t="n"/>
      <c r="D844" s="19" t="n"/>
      <c r="E844" s="19" t="n"/>
      <c r="F844" s="19" t="n"/>
      <c r="H844" s="19" t="n"/>
      <c r="I844" s="19" t="n"/>
      <c r="J844" s="19" t="n"/>
      <c r="K844" s="19" t="n"/>
      <c r="M844" s="19" t="n"/>
      <c r="O844" s="19" t="n"/>
      <c r="Q844" s="19" t="n"/>
      <c r="R844" s="19" t="n"/>
      <c r="S844" s="19" t="n"/>
      <c r="T844" s="19" t="n"/>
    </row>
    <row r="845" ht="15.75" customHeight="1" s="545">
      <c r="A845" s="19" t="n"/>
      <c r="B845" s="19" t="n"/>
      <c r="C845" s="19" t="n"/>
      <c r="D845" s="19" t="n"/>
      <c r="E845" s="19" t="n"/>
      <c r="F845" s="19" t="n"/>
      <c r="H845" s="19" t="n"/>
      <c r="I845" s="19" t="n"/>
      <c r="J845" s="19" t="n"/>
      <c r="K845" s="19" t="n"/>
      <c r="M845" s="19" t="n"/>
      <c r="O845" s="19" t="n"/>
      <c r="Q845" s="19" t="n"/>
      <c r="R845" s="19" t="n"/>
      <c r="S845" s="19" t="n"/>
      <c r="T845" s="19" t="n"/>
    </row>
    <row r="846" ht="15.75" customHeight="1" s="545">
      <c r="A846" s="19" t="n"/>
      <c r="B846" s="19" t="n"/>
      <c r="C846" s="19" t="n"/>
      <c r="D846" s="19" t="n"/>
      <c r="E846" s="19" t="n"/>
      <c r="F846" s="19" t="n"/>
      <c r="H846" s="19" t="n"/>
      <c r="I846" s="19" t="n"/>
      <c r="J846" s="19" t="n"/>
      <c r="K846" s="19" t="n"/>
      <c r="M846" s="19" t="n"/>
      <c r="O846" s="19" t="n"/>
      <c r="Q846" s="19" t="n"/>
      <c r="R846" s="19" t="n"/>
      <c r="S846" s="19" t="n"/>
      <c r="T846" s="19" t="n"/>
    </row>
    <row r="847" ht="15.75" customHeight="1" s="545">
      <c r="A847" s="19" t="n"/>
      <c r="B847" s="19" t="n"/>
      <c r="C847" s="19" t="n"/>
      <c r="D847" s="19" t="n"/>
      <c r="E847" s="19" t="n"/>
      <c r="F847" s="19" t="n"/>
      <c r="H847" s="19" t="n"/>
      <c r="I847" s="19" t="n"/>
      <c r="J847" s="19" t="n"/>
      <c r="K847" s="19" t="n"/>
      <c r="M847" s="19" t="n"/>
      <c r="O847" s="19" t="n"/>
      <c r="Q847" s="19" t="n"/>
      <c r="R847" s="19" t="n"/>
      <c r="S847" s="19" t="n"/>
      <c r="T847" s="19" t="n"/>
    </row>
    <row r="848" ht="15.75" customHeight="1" s="545">
      <c r="A848" s="19" t="n"/>
      <c r="B848" s="19" t="n"/>
      <c r="C848" s="19" t="n"/>
      <c r="D848" s="19" t="n"/>
      <c r="E848" s="19" t="n"/>
      <c r="F848" s="19" t="n"/>
      <c r="H848" s="19" t="n"/>
      <c r="I848" s="19" t="n"/>
      <c r="J848" s="19" t="n"/>
      <c r="K848" s="19" t="n"/>
      <c r="M848" s="19" t="n"/>
      <c r="O848" s="19" t="n"/>
      <c r="Q848" s="19" t="n"/>
      <c r="R848" s="19" t="n"/>
      <c r="S848" s="19" t="n"/>
      <c r="T848" s="19" t="n"/>
    </row>
    <row r="849" ht="15.75" customHeight="1" s="545">
      <c r="A849" s="19" t="n"/>
      <c r="B849" s="19" t="n"/>
      <c r="C849" s="19" t="n"/>
      <c r="D849" s="19" t="n"/>
      <c r="E849" s="19" t="n"/>
      <c r="F849" s="19" t="n"/>
      <c r="H849" s="19" t="n"/>
      <c r="I849" s="19" t="n"/>
      <c r="J849" s="19" t="n"/>
      <c r="K849" s="19" t="n"/>
      <c r="M849" s="19" t="n"/>
      <c r="O849" s="19" t="n"/>
      <c r="Q849" s="19" t="n"/>
      <c r="R849" s="19" t="n"/>
      <c r="S849" s="19" t="n"/>
      <c r="T849" s="19" t="n"/>
    </row>
    <row r="850" ht="15.75" customHeight="1" s="545">
      <c r="A850" s="19" t="n"/>
      <c r="B850" s="19" t="n"/>
      <c r="C850" s="19" t="n"/>
      <c r="D850" s="19" t="n"/>
      <c r="E850" s="19" t="n"/>
      <c r="F850" s="19" t="n"/>
      <c r="H850" s="19" t="n"/>
      <c r="I850" s="19" t="n"/>
      <c r="J850" s="19" t="n"/>
      <c r="K850" s="19" t="n"/>
      <c r="M850" s="19" t="n"/>
      <c r="O850" s="19" t="n"/>
      <c r="Q850" s="19" t="n"/>
      <c r="R850" s="19" t="n"/>
      <c r="S850" s="19" t="n"/>
      <c r="T850" s="19" t="n"/>
    </row>
    <row r="851" ht="15.75" customHeight="1" s="545">
      <c r="A851" s="19" t="n"/>
      <c r="B851" s="19" t="n"/>
      <c r="C851" s="19" t="n"/>
      <c r="D851" s="19" t="n"/>
      <c r="E851" s="19" t="n"/>
      <c r="F851" s="19" t="n"/>
      <c r="H851" s="19" t="n"/>
      <c r="I851" s="19" t="n"/>
      <c r="J851" s="19" t="n"/>
      <c r="K851" s="19" t="n"/>
      <c r="M851" s="19" t="n"/>
      <c r="O851" s="19" t="n"/>
      <c r="Q851" s="19" t="n"/>
      <c r="R851" s="19" t="n"/>
      <c r="S851" s="19" t="n"/>
      <c r="T851" s="19" t="n"/>
    </row>
    <row r="852" ht="15.75" customHeight="1" s="545">
      <c r="A852" s="19" t="n"/>
      <c r="B852" s="19" t="n"/>
      <c r="C852" s="19" t="n"/>
      <c r="D852" s="19" t="n"/>
      <c r="E852" s="19" t="n"/>
      <c r="F852" s="19" t="n"/>
      <c r="H852" s="19" t="n"/>
      <c r="I852" s="19" t="n"/>
      <c r="J852" s="19" t="n"/>
      <c r="K852" s="19" t="n"/>
      <c r="M852" s="19" t="n"/>
      <c r="O852" s="19" t="n"/>
      <c r="Q852" s="19" t="n"/>
      <c r="R852" s="19" t="n"/>
      <c r="S852" s="19" t="n"/>
      <c r="T852" s="19" t="n"/>
    </row>
    <row r="853" ht="15.75" customHeight="1" s="545">
      <c r="A853" s="19" t="n"/>
      <c r="B853" s="19" t="n"/>
      <c r="C853" s="19" t="n"/>
      <c r="D853" s="19" t="n"/>
      <c r="E853" s="19" t="n"/>
      <c r="F853" s="19" t="n"/>
      <c r="H853" s="19" t="n"/>
      <c r="I853" s="19" t="n"/>
      <c r="J853" s="19" t="n"/>
      <c r="K853" s="19" t="n"/>
      <c r="M853" s="19" t="n"/>
      <c r="O853" s="19" t="n"/>
      <c r="Q853" s="19" t="n"/>
      <c r="R853" s="19" t="n"/>
      <c r="S853" s="19" t="n"/>
      <c r="T853" s="19" t="n"/>
    </row>
    <row r="854" ht="15.75" customHeight="1" s="545">
      <c r="A854" s="19" t="n"/>
      <c r="B854" s="19" t="n"/>
      <c r="C854" s="19" t="n"/>
      <c r="D854" s="19" t="n"/>
      <c r="E854" s="19" t="n"/>
      <c r="F854" s="19" t="n"/>
      <c r="H854" s="19" t="n"/>
      <c r="I854" s="19" t="n"/>
      <c r="J854" s="19" t="n"/>
      <c r="K854" s="19" t="n"/>
      <c r="M854" s="19" t="n"/>
      <c r="O854" s="19" t="n"/>
      <c r="Q854" s="19" t="n"/>
      <c r="R854" s="19" t="n"/>
      <c r="S854" s="19" t="n"/>
      <c r="T854" s="19" t="n"/>
    </row>
    <row r="855" ht="15.75" customHeight="1" s="545">
      <c r="A855" s="19" t="n"/>
      <c r="B855" s="19" t="n"/>
      <c r="C855" s="19" t="n"/>
      <c r="D855" s="19" t="n"/>
      <c r="E855" s="19" t="n"/>
      <c r="F855" s="19" t="n"/>
      <c r="H855" s="19" t="n"/>
      <c r="I855" s="19" t="n"/>
      <c r="J855" s="19" t="n"/>
      <c r="K855" s="19" t="n"/>
      <c r="M855" s="19" t="n"/>
      <c r="O855" s="19" t="n"/>
      <c r="Q855" s="19" t="n"/>
      <c r="R855" s="19" t="n"/>
      <c r="S855" s="19" t="n"/>
      <c r="T855" s="19" t="n"/>
    </row>
    <row r="856" ht="15.75" customHeight="1" s="545">
      <c r="A856" s="19" t="n"/>
      <c r="B856" s="19" t="n"/>
      <c r="C856" s="19" t="n"/>
      <c r="D856" s="19" t="n"/>
      <c r="E856" s="19" t="n"/>
      <c r="F856" s="19" t="n"/>
      <c r="H856" s="19" t="n"/>
      <c r="I856" s="19" t="n"/>
      <c r="J856" s="19" t="n"/>
      <c r="K856" s="19" t="n"/>
      <c r="M856" s="19" t="n"/>
      <c r="O856" s="19" t="n"/>
      <c r="Q856" s="19" t="n"/>
      <c r="R856" s="19" t="n"/>
      <c r="S856" s="19" t="n"/>
      <c r="T856" s="19" t="n"/>
    </row>
    <row r="857" ht="15.75" customHeight="1" s="545">
      <c r="A857" s="19" t="n"/>
      <c r="B857" s="19" t="n"/>
      <c r="C857" s="19" t="n"/>
      <c r="D857" s="19" t="n"/>
      <c r="E857" s="19" t="n"/>
      <c r="F857" s="19" t="n"/>
      <c r="H857" s="19" t="n"/>
      <c r="I857" s="19" t="n"/>
      <c r="J857" s="19" t="n"/>
      <c r="K857" s="19" t="n"/>
      <c r="M857" s="19" t="n"/>
      <c r="O857" s="19" t="n"/>
      <c r="Q857" s="19" t="n"/>
      <c r="R857" s="19" t="n"/>
      <c r="S857" s="19" t="n"/>
      <c r="T857" s="19" t="n"/>
    </row>
    <row r="858" ht="15.75" customHeight="1" s="545">
      <c r="A858" s="19" t="n"/>
      <c r="B858" s="19" t="n"/>
      <c r="C858" s="19" t="n"/>
      <c r="D858" s="19" t="n"/>
      <c r="E858" s="19" t="n"/>
      <c r="F858" s="19" t="n"/>
      <c r="H858" s="19" t="n"/>
      <c r="I858" s="19" t="n"/>
      <c r="J858" s="19" t="n"/>
      <c r="K858" s="19" t="n"/>
      <c r="M858" s="19" t="n"/>
      <c r="O858" s="19" t="n"/>
      <c r="Q858" s="19" t="n"/>
      <c r="R858" s="19" t="n"/>
      <c r="S858" s="19" t="n"/>
      <c r="T858" s="19" t="n"/>
    </row>
    <row r="859" ht="15.75" customHeight="1" s="545">
      <c r="A859" s="19" t="n"/>
      <c r="B859" s="19" t="n"/>
      <c r="C859" s="19" t="n"/>
      <c r="D859" s="19" t="n"/>
      <c r="E859" s="19" t="n"/>
      <c r="F859" s="19" t="n"/>
      <c r="H859" s="19" t="n"/>
      <c r="I859" s="19" t="n"/>
      <c r="J859" s="19" t="n"/>
      <c r="K859" s="19" t="n"/>
      <c r="M859" s="19" t="n"/>
      <c r="O859" s="19" t="n"/>
      <c r="Q859" s="19" t="n"/>
      <c r="R859" s="19" t="n"/>
      <c r="S859" s="19" t="n"/>
      <c r="T859" s="19" t="n"/>
    </row>
    <row r="860" ht="15.75" customHeight="1" s="545">
      <c r="A860" s="19" t="n"/>
      <c r="B860" s="19" t="n"/>
      <c r="C860" s="19" t="n"/>
      <c r="D860" s="19" t="n"/>
      <c r="E860" s="19" t="n"/>
      <c r="F860" s="19" t="n"/>
      <c r="H860" s="19" t="n"/>
      <c r="I860" s="19" t="n"/>
      <c r="J860" s="19" t="n"/>
      <c r="K860" s="19" t="n"/>
      <c r="M860" s="19" t="n"/>
      <c r="O860" s="19" t="n"/>
      <c r="Q860" s="19" t="n"/>
      <c r="R860" s="19" t="n"/>
      <c r="S860" s="19" t="n"/>
      <c r="T860" s="19" t="n"/>
    </row>
    <row r="861" ht="15.75" customHeight="1" s="545">
      <c r="A861" s="19" t="n"/>
      <c r="B861" s="19" t="n"/>
      <c r="C861" s="19" t="n"/>
      <c r="D861" s="19" t="n"/>
      <c r="E861" s="19" t="n"/>
      <c r="F861" s="19" t="n"/>
      <c r="H861" s="19" t="n"/>
      <c r="I861" s="19" t="n"/>
      <c r="J861" s="19" t="n"/>
      <c r="K861" s="19" t="n"/>
      <c r="M861" s="19" t="n"/>
      <c r="O861" s="19" t="n"/>
      <c r="Q861" s="19" t="n"/>
      <c r="R861" s="19" t="n"/>
      <c r="S861" s="19" t="n"/>
      <c r="T861" s="19" t="n"/>
    </row>
    <row r="862" ht="15.75" customHeight="1" s="545">
      <c r="A862" s="19" t="n"/>
      <c r="B862" s="19" t="n"/>
      <c r="C862" s="19" t="n"/>
      <c r="D862" s="19" t="n"/>
      <c r="E862" s="19" t="n"/>
      <c r="F862" s="19" t="n"/>
      <c r="H862" s="19" t="n"/>
      <c r="I862" s="19" t="n"/>
      <c r="J862" s="19" t="n"/>
      <c r="K862" s="19" t="n"/>
      <c r="M862" s="19" t="n"/>
      <c r="O862" s="19" t="n"/>
      <c r="Q862" s="19" t="n"/>
      <c r="R862" s="19" t="n"/>
      <c r="S862" s="19" t="n"/>
      <c r="T862" s="19" t="n"/>
    </row>
    <row r="863" ht="15.75" customHeight="1" s="545">
      <c r="A863" s="19" t="n"/>
      <c r="B863" s="19" t="n"/>
      <c r="C863" s="19" t="n"/>
      <c r="D863" s="19" t="n"/>
      <c r="E863" s="19" t="n"/>
      <c r="F863" s="19" t="n"/>
      <c r="H863" s="19" t="n"/>
      <c r="I863" s="19" t="n"/>
      <c r="J863" s="19" t="n"/>
      <c r="K863" s="19" t="n"/>
      <c r="M863" s="19" t="n"/>
      <c r="O863" s="19" t="n"/>
      <c r="Q863" s="19" t="n"/>
      <c r="R863" s="19" t="n"/>
      <c r="S863" s="19" t="n"/>
      <c r="T863" s="19" t="n"/>
    </row>
    <row r="864" ht="15.75" customHeight="1" s="545">
      <c r="A864" s="19" t="n"/>
      <c r="B864" s="19" t="n"/>
      <c r="C864" s="19" t="n"/>
      <c r="D864" s="19" t="n"/>
      <c r="E864" s="19" t="n"/>
      <c r="F864" s="19" t="n"/>
      <c r="H864" s="19" t="n"/>
      <c r="I864" s="19" t="n"/>
      <c r="J864" s="19" t="n"/>
      <c r="K864" s="19" t="n"/>
      <c r="M864" s="19" t="n"/>
      <c r="O864" s="19" t="n"/>
      <c r="Q864" s="19" t="n"/>
      <c r="R864" s="19" t="n"/>
      <c r="S864" s="19" t="n"/>
      <c r="T864" s="19" t="n"/>
    </row>
    <row r="865" ht="15.75" customHeight="1" s="545">
      <c r="A865" s="19" t="n"/>
      <c r="B865" s="19" t="n"/>
      <c r="C865" s="19" t="n"/>
      <c r="D865" s="19" t="n"/>
      <c r="E865" s="19" t="n"/>
      <c r="F865" s="19" t="n"/>
      <c r="H865" s="19" t="n"/>
      <c r="I865" s="19" t="n"/>
      <c r="J865" s="19" t="n"/>
      <c r="K865" s="19" t="n"/>
      <c r="M865" s="19" t="n"/>
      <c r="O865" s="19" t="n"/>
      <c r="Q865" s="19" t="n"/>
      <c r="R865" s="19" t="n"/>
      <c r="S865" s="19" t="n"/>
      <c r="T865" s="19" t="n"/>
    </row>
    <row r="866" ht="15.75" customHeight="1" s="545">
      <c r="A866" s="19" t="n"/>
      <c r="B866" s="19" t="n"/>
      <c r="C866" s="19" t="n"/>
      <c r="D866" s="19" t="n"/>
      <c r="E866" s="19" t="n"/>
      <c r="F866" s="19" t="n"/>
      <c r="H866" s="19" t="n"/>
      <c r="I866" s="19" t="n"/>
      <c r="J866" s="19" t="n"/>
      <c r="K866" s="19" t="n"/>
      <c r="M866" s="19" t="n"/>
      <c r="O866" s="19" t="n"/>
      <c r="Q866" s="19" t="n"/>
      <c r="R866" s="19" t="n"/>
      <c r="S866" s="19" t="n"/>
      <c r="T866" s="19" t="n"/>
    </row>
    <row r="867" ht="15.75" customHeight="1" s="545">
      <c r="A867" s="19" t="n"/>
      <c r="B867" s="19" t="n"/>
      <c r="C867" s="19" t="n"/>
      <c r="D867" s="19" t="n"/>
      <c r="E867" s="19" t="n"/>
      <c r="F867" s="19" t="n"/>
      <c r="H867" s="19" t="n"/>
      <c r="I867" s="19" t="n"/>
      <c r="J867" s="19" t="n"/>
      <c r="K867" s="19" t="n"/>
      <c r="M867" s="19" t="n"/>
      <c r="O867" s="19" t="n"/>
      <c r="Q867" s="19" t="n"/>
      <c r="R867" s="19" t="n"/>
      <c r="S867" s="19" t="n"/>
      <c r="T867" s="19" t="n"/>
    </row>
    <row r="868" ht="15.75" customHeight="1" s="545">
      <c r="A868" s="19" t="n"/>
      <c r="B868" s="19" t="n"/>
      <c r="C868" s="19" t="n"/>
      <c r="D868" s="19" t="n"/>
      <c r="E868" s="19" t="n"/>
      <c r="F868" s="19" t="n"/>
      <c r="H868" s="19" t="n"/>
      <c r="I868" s="19" t="n"/>
      <c r="J868" s="19" t="n"/>
      <c r="K868" s="19" t="n"/>
      <c r="M868" s="19" t="n"/>
      <c r="O868" s="19" t="n"/>
      <c r="Q868" s="19" t="n"/>
      <c r="R868" s="19" t="n"/>
      <c r="S868" s="19" t="n"/>
      <c r="T868" s="19" t="n"/>
    </row>
    <row r="869" ht="15.75" customHeight="1" s="545">
      <c r="A869" s="19" t="n"/>
      <c r="B869" s="19" t="n"/>
      <c r="C869" s="19" t="n"/>
      <c r="D869" s="19" t="n"/>
      <c r="E869" s="19" t="n"/>
      <c r="F869" s="19" t="n"/>
      <c r="H869" s="19" t="n"/>
      <c r="I869" s="19" t="n"/>
      <c r="J869" s="19" t="n"/>
      <c r="K869" s="19" t="n"/>
      <c r="M869" s="19" t="n"/>
      <c r="O869" s="19" t="n"/>
      <c r="Q869" s="19" t="n"/>
      <c r="R869" s="19" t="n"/>
      <c r="S869" s="19" t="n"/>
      <c r="T869" s="19" t="n"/>
    </row>
    <row r="870" ht="15.75" customHeight="1" s="545">
      <c r="A870" s="19" t="n"/>
      <c r="B870" s="19" t="n"/>
      <c r="C870" s="19" t="n"/>
      <c r="D870" s="19" t="n"/>
      <c r="E870" s="19" t="n"/>
      <c r="F870" s="19" t="n"/>
      <c r="H870" s="19" t="n"/>
      <c r="I870" s="19" t="n"/>
      <c r="J870" s="19" t="n"/>
      <c r="K870" s="19" t="n"/>
      <c r="M870" s="19" t="n"/>
      <c r="O870" s="19" t="n"/>
      <c r="Q870" s="19" t="n"/>
      <c r="R870" s="19" t="n"/>
      <c r="S870" s="19" t="n"/>
      <c r="T870" s="19" t="n"/>
    </row>
    <row r="871" ht="15.75" customHeight="1" s="545">
      <c r="A871" s="19" t="n"/>
      <c r="B871" s="19" t="n"/>
      <c r="C871" s="19" t="n"/>
      <c r="D871" s="19" t="n"/>
      <c r="E871" s="19" t="n"/>
      <c r="F871" s="19" t="n"/>
      <c r="H871" s="19" t="n"/>
      <c r="I871" s="19" t="n"/>
      <c r="J871" s="19" t="n"/>
      <c r="K871" s="19" t="n"/>
      <c r="M871" s="19" t="n"/>
      <c r="O871" s="19" t="n"/>
      <c r="Q871" s="19" t="n"/>
      <c r="R871" s="19" t="n"/>
      <c r="S871" s="19" t="n"/>
      <c r="T871" s="19" t="n"/>
    </row>
    <row r="872" ht="15.75" customHeight="1" s="545">
      <c r="A872" s="19" t="n"/>
      <c r="B872" s="19" t="n"/>
      <c r="C872" s="19" t="n"/>
      <c r="D872" s="19" t="n"/>
      <c r="E872" s="19" t="n"/>
      <c r="F872" s="19" t="n"/>
      <c r="H872" s="19" t="n"/>
      <c r="I872" s="19" t="n"/>
      <c r="J872" s="19" t="n"/>
      <c r="K872" s="19" t="n"/>
      <c r="M872" s="19" t="n"/>
      <c r="O872" s="19" t="n"/>
      <c r="Q872" s="19" t="n"/>
      <c r="R872" s="19" t="n"/>
      <c r="S872" s="19" t="n"/>
      <c r="T872" s="19" t="n"/>
    </row>
    <row r="873" ht="15.75" customHeight="1" s="545">
      <c r="A873" s="19" t="n"/>
      <c r="B873" s="19" t="n"/>
      <c r="C873" s="19" t="n"/>
      <c r="D873" s="19" t="n"/>
      <c r="E873" s="19" t="n"/>
      <c r="F873" s="19" t="n"/>
      <c r="H873" s="19" t="n"/>
      <c r="I873" s="19" t="n"/>
      <c r="J873" s="19" t="n"/>
      <c r="K873" s="19" t="n"/>
      <c r="M873" s="19" t="n"/>
      <c r="O873" s="19" t="n"/>
      <c r="Q873" s="19" t="n"/>
      <c r="R873" s="19" t="n"/>
      <c r="S873" s="19" t="n"/>
      <c r="T873" s="19" t="n"/>
    </row>
    <row r="874" ht="15.75" customHeight="1" s="545">
      <c r="A874" s="19" t="n"/>
      <c r="B874" s="19" t="n"/>
      <c r="C874" s="19" t="n"/>
      <c r="D874" s="19" t="n"/>
      <c r="E874" s="19" t="n"/>
      <c r="F874" s="19" t="n"/>
      <c r="H874" s="19" t="n"/>
      <c r="I874" s="19" t="n"/>
      <c r="J874" s="19" t="n"/>
      <c r="K874" s="19" t="n"/>
      <c r="M874" s="19" t="n"/>
      <c r="O874" s="19" t="n"/>
      <c r="Q874" s="19" t="n"/>
      <c r="R874" s="19" t="n"/>
      <c r="S874" s="19" t="n"/>
      <c r="T874" s="19" t="n"/>
    </row>
    <row r="875" ht="15.75" customHeight="1" s="545">
      <c r="A875" s="19" t="n"/>
      <c r="B875" s="19" t="n"/>
      <c r="C875" s="19" t="n"/>
      <c r="D875" s="19" t="n"/>
      <c r="E875" s="19" t="n"/>
      <c r="F875" s="19" t="n"/>
      <c r="H875" s="19" t="n"/>
      <c r="I875" s="19" t="n"/>
      <c r="J875" s="19" t="n"/>
      <c r="K875" s="19" t="n"/>
      <c r="M875" s="19" t="n"/>
      <c r="O875" s="19" t="n"/>
      <c r="Q875" s="19" t="n"/>
      <c r="R875" s="19" t="n"/>
      <c r="S875" s="19" t="n"/>
      <c r="T875" s="19" t="n"/>
    </row>
    <row r="876" ht="15.75" customHeight="1" s="545">
      <c r="A876" s="19" t="n"/>
      <c r="B876" s="19" t="n"/>
      <c r="C876" s="19" t="n"/>
      <c r="D876" s="19" t="n"/>
      <c r="E876" s="19" t="n"/>
      <c r="F876" s="19" t="n"/>
      <c r="H876" s="19" t="n"/>
      <c r="I876" s="19" t="n"/>
      <c r="J876" s="19" t="n"/>
      <c r="K876" s="19" t="n"/>
      <c r="M876" s="19" t="n"/>
      <c r="O876" s="19" t="n"/>
      <c r="Q876" s="19" t="n"/>
      <c r="R876" s="19" t="n"/>
      <c r="S876" s="19" t="n"/>
      <c r="T876" s="19" t="n"/>
    </row>
    <row r="877" ht="15.75" customHeight="1" s="545">
      <c r="A877" s="19" t="n"/>
      <c r="B877" s="19" t="n"/>
      <c r="C877" s="19" t="n"/>
      <c r="D877" s="19" t="n"/>
      <c r="E877" s="19" t="n"/>
      <c r="F877" s="19" t="n"/>
      <c r="H877" s="19" t="n"/>
      <c r="I877" s="19" t="n"/>
      <c r="J877" s="19" t="n"/>
      <c r="K877" s="19" t="n"/>
      <c r="M877" s="19" t="n"/>
      <c r="O877" s="19" t="n"/>
      <c r="Q877" s="19" t="n"/>
      <c r="R877" s="19" t="n"/>
      <c r="S877" s="19" t="n"/>
      <c r="T877" s="19" t="n"/>
    </row>
    <row r="878" ht="15.75" customHeight="1" s="545">
      <c r="A878" s="19" t="n"/>
      <c r="B878" s="19" t="n"/>
      <c r="C878" s="19" t="n"/>
      <c r="D878" s="19" t="n"/>
      <c r="E878" s="19" t="n"/>
      <c r="F878" s="19" t="n"/>
      <c r="H878" s="19" t="n"/>
      <c r="I878" s="19" t="n"/>
      <c r="J878" s="19" t="n"/>
      <c r="K878" s="19" t="n"/>
      <c r="M878" s="19" t="n"/>
      <c r="O878" s="19" t="n"/>
      <c r="Q878" s="19" t="n"/>
      <c r="R878" s="19" t="n"/>
      <c r="S878" s="19" t="n"/>
      <c r="T878" s="19" t="n"/>
    </row>
    <row r="879" ht="15.75" customHeight="1" s="545">
      <c r="A879" s="19" t="n"/>
      <c r="B879" s="19" t="n"/>
      <c r="C879" s="19" t="n"/>
      <c r="D879" s="19" t="n"/>
      <c r="E879" s="19" t="n"/>
      <c r="F879" s="19" t="n"/>
      <c r="H879" s="19" t="n"/>
      <c r="I879" s="19" t="n"/>
      <c r="J879" s="19" t="n"/>
      <c r="K879" s="19" t="n"/>
      <c r="M879" s="19" t="n"/>
      <c r="O879" s="19" t="n"/>
      <c r="Q879" s="19" t="n"/>
      <c r="R879" s="19" t="n"/>
      <c r="S879" s="19" t="n"/>
      <c r="T879" s="19" t="n"/>
    </row>
    <row r="880" ht="15.75" customHeight="1" s="545">
      <c r="A880" s="19" t="n"/>
      <c r="B880" s="19" t="n"/>
      <c r="C880" s="19" t="n"/>
      <c r="D880" s="19" t="n"/>
      <c r="E880" s="19" t="n"/>
      <c r="F880" s="19" t="n"/>
      <c r="H880" s="19" t="n"/>
      <c r="I880" s="19" t="n"/>
      <c r="J880" s="19" t="n"/>
      <c r="K880" s="19" t="n"/>
      <c r="M880" s="19" t="n"/>
      <c r="O880" s="19" t="n"/>
      <c r="Q880" s="19" t="n"/>
      <c r="R880" s="19" t="n"/>
      <c r="S880" s="19" t="n"/>
      <c r="T880" s="19" t="n"/>
    </row>
    <row r="881" ht="15.75" customHeight="1" s="545">
      <c r="A881" s="19" t="n"/>
      <c r="B881" s="19" t="n"/>
      <c r="C881" s="19" t="n"/>
      <c r="D881" s="19" t="n"/>
      <c r="E881" s="19" t="n"/>
      <c r="F881" s="19" t="n"/>
      <c r="H881" s="19" t="n"/>
      <c r="I881" s="19" t="n"/>
      <c r="J881" s="19" t="n"/>
      <c r="K881" s="19" t="n"/>
      <c r="M881" s="19" t="n"/>
      <c r="O881" s="19" t="n"/>
      <c r="Q881" s="19" t="n"/>
      <c r="R881" s="19" t="n"/>
      <c r="S881" s="19" t="n"/>
      <c r="T881" s="19" t="n"/>
    </row>
    <row r="882" ht="15.75" customHeight="1" s="545">
      <c r="A882" s="19" t="n"/>
      <c r="B882" s="19" t="n"/>
      <c r="C882" s="19" t="n"/>
      <c r="D882" s="19" t="n"/>
      <c r="E882" s="19" t="n"/>
      <c r="F882" s="19" t="n"/>
      <c r="H882" s="19" t="n"/>
      <c r="I882" s="19" t="n"/>
      <c r="J882" s="19" t="n"/>
      <c r="K882" s="19" t="n"/>
      <c r="M882" s="19" t="n"/>
      <c r="O882" s="19" t="n"/>
      <c r="Q882" s="19" t="n"/>
      <c r="R882" s="19" t="n"/>
      <c r="S882" s="19" t="n"/>
      <c r="T882" s="19" t="n"/>
    </row>
    <row r="883" ht="15.75" customHeight="1" s="545">
      <c r="A883" s="19" t="n"/>
      <c r="B883" s="19" t="n"/>
      <c r="C883" s="19" t="n"/>
      <c r="D883" s="19" t="n"/>
      <c r="E883" s="19" t="n"/>
      <c r="F883" s="19" t="n"/>
      <c r="H883" s="19" t="n"/>
      <c r="I883" s="19" t="n"/>
      <c r="J883" s="19" t="n"/>
      <c r="K883" s="19" t="n"/>
      <c r="M883" s="19" t="n"/>
      <c r="O883" s="19" t="n"/>
      <c r="Q883" s="19" t="n"/>
      <c r="R883" s="19" t="n"/>
      <c r="S883" s="19" t="n"/>
      <c r="T883" s="19" t="n"/>
    </row>
    <row r="884" ht="15.75" customHeight="1" s="545">
      <c r="A884" s="19" t="n"/>
      <c r="B884" s="19" t="n"/>
      <c r="C884" s="19" t="n"/>
      <c r="D884" s="19" t="n"/>
      <c r="E884" s="19" t="n"/>
      <c r="F884" s="19" t="n"/>
      <c r="H884" s="19" t="n"/>
      <c r="I884" s="19" t="n"/>
      <c r="J884" s="19" t="n"/>
      <c r="K884" s="19" t="n"/>
      <c r="M884" s="19" t="n"/>
      <c r="O884" s="19" t="n"/>
      <c r="Q884" s="19" t="n"/>
      <c r="R884" s="19" t="n"/>
      <c r="S884" s="19" t="n"/>
      <c r="T884" s="19" t="n"/>
    </row>
    <row r="885" ht="15.75" customHeight="1" s="545">
      <c r="A885" s="19" t="n"/>
      <c r="B885" s="19" t="n"/>
      <c r="C885" s="19" t="n"/>
      <c r="D885" s="19" t="n"/>
      <c r="E885" s="19" t="n"/>
      <c r="F885" s="19" t="n"/>
      <c r="H885" s="19" t="n"/>
      <c r="I885" s="19" t="n"/>
      <c r="J885" s="19" t="n"/>
      <c r="K885" s="19" t="n"/>
      <c r="M885" s="19" t="n"/>
      <c r="O885" s="19" t="n"/>
      <c r="Q885" s="19" t="n"/>
      <c r="R885" s="19" t="n"/>
      <c r="S885" s="19" t="n"/>
      <c r="T885" s="19" t="n"/>
    </row>
    <row r="886" ht="15.75" customHeight="1" s="545">
      <c r="A886" s="19" t="n"/>
      <c r="B886" s="19" t="n"/>
      <c r="C886" s="19" t="n"/>
      <c r="D886" s="19" t="n"/>
      <c r="E886" s="19" t="n"/>
      <c r="F886" s="19" t="n"/>
      <c r="H886" s="19" t="n"/>
      <c r="I886" s="19" t="n"/>
      <c r="J886" s="19" t="n"/>
      <c r="K886" s="19" t="n"/>
      <c r="M886" s="19" t="n"/>
      <c r="O886" s="19" t="n"/>
      <c r="Q886" s="19" t="n"/>
      <c r="R886" s="19" t="n"/>
      <c r="S886" s="19" t="n"/>
      <c r="T886" s="19" t="n"/>
    </row>
    <row r="887" ht="15.75" customHeight="1" s="545">
      <c r="A887" s="19" t="n"/>
      <c r="B887" s="19" t="n"/>
      <c r="C887" s="19" t="n"/>
      <c r="D887" s="19" t="n"/>
      <c r="E887" s="19" t="n"/>
      <c r="F887" s="19" t="n"/>
      <c r="H887" s="19" t="n"/>
      <c r="I887" s="19" t="n"/>
      <c r="J887" s="19" t="n"/>
      <c r="K887" s="19" t="n"/>
      <c r="M887" s="19" t="n"/>
      <c r="O887" s="19" t="n"/>
      <c r="Q887" s="19" t="n"/>
      <c r="R887" s="19" t="n"/>
      <c r="S887" s="19" t="n"/>
      <c r="T887" s="19" t="n"/>
    </row>
    <row r="888" ht="15.75" customHeight="1" s="545">
      <c r="A888" s="19" t="n"/>
      <c r="B888" s="19" t="n"/>
      <c r="C888" s="19" t="n"/>
      <c r="D888" s="19" t="n"/>
      <c r="E888" s="19" t="n"/>
      <c r="F888" s="19" t="n"/>
      <c r="H888" s="19" t="n"/>
      <c r="I888" s="19" t="n"/>
      <c r="J888" s="19" t="n"/>
      <c r="K888" s="19" t="n"/>
      <c r="M888" s="19" t="n"/>
      <c r="O888" s="19" t="n"/>
      <c r="Q888" s="19" t="n"/>
      <c r="R888" s="19" t="n"/>
      <c r="S888" s="19" t="n"/>
      <c r="T888" s="19" t="n"/>
    </row>
    <row r="889" ht="15.75" customHeight="1" s="545">
      <c r="A889" s="19" t="n"/>
      <c r="B889" s="19" t="n"/>
      <c r="C889" s="19" t="n"/>
      <c r="D889" s="19" t="n"/>
      <c r="E889" s="19" t="n"/>
      <c r="F889" s="19" t="n"/>
      <c r="H889" s="19" t="n"/>
      <c r="I889" s="19" t="n"/>
      <c r="J889" s="19" t="n"/>
      <c r="K889" s="19" t="n"/>
      <c r="M889" s="19" t="n"/>
      <c r="O889" s="19" t="n"/>
      <c r="Q889" s="19" t="n"/>
      <c r="R889" s="19" t="n"/>
      <c r="S889" s="19" t="n"/>
      <c r="T889" s="19" t="n"/>
    </row>
    <row r="890" ht="15.75" customHeight="1" s="545">
      <c r="A890" s="19" t="n"/>
      <c r="B890" s="19" t="n"/>
      <c r="C890" s="19" t="n"/>
      <c r="D890" s="19" t="n"/>
      <c r="E890" s="19" t="n"/>
      <c r="F890" s="19" t="n"/>
      <c r="H890" s="19" t="n"/>
      <c r="I890" s="19" t="n"/>
      <c r="J890" s="19" t="n"/>
      <c r="K890" s="19" t="n"/>
      <c r="M890" s="19" t="n"/>
      <c r="O890" s="19" t="n"/>
      <c r="Q890" s="19" t="n"/>
      <c r="R890" s="19" t="n"/>
      <c r="S890" s="19" t="n"/>
      <c r="T890" s="19" t="n"/>
    </row>
    <row r="891" ht="15.75" customHeight="1" s="545">
      <c r="A891" s="19" t="n"/>
      <c r="B891" s="19" t="n"/>
      <c r="C891" s="19" t="n"/>
      <c r="D891" s="19" t="n"/>
      <c r="E891" s="19" t="n"/>
      <c r="F891" s="19" t="n"/>
      <c r="H891" s="19" t="n"/>
      <c r="I891" s="19" t="n"/>
      <c r="J891" s="19" t="n"/>
      <c r="K891" s="19" t="n"/>
      <c r="M891" s="19" t="n"/>
      <c r="O891" s="19" t="n"/>
      <c r="Q891" s="19" t="n"/>
      <c r="R891" s="19" t="n"/>
      <c r="S891" s="19" t="n"/>
      <c r="T891" s="19" t="n"/>
    </row>
    <row r="892" ht="15.75" customHeight="1" s="545">
      <c r="A892" s="19" t="n"/>
      <c r="B892" s="19" t="n"/>
      <c r="C892" s="19" t="n"/>
      <c r="D892" s="19" t="n"/>
      <c r="E892" s="19" t="n"/>
      <c r="F892" s="19" t="n"/>
      <c r="H892" s="19" t="n"/>
      <c r="I892" s="19" t="n"/>
      <c r="J892" s="19" t="n"/>
      <c r="K892" s="19" t="n"/>
      <c r="M892" s="19" t="n"/>
      <c r="O892" s="19" t="n"/>
      <c r="Q892" s="19" t="n"/>
      <c r="R892" s="19" t="n"/>
      <c r="S892" s="19" t="n"/>
      <c r="T892" s="19" t="n"/>
    </row>
    <row r="893" ht="15.75" customHeight="1" s="545">
      <c r="A893" s="19" t="n"/>
      <c r="B893" s="19" t="n"/>
      <c r="C893" s="19" t="n"/>
      <c r="D893" s="19" t="n"/>
      <c r="E893" s="19" t="n"/>
      <c r="F893" s="19" t="n"/>
      <c r="H893" s="19" t="n"/>
      <c r="I893" s="19" t="n"/>
      <c r="J893" s="19" t="n"/>
      <c r="K893" s="19" t="n"/>
      <c r="M893" s="19" t="n"/>
      <c r="O893" s="19" t="n"/>
      <c r="Q893" s="19" t="n"/>
      <c r="R893" s="19" t="n"/>
      <c r="S893" s="19" t="n"/>
      <c r="T893" s="19" t="n"/>
    </row>
    <row r="894" ht="15.75" customHeight="1" s="545">
      <c r="A894" s="19" t="n"/>
      <c r="B894" s="19" t="n"/>
      <c r="C894" s="19" t="n"/>
      <c r="D894" s="19" t="n"/>
      <c r="E894" s="19" t="n"/>
      <c r="F894" s="19" t="n"/>
      <c r="H894" s="19" t="n"/>
      <c r="I894" s="19" t="n"/>
      <c r="J894" s="19" t="n"/>
      <c r="K894" s="19" t="n"/>
      <c r="M894" s="19" t="n"/>
      <c r="O894" s="19" t="n"/>
      <c r="Q894" s="19" t="n"/>
      <c r="R894" s="19" t="n"/>
      <c r="S894" s="19" t="n"/>
      <c r="T894" s="19" t="n"/>
    </row>
    <row r="895" ht="15.75" customHeight="1" s="545">
      <c r="A895" s="19" t="n"/>
      <c r="B895" s="19" t="n"/>
      <c r="C895" s="19" t="n"/>
      <c r="D895" s="19" t="n"/>
      <c r="E895" s="19" t="n"/>
      <c r="F895" s="19" t="n"/>
      <c r="H895" s="19" t="n"/>
      <c r="I895" s="19" t="n"/>
      <c r="J895" s="19" t="n"/>
      <c r="K895" s="19" t="n"/>
      <c r="M895" s="19" t="n"/>
      <c r="O895" s="19" t="n"/>
      <c r="Q895" s="19" t="n"/>
      <c r="R895" s="19" t="n"/>
      <c r="S895" s="19" t="n"/>
      <c r="T895" s="19" t="n"/>
    </row>
    <row r="896" ht="15.75" customHeight="1" s="545">
      <c r="A896" s="19" t="n"/>
      <c r="B896" s="19" t="n"/>
      <c r="C896" s="19" t="n"/>
      <c r="D896" s="19" t="n"/>
      <c r="E896" s="19" t="n"/>
      <c r="F896" s="19" t="n"/>
      <c r="H896" s="19" t="n"/>
      <c r="I896" s="19" t="n"/>
      <c r="J896" s="19" t="n"/>
      <c r="K896" s="19" t="n"/>
      <c r="M896" s="19" t="n"/>
      <c r="O896" s="19" t="n"/>
      <c r="Q896" s="19" t="n"/>
      <c r="R896" s="19" t="n"/>
      <c r="S896" s="19" t="n"/>
      <c r="T896" s="19" t="n"/>
    </row>
    <row r="897" ht="15.75" customHeight="1" s="545">
      <c r="A897" s="19" t="n"/>
      <c r="B897" s="19" t="n"/>
      <c r="C897" s="19" t="n"/>
      <c r="D897" s="19" t="n"/>
      <c r="E897" s="19" t="n"/>
      <c r="F897" s="19" t="n"/>
      <c r="H897" s="19" t="n"/>
      <c r="I897" s="19" t="n"/>
      <c r="J897" s="19" t="n"/>
      <c r="K897" s="19" t="n"/>
      <c r="M897" s="19" t="n"/>
      <c r="O897" s="19" t="n"/>
      <c r="Q897" s="19" t="n"/>
      <c r="R897" s="19" t="n"/>
      <c r="S897" s="19" t="n"/>
      <c r="T897" s="19" t="n"/>
    </row>
    <row r="898" ht="15.75" customHeight="1" s="545">
      <c r="A898" s="19" t="n"/>
      <c r="B898" s="19" t="n"/>
      <c r="C898" s="19" t="n"/>
      <c r="D898" s="19" t="n"/>
      <c r="E898" s="19" t="n"/>
      <c r="F898" s="19" t="n"/>
      <c r="H898" s="19" t="n"/>
      <c r="I898" s="19" t="n"/>
      <c r="J898" s="19" t="n"/>
      <c r="K898" s="19" t="n"/>
      <c r="M898" s="19" t="n"/>
      <c r="O898" s="19" t="n"/>
      <c r="Q898" s="19" t="n"/>
      <c r="R898" s="19" t="n"/>
      <c r="S898" s="19" t="n"/>
      <c r="T898" s="19" t="n"/>
    </row>
    <row r="899" ht="15.75" customHeight="1" s="545">
      <c r="A899" s="19" t="n"/>
      <c r="B899" s="19" t="n"/>
      <c r="C899" s="19" t="n"/>
      <c r="D899" s="19" t="n"/>
      <c r="E899" s="19" t="n"/>
      <c r="F899" s="19" t="n"/>
      <c r="H899" s="19" t="n"/>
      <c r="I899" s="19" t="n"/>
      <c r="J899" s="19" t="n"/>
      <c r="K899" s="19" t="n"/>
      <c r="M899" s="19" t="n"/>
      <c r="O899" s="19" t="n"/>
      <c r="Q899" s="19" t="n"/>
      <c r="R899" s="19" t="n"/>
      <c r="S899" s="19" t="n"/>
      <c r="T899" s="19" t="n"/>
    </row>
    <row r="900" ht="15.75" customHeight="1" s="545">
      <c r="A900" s="19" t="n"/>
      <c r="B900" s="19" t="n"/>
      <c r="C900" s="19" t="n"/>
      <c r="D900" s="19" t="n"/>
      <c r="E900" s="19" t="n"/>
      <c r="F900" s="19" t="n"/>
      <c r="H900" s="19" t="n"/>
      <c r="I900" s="19" t="n"/>
      <c r="J900" s="19" t="n"/>
      <c r="K900" s="19" t="n"/>
      <c r="M900" s="19" t="n"/>
      <c r="O900" s="19" t="n"/>
      <c r="Q900" s="19" t="n"/>
      <c r="R900" s="19" t="n"/>
      <c r="S900" s="19" t="n"/>
      <c r="T900" s="19" t="n"/>
    </row>
    <row r="901" ht="15.75" customHeight="1" s="545">
      <c r="A901" s="19" t="n"/>
      <c r="B901" s="19" t="n"/>
      <c r="C901" s="19" t="n"/>
      <c r="D901" s="19" t="n"/>
      <c r="E901" s="19" t="n"/>
      <c r="F901" s="19" t="n"/>
      <c r="H901" s="19" t="n"/>
      <c r="I901" s="19" t="n"/>
      <c r="J901" s="19" t="n"/>
      <c r="K901" s="19" t="n"/>
      <c r="M901" s="19" t="n"/>
      <c r="O901" s="19" t="n"/>
      <c r="Q901" s="19" t="n"/>
      <c r="R901" s="19" t="n"/>
      <c r="S901" s="19" t="n"/>
      <c r="T901" s="19" t="n"/>
    </row>
    <row r="902" ht="15.75" customHeight="1" s="545">
      <c r="A902" s="19" t="n"/>
      <c r="B902" s="19" t="n"/>
      <c r="C902" s="19" t="n"/>
      <c r="D902" s="19" t="n"/>
      <c r="E902" s="19" t="n"/>
      <c r="F902" s="19" t="n"/>
      <c r="H902" s="19" t="n"/>
      <c r="I902" s="19" t="n"/>
      <c r="J902" s="19" t="n"/>
      <c r="K902" s="19" t="n"/>
      <c r="M902" s="19" t="n"/>
      <c r="O902" s="19" t="n"/>
      <c r="Q902" s="19" t="n"/>
      <c r="R902" s="19" t="n"/>
      <c r="S902" s="19" t="n"/>
      <c r="T902" s="19" t="n"/>
    </row>
    <row r="903" ht="15.75" customHeight="1" s="545">
      <c r="A903" s="19" t="n"/>
      <c r="B903" s="19" t="n"/>
      <c r="C903" s="19" t="n"/>
      <c r="D903" s="19" t="n"/>
      <c r="E903" s="19" t="n"/>
      <c r="F903" s="19" t="n"/>
      <c r="H903" s="19" t="n"/>
      <c r="I903" s="19" t="n"/>
      <c r="J903" s="19" t="n"/>
      <c r="K903" s="19" t="n"/>
      <c r="M903" s="19" t="n"/>
      <c r="O903" s="19" t="n"/>
      <c r="Q903" s="19" t="n"/>
      <c r="R903" s="19" t="n"/>
      <c r="S903" s="19" t="n"/>
      <c r="T903" s="19" t="n"/>
    </row>
    <row r="904" ht="15.75" customHeight="1" s="545">
      <c r="A904" s="19" t="n"/>
      <c r="B904" s="19" t="n"/>
      <c r="C904" s="19" t="n"/>
      <c r="D904" s="19" t="n"/>
      <c r="E904" s="19" t="n"/>
      <c r="F904" s="19" t="n"/>
      <c r="H904" s="19" t="n"/>
      <c r="I904" s="19" t="n"/>
      <c r="J904" s="19" t="n"/>
      <c r="K904" s="19" t="n"/>
      <c r="M904" s="19" t="n"/>
      <c r="O904" s="19" t="n"/>
      <c r="Q904" s="19" t="n"/>
      <c r="R904" s="19" t="n"/>
      <c r="S904" s="19" t="n"/>
      <c r="T904" s="19" t="n"/>
    </row>
    <row r="905" ht="15.75" customHeight="1" s="545">
      <c r="A905" s="19" t="n"/>
      <c r="B905" s="19" t="n"/>
      <c r="C905" s="19" t="n"/>
      <c r="D905" s="19" t="n"/>
      <c r="E905" s="19" t="n"/>
      <c r="F905" s="19" t="n"/>
      <c r="H905" s="19" t="n"/>
      <c r="I905" s="19" t="n"/>
      <c r="J905" s="19" t="n"/>
      <c r="K905" s="19" t="n"/>
      <c r="M905" s="19" t="n"/>
      <c r="O905" s="19" t="n"/>
      <c r="Q905" s="19" t="n"/>
      <c r="R905" s="19" t="n"/>
      <c r="S905" s="19" t="n"/>
      <c r="T905" s="19" t="n"/>
    </row>
    <row r="906" ht="15.75" customHeight="1" s="545">
      <c r="A906" s="19" t="n"/>
      <c r="B906" s="19" t="n"/>
      <c r="C906" s="19" t="n"/>
      <c r="D906" s="19" t="n"/>
      <c r="E906" s="19" t="n"/>
      <c r="F906" s="19" t="n"/>
      <c r="H906" s="19" t="n"/>
      <c r="I906" s="19" t="n"/>
      <c r="J906" s="19" t="n"/>
      <c r="K906" s="19" t="n"/>
      <c r="M906" s="19" t="n"/>
      <c r="O906" s="19" t="n"/>
      <c r="Q906" s="19" t="n"/>
      <c r="R906" s="19" t="n"/>
      <c r="S906" s="19" t="n"/>
      <c r="T906" s="19" t="n"/>
    </row>
    <row r="907" ht="15.75" customHeight="1" s="545">
      <c r="A907" s="19" t="n"/>
      <c r="B907" s="19" t="n"/>
      <c r="C907" s="19" t="n"/>
      <c r="D907" s="19" t="n"/>
      <c r="E907" s="19" t="n"/>
      <c r="F907" s="19" t="n"/>
      <c r="H907" s="19" t="n"/>
      <c r="I907" s="19" t="n"/>
      <c r="J907" s="19" t="n"/>
      <c r="K907" s="19" t="n"/>
      <c r="M907" s="19" t="n"/>
      <c r="O907" s="19" t="n"/>
      <c r="Q907" s="19" t="n"/>
      <c r="R907" s="19" t="n"/>
      <c r="S907" s="19" t="n"/>
      <c r="T907" s="19" t="n"/>
    </row>
    <row r="908" ht="15.75" customHeight="1" s="545">
      <c r="A908" s="19" t="n"/>
      <c r="B908" s="19" t="n"/>
      <c r="C908" s="19" t="n"/>
      <c r="D908" s="19" t="n"/>
      <c r="E908" s="19" t="n"/>
      <c r="F908" s="19" t="n"/>
      <c r="H908" s="19" t="n"/>
      <c r="I908" s="19" t="n"/>
      <c r="J908" s="19" t="n"/>
      <c r="K908" s="19" t="n"/>
      <c r="M908" s="19" t="n"/>
      <c r="O908" s="19" t="n"/>
      <c r="Q908" s="19" t="n"/>
      <c r="R908" s="19" t="n"/>
      <c r="S908" s="19" t="n"/>
      <c r="T908" s="19" t="n"/>
    </row>
    <row r="909" ht="15.75" customHeight="1" s="545">
      <c r="A909" s="19" t="n"/>
      <c r="B909" s="19" t="n"/>
      <c r="C909" s="19" t="n"/>
      <c r="D909" s="19" t="n"/>
      <c r="E909" s="19" t="n"/>
      <c r="F909" s="19" t="n"/>
      <c r="H909" s="19" t="n"/>
      <c r="I909" s="19" t="n"/>
      <c r="J909" s="19" t="n"/>
      <c r="K909" s="19" t="n"/>
      <c r="M909" s="19" t="n"/>
      <c r="O909" s="19" t="n"/>
      <c r="Q909" s="19" t="n"/>
      <c r="R909" s="19" t="n"/>
      <c r="S909" s="19" t="n"/>
      <c r="T909" s="19" t="n"/>
    </row>
    <row r="910" ht="15.75" customHeight="1" s="545">
      <c r="A910" s="19" t="n"/>
      <c r="B910" s="19" t="n"/>
      <c r="C910" s="19" t="n"/>
      <c r="D910" s="19" t="n"/>
      <c r="E910" s="19" t="n"/>
      <c r="F910" s="19" t="n"/>
      <c r="H910" s="19" t="n"/>
      <c r="I910" s="19" t="n"/>
      <c r="J910" s="19" t="n"/>
      <c r="K910" s="19" t="n"/>
      <c r="M910" s="19" t="n"/>
      <c r="O910" s="19" t="n"/>
      <c r="Q910" s="19" t="n"/>
      <c r="R910" s="19" t="n"/>
      <c r="S910" s="19" t="n"/>
      <c r="T910" s="19" t="n"/>
    </row>
    <row r="911" ht="15.75" customHeight="1" s="545">
      <c r="A911" s="19" t="n"/>
      <c r="B911" s="19" t="n"/>
      <c r="C911" s="19" t="n"/>
      <c r="D911" s="19" t="n"/>
      <c r="E911" s="19" t="n"/>
      <c r="F911" s="19" t="n"/>
      <c r="H911" s="19" t="n"/>
      <c r="I911" s="19" t="n"/>
      <c r="J911" s="19" t="n"/>
      <c r="K911" s="19" t="n"/>
      <c r="M911" s="19" t="n"/>
      <c r="O911" s="19" t="n"/>
      <c r="Q911" s="19" t="n"/>
      <c r="R911" s="19" t="n"/>
      <c r="S911" s="19" t="n"/>
      <c r="T911" s="19" t="n"/>
    </row>
    <row r="912" ht="15.75" customHeight="1" s="545">
      <c r="A912" s="19" t="n"/>
      <c r="B912" s="19" t="n"/>
      <c r="C912" s="19" t="n"/>
      <c r="D912" s="19" t="n"/>
      <c r="E912" s="19" t="n"/>
      <c r="F912" s="19" t="n"/>
      <c r="H912" s="19" t="n"/>
      <c r="I912" s="19" t="n"/>
      <c r="J912" s="19" t="n"/>
      <c r="K912" s="19" t="n"/>
      <c r="M912" s="19" t="n"/>
      <c r="O912" s="19" t="n"/>
      <c r="Q912" s="19" t="n"/>
      <c r="R912" s="19" t="n"/>
      <c r="S912" s="19" t="n"/>
      <c r="T912" s="19" t="n"/>
    </row>
    <row r="913" ht="15.75" customHeight="1" s="545">
      <c r="A913" s="19" t="n"/>
      <c r="B913" s="19" t="n"/>
      <c r="C913" s="19" t="n"/>
      <c r="D913" s="19" t="n"/>
      <c r="E913" s="19" t="n"/>
      <c r="F913" s="19" t="n"/>
      <c r="H913" s="19" t="n"/>
      <c r="I913" s="19" t="n"/>
      <c r="J913" s="19" t="n"/>
      <c r="K913" s="19" t="n"/>
      <c r="M913" s="19" t="n"/>
      <c r="O913" s="19" t="n"/>
      <c r="Q913" s="19" t="n"/>
      <c r="R913" s="19" t="n"/>
      <c r="S913" s="19" t="n"/>
      <c r="T913" s="19" t="n"/>
    </row>
    <row r="914" ht="15.75" customHeight="1" s="545">
      <c r="A914" s="19" t="n"/>
      <c r="B914" s="19" t="n"/>
      <c r="C914" s="19" t="n"/>
      <c r="D914" s="19" t="n"/>
      <c r="E914" s="19" t="n"/>
      <c r="F914" s="19" t="n"/>
      <c r="H914" s="19" t="n"/>
      <c r="I914" s="19" t="n"/>
      <c r="J914" s="19" t="n"/>
      <c r="K914" s="19" t="n"/>
      <c r="M914" s="19" t="n"/>
      <c r="O914" s="19" t="n"/>
      <c r="Q914" s="19" t="n"/>
      <c r="R914" s="19" t="n"/>
      <c r="S914" s="19" t="n"/>
      <c r="T914" s="19" t="n"/>
    </row>
    <row r="915" ht="15.75" customHeight="1" s="545">
      <c r="A915" s="19" t="n"/>
      <c r="B915" s="19" t="n"/>
      <c r="C915" s="19" t="n"/>
      <c r="D915" s="19" t="n"/>
      <c r="E915" s="19" t="n"/>
      <c r="F915" s="19" t="n"/>
      <c r="H915" s="19" t="n"/>
      <c r="I915" s="19" t="n"/>
      <c r="J915" s="19" t="n"/>
      <c r="K915" s="19" t="n"/>
      <c r="M915" s="19" t="n"/>
      <c r="O915" s="19" t="n"/>
      <c r="Q915" s="19" t="n"/>
      <c r="R915" s="19" t="n"/>
      <c r="S915" s="19" t="n"/>
      <c r="T915" s="19" t="n"/>
    </row>
    <row r="916" ht="15.75" customHeight="1" s="545">
      <c r="A916" s="19" t="n"/>
      <c r="B916" s="19" t="n"/>
      <c r="C916" s="19" t="n"/>
      <c r="D916" s="19" t="n"/>
      <c r="E916" s="19" t="n"/>
      <c r="F916" s="19" t="n"/>
      <c r="H916" s="19" t="n"/>
      <c r="I916" s="19" t="n"/>
      <c r="J916" s="19" t="n"/>
      <c r="K916" s="19" t="n"/>
      <c r="M916" s="19" t="n"/>
      <c r="O916" s="19" t="n"/>
      <c r="Q916" s="19" t="n"/>
      <c r="R916" s="19" t="n"/>
      <c r="S916" s="19" t="n"/>
      <c r="T916" s="19" t="n"/>
    </row>
    <row r="917" ht="15.75" customHeight="1" s="545">
      <c r="A917" s="19" t="n"/>
      <c r="B917" s="19" t="n"/>
      <c r="C917" s="19" t="n"/>
      <c r="D917" s="19" t="n"/>
      <c r="E917" s="19" t="n"/>
      <c r="F917" s="19" t="n"/>
      <c r="H917" s="19" t="n"/>
      <c r="I917" s="19" t="n"/>
      <c r="J917" s="19" t="n"/>
      <c r="K917" s="19" t="n"/>
      <c r="M917" s="19" t="n"/>
      <c r="O917" s="19" t="n"/>
      <c r="Q917" s="19" t="n"/>
      <c r="R917" s="19" t="n"/>
      <c r="S917" s="19" t="n"/>
      <c r="T917" s="19" t="n"/>
    </row>
    <row r="918" ht="15.75" customHeight="1" s="545">
      <c r="A918" s="19" t="n"/>
      <c r="B918" s="19" t="n"/>
      <c r="C918" s="19" t="n"/>
      <c r="D918" s="19" t="n"/>
      <c r="E918" s="19" t="n"/>
      <c r="F918" s="19" t="n"/>
      <c r="H918" s="19" t="n"/>
      <c r="I918" s="19" t="n"/>
      <c r="J918" s="19" t="n"/>
      <c r="K918" s="19" t="n"/>
      <c r="M918" s="19" t="n"/>
      <c r="O918" s="19" t="n"/>
      <c r="Q918" s="19" t="n"/>
      <c r="R918" s="19" t="n"/>
      <c r="S918" s="19" t="n"/>
      <c r="T918" s="19" t="n"/>
    </row>
    <row r="919" ht="15.75" customHeight="1" s="545">
      <c r="A919" s="19" t="n"/>
      <c r="B919" s="19" t="n"/>
      <c r="C919" s="19" t="n"/>
      <c r="D919" s="19" t="n"/>
      <c r="E919" s="19" t="n"/>
      <c r="F919" s="19" t="n"/>
      <c r="H919" s="19" t="n"/>
      <c r="I919" s="19" t="n"/>
      <c r="J919" s="19" t="n"/>
      <c r="K919" s="19" t="n"/>
      <c r="M919" s="19" t="n"/>
      <c r="O919" s="19" t="n"/>
      <c r="Q919" s="19" t="n"/>
      <c r="R919" s="19" t="n"/>
      <c r="S919" s="19" t="n"/>
      <c r="T919" s="19" t="n"/>
    </row>
    <row r="920" ht="15.75" customHeight="1" s="545">
      <c r="A920" s="19" t="n"/>
      <c r="B920" s="19" t="n"/>
      <c r="C920" s="19" t="n"/>
      <c r="D920" s="19" t="n"/>
      <c r="E920" s="19" t="n"/>
      <c r="F920" s="19" t="n"/>
      <c r="H920" s="19" t="n"/>
      <c r="I920" s="19" t="n"/>
      <c r="J920" s="19" t="n"/>
      <c r="K920" s="19" t="n"/>
      <c r="M920" s="19" t="n"/>
      <c r="O920" s="19" t="n"/>
      <c r="Q920" s="19" t="n"/>
      <c r="R920" s="19" t="n"/>
      <c r="S920" s="19" t="n"/>
      <c r="T920" s="19" t="n"/>
    </row>
    <row r="921" ht="15.75" customHeight="1" s="545">
      <c r="A921" s="19" t="n"/>
      <c r="B921" s="19" t="n"/>
      <c r="C921" s="19" t="n"/>
      <c r="D921" s="19" t="n"/>
      <c r="E921" s="19" t="n"/>
      <c r="F921" s="19" t="n"/>
      <c r="H921" s="19" t="n"/>
      <c r="I921" s="19" t="n"/>
      <c r="J921" s="19" t="n"/>
      <c r="K921" s="19" t="n"/>
      <c r="M921" s="19" t="n"/>
      <c r="O921" s="19" t="n"/>
      <c r="Q921" s="19" t="n"/>
      <c r="R921" s="19" t="n"/>
      <c r="S921" s="19" t="n"/>
      <c r="T921" s="19" t="n"/>
    </row>
    <row r="922" ht="15.75" customHeight="1" s="545">
      <c r="A922" s="19" t="n"/>
      <c r="B922" s="19" t="n"/>
      <c r="C922" s="19" t="n"/>
      <c r="D922" s="19" t="n"/>
      <c r="E922" s="19" t="n"/>
      <c r="F922" s="19" t="n"/>
      <c r="H922" s="19" t="n"/>
      <c r="I922" s="19" t="n"/>
      <c r="J922" s="19" t="n"/>
      <c r="K922" s="19" t="n"/>
      <c r="M922" s="19" t="n"/>
      <c r="O922" s="19" t="n"/>
      <c r="Q922" s="19" t="n"/>
      <c r="R922" s="19" t="n"/>
      <c r="S922" s="19" t="n"/>
      <c r="T922" s="19" t="n"/>
    </row>
    <row r="923" ht="15.75" customHeight="1" s="545">
      <c r="A923" s="19" t="n"/>
      <c r="B923" s="19" t="n"/>
      <c r="C923" s="19" t="n"/>
      <c r="D923" s="19" t="n"/>
      <c r="E923" s="19" t="n"/>
      <c r="F923" s="19" t="n"/>
      <c r="H923" s="19" t="n"/>
      <c r="I923" s="19" t="n"/>
      <c r="J923" s="19" t="n"/>
      <c r="K923" s="19" t="n"/>
      <c r="M923" s="19" t="n"/>
      <c r="O923" s="19" t="n"/>
      <c r="Q923" s="19" t="n"/>
      <c r="R923" s="19" t="n"/>
      <c r="S923" s="19" t="n"/>
      <c r="T923" s="19" t="n"/>
    </row>
    <row r="924" ht="15.75" customHeight="1" s="545">
      <c r="A924" s="19" t="n"/>
      <c r="B924" s="19" t="n"/>
      <c r="C924" s="19" t="n"/>
      <c r="D924" s="19" t="n"/>
      <c r="E924" s="19" t="n"/>
      <c r="F924" s="19" t="n"/>
      <c r="H924" s="19" t="n"/>
      <c r="I924" s="19" t="n"/>
      <c r="J924" s="19" t="n"/>
      <c r="K924" s="19" t="n"/>
      <c r="M924" s="19" t="n"/>
      <c r="O924" s="19" t="n"/>
      <c r="Q924" s="19" t="n"/>
      <c r="R924" s="19" t="n"/>
      <c r="S924" s="19" t="n"/>
      <c r="T924" s="19" t="n"/>
    </row>
    <row r="925" ht="15.75" customHeight="1" s="545">
      <c r="A925" s="19" t="n"/>
      <c r="B925" s="19" t="n"/>
      <c r="C925" s="19" t="n"/>
      <c r="D925" s="19" t="n"/>
      <c r="E925" s="19" t="n"/>
      <c r="F925" s="19" t="n"/>
      <c r="H925" s="19" t="n"/>
      <c r="I925" s="19" t="n"/>
      <c r="J925" s="19" t="n"/>
      <c r="K925" s="19" t="n"/>
      <c r="M925" s="19" t="n"/>
      <c r="O925" s="19" t="n"/>
      <c r="Q925" s="19" t="n"/>
      <c r="R925" s="19" t="n"/>
      <c r="S925" s="19" t="n"/>
      <c r="T925" s="19" t="n"/>
    </row>
    <row r="926" ht="15.75" customHeight="1" s="545">
      <c r="A926" s="19" t="n"/>
      <c r="B926" s="19" t="n"/>
      <c r="C926" s="19" t="n"/>
      <c r="D926" s="19" t="n"/>
      <c r="E926" s="19" t="n"/>
      <c r="F926" s="19" t="n"/>
      <c r="H926" s="19" t="n"/>
      <c r="I926" s="19" t="n"/>
      <c r="J926" s="19" t="n"/>
      <c r="K926" s="19" t="n"/>
      <c r="M926" s="19" t="n"/>
      <c r="O926" s="19" t="n"/>
      <c r="Q926" s="19" t="n"/>
      <c r="R926" s="19" t="n"/>
      <c r="S926" s="19" t="n"/>
      <c r="T926" s="19" t="n"/>
    </row>
    <row r="927" ht="15.75" customHeight="1" s="545">
      <c r="A927" s="19" t="n"/>
      <c r="B927" s="19" t="n"/>
      <c r="C927" s="19" t="n"/>
      <c r="D927" s="19" t="n"/>
      <c r="E927" s="19" t="n"/>
      <c r="F927" s="19" t="n"/>
      <c r="H927" s="19" t="n"/>
      <c r="I927" s="19" t="n"/>
      <c r="J927" s="19" t="n"/>
      <c r="K927" s="19" t="n"/>
      <c r="M927" s="19" t="n"/>
      <c r="O927" s="19" t="n"/>
      <c r="Q927" s="19" t="n"/>
      <c r="R927" s="19" t="n"/>
      <c r="S927" s="19" t="n"/>
      <c r="T927" s="19" t="n"/>
    </row>
    <row r="928" ht="15.75" customHeight="1" s="545">
      <c r="A928" s="19" t="n"/>
      <c r="B928" s="19" t="n"/>
      <c r="C928" s="19" t="n"/>
      <c r="D928" s="19" t="n"/>
      <c r="E928" s="19" t="n"/>
      <c r="F928" s="19" t="n"/>
      <c r="H928" s="19" t="n"/>
      <c r="I928" s="19" t="n"/>
      <c r="J928" s="19" t="n"/>
      <c r="K928" s="19" t="n"/>
      <c r="M928" s="19" t="n"/>
      <c r="O928" s="19" t="n"/>
      <c r="Q928" s="19" t="n"/>
      <c r="R928" s="19" t="n"/>
      <c r="S928" s="19" t="n"/>
      <c r="T928" s="19" t="n"/>
    </row>
    <row r="929" ht="15.75" customHeight="1" s="545">
      <c r="A929" s="19" t="n"/>
      <c r="B929" s="19" t="n"/>
      <c r="C929" s="19" t="n"/>
      <c r="D929" s="19" t="n"/>
      <c r="E929" s="19" t="n"/>
      <c r="F929" s="19" t="n"/>
      <c r="H929" s="19" t="n"/>
      <c r="I929" s="19" t="n"/>
      <c r="J929" s="19" t="n"/>
      <c r="K929" s="19" t="n"/>
      <c r="M929" s="19" t="n"/>
      <c r="O929" s="19" t="n"/>
      <c r="Q929" s="19" t="n"/>
      <c r="R929" s="19" t="n"/>
      <c r="S929" s="19" t="n"/>
      <c r="T929" s="19" t="n"/>
    </row>
    <row r="930" ht="15.75" customHeight="1" s="545">
      <c r="A930" s="19" t="n"/>
      <c r="B930" s="19" t="n"/>
      <c r="C930" s="19" t="n"/>
      <c r="D930" s="19" t="n"/>
      <c r="E930" s="19" t="n"/>
      <c r="F930" s="19" t="n"/>
      <c r="H930" s="19" t="n"/>
      <c r="I930" s="19" t="n"/>
      <c r="J930" s="19" t="n"/>
      <c r="K930" s="19" t="n"/>
      <c r="M930" s="19" t="n"/>
      <c r="O930" s="19" t="n"/>
      <c r="Q930" s="19" t="n"/>
      <c r="R930" s="19" t="n"/>
      <c r="S930" s="19" t="n"/>
      <c r="T930" s="19" t="n"/>
    </row>
    <row r="931" ht="15.75" customHeight="1" s="545">
      <c r="A931" s="19" t="n"/>
      <c r="B931" s="19" t="n"/>
      <c r="C931" s="19" t="n"/>
      <c r="D931" s="19" t="n"/>
      <c r="E931" s="19" t="n"/>
      <c r="F931" s="19" t="n"/>
      <c r="H931" s="19" t="n"/>
      <c r="I931" s="19" t="n"/>
      <c r="J931" s="19" t="n"/>
      <c r="K931" s="19" t="n"/>
      <c r="M931" s="19" t="n"/>
      <c r="O931" s="19" t="n"/>
      <c r="Q931" s="19" t="n"/>
      <c r="R931" s="19" t="n"/>
      <c r="S931" s="19" t="n"/>
      <c r="T931" s="19" t="n"/>
    </row>
    <row r="932" ht="15.75" customHeight="1" s="545">
      <c r="A932" s="19" t="n"/>
      <c r="B932" s="19" t="n"/>
      <c r="C932" s="19" t="n"/>
      <c r="D932" s="19" t="n"/>
      <c r="E932" s="19" t="n"/>
      <c r="F932" s="19" t="n"/>
      <c r="H932" s="19" t="n"/>
      <c r="I932" s="19" t="n"/>
      <c r="J932" s="19" t="n"/>
      <c r="K932" s="19" t="n"/>
      <c r="M932" s="19" t="n"/>
      <c r="O932" s="19" t="n"/>
      <c r="Q932" s="19" t="n"/>
      <c r="R932" s="19" t="n"/>
      <c r="S932" s="19" t="n"/>
      <c r="T932" s="19" t="n"/>
    </row>
    <row r="933" ht="15.75" customHeight="1" s="545">
      <c r="A933" s="19" t="n"/>
      <c r="B933" s="19" t="n"/>
      <c r="C933" s="19" t="n"/>
      <c r="D933" s="19" t="n"/>
      <c r="E933" s="19" t="n"/>
      <c r="F933" s="19" t="n"/>
      <c r="H933" s="19" t="n"/>
      <c r="I933" s="19" t="n"/>
      <c r="J933" s="19" t="n"/>
      <c r="K933" s="19" t="n"/>
      <c r="M933" s="19" t="n"/>
      <c r="O933" s="19" t="n"/>
      <c r="Q933" s="19" t="n"/>
      <c r="R933" s="19" t="n"/>
      <c r="S933" s="19" t="n"/>
      <c r="T933" s="19" t="n"/>
    </row>
    <row r="934" ht="15.75" customHeight="1" s="545">
      <c r="A934" s="19" t="n"/>
      <c r="B934" s="19" t="n"/>
      <c r="C934" s="19" t="n"/>
      <c r="D934" s="19" t="n"/>
      <c r="E934" s="19" t="n"/>
      <c r="F934" s="19" t="n"/>
      <c r="H934" s="19" t="n"/>
      <c r="I934" s="19" t="n"/>
      <c r="J934" s="19" t="n"/>
      <c r="K934" s="19" t="n"/>
      <c r="M934" s="19" t="n"/>
      <c r="O934" s="19" t="n"/>
      <c r="Q934" s="19" t="n"/>
      <c r="R934" s="19" t="n"/>
      <c r="S934" s="19" t="n"/>
      <c r="T934" s="19" t="n"/>
    </row>
    <row r="935" ht="15.75" customHeight="1" s="545">
      <c r="A935" s="19" t="n"/>
      <c r="B935" s="19" t="n"/>
      <c r="C935" s="19" t="n"/>
      <c r="D935" s="19" t="n"/>
      <c r="E935" s="19" t="n"/>
      <c r="F935" s="19" t="n"/>
      <c r="H935" s="19" t="n"/>
      <c r="I935" s="19" t="n"/>
      <c r="J935" s="19" t="n"/>
      <c r="K935" s="19" t="n"/>
      <c r="M935" s="19" t="n"/>
      <c r="O935" s="19" t="n"/>
      <c r="Q935" s="19" t="n"/>
      <c r="R935" s="19" t="n"/>
      <c r="S935" s="19" t="n"/>
      <c r="T935" s="19" t="n"/>
    </row>
    <row r="936" ht="15.75" customHeight="1" s="545">
      <c r="A936" s="19" t="n"/>
      <c r="B936" s="19" t="n"/>
      <c r="C936" s="19" t="n"/>
      <c r="D936" s="19" t="n"/>
      <c r="E936" s="19" t="n"/>
      <c r="F936" s="19" t="n"/>
      <c r="H936" s="19" t="n"/>
      <c r="I936" s="19" t="n"/>
      <c r="J936" s="19" t="n"/>
      <c r="K936" s="19" t="n"/>
      <c r="M936" s="19" t="n"/>
      <c r="O936" s="19" t="n"/>
      <c r="Q936" s="19" t="n"/>
      <c r="R936" s="19" t="n"/>
      <c r="S936" s="19" t="n"/>
      <c r="T936" s="19" t="n"/>
    </row>
    <row r="937" ht="15.75" customHeight="1" s="545">
      <c r="A937" s="19" t="n"/>
      <c r="B937" s="19" t="n"/>
      <c r="C937" s="19" t="n"/>
      <c r="D937" s="19" t="n"/>
      <c r="E937" s="19" t="n"/>
      <c r="F937" s="19" t="n"/>
      <c r="H937" s="19" t="n"/>
      <c r="I937" s="19" t="n"/>
      <c r="J937" s="19" t="n"/>
      <c r="K937" s="19" t="n"/>
      <c r="M937" s="19" t="n"/>
      <c r="O937" s="19" t="n"/>
      <c r="Q937" s="19" t="n"/>
      <c r="R937" s="19" t="n"/>
      <c r="S937" s="19" t="n"/>
      <c r="T937" s="19" t="n"/>
    </row>
    <row r="938" ht="15.75" customHeight="1" s="545">
      <c r="A938" s="19" t="n"/>
      <c r="B938" s="19" t="n"/>
      <c r="C938" s="19" t="n"/>
      <c r="D938" s="19" t="n"/>
      <c r="E938" s="19" t="n"/>
      <c r="F938" s="19" t="n"/>
      <c r="H938" s="19" t="n"/>
      <c r="I938" s="19" t="n"/>
      <c r="J938" s="19" t="n"/>
      <c r="K938" s="19" t="n"/>
      <c r="M938" s="19" t="n"/>
      <c r="O938" s="19" t="n"/>
      <c r="Q938" s="19" t="n"/>
      <c r="R938" s="19" t="n"/>
      <c r="S938" s="19" t="n"/>
      <c r="T938" s="19" t="n"/>
    </row>
    <row r="939" ht="15.75" customHeight="1" s="545">
      <c r="A939" s="19" t="n"/>
      <c r="B939" s="19" t="n"/>
      <c r="C939" s="19" t="n"/>
      <c r="D939" s="19" t="n"/>
      <c r="E939" s="19" t="n"/>
      <c r="F939" s="19" t="n"/>
      <c r="H939" s="19" t="n"/>
      <c r="I939" s="19" t="n"/>
      <c r="J939" s="19" t="n"/>
      <c r="K939" s="19" t="n"/>
      <c r="M939" s="19" t="n"/>
      <c r="O939" s="19" t="n"/>
      <c r="Q939" s="19" t="n"/>
      <c r="R939" s="19" t="n"/>
      <c r="S939" s="19" t="n"/>
      <c r="T939" s="19" t="n"/>
    </row>
    <row r="940" ht="15.75" customHeight="1" s="545">
      <c r="A940" s="19" t="n"/>
      <c r="B940" s="19" t="n"/>
      <c r="C940" s="19" t="n"/>
      <c r="D940" s="19" t="n"/>
      <c r="E940" s="19" t="n"/>
      <c r="F940" s="19" t="n"/>
      <c r="H940" s="19" t="n"/>
      <c r="I940" s="19" t="n"/>
      <c r="J940" s="19" t="n"/>
      <c r="K940" s="19" t="n"/>
      <c r="M940" s="19" t="n"/>
      <c r="O940" s="19" t="n"/>
      <c r="Q940" s="19" t="n"/>
      <c r="R940" s="19" t="n"/>
      <c r="S940" s="19" t="n"/>
      <c r="T940" s="19" t="n"/>
    </row>
    <row r="941" ht="15.75" customHeight="1" s="545">
      <c r="A941" s="19" t="n"/>
      <c r="B941" s="19" t="n"/>
      <c r="C941" s="19" t="n"/>
      <c r="D941" s="19" t="n"/>
      <c r="E941" s="19" t="n"/>
      <c r="F941" s="19" t="n"/>
      <c r="H941" s="19" t="n"/>
      <c r="I941" s="19" t="n"/>
      <c r="J941" s="19" t="n"/>
      <c r="K941" s="19" t="n"/>
      <c r="M941" s="19" t="n"/>
      <c r="O941" s="19" t="n"/>
      <c r="Q941" s="19" t="n"/>
      <c r="R941" s="19" t="n"/>
      <c r="S941" s="19" t="n"/>
      <c r="T941" s="19" t="n"/>
    </row>
    <row r="942" ht="15.75" customHeight="1" s="545">
      <c r="A942" s="19" t="n"/>
      <c r="B942" s="19" t="n"/>
      <c r="C942" s="19" t="n"/>
      <c r="D942" s="19" t="n"/>
      <c r="E942" s="19" t="n"/>
      <c r="F942" s="19" t="n"/>
      <c r="H942" s="19" t="n"/>
      <c r="I942" s="19" t="n"/>
      <c r="J942" s="19" t="n"/>
      <c r="K942" s="19" t="n"/>
      <c r="M942" s="19" t="n"/>
      <c r="O942" s="19" t="n"/>
      <c r="Q942" s="19" t="n"/>
      <c r="R942" s="19" t="n"/>
      <c r="S942" s="19" t="n"/>
      <c r="T942" s="19" t="n"/>
    </row>
    <row r="943" ht="15.75" customHeight="1" s="545">
      <c r="A943" s="19" t="n"/>
      <c r="B943" s="19" t="n"/>
      <c r="C943" s="19" t="n"/>
      <c r="D943" s="19" t="n"/>
      <c r="E943" s="19" t="n"/>
      <c r="F943" s="19" t="n"/>
      <c r="H943" s="19" t="n"/>
      <c r="I943" s="19" t="n"/>
      <c r="J943" s="19" t="n"/>
      <c r="K943" s="19" t="n"/>
      <c r="M943" s="19" t="n"/>
      <c r="O943" s="19" t="n"/>
      <c r="Q943" s="19" t="n"/>
      <c r="R943" s="19" t="n"/>
      <c r="S943" s="19" t="n"/>
      <c r="T943" s="19" t="n"/>
    </row>
    <row r="944" ht="15.75" customHeight="1" s="545">
      <c r="A944" s="19" t="n"/>
      <c r="B944" s="19" t="n"/>
      <c r="C944" s="19" t="n"/>
      <c r="D944" s="19" t="n"/>
      <c r="E944" s="19" t="n"/>
      <c r="F944" s="19" t="n"/>
      <c r="H944" s="19" t="n"/>
      <c r="I944" s="19" t="n"/>
      <c r="J944" s="19" t="n"/>
      <c r="K944" s="19" t="n"/>
      <c r="M944" s="19" t="n"/>
      <c r="O944" s="19" t="n"/>
      <c r="Q944" s="19" t="n"/>
      <c r="R944" s="19" t="n"/>
      <c r="S944" s="19" t="n"/>
      <c r="T944" s="19" t="n"/>
    </row>
    <row r="945" ht="15.75" customHeight="1" s="545">
      <c r="A945" s="19" t="n"/>
      <c r="B945" s="19" t="n"/>
      <c r="C945" s="19" t="n"/>
      <c r="D945" s="19" t="n"/>
      <c r="E945" s="19" t="n"/>
      <c r="F945" s="19" t="n"/>
      <c r="H945" s="19" t="n"/>
      <c r="I945" s="19" t="n"/>
      <c r="J945" s="19" t="n"/>
      <c r="K945" s="19" t="n"/>
      <c r="M945" s="19" t="n"/>
      <c r="O945" s="19" t="n"/>
      <c r="Q945" s="19" t="n"/>
      <c r="R945" s="19" t="n"/>
      <c r="S945" s="19" t="n"/>
      <c r="T945" s="19" t="n"/>
    </row>
    <row r="946" ht="15.75" customHeight="1" s="545">
      <c r="A946" s="19" t="n"/>
      <c r="B946" s="19" t="n"/>
      <c r="C946" s="19" t="n"/>
      <c r="D946" s="19" t="n"/>
      <c r="E946" s="19" t="n"/>
      <c r="F946" s="19" t="n"/>
      <c r="H946" s="19" t="n"/>
      <c r="I946" s="19" t="n"/>
      <c r="J946" s="19" t="n"/>
      <c r="K946" s="19" t="n"/>
      <c r="M946" s="19" t="n"/>
      <c r="O946" s="19" t="n"/>
      <c r="Q946" s="19" t="n"/>
      <c r="R946" s="19" t="n"/>
      <c r="S946" s="19" t="n"/>
      <c r="T946" s="19" t="n"/>
    </row>
    <row r="947" ht="15.75" customHeight="1" s="545">
      <c r="A947" s="19" t="n"/>
      <c r="B947" s="19" t="n"/>
      <c r="C947" s="19" t="n"/>
      <c r="D947" s="19" t="n"/>
      <c r="E947" s="19" t="n"/>
      <c r="F947" s="19" t="n"/>
      <c r="H947" s="19" t="n"/>
      <c r="I947" s="19" t="n"/>
      <c r="J947" s="19" t="n"/>
      <c r="K947" s="19" t="n"/>
      <c r="M947" s="19" t="n"/>
      <c r="O947" s="19" t="n"/>
      <c r="Q947" s="19" t="n"/>
      <c r="R947" s="19" t="n"/>
      <c r="S947" s="19" t="n"/>
      <c r="T947" s="19" t="n"/>
    </row>
    <row r="948" ht="15.75" customHeight="1" s="545">
      <c r="A948" s="19" t="n"/>
      <c r="B948" s="19" t="n"/>
      <c r="C948" s="19" t="n"/>
      <c r="D948" s="19" t="n"/>
      <c r="E948" s="19" t="n"/>
      <c r="F948" s="19" t="n"/>
      <c r="H948" s="19" t="n"/>
      <c r="I948" s="19" t="n"/>
      <c r="J948" s="19" t="n"/>
      <c r="K948" s="19" t="n"/>
      <c r="M948" s="19" t="n"/>
      <c r="O948" s="19" t="n"/>
      <c r="Q948" s="19" t="n"/>
      <c r="R948" s="19" t="n"/>
      <c r="S948" s="19" t="n"/>
      <c r="T948" s="19" t="n"/>
    </row>
    <row r="949" ht="15.75" customHeight="1" s="545">
      <c r="A949" s="19" t="n"/>
      <c r="B949" s="19" t="n"/>
      <c r="C949" s="19" t="n"/>
      <c r="D949" s="19" t="n"/>
      <c r="E949" s="19" t="n"/>
      <c r="F949" s="19" t="n"/>
      <c r="H949" s="19" t="n"/>
      <c r="I949" s="19" t="n"/>
      <c r="J949" s="19" t="n"/>
      <c r="K949" s="19" t="n"/>
      <c r="M949" s="19" t="n"/>
      <c r="O949" s="19" t="n"/>
      <c r="Q949" s="19" t="n"/>
      <c r="R949" s="19" t="n"/>
      <c r="S949" s="19" t="n"/>
      <c r="T949" s="19" t="n"/>
    </row>
    <row r="950" ht="15.75" customHeight="1" s="545">
      <c r="A950" s="19" t="n"/>
      <c r="B950" s="19" t="n"/>
      <c r="C950" s="19" t="n"/>
      <c r="D950" s="19" t="n"/>
      <c r="E950" s="19" t="n"/>
      <c r="F950" s="19" t="n"/>
      <c r="H950" s="19" t="n"/>
      <c r="I950" s="19" t="n"/>
      <c r="J950" s="19" t="n"/>
      <c r="K950" s="19" t="n"/>
      <c r="M950" s="19" t="n"/>
      <c r="O950" s="19" t="n"/>
      <c r="Q950" s="19" t="n"/>
      <c r="R950" s="19" t="n"/>
      <c r="S950" s="19" t="n"/>
      <c r="T950" s="19" t="n"/>
    </row>
    <row r="951" ht="15.75" customHeight="1" s="545">
      <c r="A951" s="19" t="n"/>
      <c r="B951" s="19" t="n"/>
      <c r="C951" s="19" t="n"/>
      <c r="D951" s="19" t="n"/>
      <c r="E951" s="19" t="n"/>
      <c r="F951" s="19" t="n"/>
      <c r="H951" s="19" t="n"/>
      <c r="I951" s="19" t="n"/>
      <c r="J951" s="19" t="n"/>
      <c r="K951" s="19" t="n"/>
      <c r="M951" s="19" t="n"/>
      <c r="O951" s="19" t="n"/>
      <c r="Q951" s="19" t="n"/>
      <c r="R951" s="19" t="n"/>
      <c r="S951" s="19" t="n"/>
      <c r="T951" s="19" t="n"/>
    </row>
    <row r="952" ht="15.75" customHeight="1" s="545">
      <c r="A952" s="19" t="n"/>
      <c r="B952" s="19" t="n"/>
      <c r="C952" s="19" t="n"/>
      <c r="D952" s="19" t="n"/>
      <c r="E952" s="19" t="n"/>
      <c r="F952" s="19" t="n"/>
      <c r="H952" s="19" t="n"/>
      <c r="I952" s="19" t="n"/>
      <c r="J952" s="19" t="n"/>
      <c r="K952" s="19" t="n"/>
      <c r="M952" s="19" t="n"/>
      <c r="O952" s="19" t="n"/>
      <c r="Q952" s="19" t="n"/>
      <c r="R952" s="19" t="n"/>
      <c r="S952" s="19" t="n"/>
      <c r="T952" s="19" t="n"/>
    </row>
    <row r="953" ht="15.75" customHeight="1" s="545">
      <c r="A953" s="19" t="n"/>
      <c r="B953" s="19" t="n"/>
      <c r="C953" s="19" t="n"/>
      <c r="D953" s="19" t="n"/>
      <c r="E953" s="19" t="n"/>
      <c r="F953" s="19" t="n"/>
      <c r="H953" s="19" t="n"/>
      <c r="I953" s="19" t="n"/>
      <c r="J953" s="19" t="n"/>
      <c r="K953" s="19" t="n"/>
      <c r="M953" s="19" t="n"/>
      <c r="O953" s="19" t="n"/>
      <c r="Q953" s="19" t="n"/>
      <c r="R953" s="19" t="n"/>
      <c r="S953" s="19" t="n"/>
      <c r="T953" s="19" t="n"/>
    </row>
    <row r="954" ht="15.75" customHeight="1" s="545">
      <c r="A954" s="19" t="n"/>
      <c r="B954" s="19" t="n"/>
      <c r="C954" s="19" t="n"/>
      <c r="D954" s="19" t="n"/>
      <c r="E954" s="19" t="n"/>
      <c r="F954" s="19" t="n"/>
      <c r="H954" s="19" t="n"/>
      <c r="I954" s="19" t="n"/>
      <c r="J954" s="19" t="n"/>
      <c r="K954" s="19" t="n"/>
      <c r="M954" s="19" t="n"/>
      <c r="O954" s="19" t="n"/>
      <c r="Q954" s="19" t="n"/>
      <c r="R954" s="19" t="n"/>
      <c r="S954" s="19" t="n"/>
      <c r="T954" s="19" t="n"/>
    </row>
    <row r="955" ht="15.75" customHeight="1" s="545">
      <c r="A955" s="19" t="n"/>
      <c r="B955" s="19" t="n"/>
      <c r="C955" s="19" t="n"/>
      <c r="D955" s="19" t="n"/>
      <c r="E955" s="19" t="n"/>
      <c r="F955" s="19" t="n"/>
      <c r="H955" s="19" t="n"/>
      <c r="I955" s="19" t="n"/>
      <c r="J955" s="19" t="n"/>
      <c r="K955" s="19" t="n"/>
      <c r="M955" s="19" t="n"/>
      <c r="O955" s="19" t="n"/>
      <c r="Q955" s="19" t="n"/>
      <c r="R955" s="19" t="n"/>
      <c r="S955" s="19" t="n"/>
      <c r="T955" s="19" t="n"/>
    </row>
    <row r="956" ht="15.75" customHeight="1" s="545">
      <c r="A956" s="19" t="n"/>
      <c r="B956" s="19" t="n"/>
      <c r="C956" s="19" t="n"/>
      <c r="D956" s="19" t="n"/>
      <c r="E956" s="19" t="n"/>
      <c r="F956" s="19" t="n"/>
      <c r="H956" s="19" t="n"/>
      <c r="I956" s="19" t="n"/>
      <c r="J956" s="19" t="n"/>
      <c r="K956" s="19" t="n"/>
      <c r="M956" s="19" t="n"/>
      <c r="O956" s="19" t="n"/>
      <c r="Q956" s="19" t="n"/>
      <c r="R956" s="19" t="n"/>
      <c r="S956" s="19" t="n"/>
      <c r="T956" s="19" t="n"/>
    </row>
    <row r="957" ht="15.75" customHeight="1" s="545">
      <c r="A957" s="19" t="n"/>
      <c r="B957" s="19" t="n"/>
      <c r="C957" s="19" t="n"/>
      <c r="D957" s="19" t="n"/>
      <c r="E957" s="19" t="n"/>
      <c r="F957" s="19" t="n"/>
      <c r="H957" s="19" t="n"/>
      <c r="I957" s="19" t="n"/>
      <c r="J957" s="19" t="n"/>
      <c r="K957" s="19" t="n"/>
      <c r="M957" s="19" t="n"/>
      <c r="O957" s="19" t="n"/>
      <c r="Q957" s="19" t="n"/>
      <c r="R957" s="19" t="n"/>
      <c r="S957" s="19" t="n"/>
      <c r="T957" s="19" t="n"/>
    </row>
    <row r="958" ht="15.75" customHeight="1" s="545">
      <c r="A958" s="19" t="n"/>
      <c r="B958" s="19" t="n"/>
      <c r="C958" s="19" t="n"/>
      <c r="D958" s="19" t="n"/>
      <c r="E958" s="19" t="n"/>
      <c r="F958" s="19" t="n"/>
      <c r="H958" s="19" t="n"/>
      <c r="I958" s="19" t="n"/>
      <c r="J958" s="19" t="n"/>
      <c r="K958" s="19" t="n"/>
      <c r="M958" s="19" t="n"/>
      <c r="O958" s="19" t="n"/>
      <c r="Q958" s="19" t="n"/>
      <c r="R958" s="19" t="n"/>
      <c r="S958" s="19" t="n"/>
      <c r="T958" s="19" t="n"/>
    </row>
    <row r="959" ht="15.75" customHeight="1" s="545">
      <c r="A959" s="19" t="n"/>
      <c r="B959" s="19" t="n"/>
      <c r="C959" s="19" t="n"/>
      <c r="D959" s="19" t="n"/>
      <c r="E959" s="19" t="n"/>
      <c r="F959" s="19" t="n"/>
      <c r="H959" s="19" t="n"/>
      <c r="I959" s="19" t="n"/>
      <c r="J959" s="19" t="n"/>
      <c r="K959" s="19" t="n"/>
      <c r="M959" s="19" t="n"/>
      <c r="O959" s="19" t="n"/>
      <c r="Q959" s="19" t="n"/>
      <c r="R959" s="19" t="n"/>
      <c r="S959" s="19" t="n"/>
      <c r="T959" s="19" t="n"/>
    </row>
    <row r="960" ht="15.75" customHeight="1" s="545">
      <c r="A960" s="19" t="n"/>
      <c r="B960" s="19" t="n"/>
      <c r="C960" s="19" t="n"/>
      <c r="D960" s="19" t="n"/>
      <c r="E960" s="19" t="n"/>
      <c r="F960" s="19" t="n"/>
      <c r="H960" s="19" t="n"/>
      <c r="I960" s="19" t="n"/>
      <c r="J960" s="19" t="n"/>
      <c r="K960" s="19" t="n"/>
      <c r="M960" s="19" t="n"/>
      <c r="O960" s="19" t="n"/>
      <c r="Q960" s="19" t="n"/>
      <c r="R960" s="19" t="n"/>
      <c r="S960" s="19" t="n"/>
      <c r="T960" s="19" t="n"/>
    </row>
    <row r="961" ht="15.75" customHeight="1" s="545">
      <c r="A961" s="19" t="n"/>
      <c r="B961" s="19" t="n"/>
      <c r="C961" s="19" t="n"/>
      <c r="D961" s="19" t="n"/>
      <c r="E961" s="19" t="n"/>
      <c r="F961" s="19" t="n"/>
      <c r="H961" s="19" t="n"/>
      <c r="I961" s="19" t="n"/>
      <c r="J961" s="19" t="n"/>
      <c r="K961" s="19" t="n"/>
      <c r="M961" s="19" t="n"/>
      <c r="O961" s="19" t="n"/>
      <c r="Q961" s="19" t="n"/>
      <c r="R961" s="19" t="n"/>
      <c r="S961" s="19" t="n"/>
      <c r="T961" s="19" t="n"/>
    </row>
    <row r="962" ht="15.75" customHeight="1" s="545">
      <c r="A962" s="19" t="n"/>
      <c r="B962" s="19" t="n"/>
      <c r="C962" s="19" t="n"/>
      <c r="D962" s="19" t="n"/>
      <c r="E962" s="19" t="n"/>
      <c r="F962" s="19" t="n"/>
      <c r="H962" s="19" t="n"/>
      <c r="I962" s="19" t="n"/>
      <c r="J962" s="19" t="n"/>
      <c r="K962" s="19" t="n"/>
      <c r="M962" s="19" t="n"/>
      <c r="O962" s="19" t="n"/>
      <c r="Q962" s="19" t="n"/>
      <c r="R962" s="19" t="n"/>
      <c r="S962" s="19" t="n"/>
      <c r="T962" s="19" t="n"/>
    </row>
    <row r="963" ht="15.75" customHeight="1" s="545">
      <c r="A963" s="19" t="n"/>
      <c r="B963" s="19" t="n"/>
      <c r="C963" s="19" t="n"/>
      <c r="D963" s="19" t="n"/>
      <c r="E963" s="19" t="n"/>
      <c r="F963" s="19" t="n"/>
      <c r="H963" s="19" t="n"/>
      <c r="I963" s="19" t="n"/>
      <c r="J963" s="19" t="n"/>
      <c r="K963" s="19" t="n"/>
      <c r="M963" s="19" t="n"/>
      <c r="O963" s="19" t="n"/>
      <c r="Q963" s="19" t="n"/>
      <c r="R963" s="19" t="n"/>
      <c r="S963" s="19" t="n"/>
      <c r="T963" s="19" t="n"/>
    </row>
    <row r="964" ht="15.75" customHeight="1" s="545">
      <c r="A964" s="19" t="n"/>
      <c r="B964" s="19" t="n"/>
      <c r="C964" s="19" t="n"/>
      <c r="D964" s="19" t="n"/>
      <c r="E964" s="19" t="n"/>
      <c r="F964" s="19" t="n"/>
      <c r="H964" s="19" t="n"/>
      <c r="I964" s="19" t="n"/>
      <c r="J964" s="19" t="n"/>
      <c r="K964" s="19" t="n"/>
      <c r="M964" s="19" t="n"/>
      <c r="O964" s="19" t="n"/>
      <c r="Q964" s="19" t="n"/>
      <c r="R964" s="19" t="n"/>
      <c r="S964" s="19" t="n"/>
      <c r="T964" s="19" t="n"/>
    </row>
    <row r="965" ht="15.75" customHeight="1" s="545">
      <c r="A965" s="19" t="n"/>
      <c r="B965" s="19" t="n"/>
      <c r="C965" s="19" t="n"/>
      <c r="D965" s="19" t="n"/>
      <c r="E965" s="19" t="n"/>
      <c r="F965" s="19" t="n"/>
      <c r="H965" s="19" t="n"/>
      <c r="I965" s="19" t="n"/>
      <c r="J965" s="19" t="n"/>
      <c r="K965" s="19" t="n"/>
      <c r="M965" s="19" t="n"/>
      <c r="O965" s="19" t="n"/>
      <c r="Q965" s="19" t="n"/>
      <c r="R965" s="19" t="n"/>
      <c r="S965" s="19" t="n"/>
      <c r="T965" s="19" t="n"/>
    </row>
    <row r="966" ht="15.75" customHeight="1" s="545">
      <c r="A966" s="19" t="n"/>
      <c r="B966" s="19" t="n"/>
      <c r="C966" s="19" t="n"/>
      <c r="D966" s="19" t="n"/>
      <c r="E966" s="19" t="n"/>
      <c r="F966" s="19" t="n"/>
      <c r="H966" s="19" t="n"/>
      <c r="I966" s="19" t="n"/>
      <c r="J966" s="19" t="n"/>
      <c r="K966" s="19" t="n"/>
      <c r="M966" s="19" t="n"/>
      <c r="O966" s="19" t="n"/>
      <c r="Q966" s="19" t="n"/>
      <c r="R966" s="19" t="n"/>
      <c r="S966" s="19" t="n"/>
      <c r="T966" s="19" t="n"/>
    </row>
    <row r="967" ht="15.75" customHeight="1" s="545">
      <c r="A967" s="19" t="n"/>
      <c r="B967" s="19" t="n"/>
      <c r="C967" s="19" t="n"/>
      <c r="D967" s="19" t="n"/>
      <c r="E967" s="19" t="n"/>
      <c r="F967" s="19" t="n"/>
      <c r="H967" s="19" t="n"/>
      <c r="I967" s="19" t="n"/>
      <c r="J967" s="19" t="n"/>
      <c r="K967" s="19" t="n"/>
      <c r="M967" s="19" t="n"/>
      <c r="O967" s="19" t="n"/>
      <c r="Q967" s="19" t="n"/>
      <c r="R967" s="19" t="n"/>
      <c r="S967" s="19" t="n"/>
      <c r="T967" s="19" t="n"/>
    </row>
    <row r="968" ht="15.75" customHeight="1" s="545">
      <c r="A968" s="19" t="n"/>
      <c r="B968" s="19" t="n"/>
      <c r="C968" s="19" t="n"/>
      <c r="D968" s="19" t="n"/>
      <c r="E968" s="19" t="n"/>
      <c r="F968" s="19" t="n"/>
      <c r="H968" s="19" t="n"/>
      <c r="I968" s="19" t="n"/>
      <c r="J968" s="19" t="n"/>
      <c r="K968" s="19" t="n"/>
      <c r="M968" s="19" t="n"/>
      <c r="O968" s="19" t="n"/>
      <c r="Q968" s="19" t="n"/>
      <c r="R968" s="19" t="n"/>
      <c r="S968" s="19" t="n"/>
      <c r="T968" s="19" t="n"/>
    </row>
    <row r="969" ht="15.75" customHeight="1" s="545">
      <c r="A969" s="19" t="n"/>
      <c r="B969" s="19" t="n"/>
      <c r="C969" s="19" t="n"/>
      <c r="D969" s="19" t="n"/>
      <c r="E969" s="19" t="n"/>
      <c r="F969" s="19" t="n"/>
      <c r="H969" s="19" t="n"/>
      <c r="I969" s="19" t="n"/>
      <c r="J969" s="19" t="n"/>
      <c r="K969" s="19" t="n"/>
      <c r="M969" s="19" t="n"/>
      <c r="O969" s="19" t="n"/>
      <c r="Q969" s="19" t="n"/>
      <c r="R969" s="19" t="n"/>
      <c r="S969" s="19" t="n"/>
      <c r="T969" s="19" t="n"/>
    </row>
    <row r="970" ht="15.75" customHeight="1" s="545">
      <c r="A970" s="19" t="n"/>
      <c r="B970" s="19" t="n"/>
      <c r="C970" s="19" t="n"/>
      <c r="D970" s="19" t="n"/>
      <c r="E970" s="19" t="n"/>
      <c r="F970" s="19" t="n"/>
      <c r="H970" s="19" t="n"/>
      <c r="I970" s="19" t="n"/>
      <c r="J970" s="19" t="n"/>
      <c r="K970" s="19" t="n"/>
      <c r="M970" s="19" t="n"/>
      <c r="O970" s="19" t="n"/>
      <c r="Q970" s="19" t="n"/>
      <c r="R970" s="19" t="n"/>
      <c r="S970" s="19" t="n"/>
      <c r="T970" s="19" t="n"/>
    </row>
    <row r="971" ht="15.75" customHeight="1" s="545">
      <c r="A971" s="19" t="n"/>
      <c r="B971" s="19" t="n"/>
      <c r="C971" s="19" t="n"/>
      <c r="D971" s="19" t="n"/>
      <c r="E971" s="19" t="n"/>
      <c r="F971" s="19" t="n"/>
      <c r="H971" s="19" t="n"/>
      <c r="I971" s="19" t="n"/>
      <c r="J971" s="19" t="n"/>
      <c r="K971" s="19" t="n"/>
      <c r="M971" s="19" t="n"/>
      <c r="O971" s="19" t="n"/>
      <c r="Q971" s="19" t="n"/>
      <c r="R971" s="19" t="n"/>
      <c r="S971" s="19" t="n"/>
      <c r="T971" s="19" t="n"/>
    </row>
    <row r="972" ht="15.75" customHeight="1" s="545">
      <c r="A972" s="19" t="n"/>
      <c r="B972" s="19" t="n"/>
      <c r="C972" s="19" t="n"/>
      <c r="D972" s="19" t="n"/>
      <c r="E972" s="19" t="n"/>
      <c r="F972" s="19" t="n"/>
      <c r="H972" s="19" t="n"/>
      <c r="I972" s="19" t="n"/>
      <c r="J972" s="19" t="n"/>
      <c r="K972" s="19" t="n"/>
      <c r="M972" s="19" t="n"/>
      <c r="O972" s="19" t="n"/>
      <c r="Q972" s="19" t="n"/>
      <c r="R972" s="19" t="n"/>
      <c r="S972" s="19" t="n"/>
      <c r="T972" s="19" t="n"/>
    </row>
    <row r="973" ht="15.75" customHeight="1" s="545">
      <c r="A973" s="19" t="n"/>
      <c r="B973" s="19" t="n"/>
      <c r="C973" s="19" t="n"/>
      <c r="D973" s="19" t="n"/>
      <c r="E973" s="19" t="n"/>
      <c r="F973" s="19" t="n"/>
      <c r="H973" s="19" t="n"/>
      <c r="I973" s="19" t="n"/>
      <c r="J973" s="19" t="n"/>
      <c r="K973" s="19" t="n"/>
      <c r="M973" s="19" t="n"/>
      <c r="O973" s="19" t="n"/>
      <c r="Q973" s="19" t="n"/>
      <c r="R973" s="19" t="n"/>
      <c r="S973" s="19" t="n"/>
      <c r="T973" s="19" t="n"/>
    </row>
    <row r="974" ht="15.75" customHeight="1" s="545">
      <c r="A974" s="19" t="n"/>
      <c r="B974" s="19" t="n"/>
      <c r="C974" s="19" t="n"/>
      <c r="D974" s="19" t="n"/>
      <c r="E974" s="19" t="n"/>
      <c r="F974" s="19" t="n"/>
      <c r="H974" s="19" t="n"/>
      <c r="I974" s="19" t="n"/>
      <c r="J974" s="19" t="n"/>
      <c r="K974" s="19" t="n"/>
      <c r="M974" s="19" t="n"/>
      <c r="O974" s="19" t="n"/>
      <c r="Q974" s="19" t="n"/>
      <c r="R974" s="19" t="n"/>
      <c r="S974" s="19" t="n"/>
      <c r="T974" s="19" t="n"/>
    </row>
    <row r="975" ht="15.75" customHeight="1" s="545">
      <c r="A975" s="19" t="n"/>
      <c r="B975" s="19" t="n"/>
      <c r="C975" s="19" t="n"/>
      <c r="D975" s="19" t="n"/>
      <c r="E975" s="19" t="n"/>
      <c r="F975" s="19" t="n"/>
      <c r="H975" s="19" t="n"/>
      <c r="I975" s="19" t="n"/>
      <c r="J975" s="19" t="n"/>
      <c r="K975" s="19" t="n"/>
      <c r="M975" s="19" t="n"/>
      <c r="O975" s="19" t="n"/>
      <c r="Q975" s="19" t="n"/>
      <c r="R975" s="19" t="n"/>
      <c r="S975" s="19" t="n"/>
      <c r="T975" s="19" t="n"/>
    </row>
    <row r="976" ht="15.75" customHeight="1" s="545">
      <c r="A976" s="19" t="n"/>
      <c r="B976" s="19" t="n"/>
      <c r="C976" s="19" t="n"/>
      <c r="D976" s="19" t="n"/>
      <c r="E976" s="19" t="n"/>
      <c r="F976" s="19" t="n"/>
      <c r="H976" s="19" t="n"/>
      <c r="I976" s="19" t="n"/>
      <c r="J976" s="19" t="n"/>
      <c r="K976" s="19" t="n"/>
      <c r="M976" s="19" t="n"/>
      <c r="O976" s="19" t="n"/>
      <c r="Q976" s="19" t="n"/>
      <c r="R976" s="19" t="n"/>
      <c r="S976" s="19" t="n"/>
      <c r="T976" s="19" t="n"/>
    </row>
    <row r="977" ht="15.75" customHeight="1" s="545">
      <c r="A977" s="19" t="n"/>
      <c r="B977" s="19" t="n"/>
      <c r="C977" s="19" t="n"/>
      <c r="D977" s="19" t="n"/>
      <c r="E977" s="19" t="n"/>
      <c r="F977" s="19" t="n"/>
      <c r="H977" s="19" t="n"/>
      <c r="I977" s="19" t="n"/>
      <c r="J977" s="19" t="n"/>
      <c r="K977" s="19" t="n"/>
      <c r="M977" s="19" t="n"/>
      <c r="O977" s="19" t="n"/>
      <c r="Q977" s="19" t="n"/>
      <c r="R977" s="19" t="n"/>
      <c r="S977" s="19" t="n"/>
      <c r="T977" s="19" t="n"/>
    </row>
    <row r="978" ht="15.75" customHeight="1" s="545">
      <c r="A978" s="19" t="n"/>
      <c r="B978" s="19" t="n"/>
      <c r="C978" s="19" t="n"/>
      <c r="D978" s="19" t="n"/>
      <c r="E978" s="19" t="n"/>
      <c r="F978" s="19" t="n"/>
      <c r="H978" s="19" t="n"/>
      <c r="I978" s="19" t="n"/>
      <c r="J978" s="19" t="n"/>
      <c r="K978" s="19" t="n"/>
      <c r="M978" s="19" t="n"/>
      <c r="O978" s="19" t="n"/>
      <c r="Q978" s="19" t="n"/>
      <c r="R978" s="19" t="n"/>
      <c r="S978" s="19" t="n"/>
      <c r="T978" s="19" t="n"/>
    </row>
    <row r="979" ht="15.75" customHeight="1" s="545">
      <c r="A979" s="19" t="n"/>
      <c r="B979" s="19" t="n"/>
      <c r="C979" s="19" t="n"/>
      <c r="D979" s="19" t="n"/>
      <c r="E979" s="19" t="n"/>
      <c r="F979" s="19" t="n"/>
      <c r="H979" s="19" t="n"/>
      <c r="I979" s="19" t="n"/>
      <c r="J979" s="19" t="n"/>
      <c r="K979" s="19" t="n"/>
      <c r="M979" s="19" t="n"/>
      <c r="O979" s="19" t="n"/>
      <c r="Q979" s="19" t="n"/>
      <c r="R979" s="19" t="n"/>
      <c r="S979" s="19" t="n"/>
      <c r="T979" s="19" t="n"/>
    </row>
    <row r="980" ht="15.75" customHeight="1" s="545">
      <c r="A980" s="19" t="n"/>
      <c r="B980" s="19" t="n"/>
      <c r="C980" s="19" t="n"/>
      <c r="D980" s="19" t="n"/>
      <c r="E980" s="19" t="n"/>
      <c r="F980" s="19" t="n"/>
      <c r="H980" s="19" t="n"/>
      <c r="I980" s="19" t="n"/>
      <c r="J980" s="19" t="n"/>
      <c r="K980" s="19" t="n"/>
      <c r="M980" s="19" t="n"/>
      <c r="O980" s="19" t="n"/>
      <c r="Q980" s="19" t="n"/>
      <c r="R980" s="19" t="n"/>
      <c r="S980" s="19" t="n"/>
      <c r="T980" s="19" t="n"/>
    </row>
    <row r="981" ht="15.75" customHeight="1" s="545">
      <c r="A981" s="19" t="n"/>
      <c r="B981" s="19" t="n"/>
      <c r="C981" s="19" t="n"/>
      <c r="D981" s="19" t="n"/>
      <c r="E981" s="19" t="n"/>
      <c r="F981" s="19" t="n"/>
      <c r="H981" s="19" t="n"/>
      <c r="I981" s="19" t="n"/>
      <c r="J981" s="19" t="n"/>
      <c r="K981" s="19" t="n"/>
      <c r="M981" s="19" t="n"/>
      <c r="O981" s="19" t="n"/>
      <c r="Q981" s="19" t="n"/>
      <c r="R981" s="19" t="n"/>
      <c r="S981" s="19" t="n"/>
      <c r="T981" s="19" t="n"/>
    </row>
    <row r="982" ht="15.75" customHeight="1" s="545">
      <c r="A982" s="19" t="n"/>
      <c r="B982" s="19" t="n"/>
      <c r="C982" s="19" t="n"/>
      <c r="D982" s="19" t="n"/>
      <c r="E982" s="19" t="n"/>
      <c r="F982" s="19" t="n"/>
      <c r="H982" s="19" t="n"/>
      <c r="I982" s="19" t="n"/>
      <c r="J982" s="19" t="n"/>
      <c r="K982" s="19" t="n"/>
      <c r="M982" s="19" t="n"/>
      <c r="O982" s="19" t="n"/>
      <c r="Q982" s="19" t="n"/>
      <c r="R982" s="19" t="n"/>
      <c r="S982" s="19" t="n"/>
      <c r="T982" s="19" t="n"/>
    </row>
    <row r="983" ht="15.75" customHeight="1" s="545">
      <c r="A983" s="19" t="n"/>
      <c r="B983" s="19" t="n"/>
      <c r="C983" s="19" t="n"/>
      <c r="D983" s="19" t="n"/>
      <c r="E983" s="19" t="n"/>
      <c r="F983" s="19" t="n"/>
      <c r="H983" s="19" t="n"/>
      <c r="I983" s="19" t="n"/>
      <c r="J983" s="19" t="n"/>
      <c r="K983" s="19" t="n"/>
      <c r="M983" s="19" t="n"/>
      <c r="O983" s="19" t="n"/>
      <c r="Q983" s="19" t="n"/>
      <c r="R983" s="19" t="n"/>
      <c r="S983" s="19" t="n"/>
      <c r="T983" s="19" t="n"/>
    </row>
    <row r="984" ht="15.75" customHeight="1" s="545">
      <c r="A984" s="19" t="n"/>
      <c r="B984" s="19" t="n"/>
      <c r="C984" s="19" t="n"/>
      <c r="D984" s="19" t="n"/>
      <c r="E984" s="19" t="n"/>
      <c r="F984" s="19" t="n"/>
      <c r="H984" s="19" t="n"/>
      <c r="I984" s="19" t="n"/>
      <c r="J984" s="19" t="n"/>
      <c r="K984" s="19" t="n"/>
      <c r="M984" s="19" t="n"/>
      <c r="O984" s="19" t="n"/>
      <c r="Q984" s="19" t="n"/>
      <c r="R984" s="19" t="n"/>
      <c r="S984" s="19" t="n"/>
      <c r="T984" s="19" t="n"/>
    </row>
    <row r="985" ht="15.75" customHeight="1" s="545">
      <c r="A985" s="19" t="n"/>
      <c r="B985" s="19" t="n"/>
      <c r="C985" s="19" t="n"/>
      <c r="D985" s="19" t="n"/>
      <c r="E985" s="19" t="n"/>
      <c r="F985" s="19" t="n"/>
      <c r="H985" s="19" t="n"/>
      <c r="I985" s="19" t="n"/>
      <c r="J985" s="19" t="n"/>
      <c r="K985" s="19" t="n"/>
      <c r="M985" s="19" t="n"/>
      <c r="O985" s="19" t="n"/>
      <c r="Q985" s="19" t="n"/>
      <c r="R985" s="19" t="n"/>
      <c r="S985" s="19" t="n"/>
      <c r="T985" s="19" t="n"/>
    </row>
    <row r="986" ht="15.75" customHeight="1" s="545">
      <c r="A986" s="19" t="n"/>
      <c r="B986" s="19" t="n"/>
      <c r="C986" s="19" t="n"/>
      <c r="D986" s="19" t="n"/>
      <c r="E986" s="19" t="n"/>
      <c r="F986" s="19" t="n"/>
      <c r="H986" s="19" t="n"/>
      <c r="I986" s="19" t="n"/>
      <c r="J986" s="19" t="n"/>
      <c r="K986" s="19" t="n"/>
      <c r="M986" s="19" t="n"/>
      <c r="O986" s="19" t="n"/>
      <c r="Q986" s="19" t="n"/>
      <c r="R986" s="19" t="n"/>
      <c r="S986" s="19" t="n"/>
      <c r="T986" s="19" t="n"/>
    </row>
    <row r="987" ht="15.75" customHeight="1" s="545">
      <c r="A987" s="19" t="n"/>
      <c r="B987" s="19" t="n"/>
      <c r="C987" s="19" t="n"/>
      <c r="D987" s="19" t="n"/>
      <c r="E987" s="19" t="n"/>
      <c r="F987" s="19" t="n"/>
      <c r="H987" s="19" t="n"/>
      <c r="I987" s="19" t="n"/>
      <c r="J987" s="19" t="n"/>
      <c r="K987" s="19" t="n"/>
      <c r="M987" s="19" t="n"/>
      <c r="O987" s="19" t="n"/>
      <c r="Q987" s="19" t="n"/>
      <c r="R987" s="19" t="n"/>
      <c r="S987" s="19" t="n"/>
      <c r="T987" s="19" t="n"/>
    </row>
    <row r="988" ht="15.75" customHeight="1" s="545">
      <c r="A988" s="19" t="n"/>
      <c r="B988" s="19" t="n"/>
      <c r="C988" s="19" t="n"/>
      <c r="D988" s="19" t="n"/>
      <c r="E988" s="19" t="n"/>
      <c r="F988" s="19" t="n"/>
      <c r="H988" s="19" t="n"/>
      <c r="I988" s="19" t="n"/>
      <c r="J988" s="19" t="n"/>
      <c r="K988" s="19" t="n"/>
      <c r="M988" s="19" t="n"/>
      <c r="O988" s="19" t="n"/>
      <c r="Q988" s="19" t="n"/>
      <c r="R988" s="19" t="n"/>
      <c r="S988" s="19" t="n"/>
      <c r="T988" s="19" t="n"/>
    </row>
    <row r="989" ht="15.75" customHeight="1" s="545">
      <c r="A989" s="19" t="n"/>
      <c r="B989" s="19" t="n"/>
      <c r="C989" s="19" t="n"/>
      <c r="D989" s="19" t="n"/>
      <c r="E989" s="19" t="n"/>
      <c r="F989" s="19" t="n"/>
      <c r="H989" s="19" t="n"/>
      <c r="I989" s="19" t="n"/>
      <c r="J989" s="19" t="n"/>
      <c r="K989" s="19" t="n"/>
      <c r="M989" s="19" t="n"/>
      <c r="O989" s="19" t="n"/>
      <c r="Q989" s="19" t="n"/>
      <c r="R989" s="19" t="n"/>
      <c r="S989" s="19" t="n"/>
      <c r="T989" s="19" t="n"/>
    </row>
    <row r="990" ht="15.75" customHeight="1" s="545">
      <c r="A990" s="19" t="n"/>
      <c r="B990" s="19" t="n"/>
      <c r="C990" s="19" t="n"/>
      <c r="D990" s="19" t="n"/>
      <c r="E990" s="19" t="n"/>
      <c r="F990" s="19" t="n"/>
      <c r="H990" s="19" t="n"/>
      <c r="I990" s="19" t="n"/>
      <c r="J990" s="19" t="n"/>
      <c r="K990" s="19" t="n"/>
      <c r="M990" s="19" t="n"/>
      <c r="O990" s="19" t="n"/>
      <c r="Q990" s="19" t="n"/>
      <c r="R990" s="19" t="n"/>
      <c r="S990" s="19" t="n"/>
      <c r="T990" s="19" t="n"/>
    </row>
    <row r="991" ht="15.75" customHeight="1" s="545">
      <c r="A991" s="19" t="n"/>
      <c r="B991" s="19" t="n"/>
      <c r="C991" s="19" t="n"/>
      <c r="D991" s="19" t="n"/>
      <c r="E991" s="19" t="n"/>
      <c r="F991" s="19" t="n"/>
      <c r="H991" s="19" t="n"/>
      <c r="I991" s="19" t="n"/>
      <c r="J991" s="19" t="n"/>
      <c r="K991" s="19" t="n"/>
      <c r="M991" s="19" t="n"/>
      <c r="O991" s="19" t="n"/>
      <c r="Q991" s="19" t="n"/>
      <c r="R991" s="19" t="n"/>
      <c r="S991" s="19" t="n"/>
      <c r="T991" s="19" t="n"/>
    </row>
    <row r="992" ht="15.75" customHeight="1" s="545">
      <c r="A992" s="19" t="n"/>
      <c r="B992" s="19" t="n"/>
      <c r="C992" s="19" t="n"/>
      <c r="D992" s="19" t="n"/>
      <c r="E992" s="19" t="n"/>
      <c r="F992" s="19" t="n"/>
      <c r="H992" s="19" t="n"/>
      <c r="I992" s="19" t="n"/>
      <c r="J992" s="19" t="n"/>
      <c r="K992" s="19" t="n"/>
      <c r="M992" s="19" t="n"/>
      <c r="O992" s="19" t="n"/>
      <c r="Q992" s="19" t="n"/>
      <c r="R992" s="19" t="n"/>
      <c r="S992" s="19" t="n"/>
      <c r="T992" s="19" t="n"/>
    </row>
    <row r="993" ht="15.75" customHeight="1" s="545">
      <c r="A993" s="19" t="n"/>
      <c r="B993" s="19" t="n"/>
      <c r="C993" s="19" t="n"/>
      <c r="D993" s="19" t="n"/>
      <c r="E993" s="19" t="n"/>
      <c r="F993" s="19" t="n"/>
      <c r="H993" s="19" t="n"/>
      <c r="I993" s="19" t="n"/>
      <c r="J993" s="19" t="n"/>
      <c r="K993" s="19" t="n"/>
      <c r="M993" s="19" t="n"/>
      <c r="O993" s="19" t="n"/>
      <c r="Q993" s="19" t="n"/>
      <c r="R993" s="19" t="n"/>
      <c r="S993" s="19" t="n"/>
      <c r="T993" s="19" t="n"/>
    </row>
    <row r="994" ht="15.75" customHeight="1" s="545">
      <c r="A994" s="19" t="n"/>
      <c r="B994" s="19" t="n"/>
      <c r="C994" s="19" t="n"/>
      <c r="D994" s="19" t="n"/>
      <c r="E994" s="19" t="n"/>
      <c r="F994" s="19" t="n"/>
      <c r="H994" s="19" t="n"/>
      <c r="I994" s="19" t="n"/>
      <c r="J994" s="19" t="n"/>
      <c r="K994" s="19" t="n"/>
      <c r="M994" s="19" t="n"/>
      <c r="O994" s="19" t="n"/>
      <c r="Q994" s="19" t="n"/>
      <c r="R994" s="19" t="n"/>
      <c r="S994" s="19" t="n"/>
      <c r="T994" s="19" t="n"/>
    </row>
    <row r="995" ht="15.75" customHeight="1" s="545">
      <c r="A995" s="19" t="n"/>
      <c r="B995" s="19" t="n"/>
      <c r="C995" s="19" t="n"/>
      <c r="D995" s="19" t="n"/>
      <c r="E995" s="19" t="n"/>
      <c r="F995" s="19" t="n"/>
      <c r="H995" s="19" t="n"/>
      <c r="I995" s="19" t="n"/>
      <c r="J995" s="19" t="n"/>
      <c r="K995" s="19" t="n"/>
      <c r="M995" s="19" t="n"/>
      <c r="O995" s="19" t="n"/>
      <c r="Q995" s="19" t="n"/>
      <c r="R995" s="19" t="n"/>
      <c r="S995" s="19" t="n"/>
      <c r="T995" s="19" t="n"/>
    </row>
    <row r="996" ht="15.75" customHeight="1" s="545">
      <c r="A996" s="19" t="n"/>
      <c r="B996" s="19" t="n"/>
      <c r="C996" s="19" t="n"/>
      <c r="D996" s="19" t="n"/>
      <c r="E996" s="19" t="n"/>
      <c r="F996" s="19" t="n"/>
      <c r="H996" s="19" t="n"/>
      <c r="I996" s="19" t="n"/>
      <c r="J996" s="19" t="n"/>
      <c r="K996" s="19" t="n"/>
      <c r="M996" s="19" t="n"/>
      <c r="O996" s="19" t="n"/>
      <c r="Q996" s="19" t="n"/>
      <c r="R996" s="19" t="n"/>
      <c r="S996" s="19" t="n"/>
      <c r="T996" s="19" t="n"/>
    </row>
    <row r="997" ht="15.75" customHeight="1" s="545">
      <c r="A997" s="19" t="n"/>
      <c r="B997" s="19" t="n"/>
      <c r="C997" s="19" t="n"/>
      <c r="D997" s="19" t="n"/>
      <c r="E997" s="19" t="n"/>
      <c r="F997" s="19" t="n"/>
      <c r="H997" s="19" t="n"/>
      <c r="I997" s="19" t="n"/>
      <c r="J997" s="19" t="n"/>
      <c r="K997" s="19" t="n"/>
      <c r="M997" s="19" t="n"/>
      <c r="O997" s="19" t="n"/>
      <c r="Q997" s="19" t="n"/>
      <c r="R997" s="19" t="n"/>
      <c r="S997" s="19" t="n"/>
      <c r="T997" s="19" t="n"/>
    </row>
    <row r="998" ht="15.75" customHeight="1" s="545">
      <c r="A998" s="19" t="n"/>
      <c r="B998" s="19" t="n"/>
      <c r="C998" s="19" t="n"/>
      <c r="D998" s="19" t="n"/>
      <c r="E998" s="19" t="n"/>
      <c r="F998" s="19" t="n"/>
      <c r="H998" s="19" t="n"/>
      <c r="I998" s="19" t="n"/>
      <c r="J998" s="19" t="n"/>
      <c r="K998" s="19" t="n"/>
      <c r="M998" s="19" t="n"/>
      <c r="O998" s="19" t="n"/>
      <c r="Q998" s="19" t="n"/>
      <c r="R998" s="19" t="n"/>
      <c r="S998" s="19" t="n"/>
      <c r="T998" s="19" t="n"/>
    </row>
    <row r="999" ht="15.75" customHeight="1" s="545">
      <c r="A999" s="19" t="n"/>
      <c r="B999" s="19" t="n"/>
      <c r="C999" s="19" t="n"/>
      <c r="D999" s="19" t="n"/>
      <c r="E999" s="19" t="n"/>
      <c r="F999" s="19" t="n"/>
      <c r="H999" s="19" t="n"/>
      <c r="I999" s="19" t="n"/>
      <c r="J999" s="19" t="n"/>
      <c r="K999" s="19" t="n"/>
      <c r="M999" s="19" t="n"/>
      <c r="O999" s="19" t="n"/>
      <c r="Q999" s="19" t="n"/>
      <c r="R999" s="19" t="n"/>
      <c r="S999" s="19" t="n"/>
      <c r="T999" s="19" t="n"/>
    </row>
    <row r="1000" ht="15.75" customHeight="1" s="545">
      <c r="A1000" s="19" t="n"/>
      <c r="B1000" s="19" t="n"/>
      <c r="C1000" s="19" t="n"/>
      <c r="D1000" s="19" t="n"/>
      <c r="E1000" s="19" t="n"/>
      <c r="F1000" s="19" t="n"/>
      <c r="H1000" s="19" t="n"/>
      <c r="I1000" s="19" t="n"/>
      <c r="J1000" s="19" t="n"/>
      <c r="K1000" s="19" t="n"/>
      <c r="M1000" s="19" t="n"/>
      <c r="O1000" s="19" t="n"/>
      <c r="Q1000" s="19" t="n"/>
      <c r="R1000" s="19" t="n"/>
      <c r="S1000" s="19" t="n"/>
      <c r="T1000" s="19" t="n"/>
    </row>
  </sheetData>
  <mergeCells count="6">
    <mergeCell ref="R3:T3"/>
    <mergeCell ref="N5:P5"/>
    <mergeCell ref="J31:K31"/>
    <mergeCell ref="U6:X6"/>
    <mergeCell ref="N31:O31"/>
    <mergeCell ref="R31:S31"/>
  </mergeCells>
  <conditionalFormatting sqref="M8:M27 Q8:Q27">
    <cfRule type="colorScale" priority="1">
      <colorScale>
        <cfvo type="formula" val="-4"/>
        <cfvo type="formula" val="0"/>
        <color rgb="FFE06666"/>
        <color rgb="FF93C47D"/>
      </colorScale>
    </cfRule>
  </conditionalFormatting>
  <dataValidations count="2">
    <dataValidation sqref="D8:D27" showDropDown="0" showInputMessage="0" showErrorMessage="1" allowBlank="1" type="list">
      <formula1>"links,rechts,mitte"</formula1>
    </dataValidation>
    <dataValidation sqref="C8:C27" showDropDown="0" showInputMessage="0" showErrorMessage="1" allowBlank="1" type="list">
      <formula1>"EG,1.OG,2.OG,Über 2.OG mit Aufzug,Über 2.OG ohne Aufzug,UG"</formula1>
    </dataValidation>
  </dataValidations>
  <pageMargins left="0.75" right="0.75" top="1" bottom="1" header="0" footer="0"/>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A1002"/>
  <sheetViews>
    <sheetView workbookViewId="0">
      <selection activeCell="A1" sqref="A1"/>
    </sheetView>
  </sheetViews>
  <sheetFormatPr baseColWidth="10" defaultColWidth="14.4609375" defaultRowHeight="15" customHeight="1"/>
  <cols>
    <col width="6.84375" customWidth="1" style="545" min="1" max="2"/>
    <col width="21.3046875" customWidth="1" style="545" min="3" max="3"/>
    <col width="7.84375" customWidth="1" style="545" min="4" max="4"/>
    <col width="8.53515625" customWidth="1" style="545" min="5" max="5"/>
    <col width="8.69140625" customWidth="1" style="545" min="6" max="6"/>
    <col width="15" customWidth="1" style="545" min="8" max="8"/>
    <col width="17.53515625" customWidth="1" style="545" min="9" max="9"/>
    <col hidden="1" width="10.15234375" customWidth="1" style="545" min="10" max="10"/>
    <col width="13.84375" customWidth="1" style="545" min="11" max="11"/>
    <col width="12" customWidth="1" style="545" min="12" max="12"/>
    <col width="17" customWidth="1" style="545" min="13" max="13"/>
    <col hidden="1" width="13.4609375" customWidth="1" style="545" min="14" max="14"/>
    <col width="13.69140625" customWidth="1" style="545" min="15" max="15"/>
    <col hidden="1" width="13.69140625" customWidth="1" style="545" min="16" max="16"/>
    <col width="22.84375" customWidth="1" style="545" min="17" max="17"/>
    <col hidden="1" width="13.4609375" customWidth="1" style="545" min="18" max="18"/>
    <col width="21.3046875" customWidth="1" style="545" min="19" max="19"/>
    <col hidden="1" width="13" customWidth="1" style="545" min="20" max="20"/>
    <col width="15.15234375" customWidth="1" style="545" min="21" max="21"/>
    <col width="15.3046875" customWidth="1" style="545" min="22" max="22"/>
    <col width="15.15234375" customWidth="1" style="545" min="23" max="23"/>
    <col width="15.84375" customWidth="1" style="545" min="24" max="24"/>
    <col width="16.15234375" customWidth="1" style="545" min="25" max="25"/>
    <col width="10.4609375" customWidth="1" style="545" min="26" max="26"/>
    <col width="11.3046875" customWidth="1" style="545" min="27" max="27"/>
  </cols>
  <sheetData>
    <row r="1" ht="15" customHeight="1" s="545">
      <c r="A1" s="390" t="inlineStr">
        <is>
          <t>VERKAUFSMATRIX</t>
        </is>
      </c>
      <c r="B1" s="19" t="n"/>
      <c r="C1" s="19" t="n"/>
      <c r="D1" s="19" t="n"/>
      <c r="E1" s="19" t="n"/>
      <c r="F1" s="19" t="n"/>
      <c r="H1" s="19" t="n"/>
      <c r="I1" s="19" t="n"/>
      <c r="J1" s="19" t="n"/>
      <c r="K1" s="19" t="n"/>
      <c r="L1" s="19" t="n"/>
      <c r="M1" s="19" t="n"/>
      <c r="N1" s="19" t="n"/>
      <c r="O1" s="19" t="n"/>
      <c r="P1" s="19" t="n"/>
      <c r="Q1" s="19" t="n"/>
      <c r="R1" s="19" t="n"/>
      <c r="S1" s="19" t="n"/>
      <c r="T1" s="19" t="n"/>
      <c r="U1" s="19" t="n"/>
      <c r="V1" s="19" t="n"/>
      <c r="W1" s="19" t="n"/>
      <c r="X1" s="19" t="n"/>
      <c r="Y1" s="19" t="n"/>
      <c r="Z1" s="19" t="n"/>
      <c r="AA1" s="19" t="n"/>
    </row>
    <row r="2" ht="14.6" customHeight="1" s="545">
      <c r="A2" s="19" t="n"/>
      <c r="B2" s="19" t="n"/>
      <c r="C2" s="19" t="n"/>
      <c r="D2" s="19" t="n"/>
      <c r="E2" s="19" t="n"/>
      <c r="F2" s="19" t="n"/>
      <c r="H2" s="19" t="n"/>
      <c r="I2" s="19" t="n"/>
      <c r="J2" s="19" t="n"/>
      <c r="K2" s="19" t="n"/>
      <c r="L2" s="19" t="n"/>
      <c r="M2" s="19" t="n"/>
      <c r="N2" s="19" t="n"/>
      <c r="O2" s="19" t="n"/>
      <c r="P2" s="19" t="n"/>
      <c r="Q2" s="19" t="n"/>
      <c r="R2" s="19" t="n"/>
      <c r="S2" s="19" t="n"/>
      <c r="T2" s="19" t="n"/>
      <c r="U2" s="19" t="n"/>
      <c r="V2" s="19" t="n"/>
      <c r="W2" s="19" t="n"/>
      <c r="X2" s="19" t="n"/>
      <c r="Y2" s="19" t="n"/>
      <c r="Z2" s="19" t="n"/>
      <c r="AA2" s="19" t="n"/>
    </row>
    <row r="3" ht="15" customHeight="1" s="545">
      <c r="A3" s="19" t="n"/>
      <c r="B3" s="19" t="n"/>
      <c r="C3" s="19" t="n"/>
      <c r="D3" s="19" t="n"/>
      <c r="E3" s="19" t="n"/>
      <c r="F3" s="19" t="n"/>
      <c r="H3" s="19" t="n"/>
      <c r="I3" s="19" t="n"/>
      <c r="J3" s="19" t="n"/>
      <c r="K3" s="391" t="n"/>
      <c r="L3" s="392" t="n"/>
      <c r="M3" s="19" t="n"/>
      <c r="N3" s="19" t="n"/>
      <c r="O3" s="609" t="n"/>
      <c r="P3" s="609" t="n"/>
      <c r="Q3" s="609" t="n"/>
      <c r="R3" s="19" t="n"/>
      <c r="S3" s="103" t="n"/>
      <c r="T3" s="19" t="n"/>
      <c r="U3" s="19" t="n"/>
      <c r="V3" s="19" t="n"/>
      <c r="W3" s="19" t="n"/>
      <c r="X3" s="19" t="n"/>
      <c r="Y3" s="19" t="n"/>
      <c r="Z3" s="19" t="n"/>
      <c r="AA3" s="19" t="n"/>
    </row>
    <row r="4" ht="15" customHeight="1" s="545">
      <c r="A4" s="347" t="n"/>
      <c r="B4" s="348" t="n"/>
      <c r="C4" s="19" t="n"/>
      <c r="D4" s="347" t="n"/>
      <c r="E4" s="348" t="n"/>
      <c r="F4" s="348" t="n"/>
      <c r="G4" s="393" t="n"/>
      <c r="H4" s="393" t="n"/>
      <c r="I4" s="394" t="n"/>
      <c r="J4" s="395" t="n"/>
      <c r="K4" s="396" t="n"/>
      <c r="L4" s="397" t="n"/>
      <c r="M4" s="394" t="n"/>
      <c r="N4" s="395" t="n"/>
      <c r="O4" s="395" t="n"/>
      <c r="P4" s="395" t="n"/>
      <c r="Q4" s="395" t="n"/>
      <c r="R4" s="393" t="n"/>
      <c r="S4" s="394" t="n"/>
      <c r="T4" s="398" t="n"/>
      <c r="U4" s="393" t="n"/>
      <c r="V4" s="347" t="n"/>
      <c r="W4" s="348" t="n"/>
      <c r="X4" s="348" t="n"/>
      <c r="Y4" s="348" t="n"/>
      <c r="Z4" s="348" t="n"/>
      <c r="AA4" s="19" t="n"/>
    </row>
    <row r="5" ht="15" customHeight="1" s="545">
      <c r="A5" s="399" t="inlineStr">
        <is>
          <t>HAUS
NR.</t>
        </is>
      </c>
      <c r="B5" s="399" t="inlineStr">
        <is>
          <t>WHG
NR.</t>
        </is>
      </c>
      <c r="C5" s="399" t="inlineStr">
        <is>
          <t>ETAGE</t>
        </is>
      </c>
      <c r="D5" s="399" t="inlineStr">
        <is>
          <t>LAGE</t>
        </is>
      </c>
      <c r="E5" s="399" t="inlineStr">
        <is>
          <t>ZIMMER</t>
        </is>
      </c>
      <c r="F5" s="399" t="inlineStr">
        <is>
          <t>WOHN-
FLÄCHE</t>
        </is>
      </c>
      <c r="G5" s="399" t="inlineStr">
        <is>
          <t>€/qm
PORTALPREISE</t>
        </is>
      </c>
      <c r="H5" s="399" t="inlineStr">
        <is>
          <t>€/qm
AUF/ABSCHLAG</t>
        </is>
      </c>
      <c r="I5" s="400" t="inlineStr">
        <is>
          <t>MIETSITUATION
(- 10%)</t>
        </is>
      </c>
      <c r="J5" s="401" t="inlineStr">
        <is>
          <t>Auf-/Abschlag
Mietsituation</t>
        </is>
      </c>
      <c r="K5" s="400" t="inlineStr">
        <is>
          <t>Δ zu
Mietspiegel</t>
        </is>
      </c>
      <c r="L5" s="835">
        <f>MIETER!M6</f>
        <v/>
      </c>
      <c r="M5" s="400" t="inlineStr">
        <is>
          <t>BALKON
(- 5%)</t>
        </is>
      </c>
      <c r="N5" s="401" t="inlineStr">
        <is>
          <t>Auf-/Abschlag
Balkon</t>
        </is>
      </c>
      <c r="O5" s="400" t="inlineStr">
        <is>
          <t>Baujahr
Etagenheizung</t>
        </is>
      </c>
      <c r="P5" s="401" t="inlineStr">
        <is>
          <t>Auf-/Abschlag
Etagenheizung</t>
        </is>
      </c>
      <c r="Q5" s="400" t="inlineStr">
        <is>
          <t>ZUSTAND RENOVIERUNG
IM VERKAUF (+5%/- 5%)</t>
        </is>
      </c>
      <c r="R5" s="401" t="inlineStr">
        <is>
          <t>Auf-/Abschlag
Renovierung</t>
        </is>
      </c>
      <c r="S5" s="400" t="inlineStr">
        <is>
          <t>ETAGE / LAGE
(- 5%)</t>
        </is>
      </c>
      <c r="T5" s="401" t="inlineStr">
        <is>
          <t>ETAGE / LAGE
(- 5%)</t>
        </is>
      </c>
      <c r="U5" s="403" t="inlineStr">
        <is>
          <t>VERKAUFSPREIS
WOHNUNG</t>
        </is>
      </c>
      <c r="V5" s="400" t="inlineStr">
        <is>
          <t>PREIS GARAGE /
STELLPLATZ</t>
        </is>
      </c>
      <c r="W5" s="404" t="inlineStr">
        <is>
          <t>VORSCHLAG
VERKAUFSPREIS</t>
        </is>
      </c>
      <c r="X5" s="404" t="inlineStr">
        <is>
          <t>INDIVIDUELLER
AUF-/ABSCHLAG</t>
        </is>
      </c>
      <c r="Y5" s="405" t="inlineStr">
        <is>
          <t>MEIN
VERKAUFSPREIS</t>
        </is>
      </c>
      <c r="Z5" s="404" t="inlineStr">
        <is>
          <t>VK / qm</t>
        </is>
      </c>
      <c r="AA5" s="400" t="inlineStr">
        <is>
          <t>% RENDITE
MEIN PREIS</t>
        </is>
      </c>
    </row>
    <row r="6" ht="15" customHeight="1" s="545">
      <c r="A6" s="406">
        <f>IF(ISNUMBER(MIETER!F8),IFERROR(MIETER!A8,""),"")</f>
        <v/>
      </c>
      <c r="B6" s="406">
        <f>IF(ISNUMBER(MIETER!F8),IFERROR(MIETER!B8,""),"")</f>
        <v/>
      </c>
      <c r="C6" s="407">
        <f>IF(ISNUMBER(MIETER!F8),IFERROR(MIETER!C8,""),"")</f>
        <v/>
      </c>
      <c r="D6" s="406">
        <f>IF(ISNUMBER(MIETER!F8),IFERROR(MIETER!D8,""),"")</f>
        <v/>
      </c>
      <c r="E6" s="406">
        <f>IF(ISNUMBER(MIETER!F8),IFERROR(MIETER!E8,""),"")</f>
        <v/>
      </c>
      <c r="F6" s="408">
        <f>IF(ISNUMBER(MIETER!F8),IFERROR(MIETER!F8,""),"")</f>
        <v/>
      </c>
      <c r="G6" s="836">
        <f>IF(ISNUMBER(MIETER!F8),KALKU!$I$18,"")</f>
        <v/>
      </c>
      <c r="H6" s="836">
        <f>IF(ISNUMBER(MIETER!F8),KALKU!$N$18,"")</f>
        <v/>
      </c>
      <c r="I6" s="410" t="n"/>
      <c r="J6" s="837">
        <f>IF(ISNUMBER(MIETER!F8),IF(I6="vermietet",H6*(-0.1),H6*0),"")</f>
        <v/>
      </c>
      <c r="K6" s="412">
        <f>IF(ISNUMBER(MIETER!F8),IFERROR(MIETER!Q8/MIETER!$M$6,""),"")</f>
        <v/>
      </c>
      <c r="L6" s="413">
        <f>IF(ISNUMBER(MIETER!F8),IF(K6 &gt;= 0%,H6*(0.01),
   IF(K6 &gt;= -5%,H6*(-0.01),
      IF(K6 &gt;= -10%,H6*(-0.02),
IF(K6 &gt;= -15%,H6*(-0.03),
IF(K6 &gt;= -20%,H6*(-0.04),
IF(K6 &gt;= -25%,H6*(-0.05),
IF(K6 &gt;= -30%,H6*(-0.06),
IF(K6 &gt;= -35%,H6*(-0.07),
IF(K6 &gt;= -40%,H6*(-0.08),
IF(K6 &gt;= -45%,H6*(-0.09),
         IF(K6 &gt;= -50%, H6*(-0.1), H6*0
)
)))))))))),"")</f>
        <v/>
      </c>
      <c r="M6" s="414" t="n"/>
      <c r="N6" s="415">
        <f>IF(NOT(ISNUMBER(H6)),"",IF(M6="Kein Balkon",H6*(-0.05),H6*0))</f>
        <v/>
      </c>
      <c r="O6" s="416" t="n"/>
      <c r="P6" s="838">
        <f>IF(NOT(ISNUMBER(H6)),"",IF(ISBLANK(O6),0,H6*MIN((YEAR(TODAY())-O6)*0.003,0.09)*-1))</f>
        <v/>
      </c>
      <c r="Q6" s="414" t="n"/>
      <c r="R6" s="415">
        <f>IF(ISNUMBER(MIETER!F8),IF(Q6="renoviert",H6*0.05,IF(Q6="teilweise renoviert",H6*0,IF(Q6="unrenoviert",H6*-0.05,0))),"")</f>
        <v/>
      </c>
      <c r="S6" s="418">
        <f>IF(ISNUMBER(MIETER!F8),C6,"")</f>
        <v/>
      </c>
      <c r="T6" s="419">
        <f>IF(ISNUMBER(MIETER!F8),IF(OR(S6="EG",S6="1.OG",S6="2.OG",S6="OG",S6="über 2.OG mit Aufzug"),H6*0,IF(OR(S6="UG",S6="über 2.OG ohne Aufzug"),H6*(-0.05),0)),"")</f>
        <v/>
      </c>
      <c r="U6" s="420">
        <f>IF(ISNUMBER(MIETER!F8),IFERROR(F6*(H6+J6+L6+N6+P6+R6+T6),""),"")</f>
        <v/>
      </c>
      <c r="V6" s="421">
        <f>IF(NOT(ISNUMBER(MIETER!F8)),"",N('Verkauf Cashflow'!Q3)+N('Verkauf Cashflow'!R3))</f>
        <v/>
      </c>
      <c r="W6" s="422">
        <f>IF(ISNUMBER(MIETER!F8),U6+V6,"")</f>
        <v/>
      </c>
      <c r="X6" s="421">
        <f>IF(ISNUMBER('Verkauf Cashflow'!O3),'Verkauf Cashflow'!O3,"")</f>
        <v/>
      </c>
      <c r="Y6" s="422">
        <f>IF(ISNUMBER('Verkauf Cashflow'!S3),'Verkauf Cashflow'!S3,"")</f>
        <v/>
      </c>
      <c r="Z6" s="420">
        <f>IF(ISNUMBER(MIETER!F8),IFERROR(Y6/F6,""),"")</f>
        <v/>
      </c>
      <c r="AA6" s="423">
        <f>IF(ISNUMBER('Verkauf Cashflow'!CF3),'Verkauf Cashflow'!CF3,"")</f>
        <v/>
      </c>
    </row>
    <row r="7" ht="15" customHeight="1" s="545">
      <c r="A7" s="406">
        <f>IF(ISNUMBER(MIETER!F9),IFERROR(MIETER!A9,""),"")</f>
        <v/>
      </c>
      <c r="B7" s="406">
        <f>IF(ISNUMBER(MIETER!F9),IFERROR(MIETER!B9,""),"")</f>
        <v/>
      </c>
      <c r="C7" s="407">
        <f>IF(ISNUMBER(MIETER!F9),IFERROR(MIETER!C9,""),"")</f>
        <v/>
      </c>
      <c r="D7" s="406">
        <f>IF(ISNUMBER(MIETER!F9),IFERROR(MIETER!D9,""),"")</f>
        <v/>
      </c>
      <c r="E7" s="406">
        <f>IF(ISNUMBER(MIETER!F9),IFERROR(MIETER!E9,""),"")</f>
        <v/>
      </c>
      <c r="F7" s="408">
        <f>IF(ISNUMBER(MIETER!F9),IFERROR(MIETER!F9,""),"")</f>
        <v/>
      </c>
      <c r="G7" s="836">
        <f>IF(ISNUMBER(MIETER!F9),KALKU!$I$18,"")</f>
        <v/>
      </c>
      <c r="H7" s="836">
        <f>IF(ISNUMBER(MIETER!F9),KALKU!$N$18,"")</f>
        <v/>
      </c>
      <c r="I7" s="410" t="n"/>
      <c r="J7" s="837">
        <f>IF(ISNUMBER(MIETER!F9),IF(I7="vermietet",H7*(-0.1),H7*0),"")</f>
        <v/>
      </c>
      <c r="K7" s="412">
        <f>IF(ISNUMBER(MIETER!F9),IFERROR(MIETER!Q9/MIETER!$M$6,""),"")</f>
        <v/>
      </c>
      <c r="L7" s="413">
        <f>IF(ISNUMBER(MIETER!F9),IF(K7 &gt;= 0%,H7*(0.01),
IF(K7 &gt;= -5%,H7*(-0.01),
IF(K7 &gt;= -10%,H7*(-0.02),
IF(K7 &gt;= -15%,H7*(-0.03),
IF(K7 &gt;= -20%,H7*(-0.04),
IF(K7 &gt;= -25%,H7*(-0.05),
IF(K7 &gt;= -30%,H7*(-0.06),
IF(K7 &gt;= -35%,H7*(-0.07),
IF(K7 &gt;= -40%,H7*(-0.08),
IF(K7 &gt;= -45%,H7*(-0.09),
IF(K7 &gt;= -50%, H7*(-0.1), H7*
0)
)))))))))),"")</f>
        <v/>
      </c>
      <c r="M7" s="414" t="n"/>
      <c r="N7" s="415">
        <f>IF(NOT(ISNUMBER(H7)),"",IF(M7="Kein Balkon",H7*(-0.05),H7*0))</f>
        <v/>
      </c>
      <c r="O7" s="416" t="n"/>
      <c r="P7" s="838">
        <f>IF(NOT(ISNUMBER(H7)),"",IF(ISBLANK(O7),0,H7*MIN((YEAR(TODAY())-O7)*0.003,0.09)*-1))</f>
        <v/>
      </c>
      <c r="Q7" s="414" t="n"/>
      <c r="R7" s="415">
        <f>IF(ISNUMBER(MIETER!F9),IF(Q7="renoviert",H7*0.05,IF(Q7="teilweise renoviert",H7*0,IF(Q7="unrenoviert",H7*-0.05,0))),"")</f>
        <v/>
      </c>
      <c r="S7" s="418">
        <f>IF(ISNUMBER(MIETER!F9),C7,"")</f>
        <v/>
      </c>
      <c r="T7" s="419">
        <f>IF(ISNUMBER(MIETER!F9),IF(OR(S7="EG",S7="1.OG",S7="2.OG",S7="OG",S7="über 2.OG mit Aufzug"),H7*0,IF(OR(S7="UG",S7="über 2.OG ohne Aufzug"),H7*(-0.05),0)),"")</f>
        <v/>
      </c>
      <c r="U7" s="420">
        <f>IF(ISNUMBER(MIETER!F9),IFERROR(F7*(H7+J7+L7+N7+P7+R7+T7),""),"")</f>
        <v/>
      </c>
      <c r="V7" s="421">
        <f>IF(NOT(ISNUMBER(MIETER!F9)),"",N('Verkauf Cashflow'!Q4)+N('Verkauf Cashflow'!R4))</f>
        <v/>
      </c>
      <c r="W7" s="422">
        <f>IF(ISNUMBER(MIETER!F9),U7+V7,"")</f>
        <v/>
      </c>
      <c r="X7" s="421">
        <f>IF(ISNUMBER('Verkauf Cashflow'!O4),'Verkauf Cashflow'!O4,"")</f>
        <v/>
      </c>
      <c r="Y7" s="422">
        <f>IF(ISNUMBER('Verkauf Cashflow'!S4),'Verkauf Cashflow'!S4,"")</f>
        <v/>
      </c>
      <c r="Z7" s="420">
        <f>IF(ISNUMBER(MIETER!F9),IFERROR(Y7/F7,""),"")</f>
        <v/>
      </c>
      <c r="AA7" s="423">
        <f>IF(ISNUMBER('Verkauf Cashflow'!CF4),'Verkauf Cashflow'!CF4,"")</f>
        <v/>
      </c>
    </row>
    <row r="8" ht="15" customHeight="1" s="545">
      <c r="A8" s="406">
        <f>IF(ISNUMBER(MIETER!F10),IFERROR(MIETER!A10,""),"")</f>
        <v/>
      </c>
      <c r="B8" s="406">
        <f>IF(ISNUMBER(MIETER!F10),IFERROR(MIETER!B10,""),"")</f>
        <v/>
      </c>
      <c r="C8" s="407">
        <f>IF(ISNUMBER(MIETER!F10),IFERROR(MIETER!C10,""),"")</f>
        <v/>
      </c>
      <c r="D8" s="406">
        <f>IF(ISNUMBER(MIETER!F10),IFERROR(MIETER!D10,""),"")</f>
        <v/>
      </c>
      <c r="E8" s="406">
        <f>IF(ISNUMBER(MIETER!F10),IFERROR(MIETER!E10,""),"")</f>
        <v/>
      </c>
      <c r="F8" s="408">
        <f>IF(ISNUMBER(MIETER!F10),IFERROR(MIETER!F10,""),"")</f>
        <v/>
      </c>
      <c r="G8" s="836">
        <f>IF(ISNUMBER(MIETER!F10),KALKU!$I$18,"")</f>
        <v/>
      </c>
      <c r="H8" s="836">
        <f>IF(ISNUMBER(MIETER!F10),KALKU!$N$18,"")</f>
        <v/>
      </c>
      <c r="I8" s="410" t="n"/>
      <c r="J8" s="837">
        <f>IF(ISNUMBER(MIETER!F10),IF(I8="vermietet",H8*(-0.1),H8*0),"")</f>
        <v/>
      </c>
      <c r="K8" s="412">
        <f>IF(ISNUMBER(MIETER!F10),IFERROR(MIETER!Q10/MIETER!$M$6,""),"")</f>
        <v/>
      </c>
      <c r="L8" s="413">
        <f>IF(ISNUMBER(MIETER!F10),IF(K8 &gt;= 0%,H8*(0.01),
IF(K8 &gt;= -5%,H8*(-0.01),
IF(K8 &gt;= -10%,H8*(-0.02),
IF(K8 &gt;= -15%,H8*(-0.03),
IF(K8 &gt;= -20%,H8*(-0.04),
IF(K8 &gt;= -25%,H8*(-0.05),
IF(K8 &gt;= -30%,H8*(-0.06),
IF(K8 &gt;= -35%,H8*(-0.07),
IF(K8 &gt;= -40%,H8*(-0.08),
IF(K8 &gt;= -45%,H8*(-0.09),
IF(K8 &gt;= -50%, H8*(-0.1), H8*
0)
)))))))))),"")</f>
        <v/>
      </c>
      <c r="M8" s="414" t="n"/>
      <c r="N8" s="415">
        <f>IF(NOT(ISNUMBER(H8)),"",IF(M8="Kein Balkon",H8*(-0.05),H8*0))</f>
        <v/>
      </c>
      <c r="O8" s="416" t="n"/>
      <c r="P8" s="838">
        <f>IF(NOT(ISNUMBER(H8)),"",IF(ISBLANK(O8),0,H8*MIN((YEAR(TODAY())-O8)*0.003,0.09)*-1))</f>
        <v/>
      </c>
      <c r="Q8" s="414" t="n"/>
      <c r="R8" s="415">
        <f>IF(ISNUMBER(MIETER!F10),IF(Q8="renoviert",H8*0.05,IF(Q8="teilweise renoviert",H8*0,IF(Q8="unrenoviert",H8*-0.05,0))),"")</f>
        <v/>
      </c>
      <c r="S8" s="418">
        <f>IF(ISNUMBER(MIETER!F10),C8,"")</f>
        <v/>
      </c>
      <c r="T8" s="419">
        <f>IF(ISNUMBER(MIETER!F10),IF(OR(S8="EG",S8="1.OG",S8="2.OG",S8="OG",S8="über 2.OG mit Aufzug"),H8*0,IF(OR(S8="UG",S8="über 2.OG ohne Aufzug"),H8*(-0.05),0)),"")</f>
        <v/>
      </c>
      <c r="U8" s="420">
        <f>IF(ISNUMBER(MIETER!F10),IFERROR(F8*(H8+J8+L8+N8+P8+R8+T8),""),"")</f>
        <v/>
      </c>
      <c r="V8" s="421">
        <f>IF(NOT(ISNUMBER(MIETER!F10)),"",N('Verkauf Cashflow'!Q5)+N('Verkauf Cashflow'!R5))</f>
        <v/>
      </c>
      <c r="W8" s="422">
        <f>IF(ISNUMBER(MIETER!F10),U8+V8,"")</f>
        <v/>
      </c>
      <c r="X8" s="421">
        <f>IF(ISNUMBER('Verkauf Cashflow'!O5),'Verkauf Cashflow'!O5,"")</f>
        <v/>
      </c>
      <c r="Y8" s="422">
        <f>IF(ISNUMBER('Verkauf Cashflow'!S5),'Verkauf Cashflow'!S5,"")</f>
        <v/>
      </c>
      <c r="Z8" s="420">
        <f>IF(ISNUMBER(MIETER!F10),IFERROR(Y8/F8,""),"")</f>
        <v/>
      </c>
      <c r="AA8" s="423">
        <f>IF(ISNUMBER('Verkauf Cashflow'!CF5),'Verkauf Cashflow'!CF5,"")</f>
        <v/>
      </c>
    </row>
    <row r="9" ht="15" customHeight="1" s="545">
      <c r="A9" s="406">
        <f>IF(ISNUMBER(MIETER!F11),IFERROR(MIETER!A11,""),"")</f>
        <v/>
      </c>
      <c r="B9" s="406">
        <f>IF(ISNUMBER(MIETER!F11),IFERROR(MIETER!B11,""),"")</f>
        <v/>
      </c>
      <c r="C9" s="407">
        <f>IF(ISNUMBER(MIETER!F11),IFERROR(MIETER!C11,""),"")</f>
        <v/>
      </c>
      <c r="D9" s="406">
        <f>IF(ISNUMBER(MIETER!F11),IFERROR(MIETER!D11,""),"")</f>
        <v/>
      </c>
      <c r="E9" s="406">
        <f>IF(ISNUMBER(MIETER!F11),IFERROR(MIETER!E11,""),"")</f>
        <v/>
      </c>
      <c r="F9" s="408">
        <f>IF(ISNUMBER(MIETER!F11),IFERROR(MIETER!F11,""),"")</f>
        <v/>
      </c>
      <c r="G9" s="836">
        <f>IF(ISNUMBER(MIETER!F11),KALKU!$I$18,"")</f>
        <v/>
      </c>
      <c r="H9" s="836">
        <f>IF(ISNUMBER(MIETER!F11),KALKU!$N$18,"")</f>
        <v/>
      </c>
      <c r="I9" s="410" t="n"/>
      <c r="J9" s="837">
        <f>IF(ISNUMBER(MIETER!F11),IF(I9="vermietet",H9*(-0.1),H9*0),"")</f>
        <v/>
      </c>
      <c r="K9" s="412">
        <f>IF(ISNUMBER(MIETER!F11),IFERROR(MIETER!Q11/MIETER!$M$6,""),"")</f>
        <v/>
      </c>
      <c r="L9" s="413">
        <f>IF(ISNUMBER(MIETER!F11),IF(K9 &gt;= 0%,H9*(0.01),
IF(K9 &gt;= -5%,H9*(-0.01),
IF(K9 &gt;= -10%,H9*(-0.02),
IF(K9 &gt;= -15%,H9*(-0.03),
IF(K9 &gt;= -20%,H9*(-0.04),
IF(K9 &gt;= -25%,H9*(-0.05),
IF(K9 &gt;= -30%,H9*(-0.06),
IF(K9 &gt;= -35%,H9*(-0.07),
IF(K9 &gt;= -40%,H9*(-0.08),
IF(K9 &gt;= -45%,H9*(-0.09),
IF(K9 &gt;= -50%, H9*(-0.1), H9*
0)
)))))))))),"")</f>
        <v/>
      </c>
      <c r="M9" s="414" t="n"/>
      <c r="N9" s="415">
        <f>IF(NOT(ISNUMBER(H9)),"",IF(M9="Kein Balkon",H9*(-0.05),H9*0))</f>
        <v/>
      </c>
      <c r="O9" s="416" t="n"/>
      <c r="P9" s="838">
        <f>IF(NOT(ISNUMBER(H9)),"",IF(ISBLANK(O9),0,H9*MIN((YEAR(TODAY())-O9)*0.003,0.09)*-1))</f>
        <v/>
      </c>
      <c r="Q9" s="414" t="n"/>
      <c r="R9" s="415">
        <f>IF(ISNUMBER(MIETER!F11),IF(Q9="renoviert",H9*0.05,IF(Q9="teilweise renoviert",H9*0,IF(Q9="unrenoviert",H9*-0.05,0))),"")</f>
        <v/>
      </c>
      <c r="S9" s="418">
        <f>IF(ISNUMBER(MIETER!F11),C9,"")</f>
        <v/>
      </c>
      <c r="T9" s="419">
        <f>IF(ISNUMBER(MIETER!F11),IF(OR(S9="EG",S9="1.OG",S9="2.OG",S9="OG",S9="über 2.OG mit Aufzug"),H9*0,IF(OR(S9="UG",S9="über 2.OG ohne Aufzug"),H9*(-0.05),0)),"")</f>
        <v/>
      </c>
      <c r="U9" s="420">
        <f>IF(ISNUMBER(MIETER!F11),IFERROR(F9*(H9+J9+L9+N9+P9+R9+T9),""),"")</f>
        <v/>
      </c>
      <c r="V9" s="421">
        <f>IF(NOT(ISNUMBER(MIETER!F11)),"",N('Verkauf Cashflow'!Q6)+N('Verkauf Cashflow'!R6))</f>
        <v/>
      </c>
      <c r="W9" s="422">
        <f>IF(ISNUMBER(MIETER!F11),U9+V9,"")</f>
        <v/>
      </c>
      <c r="X9" s="421">
        <f>IF(ISNUMBER('Verkauf Cashflow'!O6),'Verkauf Cashflow'!O6,"")</f>
        <v/>
      </c>
      <c r="Y9" s="422">
        <f>IF(ISNUMBER('Verkauf Cashflow'!S6),'Verkauf Cashflow'!S6,"")</f>
        <v/>
      </c>
      <c r="Z9" s="420">
        <f>IF(ISNUMBER(MIETER!F11),IFERROR(Y9/F9,""),"")</f>
        <v/>
      </c>
      <c r="AA9" s="423">
        <f>IF(ISNUMBER('Verkauf Cashflow'!CF6),'Verkauf Cashflow'!CF6,"")</f>
        <v/>
      </c>
    </row>
    <row r="10" ht="15" customHeight="1" s="545">
      <c r="A10" s="406">
        <f>IF(ISNUMBER(MIETER!F12),IFERROR(MIETER!A12,""),"")</f>
        <v/>
      </c>
      <c r="B10" s="406">
        <f>IF(ISNUMBER(MIETER!F12),IFERROR(MIETER!B12,""),"")</f>
        <v/>
      </c>
      <c r="C10" s="407">
        <f>IF(ISNUMBER(MIETER!F12),IFERROR(MIETER!C12,""),"")</f>
        <v/>
      </c>
      <c r="D10" s="406">
        <f>IF(ISNUMBER(MIETER!F12),IFERROR(MIETER!D12,""),"")</f>
        <v/>
      </c>
      <c r="E10" s="406">
        <f>IF(ISNUMBER(MIETER!F12),IFERROR(MIETER!E12,""),"")</f>
        <v/>
      </c>
      <c r="F10" s="408">
        <f>IF(ISNUMBER(MIETER!F12),IFERROR(MIETER!F12,""),"")</f>
        <v/>
      </c>
      <c r="G10" s="836">
        <f>IF(ISNUMBER(MIETER!F12),KALKU!$I$18,"")</f>
        <v/>
      </c>
      <c r="H10" s="836">
        <f>IF(ISNUMBER(MIETER!F12),KALKU!$N$18,"")</f>
        <v/>
      </c>
      <c r="I10" s="410" t="n"/>
      <c r="J10" s="837">
        <f>IF(ISNUMBER(MIETER!F12),IF(I10="vermietet",H10*(-0.1),H10*0),"")</f>
        <v/>
      </c>
      <c r="K10" s="412">
        <f>IF(ISNUMBER(MIETER!F12),IFERROR(MIETER!Q12/MIETER!$M$6,""),"")</f>
        <v/>
      </c>
      <c r="L10" s="413">
        <f>IF(ISNUMBER(MIETER!F12),IF(K10 &gt;= 0%,H10*(0.01),
IF(K10 &gt;= -5%,H10*(-0.01),
IF(K10 &gt;= -10%,H10*(-0.02),
IF(K10 &gt;= -15%,H10*(-0.03),
IF(K10 &gt;= -20%,H10*(-0.04),
IF(K10 &gt;= -25%,H10*(-0.05),
IF(K10 &gt;= -30%,H10*(-0.06),
IF(K10 &gt;= -35%,H10*(-0.07),
IF(K10 &gt;= -40%,H10*(-0.08),
IF(K10 &gt;= -45%,H10*(-0.09),
IF(K10 &gt;= -50%, H10*(-0.1), H10*
0)
)))))))))),"")</f>
        <v/>
      </c>
      <c r="M10" s="414" t="n"/>
      <c r="N10" s="415">
        <f>IF(NOT(ISNUMBER(H10)),"",IF(M10="Kein Balkon",H10*(-0.05),H10*0))</f>
        <v/>
      </c>
      <c r="O10" s="416" t="n"/>
      <c r="P10" s="838">
        <f>IF(NOT(ISNUMBER(H10)),"",IF(ISBLANK(O10),0,H10*MIN((YEAR(TODAY())-O10)*0.003,0.09)*-1))</f>
        <v/>
      </c>
      <c r="Q10" s="414" t="n"/>
      <c r="R10" s="415">
        <f>IF(ISNUMBER(MIETER!F12),IF(Q10="renoviert",H10*0.05,IF(Q10="teilweise renoviert",H10*0,IF(Q10="unrenoviert",H10*-0.05,0))),"")</f>
        <v/>
      </c>
      <c r="S10" s="418">
        <f>IF(ISNUMBER(MIETER!F12),C10,"")</f>
        <v/>
      </c>
      <c r="T10" s="419">
        <f>IF(ISNUMBER(MIETER!F12),IF(OR(S10="EG",S10="1.OG",S10="2.OG",S10="OG",S10="über 2.OG mit Aufzug"),H10*0,IF(OR(S10="UG",S10="über 2.OG ohne Aufzug"),H10*(-0.05),0)),"")</f>
        <v/>
      </c>
      <c r="U10" s="420">
        <f>IF(ISNUMBER(MIETER!F12),IFERROR(F10*(H10+J10+L10+N10+P10+R10+T10),""),"")</f>
        <v/>
      </c>
      <c r="V10" s="421">
        <f>IF(NOT(ISNUMBER(MIETER!F12)),"",N('Verkauf Cashflow'!Q7)+N('Verkauf Cashflow'!R7))</f>
        <v/>
      </c>
      <c r="W10" s="422">
        <f>IF(ISNUMBER(MIETER!F12),U10+V10,"")</f>
        <v/>
      </c>
      <c r="X10" s="421">
        <f>IF(ISNUMBER('Verkauf Cashflow'!O7),'Verkauf Cashflow'!O7,"")</f>
        <v/>
      </c>
      <c r="Y10" s="422">
        <f>IF(ISNUMBER('Verkauf Cashflow'!S7),'Verkauf Cashflow'!S7,"")</f>
        <v/>
      </c>
      <c r="Z10" s="420">
        <f>IF(ISNUMBER(MIETER!F12),IFERROR(Y10/F10,""),"")</f>
        <v/>
      </c>
      <c r="AA10" s="423">
        <f>IF(ISNUMBER('Verkauf Cashflow'!CF7),'Verkauf Cashflow'!CF7,"")</f>
        <v/>
      </c>
    </row>
    <row r="11" ht="15" customHeight="1" s="545">
      <c r="A11" s="406">
        <f>IF(ISNUMBER(MIETER!F13),IFERROR(MIETER!A13,""),"")</f>
        <v/>
      </c>
      <c r="B11" s="406">
        <f>IF(ISNUMBER(MIETER!F13),IFERROR(MIETER!B13,""),"")</f>
        <v/>
      </c>
      <c r="C11" s="407">
        <f>IF(ISNUMBER(MIETER!F13),IFERROR(MIETER!C13,""),"")</f>
        <v/>
      </c>
      <c r="D11" s="406">
        <f>IF(ISNUMBER(MIETER!F13),IFERROR(MIETER!D13,""),"")</f>
        <v/>
      </c>
      <c r="E11" s="406">
        <f>IF(ISNUMBER(MIETER!F13),IFERROR(MIETER!E13,""),"")</f>
        <v/>
      </c>
      <c r="F11" s="408">
        <f>IF(ISNUMBER(MIETER!F13),IFERROR(MIETER!F13,""),"")</f>
        <v/>
      </c>
      <c r="G11" s="836">
        <f>IF(ISNUMBER(MIETER!F13),KALKU!$I$18,"")</f>
        <v/>
      </c>
      <c r="H11" s="836">
        <f>IF(ISNUMBER(MIETER!F13),KALKU!$N$18,"")</f>
        <v/>
      </c>
      <c r="I11" s="410" t="n"/>
      <c r="J11" s="837">
        <f>IF(ISNUMBER(MIETER!F13),IF(I11="vermietet",H11*(-0.1),H11*0),"")</f>
        <v/>
      </c>
      <c r="K11" s="412">
        <f>IF(ISNUMBER(MIETER!F13),IFERROR(MIETER!Q13/MIETER!$M$6,""),"")</f>
        <v/>
      </c>
      <c r="L11" s="413">
        <f>IF(ISNUMBER(MIETER!F13),IF(K11 &gt;= 0%,H11*(0.01),
IF(K11 &gt;= -5%,H11*(-0.01),
IF(K11 &gt;= -10%,H11*(-0.02),
IF(K11 &gt;= -15%,H11*(-0.03),
IF(K11 &gt;= -20%,H11*(-0.04),
IF(K11 &gt;= -25%,H11*(-0.05),
IF(K11 &gt;= -30%,H11*(-0.06),
IF(K11 &gt;= -35%,H11*(-0.07),
IF(K11 &gt;= -40%,H11*(-0.08),
IF(K11 &gt;= -45%,H11*(-0.09),
IF(K11 &gt;= -50%, H11*(-0.1), H11*
0)
)))))))))),"")</f>
        <v/>
      </c>
      <c r="M11" s="414" t="n"/>
      <c r="N11" s="415">
        <f>IF(NOT(ISNUMBER(H11)),"",IF(M11="Kein Balkon",H11*(-0.05),H11*0))</f>
        <v/>
      </c>
      <c r="O11" s="416" t="n"/>
      <c r="P11" s="838">
        <f>IF(NOT(ISNUMBER(H11)),"",IF(ISBLANK(O11),0,H11*MIN((YEAR(TODAY())-O11)*0.003,0.09)*-1))</f>
        <v/>
      </c>
      <c r="Q11" s="414" t="n"/>
      <c r="R11" s="415">
        <f>IF(ISNUMBER(MIETER!F13),IF(Q11="renoviert",H11*0.05,IF(Q11="teilweise renoviert",H11*0,IF(Q11="unrenoviert",H11*-0.05,0))),"")</f>
        <v/>
      </c>
      <c r="S11" s="418">
        <f>IF(ISNUMBER(MIETER!F13),C11,"")</f>
        <v/>
      </c>
      <c r="T11" s="419">
        <f>IF(ISNUMBER(MIETER!F13),IF(OR(S11="EG",S11="1.OG",S11="2.OG",S11="OG",S11="über 2.OG mit Aufzug"),H11*0,IF(OR(S11="UG",S11="über 2.OG ohne Aufzug"),H11*(-0.05),0)),"")</f>
        <v/>
      </c>
      <c r="U11" s="420">
        <f>IF(ISNUMBER(MIETER!F13),IFERROR(F11*(H11+J11+L11+N11+P11+R11+T11),""),"")</f>
        <v/>
      </c>
      <c r="V11" s="421">
        <f>IF(NOT(ISNUMBER(MIETER!F13)),"",N('Verkauf Cashflow'!Q8)+N('Verkauf Cashflow'!R8))</f>
        <v/>
      </c>
      <c r="W11" s="422">
        <f>IF(ISNUMBER(MIETER!F13),U11+V11,"")</f>
        <v/>
      </c>
      <c r="X11" s="421">
        <f>IF(ISNUMBER('Verkauf Cashflow'!O8),'Verkauf Cashflow'!O8,"")</f>
        <v/>
      </c>
      <c r="Y11" s="422">
        <f>IF(ISNUMBER('Verkauf Cashflow'!S8),'Verkauf Cashflow'!S8,"")</f>
        <v/>
      </c>
      <c r="Z11" s="420">
        <f>IF(ISNUMBER(MIETER!F13),IFERROR(Y11/F11,""),"")</f>
        <v/>
      </c>
      <c r="AA11" s="423">
        <f>IF(ISNUMBER('Verkauf Cashflow'!CF8),'Verkauf Cashflow'!CF8,"")</f>
        <v/>
      </c>
    </row>
    <row r="12" ht="15" customHeight="1" s="545">
      <c r="A12" s="406">
        <f>IF(ISNUMBER(MIETER!F14),IFERROR(MIETER!A14,""),"")</f>
        <v/>
      </c>
      <c r="B12" s="406">
        <f>IF(ISNUMBER(MIETER!F14),IFERROR(MIETER!B14,""),"")</f>
        <v/>
      </c>
      <c r="C12" s="407">
        <f>IF(ISNUMBER(MIETER!F14),IFERROR(MIETER!C14,""),"")</f>
        <v/>
      </c>
      <c r="D12" s="406">
        <f>IF(ISNUMBER(MIETER!F14),IFERROR(MIETER!D14,""),"")</f>
        <v/>
      </c>
      <c r="E12" s="406">
        <f>IF(ISNUMBER(MIETER!F14),IFERROR(MIETER!E14,""),"")</f>
        <v/>
      </c>
      <c r="F12" s="408">
        <f>IF(ISNUMBER(MIETER!F14),IFERROR(MIETER!F14,""),"")</f>
        <v/>
      </c>
      <c r="G12" s="836">
        <f>IF(ISNUMBER(MIETER!F14),KALKU!$I$18,"")</f>
        <v/>
      </c>
      <c r="H12" s="836">
        <f>IF(ISNUMBER(MIETER!F14),KALKU!$N$18,"")</f>
        <v/>
      </c>
      <c r="I12" s="410" t="n"/>
      <c r="J12" s="837">
        <f>IF(ISNUMBER(MIETER!F14),IF(I12="vermietet",H12*(-0.1),H12*0),"")</f>
        <v/>
      </c>
      <c r="K12" s="412">
        <f>IF(ISNUMBER(MIETER!F14),IFERROR(MIETER!Q14/MIETER!$M$6,""),"")</f>
        <v/>
      </c>
      <c r="L12" s="413">
        <f>IF(ISNUMBER(MIETER!F14),IF(K12 &gt;= 0%,H12*(0.01),
IF(K12 &gt;= -5%,H12*(-0.01),
IF(K12 &gt;= -10%,H12*(-0.02),
IF(K12 &gt;= -15%,H12*(-0.03),
IF(K12 &gt;= -20%,H12*(-0.04),
IF(K12 &gt;= -25%,H12*(-0.05),
IF(K12 &gt;= -30%,H12*(-0.06),
IF(K12 &gt;= -35%,H12*(-0.07),
IF(K12 &gt;= -40%,H12*(-0.08),
IF(K12 &gt;= -45%,H12*(-0.09),
IF(K12 &gt;= -50%, H12*(-0.1), H12*
0)
)))))))))),"")</f>
        <v/>
      </c>
      <c r="M12" s="414" t="n"/>
      <c r="N12" s="415">
        <f>IF(NOT(ISNUMBER(H12)),"",IF(M12="Kein Balkon",H12*(-0.05),H12*0))</f>
        <v/>
      </c>
      <c r="O12" s="416" t="n"/>
      <c r="P12" s="838">
        <f>IF(NOT(ISNUMBER(H12)),"",IF(ISBLANK(O12),0,H12*MIN((YEAR(TODAY())-O12)*0.003,0.09)*-1))</f>
        <v/>
      </c>
      <c r="Q12" s="414" t="n"/>
      <c r="R12" s="415">
        <f>IF(ISNUMBER(MIETER!F14),IF(Q12="renoviert",H12*0.05,IF(Q12="teilweise renoviert",H12*0,IF(Q12="unrenoviert",H12*-0.05,0))),"")</f>
        <v/>
      </c>
      <c r="S12" s="418">
        <f>IF(ISNUMBER(MIETER!F14),C12,"")</f>
        <v/>
      </c>
      <c r="T12" s="419">
        <f>IF(ISNUMBER(MIETER!F14),IF(OR(S12="EG",S12="1.OG",S12="2.OG",S12="OG",S12="über 2.OG mit Aufzug"),H12*0,IF(OR(S12="UG",S12="über 2.OG ohne Aufzug"),H12*(-0.05),0)),"")</f>
        <v/>
      </c>
      <c r="U12" s="420">
        <f>IF(ISNUMBER(MIETER!F14),IFERROR(F12*(H12+J12+L12+N12+P12+R12+T12),""),"")</f>
        <v/>
      </c>
      <c r="V12" s="421">
        <f>IF(NOT(ISNUMBER(MIETER!F14)),"",N('Verkauf Cashflow'!Q9)+N('Verkauf Cashflow'!R9))</f>
        <v/>
      </c>
      <c r="W12" s="422">
        <f>IF(ISNUMBER(MIETER!F14),U12+V12,"")</f>
        <v/>
      </c>
      <c r="X12" s="421">
        <f>IF(ISNUMBER('Verkauf Cashflow'!O9),'Verkauf Cashflow'!O9,"")</f>
        <v/>
      </c>
      <c r="Y12" s="422">
        <f>IF(ISNUMBER('Verkauf Cashflow'!S9),'Verkauf Cashflow'!S9,"")</f>
        <v/>
      </c>
      <c r="Z12" s="420">
        <f>IF(ISNUMBER(MIETER!F14),IFERROR(Y12/F12,""),"")</f>
        <v/>
      </c>
      <c r="AA12" s="423">
        <f>IF(ISNUMBER('Verkauf Cashflow'!CF9),'Verkauf Cashflow'!CF9,"")</f>
        <v/>
      </c>
    </row>
    <row r="13" ht="15" customHeight="1" s="545">
      <c r="A13" s="406">
        <f>IF(ISNUMBER(MIETER!F15),IFERROR(MIETER!A15,""),"")</f>
        <v/>
      </c>
      <c r="B13" s="406">
        <f>IF(ISNUMBER(MIETER!F15),IFERROR(MIETER!B15,""),"")</f>
        <v/>
      </c>
      <c r="C13" s="407">
        <f>IF(ISNUMBER(MIETER!F15),IFERROR(MIETER!C15,""),"")</f>
        <v/>
      </c>
      <c r="D13" s="406">
        <f>IF(ISNUMBER(MIETER!F15),IFERROR(MIETER!D15,""),"")</f>
        <v/>
      </c>
      <c r="E13" s="406">
        <f>IF(ISNUMBER(MIETER!F15),IFERROR(MIETER!E15,""),"")</f>
        <v/>
      </c>
      <c r="F13" s="408">
        <f>IF(ISNUMBER(MIETER!F15),IFERROR(MIETER!F15,""),"")</f>
        <v/>
      </c>
      <c r="G13" s="836">
        <f>IF(ISNUMBER(MIETER!F15),KALKU!$I$18,"")</f>
        <v/>
      </c>
      <c r="H13" s="836">
        <f>IF(ISNUMBER(MIETER!F15),KALKU!$N$18,"")</f>
        <v/>
      </c>
      <c r="I13" s="410" t="n"/>
      <c r="J13" s="837">
        <f>IF(ISNUMBER(MIETER!F15),IF(I13="vermietet",H13*(-0.1),H13*0),"")</f>
        <v/>
      </c>
      <c r="K13" s="412">
        <f>IF(ISNUMBER(MIETER!F15),IFERROR(MIETER!Q15/MIETER!$M$6,""),"")</f>
        <v/>
      </c>
      <c r="L13" s="413">
        <f>IF(ISNUMBER(MIETER!F15),IF(K13 &gt;= 0%,H13*(0.01),
IF(K13 &gt;= -5%,H13*(-0.01),
IF(K13 &gt;= -10%,H13*(-0.02),
IF(K13 &gt;= -15%,H13*(-0.03),
IF(K13 &gt;= -20%,H13*(-0.04),
IF(K13 &gt;= -25%,H13*(-0.05),
IF(K13 &gt;= -30%,H13*(-0.06),
IF(K13 &gt;= -35%,H13*(-0.07),
IF(K13 &gt;= -40%,H13*(-0.08),
IF(K13 &gt;= -45%,H13*(-0.09),
IF(K13 &gt;= -50%, H13*(-0.1), H13*
0)
)))))))))),"")</f>
        <v/>
      </c>
      <c r="M13" s="414" t="n"/>
      <c r="N13" s="415">
        <f>IF(NOT(ISNUMBER(H13)),"",IF(M13="Kein Balkon",H13*(-0.05),H13*0))</f>
        <v/>
      </c>
      <c r="O13" s="416" t="n"/>
      <c r="P13" s="838">
        <f>IF(NOT(ISNUMBER(H13)),"",IF(ISBLANK(O13),0,H13*MIN((YEAR(TODAY())-O13)*0.003,0.09)*-1))</f>
        <v/>
      </c>
      <c r="Q13" s="414" t="n"/>
      <c r="R13" s="415">
        <f>IF(ISNUMBER(MIETER!F15),IF(Q13="renoviert",H13*0.05,IF(Q13="teilweise renoviert",H13*0,IF(Q13="unrenoviert",H13*-0.05,0))),"")</f>
        <v/>
      </c>
      <c r="S13" s="418">
        <f>IF(ISNUMBER(MIETER!F15),C13,"")</f>
        <v/>
      </c>
      <c r="T13" s="419">
        <f>IF(ISNUMBER(MIETER!F15),IF(OR(S13="EG",S13="1.OG",S13="2.OG",S13="OG",S13="über 2.OG mit Aufzug"),H13*0,IF(OR(S13="UG",S13="über 2.OG ohne Aufzug"),H13*(-0.05),0)),"")</f>
        <v/>
      </c>
      <c r="U13" s="420">
        <f>IF(ISNUMBER(MIETER!F15),IFERROR(F13*(H13+J13+L13+N13+P13+R13+T13),""),"")</f>
        <v/>
      </c>
      <c r="V13" s="421">
        <f>IF(NOT(ISNUMBER(MIETER!F15)),"",N('Verkauf Cashflow'!Q10)+N('Verkauf Cashflow'!R10))</f>
        <v/>
      </c>
      <c r="W13" s="422">
        <f>IF(ISNUMBER(MIETER!F15),U13+V13,"")</f>
        <v/>
      </c>
      <c r="X13" s="421">
        <f>IF(ISNUMBER('Verkauf Cashflow'!O10),'Verkauf Cashflow'!O10,"")</f>
        <v/>
      </c>
      <c r="Y13" s="422">
        <f>IF(ISNUMBER('Verkauf Cashflow'!S10),'Verkauf Cashflow'!S10,"")</f>
        <v/>
      </c>
      <c r="Z13" s="420">
        <f>IF(ISNUMBER(MIETER!F15),IFERROR(Y13/F13,""),"")</f>
        <v/>
      </c>
      <c r="AA13" s="423">
        <f>IF(ISNUMBER('Verkauf Cashflow'!CF10),'Verkauf Cashflow'!CF10,"")</f>
        <v/>
      </c>
    </row>
    <row r="14" ht="15" customHeight="1" s="545">
      <c r="A14" s="406">
        <f>IF(ISNUMBER(MIETER!F16),IFERROR(MIETER!A16,""),"")</f>
        <v/>
      </c>
      <c r="B14" s="406">
        <f>IF(ISNUMBER(MIETER!F16),IFERROR(MIETER!B16,""),"")</f>
        <v/>
      </c>
      <c r="C14" s="407">
        <f>IF(ISNUMBER(MIETER!F16),IFERROR(MIETER!C16,""),"")</f>
        <v/>
      </c>
      <c r="D14" s="406">
        <f>IF(ISNUMBER(MIETER!F16),IFERROR(MIETER!D16,""),"")</f>
        <v/>
      </c>
      <c r="E14" s="406">
        <f>IF(ISNUMBER(MIETER!F16),IFERROR(MIETER!E16,""),"")</f>
        <v/>
      </c>
      <c r="F14" s="408">
        <f>IF(ISNUMBER(MIETER!F16),IFERROR(MIETER!F16,""),"")</f>
        <v/>
      </c>
      <c r="G14" s="836">
        <f>IF(ISNUMBER(MIETER!F16),KALKU!$I$18,"")</f>
        <v/>
      </c>
      <c r="H14" s="836">
        <f>IF(ISNUMBER(MIETER!F16),KALKU!$N$18,"")</f>
        <v/>
      </c>
      <c r="I14" s="410" t="n"/>
      <c r="J14" s="837">
        <f>IF(ISNUMBER(MIETER!F16),IF(I14="vermietet",H14*(-0.1),H14*0),"")</f>
        <v/>
      </c>
      <c r="K14" s="412">
        <f>IF(ISNUMBER(MIETER!F16),IFERROR(MIETER!Q16/MIETER!$M$6,""),"")</f>
        <v/>
      </c>
      <c r="L14" s="413">
        <f>IF(ISNUMBER(MIETER!F16),IF(K14 &gt;= 0%,H14*(0.01),
IF(K14 &gt;= -5%,H14*(-0.01),
IF(K14 &gt;= -10%,H14*(-0.02),
IF(K14 &gt;= -15%,H14*(-0.03),
IF(K14 &gt;= -20%,H14*(-0.04),
IF(K14 &gt;= -25%,H14*(-0.05),
IF(K14 &gt;= -30%,H14*(-0.06),
IF(K14 &gt;= -35%,H14*(-0.07),
IF(K14 &gt;= -40%,H14*(-0.08),
IF(K14 &gt;= -45%,H14*(-0.09),
IF(K14 &gt;= -50%, H14*(-0.1), H14*
0)
)))))))))),"")</f>
        <v/>
      </c>
      <c r="M14" s="414" t="n"/>
      <c r="N14" s="415">
        <f>IF(NOT(ISNUMBER(H14)),"",IF(M14="Kein Balkon",H14*(-0.05),H14*0))</f>
        <v/>
      </c>
      <c r="O14" s="416" t="n"/>
      <c r="P14" s="838">
        <f>IF(NOT(ISNUMBER(H14)),"",IF(ISBLANK(O14),0,H14*MIN((YEAR(TODAY())-O14)*0.003,0.09)*-1))</f>
        <v/>
      </c>
      <c r="Q14" s="414" t="n"/>
      <c r="R14" s="415">
        <f>IF(ISNUMBER(MIETER!F16),IF(Q14="renoviert",H14*0.05,IF(Q14="teilweise renoviert",H14*0,IF(Q14="unrenoviert",H14*-0.05,0))),"")</f>
        <v/>
      </c>
      <c r="S14" s="418">
        <f>IF(ISNUMBER(MIETER!F16),C14,"")</f>
        <v/>
      </c>
      <c r="T14" s="419">
        <f>IF(ISNUMBER(MIETER!F16),IF(OR(S14="EG",S14="1.OG",S14="2.OG",S14="OG",S14="über 2.OG mit Aufzug"),H14*0,IF(OR(S14="UG",S14="über 2.OG ohne Aufzug"),H14*(-0.05),0)),"")</f>
        <v/>
      </c>
      <c r="U14" s="420">
        <f>IF(ISNUMBER(MIETER!F16),IFERROR(F14*(H14+J14+L14+N14+P14+R14+T14),""),"")</f>
        <v/>
      </c>
      <c r="V14" s="421">
        <f>IF(NOT(ISNUMBER(MIETER!F16)),"",N('Verkauf Cashflow'!Q11)+N('Verkauf Cashflow'!R11))</f>
        <v/>
      </c>
      <c r="W14" s="422">
        <f>IF(ISNUMBER(MIETER!F16),U14+V14,"")</f>
        <v/>
      </c>
      <c r="X14" s="421">
        <f>IF(ISNUMBER('Verkauf Cashflow'!O11),'Verkauf Cashflow'!O11,"")</f>
        <v/>
      </c>
      <c r="Y14" s="422">
        <f>IF(ISNUMBER('Verkauf Cashflow'!S11),'Verkauf Cashflow'!S11,"")</f>
        <v/>
      </c>
      <c r="Z14" s="420">
        <f>IF(ISNUMBER(MIETER!F16),IFERROR(Y14/F14,""),"")</f>
        <v/>
      </c>
      <c r="AA14" s="423">
        <f>IF(ISNUMBER('Verkauf Cashflow'!CF11),'Verkauf Cashflow'!CF11,"")</f>
        <v/>
      </c>
    </row>
    <row r="15" ht="15" customHeight="1" s="545">
      <c r="A15" s="406">
        <f>IF(ISNUMBER(MIETER!F17),IFERROR(MIETER!A17,""),"")</f>
        <v/>
      </c>
      <c r="B15" s="406">
        <f>IF(ISNUMBER(MIETER!F17),IFERROR(MIETER!B17,""),"")</f>
        <v/>
      </c>
      <c r="C15" s="407">
        <f>IF(ISNUMBER(MIETER!F17),IFERROR(MIETER!C17,""),"")</f>
        <v/>
      </c>
      <c r="D15" s="406">
        <f>IF(ISNUMBER(MIETER!F17),IFERROR(MIETER!D17,""),"")</f>
        <v/>
      </c>
      <c r="E15" s="406">
        <f>IF(ISNUMBER(MIETER!F17),IFERROR(MIETER!E17,""),"")</f>
        <v/>
      </c>
      <c r="F15" s="408">
        <f>IF(ISNUMBER(MIETER!F17),IFERROR(MIETER!F17,""),"")</f>
        <v/>
      </c>
      <c r="G15" s="836">
        <f>IF(ISNUMBER(MIETER!F17),KALKU!$I$18,"")</f>
        <v/>
      </c>
      <c r="H15" s="836">
        <f>IF(ISNUMBER(MIETER!F17),KALKU!$N$18,"")</f>
        <v/>
      </c>
      <c r="I15" s="410" t="n"/>
      <c r="J15" s="837">
        <f>IF(ISNUMBER(MIETER!F17),IF(I15="vermietet",H15*(-0.1),H15*0),"")</f>
        <v/>
      </c>
      <c r="K15" s="412">
        <f>IF(ISNUMBER(MIETER!F17),IFERROR(MIETER!Q17/MIETER!$M$6,""),"")</f>
        <v/>
      </c>
      <c r="L15" s="413">
        <f>IF(ISNUMBER(MIETER!F17),IF(K15 &gt;= 0%,H15*(0.01),
IF(K15 &gt;= -5%,H15*(-0.01),
IF(K15 &gt;= -10%,H15*(-0.02),
IF(K15 &gt;= -15%,H15*(-0.03),
IF(K15 &gt;= -20%,H15*(-0.04),
IF(K15 &gt;= -25%,H15*(-0.05),
IF(K15 &gt;= -30%,H15*(-0.06),
IF(K15 &gt;= -35%,H15*(-0.07),
IF(K15 &gt;= -40%,H15*(-0.08),
IF(K15 &gt;= -45%,H15*(-0.09),
IF(K15 &gt;= -50%, H15*(-0.1), H15*
0)
)))))))))),"")</f>
        <v/>
      </c>
      <c r="M15" s="414" t="n"/>
      <c r="N15" s="415">
        <f>IF(NOT(ISNUMBER(H15)),"",IF(M15="Kein Balkon",H15*(-0.05),H15*0))</f>
        <v/>
      </c>
      <c r="O15" s="416" t="n"/>
      <c r="P15" s="838">
        <f>IF(NOT(ISNUMBER(H15)),"",IF(ISBLANK(O15),0,H15*MIN((YEAR(TODAY())-O15)*0.003,0.09)*-1))</f>
        <v/>
      </c>
      <c r="Q15" s="414" t="n"/>
      <c r="R15" s="415">
        <f>IF(ISNUMBER(MIETER!F17),IF(Q15="renoviert",H15*0.05,IF(Q15="teilweise renoviert",H15*0,IF(Q15="unrenoviert",H15*-0.05,0))),"")</f>
        <v/>
      </c>
      <c r="S15" s="418">
        <f>IF(ISNUMBER(MIETER!F17),C15,"")</f>
        <v/>
      </c>
      <c r="T15" s="419">
        <f>IF(ISNUMBER(MIETER!F17),IF(OR(S15="EG",S15="1.OG",S15="2.OG",S15="OG",S15="über 2.OG mit Aufzug"),H15*0,IF(OR(S15="UG",S15="über 2.OG ohne Aufzug"),H15*(-0.05),0)),"")</f>
        <v/>
      </c>
      <c r="U15" s="420">
        <f>IF(ISNUMBER(MIETER!F17),IFERROR(F15*(H15+J15+L15+N15+P15+R15+T15),""),"")</f>
        <v/>
      </c>
      <c r="V15" s="421">
        <f>IF(NOT(ISNUMBER(MIETER!F17)),"",N('Verkauf Cashflow'!Q12)+N('Verkauf Cashflow'!R12))</f>
        <v/>
      </c>
      <c r="W15" s="422">
        <f>IF(ISNUMBER(MIETER!F17),U15+V15,"")</f>
        <v/>
      </c>
      <c r="X15" s="421">
        <f>IF(ISNUMBER('Verkauf Cashflow'!O12),'Verkauf Cashflow'!O12,"")</f>
        <v/>
      </c>
      <c r="Y15" s="422">
        <f>IF(ISNUMBER('Verkauf Cashflow'!S12),'Verkauf Cashflow'!S12,"")</f>
        <v/>
      </c>
      <c r="Z15" s="420">
        <f>IF(ISNUMBER(MIETER!F17),IFERROR(Y15/F15,""),"")</f>
        <v/>
      </c>
      <c r="AA15" s="423">
        <f>IF(ISNUMBER('Verkauf Cashflow'!CF12),'Verkauf Cashflow'!CF12,"")</f>
        <v/>
      </c>
    </row>
    <row r="16" ht="15" customHeight="1" s="545">
      <c r="A16" s="406">
        <f>IF(ISNUMBER(MIETER!F18),IFERROR(MIETER!A18,""),"")</f>
        <v/>
      </c>
      <c r="B16" s="406">
        <f>IF(ISNUMBER(MIETER!F18),IFERROR(MIETER!B18,""),"")</f>
        <v/>
      </c>
      <c r="C16" s="407">
        <f>IF(ISNUMBER(MIETER!F18),IFERROR(MIETER!C18,""),"")</f>
        <v/>
      </c>
      <c r="D16" s="406">
        <f>IF(ISNUMBER(MIETER!F18),IFERROR(MIETER!D18,""),"")</f>
        <v/>
      </c>
      <c r="E16" s="406">
        <f>IF(ISNUMBER(MIETER!F18),IFERROR(MIETER!E18,""),"")</f>
        <v/>
      </c>
      <c r="F16" s="408">
        <f>IF(ISNUMBER(MIETER!F18),IFERROR(MIETER!F18,""),"")</f>
        <v/>
      </c>
      <c r="G16" s="836">
        <f>IF(ISNUMBER(MIETER!F18),KALKU!$I$18,"")</f>
        <v/>
      </c>
      <c r="H16" s="836">
        <f>IF(ISNUMBER(MIETER!F18),KALKU!$N$18,"")</f>
        <v/>
      </c>
      <c r="I16" s="410" t="n"/>
      <c r="J16" s="837">
        <f>IF(ISNUMBER(MIETER!F18),IF(I16="vermietet",H16*(-0.1),H16*0),"")</f>
        <v/>
      </c>
      <c r="K16" s="412">
        <f>IF(ISNUMBER(MIETER!F18),IFERROR(MIETER!Q18/MIETER!$M$6,""),"")</f>
        <v/>
      </c>
      <c r="L16" s="413">
        <f>IF(ISNUMBER(MIETER!F18),IF(K16 &gt;= 0%,H16*(0.01),
IF(K16 &gt;= -5%,H16*(-0.01),
IF(K16 &gt;= -10%,H16*(-0.02),
IF(K16 &gt;= -15%,H16*(-0.03),
IF(K16 &gt;= -20%,H16*(-0.04),
IF(K16 &gt;= -25%,H16*(-0.05),
IF(K16 &gt;= -30%,H16*(-0.06),
IF(K16 &gt;= -35%,H16*(-0.07),
IF(K16 &gt;= -40%,H16*(-0.08),
IF(K16 &gt;= -45%,H16*(-0.09),
IF(K16 &gt;= -50%, H16*(-0.1), H16*
0)
)))))))))),"")</f>
        <v/>
      </c>
      <c r="M16" s="414" t="n"/>
      <c r="N16" s="415">
        <f>IF(NOT(ISNUMBER(H16)),"",IF(M16="Kein Balkon",H16*(-0.05),H16*0))</f>
        <v/>
      </c>
      <c r="O16" s="416" t="n"/>
      <c r="P16" s="838">
        <f>IF(NOT(ISNUMBER(H16)),"",IF(ISBLANK(O16),0,H16*MIN((YEAR(TODAY())-O16)*0.003,0.09)*-1))</f>
        <v/>
      </c>
      <c r="Q16" s="414" t="n"/>
      <c r="R16" s="415">
        <f>IF(ISNUMBER(MIETER!F18),IF(Q16="renoviert",H16*0.05,IF(Q16="teilweise renoviert",H16*0,IF(Q16="unrenoviert",H16*-0.05,0))),"")</f>
        <v/>
      </c>
      <c r="S16" s="418">
        <f>IF(ISNUMBER(MIETER!F18),C16,"")</f>
        <v/>
      </c>
      <c r="T16" s="419">
        <f>IF(ISNUMBER(MIETER!F18),IF(OR(S16="EG",S16="1.OG",S16="2.OG",S16="OG",S16="über 2.OG mit Aufzug"),H16*0,IF(OR(S16="UG",S16="über 2.OG ohne Aufzug"),H16*(-0.05),0)),"")</f>
        <v/>
      </c>
      <c r="U16" s="420">
        <f>IF(ISNUMBER(MIETER!F18),IFERROR(F16*(H16+J16+L16+N16+P16+R16+T16),""),"")</f>
        <v/>
      </c>
      <c r="V16" s="421">
        <f>IF(NOT(ISNUMBER(MIETER!F18)),"",N('Verkauf Cashflow'!Q13)+N('Verkauf Cashflow'!R13))</f>
        <v/>
      </c>
      <c r="W16" s="422">
        <f>IF(ISNUMBER(MIETER!F18),U16+V16,"")</f>
        <v/>
      </c>
      <c r="X16" s="421">
        <f>IF(ISNUMBER('Verkauf Cashflow'!O13),'Verkauf Cashflow'!O13,"")</f>
        <v/>
      </c>
      <c r="Y16" s="422">
        <f>IF(ISNUMBER('Verkauf Cashflow'!S13),'Verkauf Cashflow'!S13,"")</f>
        <v/>
      </c>
      <c r="Z16" s="420">
        <f>IF(ISNUMBER(MIETER!F18),IFERROR(Y16/F16,""),"")</f>
        <v/>
      </c>
      <c r="AA16" s="423">
        <f>IF(ISNUMBER('Verkauf Cashflow'!CF13),'Verkauf Cashflow'!CF13,"")</f>
        <v/>
      </c>
    </row>
    <row r="17" ht="15" customHeight="1" s="545">
      <c r="A17" s="406">
        <f>IF(ISNUMBER(MIETER!F19),IFERROR(MIETER!A19,""),"")</f>
        <v/>
      </c>
      <c r="B17" s="406">
        <f>IF(ISNUMBER(MIETER!F19),IFERROR(MIETER!B19,""),"")</f>
        <v/>
      </c>
      <c r="C17" s="407">
        <f>IF(ISNUMBER(MIETER!F19),IFERROR(MIETER!C19,""),"")</f>
        <v/>
      </c>
      <c r="D17" s="406">
        <f>IF(ISNUMBER(MIETER!F19),IFERROR(MIETER!D19,""),"")</f>
        <v/>
      </c>
      <c r="E17" s="406">
        <f>IF(ISNUMBER(MIETER!F19),IFERROR(MIETER!E19,""),"")</f>
        <v/>
      </c>
      <c r="F17" s="408">
        <f>IF(ISNUMBER(MIETER!F19),IFERROR(MIETER!F19,""),"")</f>
        <v/>
      </c>
      <c r="G17" s="836">
        <f>IF(ISNUMBER(MIETER!F19),KALKU!$I$18,"")</f>
        <v/>
      </c>
      <c r="H17" s="836">
        <f>IF(ISNUMBER(MIETER!F19),KALKU!$N$18,"")</f>
        <v/>
      </c>
      <c r="I17" s="410" t="n"/>
      <c r="J17" s="837">
        <f>IF(ISNUMBER(MIETER!F19),IF(I17="vermietet",H17*(-0.1),H17*0),"")</f>
        <v/>
      </c>
      <c r="K17" s="412">
        <f>IF(ISNUMBER(MIETER!F19),IFERROR(MIETER!Q19/MIETER!$M$6,""),"")</f>
        <v/>
      </c>
      <c r="L17" s="413">
        <f>IF(ISNUMBER(MIETER!F19),IF(K17 &gt;= 0%,H17*(0.01),
IF(K17 &gt;= -5%,H17*(-0.01),
IF(K17 &gt;= -10%,H17*(-0.02),
IF(K17 &gt;= -15%,H17*(-0.03),
IF(K17 &gt;= -20%,H17*(-0.04),
IF(K17 &gt;= -25%,H17*(-0.05),
IF(K17 &gt;= -30%,H17*(-0.06),
IF(K17 &gt;= -35%,H17*(-0.07),
IF(K17 &gt;= -40%,H17*(-0.08),
IF(K17 &gt;= -45%,H17*(-0.09),
IF(K17 &gt;= -50%, H17*(-0.1), H17*
0)
)))))))))),"")</f>
        <v/>
      </c>
      <c r="M17" s="414" t="n"/>
      <c r="N17" s="415">
        <f>IF(NOT(ISNUMBER(H17)),"",IF(M17="Kein Balkon",H17*(-0.05),H17*0))</f>
        <v/>
      </c>
      <c r="O17" s="416" t="n"/>
      <c r="P17" s="838">
        <f>IF(NOT(ISNUMBER(H17)),"",IF(ISBLANK(O17),0,H17*MIN((YEAR(TODAY())-O17)*0.003,0.09)*-1))</f>
        <v/>
      </c>
      <c r="Q17" s="414" t="n"/>
      <c r="R17" s="415">
        <f>IF(ISNUMBER(MIETER!F19),IF(Q17="renoviert",H17*0.05,IF(Q17="teilweise renoviert",H17*0,IF(Q17="unrenoviert",H17*-0.05,0))),"")</f>
        <v/>
      </c>
      <c r="S17" s="418">
        <f>IF(ISNUMBER(MIETER!F19),C17,"")</f>
        <v/>
      </c>
      <c r="T17" s="419">
        <f>IF(ISNUMBER(MIETER!F19),IF(OR(S17="EG",S17="1.OG",S17="2.OG",S17="OG",S17="über 2.OG mit Aufzug"),H17*0,IF(OR(S17="UG",S17="über 2.OG ohne Aufzug"),H17*(-0.05),0)),"")</f>
        <v/>
      </c>
      <c r="U17" s="420">
        <f>IF(ISNUMBER(MIETER!F19),IFERROR(F17*(H17+J17+L17+N17+P17+R17+T17),""),"")</f>
        <v/>
      </c>
      <c r="V17" s="421">
        <f>IF(NOT(ISNUMBER(MIETER!F19)),"",N('Verkauf Cashflow'!Q14)+N('Verkauf Cashflow'!R14))</f>
        <v/>
      </c>
      <c r="W17" s="422">
        <f>IF(ISNUMBER(MIETER!F19),U17+V17,"")</f>
        <v/>
      </c>
      <c r="X17" s="421">
        <f>IF(ISNUMBER('Verkauf Cashflow'!O14),'Verkauf Cashflow'!O14,"")</f>
        <v/>
      </c>
      <c r="Y17" s="422">
        <f>IF(ISNUMBER('Verkauf Cashflow'!S14),'Verkauf Cashflow'!S14,"")</f>
        <v/>
      </c>
      <c r="Z17" s="420">
        <f>IF(ISNUMBER(MIETER!F19),IFERROR(Y17/F17,""),"")</f>
        <v/>
      </c>
      <c r="AA17" s="423">
        <f>IF(ISNUMBER('Verkauf Cashflow'!CF14),'Verkauf Cashflow'!CF14,"")</f>
        <v/>
      </c>
    </row>
    <row r="18" ht="15" customHeight="1" s="545">
      <c r="A18" s="406">
        <f>IF(ISNUMBER(MIETER!F20),IFERROR(MIETER!A20,""),"")</f>
        <v/>
      </c>
      <c r="B18" s="406">
        <f>IF(ISNUMBER(MIETER!F20),IFERROR(MIETER!B20,""),"")</f>
        <v/>
      </c>
      <c r="C18" s="407">
        <f>IF(ISNUMBER(MIETER!F20),IFERROR(MIETER!C20,""),"")</f>
        <v/>
      </c>
      <c r="D18" s="406">
        <f>IF(ISNUMBER(MIETER!F20),IFERROR(MIETER!D20,""),"")</f>
        <v/>
      </c>
      <c r="E18" s="406">
        <f>IF(ISNUMBER(MIETER!F20),IFERROR(MIETER!E20,""),"")</f>
        <v/>
      </c>
      <c r="F18" s="408">
        <f>IF(ISNUMBER(MIETER!F20),IFERROR(MIETER!F20,""),"")</f>
        <v/>
      </c>
      <c r="G18" s="836">
        <f>IF(ISNUMBER(MIETER!F20),KALKU!$I$18,"")</f>
        <v/>
      </c>
      <c r="H18" s="836">
        <f>IF(ISNUMBER(MIETER!F20),KALKU!$N$18,"")</f>
        <v/>
      </c>
      <c r="I18" s="410" t="n"/>
      <c r="J18" s="837">
        <f>IF(ISNUMBER(MIETER!F20),IF(I18="vermietet",H18*(-0.1),H18*0),"")</f>
        <v/>
      </c>
      <c r="K18" s="412">
        <f>IF(ISNUMBER(MIETER!F20),IFERROR(MIETER!Q20/MIETER!$M$6,""),"")</f>
        <v/>
      </c>
      <c r="L18" s="413">
        <f>IF(ISNUMBER(MIETER!F20),IF(K18 &gt;= 0%,H18*(0.01),
IF(K18 &gt;= -5%,H18*(-0.01),
IF(K18 &gt;= -10%,H18*(-0.02),
IF(K18 &gt;= -15%,H18*(-0.03),
IF(K18 &gt;= -20%,H18*(-0.04),
IF(K18 &gt;= -25%,H18*(-0.05),
IF(K18 &gt;= -30%,H18*(-0.06),
IF(K18 &gt;= -35%,H18*(-0.07),
IF(K18 &gt;= -40%,H18*(-0.08),
IF(K18 &gt;= -45%,H18*(-0.09),
IF(K18 &gt;= -50%, H18*(-0.1), H18*
0)
)))))))))),"")</f>
        <v/>
      </c>
      <c r="M18" s="414" t="n"/>
      <c r="N18" s="415">
        <f>IF(NOT(ISNUMBER(H18)),"",IF(M18="Kein Balkon",H18*(-0.05),H18*0))</f>
        <v/>
      </c>
      <c r="O18" s="416" t="n"/>
      <c r="P18" s="838">
        <f>IF(NOT(ISNUMBER(H18)),"",IF(ISBLANK(O18),0,H18*MIN((YEAR(TODAY())-O18)*0.003,0.09)*-1))</f>
        <v/>
      </c>
      <c r="Q18" s="414" t="n"/>
      <c r="R18" s="415">
        <f>IF(ISNUMBER(MIETER!F20),IF(Q18="renoviert",H18*0.05,IF(Q18="teilweise renoviert",H18*0,IF(Q18="unrenoviert",H18*-0.05,0))),"")</f>
        <v/>
      </c>
      <c r="S18" s="418">
        <f>IF(ISNUMBER(MIETER!F20),C18,"")</f>
        <v/>
      </c>
      <c r="T18" s="419">
        <f>IF(ISNUMBER(MIETER!F20),IF(OR(S18="EG",S18="1.OG",S18="2.OG",S18="OG",S18="über 2.OG mit Aufzug"),H18*0,IF(OR(S18="UG",S18="über 2.OG ohne Aufzug"),H18*(-0.05),0)),"")</f>
        <v/>
      </c>
      <c r="U18" s="420">
        <f>IF(ISNUMBER(MIETER!F20),IFERROR(F18*(H18+J18+L18+N18+P18+R18+T18),""),"")</f>
        <v/>
      </c>
      <c r="V18" s="421">
        <f>IF(NOT(ISNUMBER(MIETER!F20)),"",N('Verkauf Cashflow'!Q15)+N('Verkauf Cashflow'!R15))</f>
        <v/>
      </c>
      <c r="W18" s="422">
        <f>IF(ISNUMBER(MIETER!F20),U18+V18,"")</f>
        <v/>
      </c>
      <c r="X18" s="421">
        <f>IF(ISNUMBER('Verkauf Cashflow'!O15),'Verkauf Cashflow'!O15,"")</f>
        <v/>
      </c>
      <c r="Y18" s="422">
        <f>IF(ISNUMBER('Verkauf Cashflow'!S15),'Verkauf Cashflow'!S15,"")</f>
        <v/>
      </c>
      <c r="Z18" s="420">
        <f>IF(ISNUMBER(MIETER!F20),IFERROR(Y18/F18,""),"")</f>
        <v/>
      </c>
      <c r="AA18" s="423">
        <f>IF(ISNUMBER('Verkauf Cashflow'!CF15),'Verkauf Cashflow'!CF15,"")</f>
        <v/>
      </c>
    </row>
    <row r="19" ht="15" customHeight="1" s="545">
      <c r="A19" s="406">
        <f>IF(ISNUMBER(MIETER!F21),IFERROR(MIETER!A21,""),"")</f>
        <v/>
      </c>
      <c r="B19" s="406">
        <f>IF(ISNUMBER(MIETER!F21),IFERROR(MIETER!B21,""),"")</f>
        <v/>
      </c>
      <c r="C19" s="407">
        <f>IF(ISNUMBER(MIETER!F21),IFERROR(MIETER!C21,""),"")</f>
        <v/>
      </c>
      <c r="D19" s="406">
        <f>IF(ISNUMBER(MIETER!F21),IFERROR(MIETER!D21,""),"")</f>
        <v/>
      </c>
      <c r="E19" s="406">
        <f>IF(ISNUMBER(MIETER!F21),IFERROR(MIETER!E21,""),"")</f>
        <v/>
      </c>
      <c r="F19" s="408">
        <f>IF(ISNUMBER(MIETER!F21),IFERROR(MIETER!F21,""),"")</f>
        <v/>
      </c>
      <c r="G19" s="836">
        <f>IF(ISNUMBER(MIETER!F21),KALKU!$I$18,"")</f>
        <v/>
      </c>
      <c r="H19" s="836">
        <f>IF(ISNUMBER(MIETER!F21),KALKU!$N$18,"")</f>
        <v/>
      </c>
      <c r="I19" s="410" t="n"/>
      <c r="J19" s="837">
        <f>IF(ISNUMBER(MIETER!F21),IF(I19="vermietet",H19*(-0.1),H19*0),"")</f>
        <v/>
      </c>
      <c r="K19" s="412">
        <f>IF(ISNUMBER(MIETER!F21),IFERROR(MIETER!Q21/MIETER!$M$6,""),"")</f>
        <v/>
      </c>
      <c r="L19" s="413">
        <f>IF(ISNUMBER(MIETER!F21),IF(K19 &gt;= 0%,H19*(0.01),
IF(K19 &gt;= -5%,H19*(-0.01),
IF(K19 &gt;= -10%,H19*(-0.02),
IF(K19 &gt;= -15%,H19*(-0.03),
IF(K19 &gt;= -20%,H19*(-0.04),
IF(K19 &gt;= -25%,H19*(-0.05),
IF(K19 &gt;= -30%,H19*(-0.06),
IF(K19 &gt;= -35%,H19*(-0.07),
IF(K19 &gt;= -40%,H19*(-0.08),
IF(K19 &gt;= -45%,H19*(-0.09),
IF(K19 &gt;= -50%, H19*(-0.1), H19*
0)
)))))))))),"")</f>
        <v/>
      </c>
      <c r="M19" s="414" t="n"/>
      <c r="N19" s="415">
        <f>IF(NOT(ISNUMBER(H19)),"",IF(M19="Kein Balkon",H19*(-0.05),H19*0))</f>
        <v/>
      </c>
      <c r="O19" s="416" t="n"/>
      <c r="P19" s="838">
        <f>IF(NOT(ISNUMBER(H19)),"",IF(ISBLANK(O19),0,H19*MIN((YEAR(TODAY())-O19)*0.003,0.09)*-1))</f>
        <v/>
      </c>
      <c r="Q19" s="414" t="n"/>
      <c r="R19" s="415">
        <f>IF(ISNUMBER(MIETER!F21),IF(Q19="renoviert",H19*0.05,IF(Q19="teilweise renoviert",H19*0,IF(Q19="unrenoviert",H19*-0.05,0))),"")</f>
        <v/>
      </c>
      <c r="S19" s="418">
        <f>IF(ISNUMBER(MIETER!F21),C19,"")</f>
        <v/>
      </c>
      <c r="T19" s="419">
        <f>IF(ISNUMBER(MIETER!F21),IF(OR(S19="EG",S19="1.OG",S19="2.OG",S19="OG",S19="über 2.OG mit Aufzug"),H19*0,IF(OR(S19="UG",S19="über 2.OG ohne Aufzug"),H19*(-0.05),0)),"")</f>
        <v/>
      </c>
      <c r="U19" s="420">
        <f>IF(ISNUMBER(MIETER!F21),IFERROR(F19*(H19+J19+L19+N19+P19+R19+T19),""),"")</f>
        <v/>
      </c>
      <c r="V19" s="421">
        <f>IF(NOT(ISNUMBER(MIETER!F21)),"",N('Verkauf Cashflow'!Q16)+N('Verkauf Cashflow'!R16))</f>
        <v/>
      </c>
      <c r="W19" s="422">
        <f>IF(ISNUMBER(MIETER!F21),U19+V19,"")</f>
        <v/>
      </c>
      <c r="X19" s="421">
        <f>IF(ISNUMBER('Verkauf Cashflow'!O16),'Verkauf Cashflow'!O16,"")</f>
        <v/>
      </c>
      <c r="Y19" s="422">
        <f>IF(ISNUMBER('Verkauf Cashflow'!S16),'Verkauf Cashflow'!S16,"")</f>
        <v/>
      </c>
      <c r="Z19" s="420">
        <f>IF(ISNUMBER(MIETER!F21),IFERROR(Y19/F19,""),"")</f>
        <v/>
      </c>
      <c r="AA19" s="423">
        <f>IF(ISNUMBER('Verkauf Cashflow'!CF16),'Verkauf Cashflow'!CF16,"")</f>
        <v/>
      </c>
    </row>
    <row r="20" ht="15" customHeight="1" s="545">
      <c r="A20" s="406">
        <f>IF(ISNUMBER(MIETER!F22),IFERROR(MIETER!A22,""),"")</f>
        <v/>
      </c>
      <c r="B20" s="406">
        <f>IF(ISNUMBER(MIETER!F22),IFERROR(MIETER!B22,""),"")</f>
        <v/>
      </c>
      <c r="C20" s="407">
        <f>IF(ISNUMBER(MIETER!F22),IFERROR(MIETER!C22,""),"")</f>
        <v/>
      </c>
      <c r="D20" s="406">
        <f>IF(ISNUMBER(MIETER!F22),IFERROR(MIETER!D22,""),"")</f>
        <v/>
      </c>
      <c r="E20" s="406">
        <f>IF(ISNUMBER(MIETER!F22),IFERROR(MIETER!E22,""),"")</f>
        <v/>
      </c>
      <c r="F20" s="408">
        <f>IF(ISNUMBER(MIETER!F22),IFERROR(MIETER!F22,""),"")</f>
        <v/>
      </c>
      <c r="G20" s="836">
        <f>IF(ISNUMBER(MIETER!F22),KALKU!$I$18,"")</f>
        <v/>
      </c>
      <c r="H20" s="836">
        <f>IF(ISNUMBER(MIETER!F22),KALKU!$N$18,"")</f>
        <v/>
      </c>
      <c r="I20" s="410" t="n"/>
      <c r="J20" s="837">
        <f>IF(ISNUMBER(MIETER!F22),IF(I20="vermietet",H20*(-0.1),H20*0),"")</f>
        <v/>
      </c>
      <c r="K20" s="412">
        <f>IF(ISNUMBER(MIETER!F22),IFERROR(MIETER!Q22/MIETER!$M$6,""),"")</f>
        <v/>
      </c>
      <c r="L20" s="413">
        <f>IF(ISNUMBER(MIETER!F22),IF(K20 &gt;= 0%,H20*(0.01),
IF(K20 &gt;= -5%,H20*(-0.01),
IF(K20 &gt;= -10%,H20*(-0.02),
IF(K20 &gt;= -15%,H20*(-0.03),
IF(K20 &gt;= -20%,H20*(-0.04),
IF(K20 &gt;= -25%,H20*(-0.05),
IF(K20 &gt;= -30%,H20*(-0.06),
IF(K20 &gt;= -35%,H20*(-0.07),
IF(K20 &gt;= -40%,H20*(-0.08),
IF(K20 &gt;= -45%,H20*(-0.09),
IF(K20 &gt;= -50%, H20*(-0.1), H20*
0)
)))))))))),"")</f>
        <v/>
      </c>
      <c r="M20" s="414" t="n"/>
      <c r="N20" s="415">
        <f>IF(NOT(ISNUMBER(H20)),"",IF(M20="Kein Balkon",H20*(-0.05),H20*0))</f>
        <v/>
      </c>
      <c r="O20" s="416" t="n"/>
      <c r="P20" s="838">
        <f>IF(NOT(ISNUMBER(H20)),"",IF(ISBLANK(O20),0,H20*MIN((YEAR(TODAY())-O20)*0.003,0.09)*-1))</f>
        <v/>
      </c>
      <c r="Q20" s="414" t="n"/>
      <c r="R20" s="415">
        <f>IF(ISNUMBER(MIETER!F22),IF(Q20="renoviert",H20*0.05,IF(Q20="teilweise renoviert",H20*0,IF(Q20="unrenoviert",H20*-0.05,0))),"")</f>
        <v/>
      </c>
      <c r="S20" s="418">
        <f>IF(ISNUMBER(MIETER!F22),C20,"")</f>
        <v/>
      </c>
      <c r="T20" s="419">
        <f>IF(ISNUMBER(MIETER!F22),IF(OR(S20="EG",S20="1.OG",S20="2.OG",S20="OG",S20="über 2.OG mit Aufzug"),H20*0,IF(OR(S20="UG",S20="über 2.OG ohne Aufzug"),H20*(-0.05),0)),"")</f>
        <v/>
      </c>
      <c r="U20" s="420">
        <f>IF(ISNUMBER(MIETER!F22),IFERROR(F20*(H20+J20+L20+N20+P20+R20+T20),""),"")</f>
        <v/>
      </c>
      <c r="V20" s="421">
        <f>IF(NOT(ISNUMBER(MIETER!F22)),"",N('Verkauf Cashflow'!Q17)+N('Verkauf Cashflow'!R17))</f>
        <v/>
      </c>
      <c r="W20" s="422">
        <f>IF(ISNUMBER(MIETER!F22),U20+V20,"")</f>
        <v/>
      </c>
      <c r="X20" s="421">
        <f>IF(ISNUMBER('Verkauf Cashflow'!O17),'Verkauf Cashflow'!O17,"")</f>
        <v/>
      </c>
      <c r="Y20" s="422">
        <f>IF(ISNUMBER('Verkauf Cashflow'!S17),'Verkauf Cashflow'!S17,"")</f>
        <v/>
      </c>
      <c r="Z20" s="420">
        <f>IF(ISNUMBER(MIETER!F22),IFERROR(Y20/F20,""),"")</f>
        <v/>
      </c>
      <c r="AA20" s="423">
        <f>IF(ISNUMBER('Verkauf Cashflow'!CF17),'Verkauf Cashflow'!CF17,"")</f>
        <v/>
      </c>
    </row>
    <row r="21" ht="15" customHeight="1" s="545">
      <c r="A21" s="406">
        <f>IF(ISNUMBER(MIETER!F23),IFERROR(MIETER!A23,""),"")</f>
        <v/>
      </c>
      <c r="B21" s="406">
        <f>IF(ISNUMBER(MIETER!F23),IFERROR(MIETER!B23,""),"")</f>
        <v/>
      </c>
      <c r="C21" s="407">
        <f>IF(ISNUMBER(MIETER!F23),IFERROR(MIETER!C23,""),"")</f>
        <v/>
      </c>
      <c r="D21" s="406">
        <f>IF(ISNUMBER(MIETER!F23),IFERROR(MIETER!D23,""),"")</f>
        <v/>
      </c>
      <c r="E21" s="406">
        <f>IF(ISNUMBER(MIETER!F23),IFERROR(MIETER!E23,""),"")</f>
        <v/>
      </c>
      <c r="F21" s="408">
        <f>IF(ISNUMBER(MIETER!F23),IFERROR(MIETER!F23,""),"")</f>
        <v/>
      </c>
      <c r="G21" s="836">
        <f>IF(ISNUMBER(MIETER!F23),KALKU!$I$18,"")</f>
        <v/>
      </c>
      <c r="H21" s="836">
        <f>IF(ISNUMBER(MIETER!F23),KALKU!$N$18,"")</f>
        <v/>
      </c>
      <c r="I21" s="410" t="n"/>
      <c r="J21" s="837">
        <f>IF(ISNUMBER(MIETER!F23),IF(I21="vermietet",H21*(-0.1),H21*0),"")</f>
        <v/>
      </c>
      <c r="K21" s="412">
        <f>IF(ISNUMBER(MIETER!F23),IFERROR(MIETER!Q23/MIETER!$M$6,""),"")</f>
        <v/>
      </c>
      <c r="L21" s="413">
        <f>IF(ISNUMBER(MIETER!F23),IF(K21 &gt;= 0%,H21*(0.01),
IF(K21 &gt;= -5%,H21*(-0.01),
IF(K21 &gt;= -10%,H21*(-0.02),
IF(K21 &gt;= -15%,H21*(-0.03),
IF(K21 &gt;= -20%,H21*(-0.04),
IF(K21 &gt;= -25%,H21*(-0.05),
IF(K21 &gt;= -30%,H21*(-0.06),
IF(K21 &gt;= -35%,H21*(-0.07),
IF(K21 &gt;= -40%,H21*(-0.08),
IF(K21 &gt;= -45%,H21*(-0.09),
IF(K21 &gt;= -50%, H21*(-0.1), H21*
0)
)))))))))),"")</f>
        <v/>
      </c>
      <c r="M21" s="414" t="n"/>
      <c r="N21" s="415">
        <f>IF(NOT(ISNUMBER(H21)),"",IF(M21="Kein Balkon",H21*(-0.05),H21*0))</f>
        <v/>
      </c>
      <c r="O21" s="416" t="n"/>
      <c r="P21" s="838">
        <f>IF(NOT(ISNUMBER(H21)),"",IF(ISBLANK(O21),0,H21*MIN((YEAR(TODAY())-O21)*0.003,0.09)*-1))</f>
        <v/>
      </c>
      <c r="Q21" s="414" t="n"/>
      <c r="R21" s="415">
        <f>IF(ISNUMBER(MIETER!F23),IF(Q21="renoviert",H21*0.05,IF(Q21="teilweise renoviert",H21*0,IF(Q21="unrenoviert",H21*-0.05,0))),"")</f>
        <v/>
      </c>
      <c r="S21" s="418">
        <f>IF(ISNUMBER(MIETER!F23),C21,"")</f>
        <v/>
      </c>
      <c r="T21" s="419">
        <f>IF(ISNUMBER(MIETER!F23),IF(OR(S21="EG",S21="1.OG",S21="2.OG",S21="OG",S21="über 2.OG mit Aufzug"),H21*0,IF(OR(S21="UG",S21="über 2.OG ohne Aufzug"),H21*(-0.05),0)),"")</f>
        <v/>
      </c>
      <c r="U21" s="420">
        <f>IF(ISNUMBER(MIETER!F23),IFERROR(F21*(H21+J21+L21+N21+P21+R21+T21),""),"")</f>
        <v/>
      </c>
      <c r="V21" s="421">
        <f>IF(NOT(ISNUMBER(MIETER!F23)),"",N('Verkauf Cashflow'!Q18)+N('Verkauf Cashflow'!R18))</f>
        <v/>
      </c>
      <c r="W21" s="422">
        <f>IF(ISNUMBER(MIETER!F23),U21+V21,"")</f>
        <v/>
      </c>
      <c r="X21" s="421">
        <f>IF(ISNUMBER('Verkauf Cashflow'!O18),'Verkauf Cashflow'!O18,"")</f>
        <v/>
      </c>
      <c r="Y21" s="422">
        <f>IF(ISNUMBER('Verkauf Cashflow'!S18),'Verkauf Cashflow'!S18,"")</f>
        <v/>
      </c>
      <c r="Z21" s="420">
        <f>IF(ISNUMBER(MIETER!F23),IFERROR(Y21/F21,""),"")</f>
        <v/>
      </c>
      <c r="AA21" s="423">
        <f>IF(ISNUMBER('Verkauf Cashflow'!CF18),'Verkauf Cashflow'!CF18,"")</f>
        <v/>
      </c>
    </row>
    <row r="22" ht="15" customHeight="1" s="545">
      <c r="A22" s="406">
        <f>IF(ISNUMBER(MIETER!F24),IFERROR(MIETER!A24,""),"")</f>
        <v/>
      </c>
      <c r="B22" s="406">
        <f>IF(ISNUMBER(MIETER!F24),IFERROR(MIETER!B24,""),"")</f>
        <v/>
      </c>
      <c r="C22" s="407">
        <f>IF(ISNUMBER(MIETER!F24),IFERROR(MIETER!C24,""),"")</f>
        <v/>
      </c>
      <c r="D22" s="406">
        <f>IF(ISNUMBER(MIETER!F24),IFERROR(MIETER!D24,""),"")</f>
        <v/>
      </c>
      <c r="E22" s="406">
        <f>IF(ISNUMBER(MIETER!F24),IFERROR(MIETER!E24,""),"")</f>
        <v/>
      </c>
      <c r="F22" s="408">
        <f>IF(ISNUMBER(MIETER!F24),IFERROR(MIETER!F24,""),"")</f>
        <v/>
      </c>
      <c r="G22" s="836">
        <f>IF(ISNUMBER(MIETER!F24),KALKU!$I$18,"")</f>
        <v/>
      </c>
      <c r="H22" s="836">
        <f>IF(ISNUMBER(MIETER!F24),KALKU!$N$18,"")</f>
        <v/>
      </c>
      <c r="I22" s="410" t="n"/>
      <c r="J22" s="837">
        <f>IF(ISNUMBER(MIETER!F24),IF(I22="vermietet",H22*(-0.1),H22*0),"")</f>
        <v/>
      </c>
      <c r="K22" s="412">
        <f>IF(ISNUMBER(MIETER!F24),IFERROR(MIETER!Q24/MIETER!$M$6,""),"")</f>
        <v/>
      </c>
      <c r="L22" s="413">
        <f>IF(ISNUMBER(MIETER!F24),IF(K22 &gt;= 0%,H22*(0.01),
IF(K22 &gt;= -5%,H22*(-0.01),
IF(K22 &gt;= -10%,H22*(-0.02),
IF(K22 &gt;= -15%,H22*(-0.03),
IF(K22 &gt;= -20%,H22*(-0.04),
IF(K22 &gt;= -25%,H22*(-0.05),
IF(K22 &gt;= -30%,H22*(-0.06),
IF(K22 &gt;= -35%,H22*(-0.07),
IF(K22 &gt;= -40%,H22*(-0.08),
IF(K22 &gt;= -45%,H22*(-0.09),
IF(K22 &gt;= -50%, H22*(-0.1), H22*
0)
)))))))))),"")</f>
        <v/>
      </c>
      <c r="M22" s="414" t="n"/>
      <c r="N22" s="415">
        <f>IF(NOT(ISNUMBER(H22)),"",IF(M22="Kein Balkon",H22*(-0.05),H22*0))</f>
        <v/>
      </c>
      <c r="O22" s="416" t="n"/>
      <c r="P22" s="838">
        <f>IF(NOT(ISNUMBER(H22)),"",IF(ISBLANK(O22),0,H22*MIN((YEAR(TODAY())-O22)*0.003,0.09)*-1))</f>
        <v/>
      </c>
      <c r="Q22" s="414" t="n"/>
      <c r="R22" s="415">
        <f>IF(ISNUMBER(MIETER!F24),IF(Q22="renoviert",H22*0.05,IF(Q22="teilweise renoviert",H22*0,IF(Q22="unrenoviert",H22*-0.05,0))),"")</f>
        <v/>
      </c>
      <c r="S22" s="418">
        <f>IF(ISNUMBER(MIETER!F24),C22,"")</f>
        <v/>
      </c>
      <c r="T22" s="419">
        <f>IF(ISNUMBER(MIETER!F24),IF(OR(S22="EG",S22="1.OG",S22="2.OG",S22="OG",S22="über 2.OG mit Aufzug"),H22*0,IF(OR(S22="UG",S22="über 2.OG ohne Aufzug"),H22*(-0.05),0)),"")</f>
        <v/>
      </c>
      <c r="U22" s="420">
        <f>IF(ISNUMBER(MIETER!F24),IFERROR(F22*(H22+J22+L22+N22+P22+R22+T22),""),"")</f>
        <v/>
      </c>
      <c r="V22" s="421">
        <f>IF(NOT(ISNUMBER(MIETER!F24)),"",N('Verkauf Cashflow'!Q19)+N('Verkauf Cashflow'!R19))</f>
        <v/>
      </c>
      <c r="W22" s="422">
        <f>IF(ISNUMBER(MIETER!F24),U22+V22,"")</f>
        <v/>
      </c>
      <c r="X22" s="421">
        <f>IF(ISNUMBER('Verkauf Cashflow'!O19),'Verkauf Cashflow'!O19,"")</f>
        <v/>
      </c>
      <c r="Y22" s="422">
        <f>IF(ISNUMBER('Verkauf Cashflow'!S19),'Verkauf Cashflow'!S19,"")</f>
        <v/>
      </c>
      <c r="Z22" s="420">
        <f>IF(ISNUMBER(MIETER!F24),IFERROR(Y22/F22,""),"")</f>
        <v/>
      </c>
      <c r="AA22" s="423">
        <f>IF(ISNUMBER('Verkauf Cashflow'!CF19),'Verkauf Cashflow'!CF19,"")</f>
        <v/>
      </c>
    </row>
    <row r="23" ht="15" customHeight="1" s="545">
      <c r="A23" s="406">
        <f>IF(ISNUMBER(MIETER!F25),IFERROR(MIETER!A25,""),"")</f>
        <v/>
      </c>
      <c r="B23" s="406">
        <f>IF(ISNUMBER(MIETER!F25),IFERROR(MIETER!B25,""),"")</f>
        <v/>
      </c>
      <c r="C23" s="407">
        <f>IF(ISNUMBER(MIETER!F25),IFERROR(MIETER!C25,""),"")</f>
        <v/>
      </c>
      <c r="D23" s="406">
        <f>IF(ISNUMBER(MIETER!F25),IFERROR(MIETER!D25,""),"")</f>
        <v/>
      </c>
      <c r="E23" s="406">
        <f>IF(ISNUMBER(MIETER!F25),IFERROR(MIETER!E25,""),"")</f>
        <v/>
      </c>
      <c r="F23" s="408">
        <f>IF(ISNUMBER(MIETER!F25),IFERROR(MIETER!F25,""),"")</f>
        <v/>
      </c>
      <c r="G23" s="836">
        <f>IF(ISNUMBER(MIETER!F25),KALKU!$I$18,"")</f>
        <v/>
      </c>
      <c r="H23" s="836">
        <f>IF(ISNUMBER(MIETER!F25),KALKU!$N$18,"")</f>
        <v/>
      </c>
      <c r="I23" s="410" t="n"/>
      <c r="J23" s="837">
        <f>IF(ISNUMBER(MIETER!F25),IF(I23="vermietet",H23*(-0.1),H23*0),"")</f>
        <v/>
      </c>
      <c r="K23" s="412">
        <f>IF(ISNUMBER(MIETER!F25),IFERROR(MIETER!Q25/MIETER!$M$6,""),"")</f>
        <v/>
      </c>
      <c r="L23" s="413">
        <f>IF(ISNUMBER(MIETER!F25),IF(K23 &gt;= 0%,H23*(0.01),
IF(K23 &gt;= -5%,H23*(-0.01),
IF(K23 &gt;= -10%,H23*(-0.02),
IF(K23 &gt;= -15%,H23*(-0.03),
IF(K23 &gt;= -20%,H23*(-0.04),
IF(K23 &gt;= -25%,H23*(-0.05),
IF(K23 &gt;= -30%,H23*(-0.06),
IF(K23 &gt;= -35%,H23*(-0.07),
IF(K23 &gt;= -40%,H23*(-0.08),
IF(K23 &gt;= -45%,H23*(-0.09),
IF(K23 &gt;= -50%, H23*(-0.1), H23*
0)
)))))))))),"")</f>
        <v/>
      </c>
      <c r="M23" s="414" t="n"/>
      <c r="N23" s="415">
        <f>IF(NOT(ISNUMBER(H23)),"",IF(M23="Kein Balkon",H23*(-0.05),H23*0))</f>
        <v/>
      </c>
      <c r="O23" s="416" t="n"/>
      <c r="P23" s="838">
        <f>IF(NOT(ISNUMBER(H23)),"",IF(ISBLANK(O23),0,H23*MIN((YEAR(TODAY())-O23)*0.003,0.09)*-1))</f>
        <v/>
      </c>
      <c r="Q23" s="414" t="n"/>
      <c r="R23" s="415">
        <f>IF(ISNUMBER(MIETER!F25),IF(Q23="renoviert",H23*0.05,IF(Q23="teilweise renoviert",H23*0,IF(Q23="unrenoviert",H23*-0.05,0))),"")</f>
        <v/>
      </c>
      <c r="S23" s="418">
        <f>IF(ISNUMBER(MIETER!F25),C23,"")</f>
        <v/>
      </c>
      <c r="T23" s="419">
        <f>IF(ISNUMBER(MIETER!F25),IF(OR(S23="EG",S23="1.OG",S23="2.OG",S23="OG",S23="über 2.OG mit Aufzug"),H23*0,IF(OR(S23="UG",S23="über 2.OG ohne Aufzug"),H23*(-0.05),0)),"")</f>
        <v/>
      </c>
      <c r="U23" s="420">
        <f>IF(ISNUMBER(MIETER!F25),IFERROR(F23*(H23+J23+L23+N23+P23+R23+T23),""),"")</f>
        <v/>
      </c>
      <c r="V23" s="421">
        <f>IF(NOT(ISNUMBER(MIETER!F25)),"",N('Verkauf Cashflow'!Q20)+N('Verkauf Cashflow'!R20))</f>
        <v/>
      </c>
      <c r="W23" s="422">
        <f>IF(ISNUMBER(MIETER!F25),U23+V23,"")</f>
        <v/>
      </c>
      <c r="X23" s="421">
        <f>IF(ISNUMBER('Verkauf Cashflow'!O20),'Verkauf Cashflow'!O20,"")</f>
        <v/>
      </c>
      <c r="Y23" s="422">
        <f>IF(ISNUMBER('Verkauf Cashflow'!S20),'Verkauf Cashflow'!S20,"")</f>
        <v/>
      </c>
      <c r="Z23" s="420">
        <f>IF(ISNUMBER(MIETER!F25),IFERROR(Y23/F23,""),"")</f>
        <v/>
      </c>
      <c r="AA23" s="423">
        <f>IF(ISNUMBER('Verkauf Cashflow'!CF20),'Verkauf Cashflow'!CF20,"")</f>
        <v/>
      </c>
    </row>
    <row r="24" ht="15" customHeight="1" s="545">
      <c r="A24" s="406">
        <f>IF(ISNUMBER(MIETER!F26),IFERROR(MIETER!A26,""),"")</f>
        <v/>
      </c>
      <c r="B24" s="406">
        <f>IF(ISNUMBER(MIETER!F26),IFERROR(MIETER!B26,""),"")</f>
        <v/>
      </c>
      <c r="C24" s="407">
        <f>IF(ISNUMBER(MIETER!F26),IFERROR(MIETER!C26,""),"")</f>
        <v/>
      </c>
      <c r="D24" s="406">
        <f>IF(ISNUMBER(MIETER!F26),IFERROR(MIETER!D26,""),"")</f>
        <v/>
      </c>
      <c r="E24" s="406">
        <f>IF(ISNUMBER(MIETER!F26),IFERROR(MIETER!E26,""),"")</f>
        <v/>
      </c>
      <c r="F24" s="408">
        <f>IF(ISNUMBER(MIETER!F26),IFERROR(MIETER!F26,""),"")</f>
        <v/>
      </c>
      <c r="G24" s="836">
        <f>IF(ISNUMBER(MIETER!F26),KALKU!$I$18,"")</f>
        <v/>
      </c>
      <c r="H24" s="836">
        <f>IF(ISNUMBER(MIETER!F26),KALKU!$N$18,"")</f>
        <v/>
      </c>
      <c r="I24" s="410" t="n"/>
      <c r="J24" s="837">
        <f>IF(ISNUMBER(MIETER!F26),IF(I24="vermietet",H24*(-0.1),H24*0),"")</f>
        <v/>
      </c>
      <c r="K24" s="412">
        <f>IF(ISNUMBER(MIETER!F26),IFERROR(MIETER!Q26/MIETER!$M$6,""),"")</f>
        <v/>
      </c>
      <c r="L24" s="413">
        <f>IF(ISNUMBER(MIETER!F26),IF(K24 &gt;= 0%,H24*(0.01),
IF(K24 &gt;= -5%,H24*(-0.01),
IF(K24 &gt;= -10%,H24*(-0.02),
IF(K24 &gt;= -15%,H24*(-0.03),
IF(K24 &gt;= -20%,H24*(-0.04),
IF(K24 &gt;= -25%,H24*(-0.05),
IF(K24 &gt;= -30%,H24*(-0.06),
IF(K24 &gt;= -35%,H24*(-0.07),
IF(K24 &gt;= -40%,H24*(-0.08),
IF(K24 &gt;= -45%,H24*(-0.09),
IF(K24 &gt;= -50%, H24*(-0.1), H24*
0)
)))))))))),"")</f>
        <v/>
      </c>
      <c r="M24" s="414" t="n"/>
      <c r="N24" s="415">
        <f>IF(NOT(ISNUMBER(H24)),"",IF(M24="Kein Balkon",H24*(-0.05),H24*0))</f>
        <v/>
      </c>
      <c r="O24" s="416" t="n"/>
      <c r="P24" s="838">
        <f>IF(NOT(ISNUMBER(H24)),"",IF(ISBLANK(O24),0,H24*MIN((YEAR(TODAY())-O24)*0.003,0.09)*-1))</f>
        <v/>
      </c>
      <c r="Q24" s="414" t="n"/>
      <c r="R24" s="415">
        <f>IF(ISNUMBER(MIETER!F26),IF(Q24="renoviert",H24*0.05,IF(Q24="teilweise renoviert",H24*0,IF(Q24="unrenoviert",H24*-0.05,0))),"")</f>
        <v/>
      </c>
      <c r="S24" s="418">
        <f>IF(ISNUMBER(MIETER!F26),C24,"")</f>
        <v/>
      </c>
      <c r="T24" s="419">
        <f>IF(ISNUMBER(MIETER!F26),IF(OR(S24="EG",S24="1.OG",S24="2.OG",S24="OG",S24="über 2.OG mit Aufzug"),H24*0,IF(OR(S24="UG",S24="über 2.OG ohne Aufzug"),H24*(-0.05),0)),"")</f>
        <v/>
      </c>
      <c r="U24" s="420">
        <f>IF(ISNUMBER(MIETER!F26),IFERROR(F24*(H24+J24+L24+N24+P24+R24+T24),""),"")</f>
        <v/>
      </c>
      <c r="V24" s="421">
        <f>IF(NOT(ISNUMBER(MIETER!F26)),"",N('Verkauf Cashflow'!Q21)+N('Verkauf Cashflow'!R21))</f>
        <v/>
      </c>
      <c r="W24" s="422">
        <f>IF(ISNUMBER(MIETER!F26),U24+V24,"")</f>
        <v/>
      </c>
      <c r="X24" s="421">
        <f>IF(ISNUMBER('Verkauf Cashflow'!O21),'Verkauf Cashflow'!O21,"")</f>
        <v/>
      </c>
      <c r="Y24" s="422">
        <f>IF(ISNUMBER('Verkauf Cashflow'!S21),'Verkauf Cashflow'!S21,"")</f>
        <v/>
      </c>
      <c r="Z24" s="420">
        <f>IF(ISNUMBER(MIETER!F26),IFERROR(Y24/F24,""),"")</f>
        <v/>
      </c>
      <c r="AA24" s="423">
        <f>IF(ISNUMBER('Verkauf Cashflow'!CF21),'Verkauf Cashflow'!CF21,"")</f>
        <v/>
      </c>
    </row>
    <row r="25" ht="15" customHeight="1" s="545">
      <c r="A25" s="406">
        <f>IF(ISNUMBER(MIETER!F27),IFERROR(MIETER!A27,""),"")</f>
        <v/>
      </c>
      <c r="B25" s="406">
        <f>IF(ISNUMBER(MIETER!F27),IFERROR(MIETER!B27,""),"")</f>
        <v/>
      </c>
      <c r="C25" s="407">
        <f>IF(ISNUMBER(MIETER!F27),IFERROR(MIETER!C27,""),"")</f>
        <v/>
      </c>
      <c r="D25" s="406">
        <f>IF(ISNUMBER(MIETER!F27),IFERROR(MIETER!D27,""),"")</f>
        <v/>
      </c>
      <c r="E25" s="406">
        <f>IF(ISNUMBER(MIETER!F27),IFERROR(MIETER!E27,""),"")</f>
        <v/>
      </c>
      <c r="F25" s="408">
        <f>IF(ISNUMBER(MIETER!F27),IFERROR(MIETER!F27,""),"")</f>
        <v/>
      </c>
      <c r="G25" s="836">
        <f>IF(ISNUMBER(MIETER!F27),KALKU!$I$18,"")</f>
        <v/>
      </c>
      <c r="H25" s="836">
        <f>IF(ISNUMBER(MIETER!F27),KALKU!$N$18,"")</f>
        <v/>
      </c>
      <c r="I25" s="410" t="n"/>
      <c r="J25" s="837">
        <f>IF(ISNUMBER(MIETER!F27),IF(I25="vermietet",H25*(-0.1),H25*0),"")</f>
        <v/>
      </c>
      <c r="K25" s="412">
        <f>IF(ISNUMBER(MIETER!F27),IFERROR(MIETER!Q27/MIETER!$M$6,""),"")</f>
        <v/>
      </c>
      <c r="L25" s="413">
        <f>IF(ISNUMBER(MIETER!F27),IF(K25 &gt;= 0%,H25*(0.01),
IF(K25 &gt;= -5%,H25*(-0.01),
IF(K25 &gt;= -10%,H25*(-0.02),
IF(K25 &gt;= -15%,H25*(-0.03),
IF(K25 &gt;= -20%,H25*(-0.04),
IF(K25 &gt;= -25%,H25*(-0.05),
IF(K25 &gt;= -30%,H25*(-0.06),
IF(K25 &gt;= -35%,H25*(-0.07),
IF(K25 &gt;= -40%,H25*(-0.08),
IF(K25 &gt;= -45%,H25*(-0.09),
IF(K25 &gt;= -50%, H25*(-0.1), H25*
0)
)))))))))),"")</f>
        <v/>
      </c>
      <c r="M25" s="414" t="n"/>
      <c r="N25" s="415">
        <f>IF(NOT(ISNUMBER(H25)),"",IF(M25="Kein Balkon",H25*(-0.05),H25*0))</f>
        <v/>
      </c>
      <c r="O25" s="416" t="n"/>
      <c r="P25" s="838">
        <f>IF(NOT(ISNUMBER(H25)),"",IF(ISBLANK(O25),0,H25*MIN((YEAR(TODAY())-O25)*0.003,0.09)*-1))</f>
        <v/>
      </c>
      <c r="Q25" s="414" t="n"/>
      <c r="R25" s="415">
        <f>IF(ISNUMBER(MIETER!F27),IF(Q25="renoviert",H25*0.05,IF(Q25="teilweise renoviert",H25*0,IF(Q25="unrenoviert",H25*-0.05,0))),"")</f>
        <v/>
      </c>
      <c r="S25" s="418">
        <f>IF(ISNUMBER(MIETER!F27),C25,"")</f>
        <v/>
      </c>
      <c r="T25" s="419">
        <f>IF(ISNUMBER(MIETER!F27),IF(OR(S25="EG",S25="1.OG",S25="2.OG",S25="OG",S25="über 2.OG mit Aufzug"),H25*0,IF(OR(S25="UG",S25="über 2.OG ohne Aufzug"),H25*(-0.05),0)),"")</f>
        <v/>
      </c>
      <c r="U25" s="420">
        <f>IF(ISNUMBER(MIETER!F27),IFERROR(F25*(H25+J25+L25+N25+P25+R25+T25),""),"")</f>
        <v/>
      </c>
      <c r="V25" s="421">
        <f>IF(NOT(ISNUMBER(MIETER!F27)),"",N('Verkauf Cashflow'!Q22)+N('Verkauf Cashflow'!R22))</f>
        <v/>
      </c>
      <c r="W25" s="422">
        <f>IF(ISNUMBER(MIETER!F27),U25+V25,"")</f>
        <v/>
      </c>
      <c r="X25" s="421">
        <f>IF(ISNUMBER('Verkauf Cashflow'!O22),'Verkauf Cashflow'!O22,"")</f>
        <v/>
      </c>
      <c r="Y25" s="422">
        <f>IF(ISNUMBER('Verkauf Cashflow'!S22),'Verkauf Cashflow'!S22,"")</f>
        <v/>
      </c>
      <c r="Z25" s="420">
        <f>IF(ISNUMBER(MIETER!F27),IFERROR(Y25/F25,""),"")</f>
        <v/>
      </c>
      <c r="AA25" s="423">
        <f>IF(ISNUMBER('Verkauf Cashflow'!CF22),'Verkauf Cashflow'!CF22,"")</f>
        <v/>
      </c>
    </row>
    <row r="26" ht="15" customHeight="1" s="545">
      <c r="C26" s="426" t="inlineStr">
        <is>
          <t>Rücklage</t>
        </is>
      </c>
      <c r="Y26" s="430" t="n"/>
    </row>
    <row r="27" ht="15" customHeight="1" s="545">
      <c r="C27" s="426" t="inlineStr">
        <is>
          <t>Subventionskosten</t>
        </is>
      </c>
      <c r="Y27" s="430" t="n"/>
    </row>
    <row r="28" ht="15" customHeight="1" s="545">
      <c r="A28" s="424" t="n"/>
      <c r="B28" s="425" t="n"/>
      <c r="C28" s="426" t="inlineStr">
        <is>
          <t>Summe</t>
        </is>
      </c>
      <c r="D28" s="427" t="n"/>
      <c r="E28" s="427" t="n"/>
      <c r="F28" s="428">
        <f>SUM(F6:F25)</f>
        <v/>
      </c>
      <c r="G28" s="429">
        <f>AVERAGEIF(G6:G25, "&gt;0")</f>
        <v/>
      </c>
      <c r="H28" s="429">
        <f>AVERAGEIF(H6:H25, "&gt;0")</f>
        <v/>
      </c>
      <c r="I28" s="429" t="n"/>
      <c r="J28" s="429" t="n"/>
      <c r="K28" s="429" t="n"/>
      <c r="L28" s="429" t="n"/>
      <c r="M28" s="429" t="n"/>
      <c r="N28" s="429" t="n"/>
      <c r="O28" s="429" t="n"/>
      <c r="P28" s="429" t="n"/>
      <c r="Q28" s="429" t="n"/>
      <c r="R28" s="429" t="n"/>
      <c r="S28" s="429" t="n"/>
      <c r="T28" s="429" t="n"/>
      <c r="U28" s="429">
        <f>SUM(U6:U25)</f>
        <v/>
      </c>
      <c r="V28" s="429">
        <f>SUM(V6:V25)</f>
        <v/>
      </c>
      <c r="W28" s="429">
        <f>SUM(W6:W25)</f>
        <v/>
      </c>
      <c r="X28" s="429">
        <f>SUM(X6:X25)</f>
        <v/>
      </c>
      <c r="Y28" s="430">
        <f>SUM(Y6:Y27)</f>
        <v/>
      </c>
      <c r="Z28" s="431">
        <f>IFERROR(AVERAGEIF(Z6:Z25, "&gt;0"),"")</f>
        <v/>
      </c>
      <c r="AA28" s="432">
        <f>IFERROR(AVERAGE(AA6:AA25),"")</f>
        <v/>
      </c>
    </row>
    <row r="29" ht="15" customHeight="1" s="545">
      <c r="A29" s="347" t="n"/>
      <c r="B29" s="347" t="n"/>
      <c r="C29" s="347" t="n"/>
      <c r="D29" s="347" t="n"/>
      <c r="E29" s="347" t="n"/>
      <c r="F29" s="433" t="n"/>
      <c r="G29" s="347" t="n"/>
      <c r="H29" s="347" t="n"/>
      <c r="I29" s="347" t="n"/>
      <c r="J29" s="347" t="n"/>
      <c r="K29" s="103" t="n"/>
      <c r="L29" s="19" t="n"/>
      <c r="M29" s="347" t="n"/>
      <c r="N29" s="347" t="n"/>
      <c r="O29" s="347" t="n"/>
      <c r="P29" s="347" t="n"/>
      <c r="Q29" s="347" t="n"/>
      <c r="R29" s="347" t="n"/>
      <c r="S29" s="347" t="n"/>
      <c r="T29" s="347" t="n"/>
      <c r="U29" s="347" t="n"/>
      <c r="V29" s="434" t="n"/>
      <c r="W29" s="434" t="n"/>
      <c r="X29" s="434" t="n"/>
      <c r="Y29" s="19" t="n"/>
      <c r="Z29" s="19" t="n"/>
      <c r="AA29" s="19" t="n"/>
    </row>
    <row r="30" ht="15" customHeight="1" s="545">
      <c r="A30" s="347" t="n"/>
      <c r="B30" s="347" t="n"/>
      <c r="C30" s="435" t="n"/>
      <c r="D30" s="347" t="n"/>
      <c r="E30" s="347" t="n"/>
      <c r="F30" s="436" t="n"/>
      <c r="G30" s="347" t="n"/>
      <c r="H30" s="347" t="n"/>
      <c r="I30" s="347" t="n"/>
      <c r="J30" s="347" t="n"/>
      <c r="K30" s="437" t="n"/>
      <c r="L30" s="437" t="n"/>
      <c r="M30" s="347" t="n"/>
      <c r="N30" s="347" t="n"/>
      <c r="O30" s="347" t="n"/>
      <c r="P30" s="347" t="n"/>
      <c r="Q30" s="347" t="n"/>
      <c r="R30" s="347" t="n"/>
      <c r="S30" s="438" t="n"/>
      <c r="T30" s="347" t="n"/>
      <c r="U30" s="347" t="n"/>
      <c r="V30" s="439" t="n"/>
      <c r="W30" s="439" t="n"/>
      <c r="X30" s="439" t="n"/>
      <c r="Y30" s="440" t="n"/>
      <c r="Z30" s="440" t="n"/>
      <c r="AA30" s="19" t="n"/>
    </row>
    <row r="31" ht="15" customHeight="1" s="545">
      <c r="A31" s="19" t="n"/>
      <c r="B31" s="19" t="n"/>
      <c r="C31" s="609" t="n"/>
      <c r="D31" s="19" t="n"/>
      <c r="E31" s="19" t="n"/>
      <c r="F31" s="19" t="n"/>
      <c r="H31" s="19" t="n"/>
      <c r="I31" s="19" t="n"/>
      <c r="J31" s="19" t="n"/>
      <c r="K31" s="437" t="n"/>
      <c r="L31" s="437" t="n"/>
      <c r="M31" s="19" t="n"/>
      <c r="N31" s="19" t="n"/>
      <c r="O31" s="19" t="n"/>
      <c r="P31" s="19" t="n"/>
      <c r="Q31" s="19" t="n"/>
      <c r="R31" s="19" t="n"/>
      <c r="S31" s="19" t="n"/>
      <c r="T31" s="19" t="n"/>
      <c r="U31" s="19" t="n"/>
      <c r="V31" s="19" t="n"/>
      <c r="W31" s="19" t="n"/>
      <c r="X31" s="19" t="n"/>
      <c r="Y31" s="19" t="n"/>
      <c r="Z31" s="19" t="n"/>
      <c r="AA31" s="19" t="n"/>
    </row>
    <row r="32" ht="15" customHeight="1" s="545">
      <c r="A32" s="19" t="n"/>
      <c r="B32" s="19" t="n"/>
      <c r="C32" s="19" t="n"/>
      <c r="D32" s="19" t="n"/>
      <c r="E32" s="19" t="n"/>
      <c r="F32" s="19" t="n"/>
      <c r="H32" s="19" t="n"/>
      <c r="I32" s="19" t="n"/>
      <c r="J32" s="19" t="n"/>
      <c r="K32" s="437" t="n"/>
      <c r="L32" s="437" t="n"/>
      <c r="M32" s="19" t="n"/>
      <c r="N32" s="19" t="n"/>
      <c r="O32" s="19" t="n"/>
      <c r="P32" s="19" t="n"/>
      <c r="Q32" s="19" t="n"/>
      <c r="R32" s="19" t="n"/>
      <c r="S32" s="19" t="n"/>
      <c r="T32" s="19" t="n"/>
      <c r="U32" s="19" t="n"/>
      <c r="V32" s="19" t="n"/>
      <c r="W32" s="19" t="n"/>
      <c r="X32" s="19" t="n"/>
      <c r="Y32" s="19" t="n"/>
      <c r="Z32" s="19" t="n"/>
      <c r="AA32" s="19" t="n"/>
    </row>
    <row r="33" ht="15" customHeight="1" s="545">
      <c r="A33" s="19" t="n"/>
      <c r="B33" s="19" t="n"/>
      <c r="C33" s="19" t="n"/>
      <c r="D33" s="19" t="n"/>
      <c r="E33" s="19" t="n"/>
      <c r="F33" s="19" t="n"/>
      <c r="H33" s="19" t="n"/>
      <c r="I33" s="19" t="n"/>
      <c r="J33" s="19" t="n"/>
      <c r="K33" s="437" t="n"/>
      <c r="L33" s="437" t="n"/>
      <c r="M33" s="19" t="n"/>
      <c r="N33" s="19" t="n"/>
      <c r="O33" s="19" t="n"/>
      <c r="P33" s="19" t="n"/>
      <c r="Q33" s="19" t="n"/>
      <c r="R33" s="19" t="n"/>
      <c r="S33" s="19" t="n"/>
      <c r="T33" s="19" t="n"/>
      <c r="U33" s="19" t="n"/>
      <c r="V33" s="19" t="n"/>
      <c r="W33" s="19" t="n"/>
      <c r="X33" s="19" t="n"/>
      <c r="Y33" s="19" t="n"/>
      <c r="Z33" s="19" t="n"/>
      <c r="AA33" s="19" t="n"/>
    </row>
    <row r="34" ht="15" customHeight="1" s="545">
      <c r="A34" s="19" t="n"/>
      <c r="B34" s="19" t="n"/>
      <c r="C34" s="19" t="n"/>
      <c r="D34" s="19" t="n"/>
      <c r="E34" s="19" t="n"/>
      <c r="F34" s="21" t="n"/>
      <c r="G34" s="21" t="n"/>
      <c r="H34" s="100" t="n"/>
      <c r="I34" s="21" t="n"/>
      <c r="J34" s="21" t="n"/>
      <c r="K34" s="437" t="n"/>
      <c r="L34" s="437" t="n"/>
      <c r="M34" s="19" t="n"/>
      <c r="N34" s="19" t="n"/>
      <c r="O34" s="19" t="n"/>
      <c r="P34" s="19" t="n"/>
      <c r="Q34" s="19" t="n"/>
      <c r="R34" s="19" t="n"/>
      <c r="S34" s="19" t="n"/>
      <c r="T34" s="19" t="n"/>
      <c r="U34" s="19" t="n"/>
      <c r="V34" s="19" t="n"/>
      <c r="W34" s="19" t="n"/>
      <c r="X34" s="19" t="n"/>
      <c r="Y34" s="19" t="n"/>
      <c r="Z34" s="19" t="n"/>
      <c r="AA34" s="19" t="n"/>
    </row>
    <row r="35" ht="15" customHeight="1" s="545">
      <c r="A35" s="19" t="n"/>
      <c r="B35" s="19" t="n"/>
      <c r="C35" s="19" t="n"/>
      <c r="D35" s="19" t="n"/>
      <c r="E35" s="19" t="n"/>
      <c r="F35" s="105" t="n"/>
      <c r="G35" s="21" t="n"/>
      <c r="H35" s="100" t="n"/>
      <c r="I35" s="21" t="n"/>
      <c r="J35" s="21" t="n"/>
      <c r="K35" s="437" t="n"/>
      <c r="L35" s="437" t="n"/>
      <c r="M35" s="19" t="n"/>
      <c r="N35" s="19" t="n"/>
      <c r="O35" s="19" t="n"/>
      <c r="P35" s="19" t="n"/>
      <c r="Q35" s="19" t="n"/>
      <c r="R35" s="19" t="n"/>
      <c r="S35" s="19" t="n"/>
      <c r="T35" s="19" t="n"/>
      <c r="U35" s="19" t="n"/>
      <c r="V35" s="19" t="n"/>
      <c r="W35" s="19" t="n"/>
      <c r="X35" s="19" t="n"/>
      <c r="Y35" s="19" t="n"/>
      <c r="Z35" s="19" t="n"/>
      <c r="AA35" s="19" t="n"/>
    </row>
    <row r="36" ht="15" customHeight="1" s="545">
      <c r="A36" s="19" t="n"/>
      <c r="B36" s="19" t="n"/>
      <c r="C36" s="19" t="n"/>
      <c r="D36" s="19" t="n"/>
      <c r="E36" s="19" t="n"/>
      <c r="F36" s="105" t="n"/>
      <c r="G36" s="21" t="n"/>
      <c r="H36" s="100" t="n"/>
      <c r="I36" s="21" t="n"/>
      <c r="J36" s="21" t="n"/>
      <c r="K36" s="437" t="n"/>
      <c r="L36" s="437" t="n"/>
      <c r="M36" s="19" t="n"/>
      <c r="N36" s="19" t="n"/>
      <c r="O36" s="19" t="n"/>
      <c r="P36" s="19" t="n"/>
      <c r="Q36" s="19" t="n"/>
      <c r="R36" s="19" t="n"/>
      <c r="S36" s="19" t="n"/>
      <c r="T36" s="19" t="n"/>
      <c r="U36" s="19" t="n"/>
      <c r="V36" s="19" t="n"/>
      <c r="W36" s="19" t="n"/>
      <c r="X36" s="19" t="n"/>
      <c r="Y36" s="19" t="n"/>
      <c r="Z36" s="19" t="n"/>
      <c r="AA36" s="19" t="n"/>
    </row>
    <row r="37" ht="15" customHeight="1" s="545">
      <c r="A37" s="19" t="n"/>
      <c r="B37" s="19" t="n"/>
      <c r="C37" s="19" t="n"/>
      <c r="D37" s="19" t="n"/>
      <c r="E37" s="19" t="n"/>
      <c r="F37" s="21" t="n"/>
      <c r="G37" s="21" t="n"/>
      <c r="H37" s="441" t="n"/>
      <c r="I37" s="21" t="n"/>
      <c r="J37" s="21" t="n"/>
      <c r="K37" s="437" t="n"/>
      <c r="L37" s="437" t="n"/>
      <c r="M37" s="19" t="n"/>
      <c r="N37" s="19" t="n"/>
      <c r="O37" s="19" t="n"/>
      <c r="P37" s="19" t="n"/>
      <c r="Q37" s="19" t="n"/>
      <c r="R37" s="19" t="n"/>
      <c r="S37" s="19" t="n"/>
      <c r="T37" s="19" t="n"/>
      <c r="U37" s="19" t="n"/>
      <c r="V37" s="19" t="n"/>
      <c r="W37" s="19" t="n"/>
      <c r="X37" s="19" t="n"/>
      <c r="Y37" s="19" t="n"/>
      <c r="Z37" s="19" t="n"/>
      <c r="AA37" s="19" t="n"/>
    </row>
    <row r="38" ht="15" customHeight="1" s="545">
      <c r="A38" s="19" t="n"/>
      <c r="B38" s="19" t="n"/>
      <c r="C38" s="19" t="n"/>
      <c r="D38" s="19" t="n"/>
      <c r="E38" s="19" t="n"/>
      <c r="F38" s="21" t="n"/>
      <c r="G38" s="105" t="n"/>
      <c r="H38" s="105" t="n"/>
      <c r="I38" s="100" t="n"/>
      <c r="J38" s="21" t="n"/>
      <c r="K38" s="437" t="n"/>
      <c r="L38" s="437" t="n"/>
      <c r="M38" s="19" t="n"/>
      <c r="N38" s="19" t="n"/>
      <c r="O38" s="19" t="n"/>
      <c r="P38" s="19" t="n"/>
      <c r="Q38" s="19" t="n"/>
      <c r="R38" s="19" t="n"/>
      <c r="S38" s="19" t="n"/>
      <c r="T38" s="19" t="n"/>
      <c r="U38" s="19" t="n"/>
      <c r="V38" s="19" t="n"/>
      <c r="W38" s="19" t="n"/>
      <c r="X38" s="19" t="n"/>
      <c r="Y38" s="19" t="n"/>
      <c r="Z38" s="19" t="n"/>
      <c r="AA38" s="19" t="n"/>
    </row>
    <row r="39" ht="15" customHeight="1" s="545">
      <c r="A39" s="19" t="n"/>
      <c r="B39" s="19" t="n"/>
      <c r="C39" s="19" t="n"/>
      <c r="D39" s="19" t="n"/>
      <c r="E39" s="19" t="n"/>
      <c r="F39" s="21" t="n"/>
      <c r="G39" s="105" t="n"/>
      <c r="H39" s="105" t="n"/>
      <c r="I39" s="100" t="n"/>
      <c r="J39" s="21" t="n"/>
      <c r="K39" s="437" t="n"/>
      <c r="L39" s="437" t="n"/>
      <c r="M39" s="19" t="n"/>
      <c r="N39" s="19" t="n"/>
      <c r="O39" s="19" t="n"/>
      <c r="P39" s="19" t="n"/>
      <c r="Q39" s="19" t="n"/>
      <c r="R39" s="19" t="n"/>
      <c r="S39" s="19" t="n"/>
      <c r="T39" s="19" t="n"/>
      <c r="U39" s="19" t="n"/>
      <c r="V39" s="19" t="n"/>
      <c r="W39" s="19" t="n"/>
      <c r="X39" s="19" t="n"/>
      <c r="Y39" s="19" t="n"/>
      <c r="Z39" s="19" t="n"/>
      <c r="AA39" s="19" t="n"/>
    </row>
    <row r="40" ht="15" customHeight="1" s="545">
      <c r="A40" s="19" t="n"/>
      <c r="B40" s="19" t="n"/>
      <c r="C40" s="19" t="n"/>
      <c r="D40" s="19" t="n"/>
      <c r="E40" s="19" t="n"/>
      <c r="F40" s="21" t="n"/>
      <c r="G40" s="105" t="n"/>
      <c r="H40" s="105" t="n"/>
      <c r="I40" s="100" t="n"/>
      <c r="J40" s="21" t="n"/>
      <c r="K40" s="19" t="n"/>
      <c r="L40" s="19" t="n"/>
      <c r="M40" s="19" t="n"/>
      <c r="N40" s="19" t="n"/>
      <c r="O40" s="19" t="n"/>
      <c r="P40" s="19" t="n"/>
      <c r="Q40" s="19" t="n"/>
      <c r="R40" s="19" t="n"/>
      <c r="S40" s="19" t="n"/>
      <c r="T40" s="19" t="n"/>
      <c r="U40" s="19" t="n"/>
      <c r="V40" s="19" t="n"/>
      <c r="W40" s="19" t="n"/>
      <c r="X40" s="19" t="n"/>
      <c r="Y40" s="19" t="n"/>
      <c r="Z40" s="19" t="n"/>
      <c r="AA40" s="19" t="n"/>
    </row>
    <row r="41" ht="15.75" customHeight="1" s="545">
      <c r="A41" s="19" t="n"/>
      <c r="B41" s="19" t="n"/>
      <c r="C41" s="19" t="n"/>
      <c r="D41" s="19" t="n"/>
      <c r="E41" s="19" t="n"/>
      <c r="F41" s="21" t="n"/>
      <c r="G41" s="105" t="n"/>
      <c r="H41" s="105" t="n"/>
      <c r="I41" s="100" t="n"/>
      <c r="J41" s="21" t="n"/>
      <c r="K41" s="19" t="n"/>
      <c r="L41" s="19" t="n"/>
      <c r="M41" s="19" t="n"/>
      <c r="N41" s="19" t="n"/>
      <c r="O41" s="19" t="n"/>
      <c r="P41" s="19" t="n"/>
      <c r="Q41" s="19" t="n"/>
      <c r="R41" s="19" t="n"/>
      <c r="S41" s="19" t="n"/>
      <c r="T41" s="19" t="n"/>
      <c r="U41" s="19" t="n"/>
      <c r="V41" s="19" t="n"/>
      <c r="W41" s="19" t="n"/>
      <c r="X41" s="19" t="n"/>
      <c r="Y41" s="19" t="n"/>
      <c r="Z41" s="19" t="n"/>
      <c r="AA41" s="19" t="n"/>
    </row>
    <row r="42" ht="15.75" customHeight="1" s="545">
      <c r="A42" s="19" t="n"/>
      <c r="B42" s="19" t="n"/>
      <c r="C42" s="19" t="n"/>
      <c r="D42" s="19" t="n"/>
      <c r="E42" s="19" t="n"/>
      <c r="F42" s="21" t="n"/>
      <c r="G42" s="105" t="n"/>
      <c r="H42" s="105" t="n"/>
      <c r="I42" s="99" t="n"/>
      <c r="J42" s="21" t="n"/>
      <c r="K42" s="19" t="n"/>
      <c r="L42" s="19" t="n"/>
      <c r="M42" s="19" t="n"/>
      <c r="N42" s="19" t="n"/>
      <c r="O42" s="19" t="n"/>
      <c r="P42" s="19" t="n"/>
      <c r="Q42" s="19" t="n"/>
      <c r="R42" s="19" t="n"/>
      <c r="S42" s="19" t="n"/>
      <c r="T42" s="19" t="n"/>
      <c r="U42" s="19" t="n"/>
      <c r="V42" s="19" t="n"/>
      <c r="W42" s="19" t="n"/>
      <c r="X42" s="19" t="n"/>
      <c r="Y42" s="19" t="n"/>
      <c r="Z42" s="19" t="n"/>
      <c r="AA42" s="19" t="n"/>
    </row>
    <row r="43" ht="15.75" customHeight="1" s="545">
      <c r="A43" s="19" t="n"/>
      <c r="B43" s="19" t="n"/>
      <c r="C43" s="19" t="n"/>
      <c r="D43" s="19" t="n"/>
      <c r="E43" s="19" t="n"/>
      <c r="F43" s="19" t="n"/>
      <c r="H43" s="19" t="n"/>
      <c r="I43" s="19" t="n"/>
      <c r="J43" s="19" t="n"/>
      <c r="K43" s="19" t="n"/>
      <c r="L43" s="19" t="n"/>
      <c r="M43" s="19" t="n"/>
      <c r="N43" s="19" t="n"/>
      <c r="O43" s="19" t="n"/>
      <c r="P43" s="19" t="n"/>
      <c r="Q43" s="19" t="n"/>
      <c r="R43" s="19" t="n"/>
      <c r="S43" s="19" t="n"/>
      <c r="T43" s="19" t="n"/>
      <c r="U43" s="19" t="n"/>
      <c r="V43" s="19" t="n"/>
      <c r="W43" s="19" t="n"/>
      <c r="X43" s="19" t="n"/>
      <c r="Y43" s="19" t="n"/>
      <c r="Z43" s="19" t="n"/>
      <c r="AA43" s="19" t="n"/>
    </row>
    <row r="44" ht="15.75" customHeight="1" s="545">
      <c r="A44" s="19" t="n"/>
      <c r="B44" s="19" t="n"/>
      <c r="C44" s="19" t="n"/>
      <c r="D44" s="19" t="n"/>
      <c r="E44" s="19" t="n"/>
      <c r="F44" s="19" t="n"/>
      <c r="H44" s="19" t="n"/>
      <c r="I44" s="19" t="n"/>
      <c r="J44" s="19" t="n"/>
      <c r="K44" s="19" t="n"/>
      <c r="L44" s="19" t="n"/>
      <c r="M44" s="19" t="n"/>
      <c r="N44" s="19" t="n"/>
      <c r="O44" s="19" t="n"/>
      <c r="P44" s="19" t="n"/>
      <c r="Q44" s="19" t="n"/>
      <c r="R44" s="19" t="n"/>
      <c r="S44" s="19" t="n"/>
      <c r="T44" s="19" t="n"/>
      <c r="U44" s="19" t="n"/>
      <c r="V44" s="19" t="n"/>
      <c r="W44" s="19" t="n"/>
      <c r="X44" s="19" t="n"/>
      <c r="Y44" s="19" t="n"/>
      <c r="Z44" s="19" t="n"/>
      <c r="AA44" s="19" t="n"/>
    </row>
    <row r="45" ht="15.75" customHeight="1" s="545">
      <c r="A45" s="19" t="n"/>
      <c r="B45" s="19" t="n"/>
      <c r="C45" s="19" t="n"/>
      <c r="D45" s="19" t="n"/>
      <c r="E45" s="19" t="n"/>
      <c r="F45" s="19" t="n"/>
      <c r="H45" s="19" t="n"/>
      <c r="I45" s="19" t="n"/>
      <c r="J45" s="19" t="n"/>
      <c r="K45" s="19" t="n"/>
      <c r="L45" s="19" t="n"/>
      <c r="M45" s="19" t="n"/>
      <c r="N45" s="19" t="n"/>
      <c r="O45" s="19" t="n"/>
      <c r="P45" s="19" t="n"/>
      <c r="Q45" s="19" t="n"/>
      <c r="R45" s="19" t="n"/>
      <c r="S45" s="19" t="n"/>
      <c r="T45" s="19" t="n"/>
      <c r="U45" s="19" t="n"/>
      <c r="V45" s="19" t="n"/>
      <c r="W45" s="19" t="n"/>
      <c r="X45" s="19" t="n"/>
      <c r="Y45" s="19" t="n"/>
      <c r="Z45" s="19" t="n"/>
      <c r="AA45" s="19" t="n"/>
    </row>
    <row r="46" ht="15.75" customHeight="1" s="545">
      <c r="A46" s="19" t="n"/>
      <c r="B46" s="19" t="n"/>
      <c r="C46" s="19" t="n"/>
      <c r="D46" s="19" t="n"/>
      <c r="E46" s="19" t="n"/>
      <c r="F46" s="19" t="n"/>
      <c r="H46" s="19" t="n"/>
      <c r="I46" s="19" t="n"/>
      <c r="J46" s="19" t="n"/>
      <c r="K46" s="19" t="n"/>
      <c r="L46" s="19" t="n"/>
      <c r="M46" s="19" t="n"/>
      <c r="N46" s="19" t="n"/>
      <c r="O46" s="19" t="n"/>
      <c r="P46" s="19" t="n"/>
      <c r="Q46" s="19" t="n"/>
      <c r="R46" s="19" t="n"/>
      <c r="S46" s="19" t="n"/>
      <c r="T46" s="19" t="n"/>
      <c r="U46" s="19" t="n"/>
      <c r="V46" s="19" t="n"/>
      <c r="W46" s="19" t="n"/>
      <c r="X46" s="19" t="n"/>
      <c r="Y46" s="19" t="n"/>
      <c r="Z46" s="19" t="n"/>
      <c r="AA46" s="19" t="n"/>
    </row>
    <row r="47" ht="15.75" customHeight="1" s="545">
      <c r="A47" s="19" t="n"/>
      <c r="B47" s="19" t="n"/>
      <c r="C47" s="19" t="n"/>
      <c r="D47" s="19" t="n"/>
      <c r="E47" s="19" t="n"/>
      <c r="F47" s="19" t="n"/>
      <c r="H47" s="19" t="n"/>
      <c r="I47" s="19" t="n"/>
      <c r="J47" s="19" t="n"/>
      <c r="K47" s="19" t="n"/>
      <c r="L47" s="19" t="n"/>
      <c r="M47" s="19" t="n"/>
      <c r="N47" s="19" t="n"/>
      <c r="O47" s="19" t="n"/>
      <c r="P47" s="19" t="n"/>
      <c r="Q47" s="19" t="n"/>
      <c r="R47" s="19" t="n"/>
      <c r="S47" s="19" t="n"/>
      <c r="T47" s="19" t="n"/>
      <c r="U47" s="19" t="n"/>
      <c r="V47" s="19" t="n"/>
      <c r="W47" s="19" t="n"/>
      <c r="X47" s="19" t="n"/>
      <c r="Y47" s="19" t="n"/>
      <c r="Z47" s="19" t="n"/>
      <c r="AA47" s="19" t="n"/>
    </row>
    <row r="48" ht="15.75" customHeight="1" s="545">
      <c r="A48" s="19" t="n"/>
      <c r="B48" s="19" t="n"/>
      <c r="C48" s="19" t="n"/>
      <c r="D48" s="19" t="n"/>
      <c r="E48" s="19" t="n"/>
      <c r="F48" s="19" t="n"/>
      <c r="H48" s="19" t="n"/>
      <c r="I48" s="19" t="n"/>
      <c r="J48" s="19" t="n"/>
      <c r="K48" s="19" t="n"/>
      <c r="L48" s="19" t="n"/>
      <c r="M48" s="19" t="n"/>
      <c r="N48" s="19" t="n"/>
      <c r="O48" s="19" t="n"/>
      <c r="P48" s="19" t="n"/>
      <c r="Q48" s="19" t="n"/>
      <c r="R48" s="19" t="n"/>
      <c r="S48" s="19" t="n"/>
      <c r="T48" s="19" t="n"/>
      <c r="U48" s="19" t="n"/>
      <c r="V48" s="19" t="n"/>
      <c r="W48" s="19" t="n"/>
      <c r="X48" s="19" t="n"/>
      <c r="Y48" s="19" t="n"/>
      <c r="Z48" s="19" t="n"/>
      <c r="AA48" s="19" t="n"/>
    </row>
    <row r="49" ht="15.75" customHeight="1" s="545">
      <c r="A49" s="19" t="n"/>
      <c r="B49" s="19" t="n"/>
      <c r="C49" s="19" t="n"/>
      <c r="D49" s="19" t="n"/>
      <c r="E49" s="19" t="n"/>
      <c r="F49" s="19" t="n"/>
      <c r="H49" s="19" t="n"/>
      <c r="I49" s="19" t="n"/>
      <c r="J49" s="19" t="n"/>
      <c r="K49" s="19" t="n"/>
      <c r="L49" s="19" t="n"/>
      <c r="M49" s="19" t="n"/>
      <c r="N49" s="19" t="n"/>
      <c r="O49" s="19" t="n"/>
      <c r="P49" s="19" t="n"/>
      <c r="Q49" s="19" t="n"/>
      <c r="R49" s="19" t="n"/>
      <c r="S49" s="19" t="n"/>
      <c r="T49" s="19" t="n"/>
      <c r="U49" s="19" t="n"/>
      <c r="V49" s="19" t="n"/>
      <c r="W49" s="19" t="n"/>
      <c r="X49" s="19" t="n"/>
      <c r="Y49" s="19" t="n"/>
      <c r="Z49" s="19" t="n"/>
      <c r="AA49" s="19" t="n"/>
    </row>
    <row r="50" ht="15.75" customHeight="1" s="545">
      <c r="A50" s="19" t="n"/>
      <c r="B50" s="19" t="n"/>
      <c r="C50" s="19" t="n"/>
      <c r="D50" s="19" t="n"/>
      <c r="E50" s="19" t="n"/>
      <c r="F50" s="19" t="n"/>
      <c r="H50" s="19" t="n"/>
      <c r="I50" s="19" t="n"/>
      <c r="J50" s="19" t="n"/>
      <c r="K50" s="19" t="n"/>
      <c r="L50" s="19" t="n"/>
      <c r="M50" s="19" t="n"/>
      <c r="N50" s="19" t="n"/>
      <c r="O50" s="19" t="n"/>
      <c r="P50" s="19" t="n"/>
      <c r="Q50" s="19" t="n"/>
      <c r="R50" s="19" t="n"/>
      <c r="S50" s="19" t="n"/>
      <c r="T50" s="19" t="n"/>
      <c r="U50" s="19" t="n"/>
      <c r="V50" s="19" t="n"/>
      <c r="W50" s="19" t="n"/>
      <c r="X50" s="19" t="n"/>
      <c r="Y50" s="19" t="n"/>
      <c r="Z50" s="19" t="n"/>
      <c r="AA50" s="19" t="n"/>
    </row>
    <row r="51" ht="15.75" customHeight="1" s="545">
      <c r="A51" s="19" t="n"/>
      <c r="B51" s="19" t="n"/>
      <c r="C51" s="19" t="n"/>
      <c r="D51" s="19" t="n"/>
      <c r="E51" s="19" t="n"/>
      <c r="F51" s="19" t="n"/>
      <c r="H51" s="19" t="n"/>
      <c r="I51" s="19" t="n"/>
      <c r="J51" s="19" t="n"/>
      <c r="K51" s="19" t="n"/>
      <c r="L51" s="19" t="n"/>
      <c r="M51" s="19" t="n"/>
      <c r="N51" s="19" t="n"/>
      <c r="O51" s="19" t="n"/>
      <c r="P51" s="19" t="n"/>
      <c r="Q51" s="19" t="n"/>
      <c r="R51" s="19" t="n"/>
      <c r="S51" s="19" t="n"/>
      <c r="T51" s="19" t="n"/>
      <c r="U51" s="19" t="n"/>
      <c r="V51" s="19" t="n"/>
      <c r="W51" s="19" t="n"/>
      <c r="X51" s="19" t="n"/>
      <c r="Y51" s="19" t="n"/>
      <c r="Z51" s="19" t="n"/>
      <c r="AA51" s="19" t="n"/>
    </row>
    <row r="52" ht="15.75" customHeight="1" s="545">
      <c r="A52" s="19" t="n"/>
      <c r="B52" s="19" t="n"/>
      <c r="C52" s="19" t="n"/>
      <c r="D52" s="19" t="n"/>
      <c r="E52" s="19" t="n"/>
      <c r="F52" s="19" t="n"/>
      <c r="H52" s="19" t="n"/>
      <c r="I52" s="19" t="n"/>
      <c r="J52" s="19" t="n"/>
      <c r="K52" s="19" t="n"/>
      <c r="L52" s="19" t="n"/>
      <c r="M52" s="19" t="n"/>
      <c r="N52" s="19" t="n"/>
      <c r="O52" s="19" t="n"/>
      <c r="P52" s="19" t="n"/>
      <c r="Q52" s="19" t="n"/>
      <c r="R52" s="19" t="n"/>
      <c r="S52" s="19" t="n"/>
      <c r="T52" s="19" t="n"/>
      <c r="U52" s="19" t="n"/>
      <c r="V52" s="19" t="n"/>
      <c r="W52" s="19" t="n"/>
      <c r="X52" s="19" t="n"/>
      <c r="Y52" s="19" t="n"/>
      <c r="Z52" s="19" t="n"/>
      <c r="AA52" s="19" t="n"/>
    </row>
    <row r="53" ht="15.75" customHeight="1" s="545">
      <c r="A53" s="19" t="n"/>
      <c r="B53" s="19" t="n"/>
      <c r="C53" s="19" t="n"/>
      <c r="D53" s="19" t="n"/>
      <c r="E53" s="19" t="n"/>
      <c r="F53" s="19" t="n"/>
      <c r="H53" s="19" t="n"/>
      <c r="I53" s="19" t="n"/>
      <c r="J53" s="19" t="n"/>
      <c r="K53" s="19" t="n"/>
      <c r="L53" s="19" t="n"/>
      <c r="M53" s="19" t="n"/>
      <c r="N53" s="19" t="n"/>
      <c r="O53" s="19" t="n"/>
      <c r="P53" s="19" t="n"/>
      <c r="Q53" s="19" t="n"/>
      <c r="R53" s="19" t="n"/>
      <c r="S53" s="19" t="n"/>
      <c r="T53" s="19" t="n"/>
      <c r="U53" s="19" t="n"/>
      <c r="V53" s="19" t="n"/>
      <c r="W53" s="19" t="n"/>
      <c r="X53" s="19" t="n"/>
      <c r="Y53" s="19" t="n"/>
      <c r="Z53" s="19" t="n"/>
      <c r="AA53" s="19" t="n"/>
    </row>
    <row r="54" ht="15.75" customHeight="1" s="545">
      <c r="A54" s="19" t="n"/>
      <c r="B54" s="19" t="n"/>
      <c r="C54" s="19" t="n"/>
      <c r="D54" s="19" t="n"/>
      <c r="E54" s="19" t="n"/>
      <c r="F54" s="19" t="n"/>
      <c r="H54" s="19" t="n"/>
      <c r="I54" s="19" t="n"/>
      <c r="J54" s="19" t="n"/>
      <c r="K54" s="19" t="n"/>
      <c r="L54" s="19" t="n"/>
      <c r="M54" s="19" t="n"/>
      <c r="N54" s="19" t="n"/>
      <c r="O54" s="19" t="n"/>
      <c r="P54" s="19" t="n"/>
      <c r="Q54" s="19" t="n"/>
      <c r="R54" s="19" t="n"/>
      <c r="S54" s="19" t="n"/>
      <c r="T54" s="19" t="n"/>
      <c r="U54" s="19" t="n"/>
      <c r="V54" s="19" t="n"/>
      <c r="W54" s="19" t="n"/>
      <c r="X54" s="19" t="n"/>
      <c r="Y54" s="19" t="n"/>
      <c r="Z54" s="19" t="n"/>
      <c r="AA54" s="19" t="n"/>
    </row>
    <row r="55" ht="15.75" customHeight="1" s="545">
      <c r="A55" s="19" t="n"/>
      <c r="B55" s="19" t="n"/>
      <c r="C55" s="19" t="n"/>
      <c r="D55" s="19" t="n"/>
      <c r="E55" s="19" t="n"/>
      <c r="F55" s="19" t="n"/>
      <c r="H55" s="19" t="n"/>
      <c r="I55" s="19" t="n"/>
      <c r="J55" s="19" t="n"/>
      <c r="K55" s="19" t="n"/>
      <c r="L55" s="19" t="n"/>
      <c r="M55" s="19" t="n"/>
      <c r="N55" s="19" t="n"/>
      <c r="O55" s="19" t="n"/>
      <c r="P55" s="19" t="n"/>
      <c r="Q55" s="19" t="n"/>
      <c r="R55" s="19" t="n"/>
      <c r="S55" s="19" t="n"/>
      <c r="T55" s="19" t="n"/>
      <c r="U55" s="19" t="n"/>
      <c r="V55" s="19" t="n"/>
      <c r="W55" s="19" t="n"/>
      <c r="X55" s="19" t="n"/>
      <c r="Y55" s="19" t="n"/>
      <c r="Z55" s="19" t="n"/>
      <c r="AA55" s="19" t="n"/>
    </row>
    <row r="56" ht="15.75" customHeight="1" s="545">
      <c r="A56" s="19" t="n"/>
      <c r="B56" s="19" t="n"/>
      <c r="C56" s="19" t="n"/>
      <c r="D56" s="19" t="n"/>
      <c r="E56" s="19" t="n"/>
      <c r="F56" s="19" t="n"/>
      <c r="H56" s="19" t="n"/>
      <c r="I56" s="19" t="n"/>
      <c r="J56" s="19" t="n"/>
      <c r="K56" s="19" t="n"/>
      <c r="L56" s="19" t="n"/>
      <c r="M56" s="19" t="n"/>
      <c r="N56" s="19" t="n"/>
      <c r="O56" s="19" t="n"/>
      <c r="P56" s="19" t="n"/>
      <c r="Q56" s="19" t="n"/>
      <c r="R56" s="19" t="n"/>
      <c r="S56" s="19" t="n"/>
      <c r="T56" s="19" t="n"/>
      <c r="U56" s="19" t="n"/>
      <c r="V56" s="19" t="n"/>
      <c r="W56" s="19" t="n"/>
      <c r="X56" s="19" t="n"/>
      <c r="Y56" s="19" t="n"/>
      <c r="Z56" s="19" t="n"/>
      <c r="AA56" s="19" t="n"/>
    </row>
    <row r="57" ht="15.75" customHeight="1" s="545">
      <c r="A57" s="19" t="n"/>
      <c r="B57" s="19" t="n"/>
      <c r="C57" s="19" t="n"/>
      <c r="D57" s="19" t="n"/>
      <c r="E57" s="19" t="n"/>
      <c r="F57" s="19" t="n"/>
      <c r="H57" s="19" t="n"/>
      <c r="I57" s="19" t="n"/>
      <c r="J57" s="19" t="n"/>
      <c r="K57" s="19" t="n"/>
      <c r="L57" s="19" t="n"/>
      <c r="M57" s="19" t="n"/>
      <c r="N57" s="19" t="n"/>
      <c r="O57" s="19" t="n"/>
      <c r="P57" s="19" t="n"/>
      <c r="Q57" s="19" t="n"/>
      <c r="R57" s="19" t="n"/>
      <c r="S57" s="19" t="n"/>
      <c r="T57" s="19" t="n"/>
      <c r="U57" s="19" t="n"/>
      <c r="V57" s="19" t="n"/>
      <c r="W57" s="19" t="n"/>
      <c r="X57" s="19" t="n"/>
      <c r="Y57" s="19" t="n"/>
      <c r="Z57" s="19" t="n"/>
      <c r="AA57" s="19" t="n"/>
    </row>
    <row r="58" ht="15.75" customHeight="1" s="545">
      <c r="A58" s="19" t="n"/>
      <c r="B58" s="19" t="n"/>
      <c r="C58" s="19" t="n"/>
      <c r="D58" s="19" t="n"/>
      <c r="E58" s="19" t="n"/>
      <c r="F58" s="19" t="n"/>
      <c r="H58" s="19" t="n"/>
      <c r="I58" s="19" t="n"/>
      <c r="J58" s="19" t="n"/>
      <c r="K58" s="19" t="n"/>
      <c r="L58" s="19" t="n"/>
      <c r="M58" s="19" t="n"/>
      <c r="N58" s="19" t="n"/>
      <c r="O58" s="19" t="n"/>
      <c r="P58" s="19" t="n"/>
      <c r="Q58" s="19" t="n"/>
      <c r="R58" s="19" t="n"/>
      <c r="S58" s="19" t="n"/>
      <c r="T58" s="19" t="n"/>
      <c r="U58" s="19" t="n"/>
      <c r="V58" s="19" t="n"/>
      <c r="W58" s="19" t="n"/>
      <c r="X58" s="19" t="n"/>
      <c r="Y58" s="19" t="n"/>
      <c r="Z58" s="19" t="n"/>
      <c r="AA58" s="19" t="n"/>
    </row>
    <row r="59" ht="15.75" customHeight="1" s="545">
      <c r="A59" s="19" t="n"/>
      <c r="B59" s="19" t="n"/>
      <c r="C59" s="19" t="n"/>
      <c r="D59" s="19" t="n"/>
      <c r="E59" s="19" t="n"/>
      <c r="F59" s="19" t="n"/>
      <c r="H59" s="19" t="n"/>
      <c r="I59" s="19" t="n"/>
      <c r="J59" s="19" t="n"/>
      <c r="K59" s="19" t="n"/>
      <c r="L59" s="19" t="n"/>
      <c r="M59" s="19" t="n"/>
      <c r="N59" s="19" t="n"/>
      <c r="O59" s="19" t="n"/>
      <c r="P59" s="19" t="n"/>
      <c r="Q59" s="19" t="n"/>
      <c r="R59" s="19" t="n"/>
      <c r="S59" s="19" t="n"/>
      <c r="T59" s="19" t="n"/>
      <c r="U59" s="19" t="n"/>
      <c r="V59" s="19" t="n"/>
      <c r="W59" s="19" t="n"/>
      <c r="X59" s="19" t="n"/>
      <c r="Y59" s="19" t="n"/>
      <c r="Z59" s="19" t="n"/>
      <c r="AA59" s="19" t="n"/>
    </row>
    <row r="60" ht="15.75" customHeight="1" s="545">
      <c r="A60" s="19" t="n"/>
      <c r="B60" s="19" t="n"/>
      <c r="C60" s="19" t="n"/>
      <c r="D60" s="19" t="n"/>
      <c r="E60" s="19" t="n"/>
      <c r="F60" s="19" t="n"/>
      <c r="H60" s="19" t="n"/>
      <c r="I60" s="19" t="n"/>
      <c r="J60" s="19" t="n"/>
      <c r="K60" s="19" t="n"/>
      <c r="L60" s="19" t="n"/>
      <c r="M60" s="19" t="n"/>
      <c r="N60" s="19" t="n"/>
      <c r="O60" s="19" t="n"/>
      <c r="P60" s="19" t="n"/>
      <c r="Q60" s="19" t="n"/>
      <c r="R60" s="19" t="n"/>
      <c r="S60" s="19" t="n"/>
      <c r="T60" s="19" t="n"/>
      <c r="U60" s="19" t="n"/>
      <c r="V60" s="19" t="n"/>
      <c r="W60" s="19" t="n"/>
      <c r="X60" s="19" t="n"/>
      <c r="Y60" s="19" t="n"/>
      <c r="Z60" s="19" t="n"/>
      <c r="AA60" s="19" t="n"/>
    </row>
    <row r="61" ht="15.75" customHeight="1" s="545">
      <c r="A61" s="19" t="n"/>
      <c r="B61" s="19" t="n"/>
      <c r="C61" s="19" t="n"/>
      <c r="D61" s="19" t="n"/>
      <c r="E61" s="19" t="n"/>
      <c r="F61" s="19" t="n"/>
      <c r="H61" s="19" t="n"/>
      <c r="I61" s="19" t="n"/>
      <c r="J61" s="19" t="n"/>
      <c r="K61" s="19" t="n"/>
      <c r="L61" s="19" t="n"/>
      <c r="M61" s="19" t="n"/>
      <c r="N61" s="19" t="n"/>
      <c r="O61" s="19" t="n"/>
      <c r="P61" s="19" t="n"/>
      <c r="Q61" s="19" t="n"/>
      <c r="R61" s="19" t="n"/>
      <c r="S61" s="19" t="n"/>
      <c r="T61" s="19" t="n"/>
      <c r="U61" s="19" t="n"/>
      <c r="V61" s="19" t="n"/>
      <c r="W61" s="19" t="n"/>
      <c r="X61" s="19" t="n"/>
      <c r="Y61" s="19" t="n"/>
      <c r="Z61" s="19" t="n"/>
      <c r="AA61" s="19" t="n"/>
    </row>
    <row r="62" ht="15.75" customHeight="1" s="545">
      <c r="A62" s="19" t="n"/>
      <c r="B62" s="19" t="n"/>
      <c r="C62" s="19" t="n"/>
      <c r="D62" s="19" t="n"/>
      <c r="E62" s="19" t="n"/>
      <c r="F62" s="19" t="n"/>
      <c r="H62" s="19" t="n"/>
      <c r="I62" s="19" t="n"/>
      <c r="J62" s="19" t="n"/>
      <c r="K62" s="19" t="n"/>
      <c r="L62" s="19" t="n"/>
      <c r="M62" s="19" t="n"/>
      <c r="N62" s="19" t="n"/>
      <c r="O62" s="19" t="n"/>
      <c r="P62" s="19" t="n"/>
      <c r="Q62" s="19" t="n"/>
      <c r="R62" s="19" t="n"/>
      <c r="S62" s="19" t="n"/>
      <c r="T62" s="19" t="n"/>
      <c r="U62" s="19" t="n"/>
      <c r="V62" s="19" t="n"/>
      <c r="W62" s="19" t="n"/>
      <c r="X62" s="19" t="n"/>
      <c r="Y62" s="19" t="n"/>
      <c r="Z62" s="19" t="n"/>
      <c r="AA62" s="19" t="n"/>
    </row>
    <row r="63" ht="15.75" customHeight="1" s="545">
      <c r="A63" s="19" t="n"/>
      <c r="B63" s="19" t="n"/>
      <c r="C63" s="19" t="n"/>
      <c r="D63" s="19" t="n"/>
      <c r="E63" s="19" t="n"/>
      <c r="F63" s="19" t="n"/>
      <c r="H63" s="19" t="n"/>
      <c r="I63" s="19" t="n"/>
      <c r="J63" s="19" t="n"/>
      <c r="K63" s="19" t="n"/>
      <c r="L63" s="19" t="n"/>
      <c r="M63" s="19" t="n"/>
      <c r="N63" s="19" t="n"/>
      <c r="O63" s="19" t="n"/>
      <c r="P63" s="19" t="n"/>
      <c r="Q63" s="19" t="n"/>
      <c r="R63" s="19" t="n"/>
      <c r="S63" s="19" t="n"/>
      <c r="T63" s="19" t="n"/>
      <c r="U63" s="19" t="n"/>
      <c r="V63" s="19" t="n"/>
      <c r="W63" s="19" t="n"/>
      <c r="X63" s="19" t="n"/>
      <c r="Y63" s="19" t="n"/>
      <c r="Z63" s="19" t="n"/>
      <c r="AA63" s="19" t="n"/>
    </row>
    <row r="64" ht="15.75" customHeight="1" s="545">
      <c r="A64" s="19" t="n"/>
      <c r="B64" s="19" t="n"/>
      <c r="C64" s="19" t="n"/>
      <c r="D64" s="19" t="n"/>
      <c r="E64" s="19" t="n"/>
      <c r="F64" s="19" t="n"/>
      <c r="H64" s="19" t="n"/>
      <c r="I64" s="19" t="n"/>
      <c r="J64" s="19" t="n"/>
      <c r="K64" s="19" t="n"/>
      <c r="L64" s="19" t="n"/>
      <c r="M64" s="19" t="n"/>
      <c r="N64" s="19" t="n"/>
      <c r="O64" s="19" t="n"/>
      <c r="P64" s="19" t="n"/>
      <c r="Q64" s="19" t="n"/>
      <c r="R64" s="19" t="n"/>
      <c r="S64" s="19" t="n"/>
      <c r="T64" s="19" t="n"/>
      <c r="U64" s="19" t="n"/>
      <c r="V64" s="19" t="n"/>
      <c r="W64" s="19" t="n"/>
      <c r="X64" s="19" t="n"/>
      <c r="Y64" s="19" t="n"/>
      <c r="Z64" s="19" t="n"/>
      <c r="AA64" s="19" t="n"/>
    </row>
    <row r="65" ht="15.75" customHeight="1" s="545">
      <c r="A65" s="19" t="n"/>
      <c r="B65" s="19" t="n"/>
      <c r="C65" s="19" t="n"/>
      <c r="D65" s="19" t="n"/>
      <c r="E65" s="19" t="n"/>
      <c r="F65" s="19" t="n"/>
      <c r="H65" s="19" t="n"/>
      <c r="I65" s="19" t="n"/>
      <c r="J65" s="19" t="n"/>
      <c r="K65" s="19" t="n"/>
      <c r="L65" s="19" t="n"/>
      <c r="M65" s="19" t="n"/>
      <c r="N65" s="19" t="n"/>
      <c r="O65" s="19" t="n"/>
      <c r="P65" s="19" t="n"/>
      <c r="Q65" s="19" t="n"/>
      <c r="R65" s="19" t="n"/>
      <c r="S65" s="19" t="n"/>
      <c r="T65" s="19" t="n"/>
      <c r="U65" s="19" t="n"/>
      <c r="V65" s="19" t="n"/>
      <c r="W65" s="19" t="n"/>
      <c r="X65" s="19" t="n"/>
      <c r="Y65" s="19" t="n"/>
      <c r="Z65" s="19" t="n"/>
      <c r="AA65" s="19" t="n"/>
    </row>
    <row r="66" ht="15.75" customHeight="1" s="545">
      <c r="A66" s="19" t="n"/>
      <c r="B66" s="19" t="n"/>
      <c r="C66" s="19" t="n"/>
      <c r="D66" s="19" t="n"/>
      <c r="E66" s="19" t="n"/>
      <c r="F66" s="19" t="n"/>
      <c r="H66" s="19" t="n"/>
      <c r="I66" s="19" t="n"/>
      <c r="J66" s="19" t="n"/>
      <c r="K66" s="19" t="n"/>
      <c r="L66" s="19" t="n"/>
      <c r="M66" s="19" t="n"/>
      <c r="N66" s="19" t="n"/>
      <c r="O66" s="19" t="n"/>
      <c r="P66" s="19" t="n"/>
      <c r="Q66" s="19" t="n"/>
      <c r="R66" s="19" t="n"/>
      <c r="S66" s="19" t="n"/>
      <c r="T66" s="19" t="n"/>
      <c r="U66" s="19" t="n"/>
      <c r="V66" s="19" t="n"/>
      <c r="W66" s="19" t="n"/>
      <c r="X66" s="19" t="n"/>
      <c r="Y66" s="19" t="n"/>
      <c r="Z66" s="19" t="n"/>
      <c r="AA66" s="19" t="n"/>
    </row>
    <row r="67" ht="15.75" customHeight="1" s="545">
      <c r="A67" s="19" t="n"/>
      <c r="B67" s="19" t="n"/>
      <c r="C67" s="19" t="n"/>
      <c r="D67" s="19" t="n"/>
      <c r="E67" s="19" t="n"/>
      <c r="F67" s="19" t="n"/>
      <c r="H67" s="19" t="n"/>
      <c r="I67" s="19" t="n"/>
      <c r="J67" s="19" t="n"/>
      <c r="K67" s="19" t="n"/>
      <c r="L67" s="19" t="n"/>
      <c r="M67" s="19" t="n"/>
      <c r="N67" s="19" t="n"/>
      <c r="O67" s="19" t="n"/>
      <c r="P67" s="19" t="n"/>
      <c r="Q67" s="19" t="n"/>
      <c r="R67" s="19" t="n"/>
      <c r="S67" s="19" t="n"/>
      <c r="T67" s="19" t="n"/>
      <c r="U67" s="19" t="n"/>
      <c r="V67" s="19" t="n"/>
      <c r="W67" s="19" t="n"/>
      <c r="X67" s="19" t="n"/>
      <c r="Y67" s="19" t="n"/>
      <c r="Z67" s="19" t="n"/>
      <c r="AA67" s="19" t="n"/>
    </row>
    <row r="68" ht="15.75" customHeight="1" s="545">
      <c r="A68" s="19" t="n"/>
      <c r="B68" s="19" t="n"/>
      <c r="C68" s="19" t="n"/>
      <c r="D68" s="19" t="n"/>
      <c r="E68" s="19" t="n"/>
      <c r="F68" s="19" t="n"/>
      <c r="H68" s="19" t="n"/>
      <c r="I68" s="19" t="n"/>
      <c r="J68" s="19" t="n"/>
      <c r="K68" s="19" t="n"/>
      <c r="L68" s="19" t="n"/>
      <c r="M68" s="19" t="n"/>
      <c r="N68" s="19" t="n"/>
      <c r="O68" s="19" t="n"/>
      <c r="P68" s="19" t="n"/>
      <c r="Q68" s="19" t="n"/>
      <c r="R68" s="19" t="n"/>
      <c r="S68" s="19" t="n"/>
      <c r="T68" s="19" t="n"/>
      <c r="U68" s="19" t="n"/>
      <c r="V68" s="19" t="n"/>
      <c r="W68" s="19" t="n"/>
      <c r="X68" s="19" t="n"/>
      <c r="Y68" s="19" t="n"/>
      <c r="Z68" s="19" t="n"/>
      <c r="AA68" s="19" t="n"/>
    </row>
    <row r="69" ht="15.75" customHeight="1" s="545">
      <c r="A69" s="19" t="n"/>
      <c r="B69" s="19" t="n"/>
      <c r="C69" s="19" t="n"/>
      <c r="D69" s="19" t="n"/>
      <c r="E69" s="19" t="n"/>
      <c r="F69" s="19" t="n"/>
      <c r="H69" s="19" t="n"/>
      <c r="I69" s="19" t="n"/>
      <c r="J69" s="19" t="n"/>
      <c r="K69" s="19" t="n"/>
      <c r="L69" s="19" t="n"/>
      <c r="M69" s="19" t="n"/>
      <c r="N69" s="19" t="n"/>
      <c r="O69" s="19" t="n"/>
      <c r="P69" s="19" t="n"/>
      <c r="Q69" s="19" t="n"/>
      <c r="R69" s="19" t="n"/>
      <c r="S69" s="19" t="n"/>
      <c r="T69" s="19" t="n"/>
      <c r="U69" s="19" t="n"/>
      <c r="V69" s="19" t="n"/>
      <c r="W69" s="19" t="n"/>
      <c r="X69" s="19" t="n"/>
      <c r="Y69" s="19" t="n"/>
      <c r="Z69" s="19" t="n"/>
      <c r="AA69" s="19" t="n"/>
    </row>
    <row r="70" ht="15.75" customHeight="1" s="545">
      <c r="A70" s="19" t="n"/>
      <c r="B70" s="19" t="n"/>
      <c r="C70" s="19" t="n"/>
      <c r="D70" s="19" t="n"/>
      <c r="E70" s="19" t="n"/>
      <c r="F70" s="19" t="n"/>
      <c r="H70" s="19" t="n"/>
      <c r="I70" s="19" t="n"/>
      <c r="J70" s="19" t="n"/>
      <c r="K70" s="19" t="n"/>
      <c r="L70" s="19" t="n"/>
      <c r="M70" s="19" t="n"/>
      <c r="N70" s="19" t="n"/>
      <c r="O70" s="19" t="n"/>
      <c r="P70" s="19" t="n"/>
      <c r="Q70" s="19" t="n"/>
      <c r="R70" s="19" t="n"/>
      <c r="S70" s="19" t="n"/>
      <c r="T70" s="19" t="n"/>
      <c r="U70" s="19" t="n"/>
      <c r="V70" s="19" t="n"/>
      <c r="W70" s="19" t="n"/>
      <c r="X70" s="19" t="n"/>
      <c r="Y70" s="19" t="n"/>
      <c r="Z70" s="19" t="n"/>
      <c r="AA70" s="19" t="n"/>
    </row>
    <row r="71" ht="15.75" customHeight="1" s="545">
      <c r="A71" s="19" t="n"/>
      <c r="B71" s="19" t="n"/>
      <c r="C71" s="19" t="n"/>
      <c r="D71" s="19" t="n"/>
      <c r="E71" s="19" t="n"/>
      <c r="F71" s="19" t="n"/>
      <c r="H71" s="19" t="n"/>
      <c r="I71" s="19" t="n"/>
      <c r="J71" s="19" t="n"/>
      <c r="K71" s="19" t="n"/>
      <c r="L71" s="19" t="n"/>
      <c r="M71" s="19" t="n"/>
      <c r="N71" s="19" t="n"/>
      <c r="O71" s="19" t="n"/>
      <c r="P71" s="19" t="n"/>
      <c r="Q71" s="19" t="n"/>
      <c r="R71" s="19" t="n"/>
      <c r="S71" s="19" t="n"/>
      <c r="T71" s="19" t="n"/>
      <c r="U71" s="19" t="n"/>
      <c r="V71" s="19" t="n"/>
      <c r="W71" s="19" t="n"/>
      <c r="X71" s="19" t="n"/>
      <c r="Y71" s="19" t="n"/>
      <c r="Z71" s="19" t="n"/>
      <c r="AA71" s="19" t="n"/>
    </row>
    <row r="72" ht="15.75" customHeight="1" s="545">
      <c r="A72" s="19" t="n"/>
      <c r="B72" s="19" t="n"/>
      <c r="C72" s="19" t="n"/>
      <c r="D72" s="19" t="n"/>
      <c r="E72" s="19" t="n"/>
      <c r="F72" s="19" t="n"/>
      <c r="H72" s="19" t="n"/>
      <c r="I72" s="19" t="n"/>
      <c r="J72" s="19" t="n"/>
      <c r="K72" s="19" t="n"/>
      <c r="L72" s="19" t="n"/>
      <c r="M72" s="19" t="n"/>
      <c r="N72" s="19" t="n"/>
      <c r="O72" s="19" t="n"/>
      <c r="P72" s="19" t="n"/>
      <c r="Q72" s="19" t="n"/>
      <c r="R72" s="19" t="n"/>
      <c r="S72" s="19" t="n"/>
      <c r="T72" s="19" t="n"/>
      <c r="U72" s="19" t="n"/>
      <c r="V72" s="19" t="n"/>
      <c r="W72" s="19" t="n"/>
      <c r="X72" s="19" t="n"/>
      <c r="Y72" s="19" t="n"/>
      <c r="Z72" s="19" t="n"/>
      <c r="AA72" s="19" t="n"/>
    </row>
    <row r="73" ht="15.75" customHeight="1" s="545">
      <c r="A73" s="19" t="n"/>
      <c r="B73" s="19" t="n"/>
      <c r="C73" s="19" t="n"/>
      <c r="D73" s="19" t="n"/>
      <c r="E73" s="19" t="n"/>
      <c r="F73" s="19" t="n"/>
      <c r="H73" s="19" t="n"/>
      <c r="I73" s="19" t="n"/>
      <c r="J73" s="19" t="n"/>
      <c r="K73" s="19" t="n"/>
      <c r="L73" s="19" t="n"/>
      <c r="M73" s="19" t="n"/>
      <c r="N73" s="19" t="n"/>
      <c r="O73" s="19" t="n"/>
      <c r="P73" s="19" t="n"/>
      <c r="Q73" s="19" t="n"/>
      <c r="R73" s="19" t="n"/>
      <c r="S73" s="19" t="n"/>
      <c r="T73" s="19" t="n"/>
      <c r="U73" s="19" t="n"/>
      <c r="V73" s="19" t="n"/>
      <c r="W73" s="19" t="n"/>
      <c r="X73" s="19" t="n"/>
      <c r="Y73" s="19" t="n"/>
      <c r="Z73" s="19" t="n"/>
      <c r="AA73" s="19" t="n"/>
    </row>
    <row r="74" ht="15.75" customHeight="1" s="545">
      <c r="A74" s="19" t="n"/>
      <c r="B74" s="19" t="n"/>
      <c r="C74" s="19" t="n"/>
      <c r="D74" s="19" t="n"/>
      <c r="E74" s="19" t="n"/>
      <c r="F74" s="19" t="n"/>
      <c r="H74" s="19" t="n"/>
      <c r="I74" s="19" t="n"/>
      <c r="J74" s="19" t="n"/>
      <c r="K74" s="19" t="n"/>
      <c r="L74" s="19" t="n"/>
      <c r="M74" s="19" t="n"/>
      <c r="N74" s="19" t="n"/>
      <c r="O74" s="19" t="n"/>
      <c r="P74" s="19" t="n"/>
      <c r="Q74" s="19" t="n"/>
      <c r="R74" s="19" t="n"/>
      <c r="S74" s="19" t="n"/>
      <c r="T74" s="19" t="n"/>
      <c r="U74" s="19" t="n"/>
      <c r="V74" s="19" t="n"/>
      <c r="W74" s="19" t="n"/>
      <c r="X74" s="19" t="n"/>
      <c r="Y74" s="19" t="n"/>
      <c r="Z74" s="19" t="n"/>
      <c r="AA74" s="19" t="n"/>
    </row>
    <row r="75" ht="15.75" customHeight="1" s="545">
      <c r="A75" s="19" t="n"/>
      <c r="B75" s="19" t="n"/>
      <c r="C75" s="19" t="n"/>
      <c r="D75" s="19" t="n"/>
      <c r="E75" s="19" t="n"/>
      <c r="F75" s="19" t="n"/>
      <c r="H75" s="19" t="n"/>
      <c r="I75" s="19" t="n"/>
      <c r="J75" s="19" t="n"/>
      <c r="K75" s="19" t="n"/>
      <c r="L75" s="19" t="n"/>
      <c r="M75" s="19" t="n"/>
      <c r="N75" s="19" t="n"/>
      <c r="O75" s="19" t="n"/>
      <c r="P75" s="19" t="n"/>
      <c r="Q75" s="19" t="n"/>
      <c r="R75" s="19" t="n"/>
      <c r="S75" s="19" t="n"/>
      <c r="T75" s="19" t="n"/>
      <c r="U75" s="19" t="n"/>
      <c r="V75" s="19" t="n"/>
      <c r="W75" s="19" t="n"/>
      <c r="X75" s="19" t="n"/>
      <c r="Y75" s="19" t="n"/>
      <c r="Z75" s="19" t="n"/>
      <c r="AA75" s="19" t="n"/>
    </row>
    <row r="76" ht="15.75" customHeight="1" s="545">
      <c r="A76" s="19" t="n"/>
      <c r="B76" s="19" t="n"/>
      <c r="C76" s="19" t="n"/>
      <c r="D76" s="19" t="n"/>
      <c r="E76" s="19" t="n"/>
      <c r="F76" s="19" t="n"/>
      <c r="H76" s="19" t="n"/>
      <c r="I76" s="19" t="n"/>
      <c r="J76" s="19" t="n"/>
      <c r="K76" s="19" t="n"/>
      <c r="L76" s="19" t="n"/>
      <c r="M76" s="19" t="n"/>
      <c r="N76" s="19" t="n"/>
      <c r="O76" s="19" t="n"/>
      <c r="P76" s="19" t="n"/>
      <c r="Q76" s="19" t="n"/>
      <c r="R76" s="19" t="n"/>
      <c r="S76" s="19" t="n"/>
      <c r="T76" s="19" t="n"/>
      <c r="U76" s="19" t="n"/>
      <c r="V76" s="19" t="n"/>
      <c r="W76" s="19" t="n"/>
      <c r="X76" s="19" t="n"/>
      <c r="Y76" s="19" t="n"/>
      <c r="Z76" s="19" t="n"/>
      <c r="AA76" s="19" t="n"/>
    </row>
    <row r="77" ht="15.75" customHeight="1" s="545">
      <c r="A77" s="19" t="n"/>
      <c r="B77" s="19" t="n"/>
      <c r="C77" s="19" t="n"/>
      <c r="D77" s="19" t="n"/>
      <c r="E77" s="19" t="n"/>
      <c r="F77" s="19" t="n"/>
      <c r="H77" s="19" t="n"/>
      <c r="I77" s="19" t="n"/>
      <c r="J77" s="19" t="n"/>
      <c r="K77" s="19" t="n"/>
      <c r="L77" s="19" t="n"/>
      <c r="M77" s="19" t="n"/>
      <c r="N77" s="19" t="n"/>
      <c r="O77" s="19" t="n"/>
      <c r="P77" s="19" t="n"/>
      <c r="Q77" s="19" t="n"/>
      <c r="R77" s="19" t="n"/>
      <c r="S77" s="19" t="n"/>
      <c r="T77" s="19" t="n"/>
      <c r="U77" s="19" t="n"/>
      <c r="V77" s="19" t="n"/>
      <c r="W77" s="19" t="n"/>
      <c r="X77" s="19" t="n"/>
      <c r="Y77" s="19" t="n"/>
      <c r="Z77" s="19" t="n"/>
      <c r="AA77" s="19" t="n"/>
    </row>
    <row r="78" ht="15.75" customHeight="1" s="545">
      <c r="A78" s="19" t="n"/>
      <c r="B78" s="19" t="n"/>
      <c r="C78" s="19" t="n"/>
      <c r="D78" s="19" t="n"/>
      <c r="E78" s="19" t="n"/>
      <c r="F78" s="19" t="n"/>
      <c r="H78" s="19" t="n"/>
      <c r="I78" s="19" t="n"/>
      <c r="J78" s="19" t="n"/>
      <c r="K78" s="19" t="n"/>
      <c r="L78" s="19" t="n"/>
      <c r="M78" s="19" t="n"/>
      <c r="N78" s="19" t="n"/>
      <c r="O78" s="19" t="n"/>
      <c r="P78" s="19" t="n"/>
      <c r="Q78" s="19" t="n"/>
      <c r="R78" s="19" t="n"/>
      <c r="S78" s="19" t="n"/>
      <c r="T78" s="19" t="n"/>
      <c r="U78" s="19" t="n"/>
      <c r="V78" s="19" t="n"/>
      <c r="W78" s="19" t="n"/>
      <c r="X78" s="19" t="n"/>
      <c r="Y78" s="19" t="n"/>
      <c r="Z78" s="19" t="n"/>
      <c r="AA78" s="19" t="n"/>
    </row>
    <row r="79" ht="15.75" customHeight="1" s="545">
      <c r="A79" s="19" t="n"/>
      <c r="B79" s="19" t="n"/>
      <c r="C79" s="19" t="n"/>
      <c r="D79" s="19" t="n"/>
      <c r="E79" s="19" t="n"/>
      <c r="F79" s="19" t="n"/>
      <c r="H79" s="19" t="n"/>
      <c r="I79" s="19" t="n"/>
      <c r="J79" s="19" t="n"/>
      <c r="K79" s="19" t="n"/>
      <c r="L79" s="19" t="n"/>
      <c r="M79" s="19" t="n"/>
      <c r="N79" s="19" t="n"/>
      <c r="O79" s="19" t="n"/>
      <c r="P79" s="19" t="n"/>
      <c r="Q79" s="19" t="n"/>
      <c r="R79" s="19" t="n"/>
      <c r="S79" s="19" t="n"/>
      <c r="T79" s="19" t="n"/>
      <c r="U79" s="19" t="n"/>
      <c r="V79" s="19" t="n"/>
      <c r="W79" s="19" t="n"/>
      <c r="X79" s="19" t="n"/>
      <c r="Y79" s="19" t="n"/>
      <c r="Z79" s="19" t="n"/>
      <c r="AA79" s="19" t="n"/>
    </row>
    <row r="80" ht="15.75" customHeight="1" s="545">
      <c r="A80" s="19" t="n"/>
      <c r="B80" s="19" t="n"/>
      <c r="C80" s="19" t="n"/>
      <c r="D80" s="19" t="n"/>
      <c r="E80" s="19" t="n"/>
      <c r="F80" s="19" t="n"/>
      <c r="H80" s="19" t="n"/>
      <c r="I80" s="19" t="n"/>
      <c r="J80" s="19" t="n"/>
      <c r="K80" s="19" t="n"/>
      <c r="L80" s="19" t="n"/>
      <c r="M80" s="19" t="n"/>
      <c r="N80" s="19" t="n"/>
      <c r="O80" s="19" t="n"/>
      <c r="P80" s="19" t="n"/>
      <c r="Q80" s="19" t="n"/>
      <c r="R80" s="19" t="n"/>
      <c r="S80" s="19" t="n"/>
      <c r="T80" s="19" t="n"/>
      <c r="U80" s="19" t="n"/>
      <c r="V80" s="19" t="n"/>
      <c r="W80" s="19" t="n"/>
      <c r="X80" s="19" t="n"/>
      <c r="Y80" s="19" t="n"/>
      <c r="Z80" s="19" t="n"/>
      <c r="AA80" s="19" t="n"/>
    </row>
    <row r="81" ht="15.75" customHeight="1" s="545">
      <c r="A81" s="19" t="n"/>
      <c r="B81" s="19" t="n"/>
      <c r="C81" s="19" t="n"/>
      <c r="D81" s="19" t="n"/>
      <c r="E81" s="19" t="n"/>
      <c r="F81" s="19" t="n"/>
      <c r="H81" s="19" t="n"/>
      <c r="I81" s="19" t="n"/>
      <c r="J81" s="19" t="n"/>
      <c r="K81" s="19" t="n"/>
      <c r="L81" s="19" t="n"/>
      <c r="M81" s="19" t="n"/>
      <c r="N81" s="19" t="n"/>
      <c r="O81" s="19" t="n"/>
      <c r="P81" s="19" t="n"/>
      <c r="Q81" s="19" t="n"/>
      <c r="R81" s="19" t="n"/>
      <c r="S81" s="19" t="n"/>
      <c r="T81" s="19" t="n"/>
      <c r="U81" s="19" t="n"/>
      <c r="V81" s="19" t="n"/>
      <c r="W81" s="19" t="n"/>
      <c r="X81" s="19" t="n"/>
      <c r="Y81" s="19" t="n"/>
      <c r="Z81" s="19" t="n"/>
      <c r="AA81" s="19" t="n"/>
    </row>
    <row r="82" ht="15.75" customHeight="1" s="545">
      <c r="A82" s="19" t="n"/>
      <c r="B82" s="19" t="n"/>
      <c r="C82" s="19" t="n"/>
      <c r="D82" s="19" t="n"/>
      <c r="E82" s="19" t="n"/>
      <c r="F82" s="19" t="n"/>
      <c r="H82" s="19" t="n"/>
      <c r="I82" s="19" t="n"/>
      <c r="J82" s="19" t="n"/>
      <c r="K82" s="19" t="n"/>
      <c r="L82" s="19" t="n"/>
      <c r="M82" s="19" t="n"/>
      <c r="N82" s="19" t="n"/>
      <c r="O82" s="19" t="n"/>
      <c r="P82" s="19" t="n"/>
      <c r="Q82" s="19" t="n"/>
      <c r="R82" s="19" t="n"/>
      <c r="S82" s="19" t="n"/>
      <c r="T82" s="19" t="n"/>
      <c r="U82" s="19" t="n"/>
      <c r="V82" s="19" t="n"/>
      <c r="W82" s="19" t="n"/>
      <c r="X82" s="19" t="n"/>
      <c r="Y82" s="19" t="n"/>
      <c r="Z82" s="19" t="n"/>
      <c r="AA82" s="19" t="n"/>
    </row>
    <row r="83" ht="15.75" customHeight="1" s="545">
      <c r="A83" s="19" t="n"/>
      <c r="B83" s="19" t="n"/>
      <c r="C83" s="19" t="n"/>
      <c r="D83" s="19" t="n"/>
      <c r="E83" s="19" t="n"/>
      <c r="F83" s="19" t="n"/>
      <c r="H83" s="19" t="n"/>
      <c r="I83" s="19" t="n"/>
      <c r="J83" s="19" t="n"/>
      <c r="K83" s="19" t="n"/>
      <c r="L83" s="19" t="n"/>
      <c r="M83" s="19" t="n"/>
      <c r="N83" s="19" t="n"/>
      <c r="O83" s="19" t="n"/>
      <c r="P83" s="19" t="n"/>
      <c r="Q83" s="19" t="n"/>
      <c r="R83" s="19" t="n"/>
      <c r="S83" s="19" t="n"/>
      <c r="T83" s="19" t="n"/>
      <c r="U83" s="19" t="n"/>
      <c r="V83" s="19" t="n"/>
      <c r="W83" s="19" t="n"/>
      <c r="X83" s="19" t="n"/>
      <c r="Y83" s="19" t="n"/>
      <c r="Z83" s="19" t="n"/>
      <c r="AA83" s="19" t="n"/>
    </row>
    <row r="84" ht="15.75" customHeight="1" s="545">
      <c r="A84" s="19" t="n"/>
      <c r="B84" s="19" t="n"/>
      <c r="C84" s="19" t="n"/>
      <c r="D84" s="19" t="n"/>
      <c r="E84" s="19" t="n"/>
      <c r="F84" s="19" t="n"/>
      <c r="H84" s="19" t="n"/>
      <c r="I84" s="19" t="n"/>
      <c r="J84" s="19" t="n"/>
      <c r="K84" s="19" t="n"/>
      <c r="L84" s="19" t="n"/>
      <c r="M84" s="19" t="n"/>
      <c r="N84" s="19" t="n"/>
      <c r="O84" s="19" t="n"/>
      <c r="P84" s="19" t="n"/>
      <c r="Q84" s="19" t="n"/>
      <c r="R84" s="19" t="n"/>
      <c r="S84" s="19" t="n"/>
      <c r="T84" s="19" t="n"/>
      <c r="U84" s="19" t="n"/>
      <c r="V84" s="19" t="n"/>
      <c r="W84" s="19" t="n"/>
      <c r="X84" s="19" t="n"/>
      <c r="Y84" s="19" t="n"/>
      <c r="Z84" s="19" t="n"/>
      <c r="AA84" s="19" t="n"/>
    </row>
    <row r="85" ht="15.75" customHeight="1" s="545">
      <c r="A85" s="19" t="n"/>
      <c r="B85" s="19" t="n"/>
      <c r="C85" s="19" t="n"/>
      <c r="D85" s="19" t="n"/>
      <c r="E85" s="19" t="n"/>
      <c r="F85" s="19" t="n"/>
      <c r="H85" s="19" t="n"/>
      <c r="I85" s="19" t="n"/>
      <c r="J85" s="19" t="n"/>
      <c r="K85" s="19" t="n"/>
      <c r="L85" s="19" t="n"/>
      <c r="M85" s="19" t="n"/>
      <c r="N85" s="19" t="n"/>
      <c r="O85" s="19" t="n"/>
      <c r="P85" s="19" t="n"/>
      <c r="Q85" s="19" t="n"/>
      <c r="R85" s="19" t="n"/>
      <c r="S85" s="19" t="n"/>
      <c r="T85" s="19" t="n"/>
      <c r="U85" s="19" t="n"/>
      <c r="V85" s="19" t="n"/>
      <c r="W85" s="19" t="n"/>
      <c r="X85" s="19" t="n"/>
      <c r="Y85" s="19" t="n"/>
      <c r="Z85" s="19" t="n"/>
      <c r="AA85" s="19" t="n"/>
    </row>
    <row r="86" ht="15.75" customHeight="1" s="545">
      <c r="A86" s="19" t="n"/>
      <c r="B86" s="19" t="n"/>
      <c r="C86" s="19" t="n"/>
      <c r="D86" s="19" t="n"/>
      <c r="E86" s="19" t="n"/>
      <c r="F86" s="19" t="n"/>
      <c r="H86" s="19" t="n"/>
      <c r="I86" s="19" t="n"/>
      <c r="J86" s="19" t="n"/>
      <c r="K86" s="19" t="n"/>
      <c r="L86" s="19" t="n"/>
      <c r="M86" s="19" t="n"/>
      <c r="N86" s="19" t="n"/>
      <c r="O86" s="19" t="n"/>
      <c r="P86" s="19" t="n"/>
      <c r="Q86" s="19" t="n"/>
      <c r="R86" s="19" t="n"/>
      <c r="S86" s="19" t="n"/>
      <c r="T86" s="19" t="n"/>
      <c r="U86" s="19" t="n"/>
      <c r="V86" s="19" t="n"/>
      <c r="W86" s="19" t="n"/>
      <c r="X86" s="19" t="n"/>
      <c r="Y86" s="19" t="n"/>
      <c r="Z86" s="19" t="n"/>
      <c r="AA86" s="19" t="n"/>
    </row>
    <row r="87" ht="15.75" customHeight="1" s="545">
      <c r="A87" s="19" t="n"/>
      <c r="B87" s="19" t="n"/>
      <c r="C87" s="19" t="n"/>
      <c r="D87" s="19" t="n"/>
      <c r="E87" s="19" t="n"/>
      <c r="F87" s="19" t="n"/>
      <c r="H87" s="19" t="n"/>
      <c r="I87" s="19" t="n"/>
      <c r="J87" s="19" t="n"/>
      <c r="K87" s="19" t="n"/>
      <c r="L87" s="19" t="n"/>
      <c r="M87" s="19" t="n"/>
      <c r="N87" s="19" t="n"/>
      <c r="O87" s="19" t="n"/>
      <c r="P87" s="19" t="n"/>
      <c r="Q87" s="19" t="n"/>
      <c r="R87" s="19" t="n"/>
      <c r="S87" s="19" t="n"/>
      <c r="T87" s="19" t="n"/>
      <c r="U87" s="19" t="n"/>
      <c r="V87" s="19" t="n"/>
      <c r="W87" s="19" t="n"/>
      <c r="X87" s="19" t="n"/>
      <c r="Y87" s="19" t="n"/>
      <c r="Z87" s="19" t="n"/>
      <c r="AA87" s="19" t="n"/>
    </row>
    <row r="88" ht="15.75" customHeight="1" s="545">
      <c r="A88" s="19" t="n"/>
      <c r="B88" s="19" t="n"/>
      <c r="C88" s="19" t="n"/>
      <c r="D88" s="19" t="n"/>
      <c r="E88" s="19" t="n"/>
      <c r="F88" s="19" t="n"/>
      <c r="H88" s="19" t="n"/>
      <c r="I88" s="19" t="n"/>
      <c r="J88" s="19" t="n"/>
      <c r="K88" s="19" t="n"/>
      <c r="L88" s="19" t="n"/>
      <c r="M88" s="19" t="n"/>
      <c r="N88" s="19" t="n"/>
      <c r="O88" s="19" t="n"/>
      <c r="P88" s="19" t="n"/>
      <c r="Q88" s="19" t="n"/>
      <c r="R88" s="19" t="n"/>
      <c r="S88" s="19" t="n"/>
      <c r="T88" s="19" t="n"/>
      <c r="U88" s="19" t="n"/>
      <c r="V88" s="19" t="n"/>
      <c r="W88" s="19" t="n"/>
      <c r="X88" s="19" t="n"/>
      <c r="Y88" s="19" t="n"/>
      <c r="Z88" s="19" t="n"/>
      <c r="AA88" s="19" t="n"/>
    </row>
    <row r="89" ht="15.75" customHeight="1" s="545">
      <c r="A89" s="19" t="n"/>
      <c r="B89" s="19" t="n"/>
      <c r="C89" s="19" t="n"/>
      <c r="D89" s="19" t="n"/>
      <c r="E89" s="19" t="n"/>
      <c r="F89" s="19" t="n"/>
      <c r="H89" s="19" t="n"/>
      <c r="I89" s="19" t="n"/>
      <c r="J89" s="19" t="n"/>
      <c r="K89" s="19" t="n"/>
      <c r="L89" s="19" t="n"/>
      <c r="M89" s="19" t="n"/>
      <c r="N89" s="19" t="n"/>
      <c r="O89" s="19" t="n"/>
      <c r="P89" s="19" t="n"/>
      <c r="Q89" s="19" t="n"/>
      <c r="R89" s="19" t="n"/>
      <c r="S89" s="19" t="n"/>
      <c r="T89" s="19" t="n"/>
      <c r="U89" s="19" t="n"/>
      <c r="V89" s="19" t="n"/>
      <c r="W89" s="19" t="n"/>
      <c r="X89" s="19" t="n"/>
      <c r="Y89" s="19" t="n"/>
      <c r="Z89" s="19" t="n"/>
      <c r="AA89" s="19" t="n"/>
    </row>
    <row r="90" ht="15.75" customHeight="1" s="545">
      <c r="A90" s="19" t="n"/>
      <c r="B90" s="19" t="n"/>
      <c r="C90" s="19" t="n"/>
      <c r="D90" s="19" t="n"/>
      <c r="E90" s="19" t="n"/>
      <c r="F90" s="19" t="n"/>
      <c r="H90" s="19" t="n"/>
      <c r="I90" s="19" t="n"/>
      <c r="J90" s="19" t="n"/>
      <c r="K90" s="19" t="n"/>
      <c r="L90" s="19" t="n"/>
      <c r="M90" s="19" t="n"/>
      <c r="N90" s="19" t="n"/>
      <c r="O90" s="19" t="n"/>
      <c r="P90" s="19" t="n"/>
      <c r="Q90" s="19" t="n"/>
      <c r="R90" s="19" t="n"/>
      <c r="S90" s="19" t="n"/>
      <c r="T90" s="19" t="n"/>
      <c r="U90" s="19" t="n"/>
      <c r="V90" s="19" t="n"/>
      <c r="W90" s="19" t="n"/>
      <c r="X90" s="19" t="n"/>
      <c r="Y90" s="19" t="n"/>
      <c r="Z90" s="19" t="n"/>
      <c r="AA90" s="19" t="n"/>
    </row>
    <row r="91" ht="15.75" customHeight="1" s="545">
      <c r="A91" s="19" t="n"/>
      <c r="B91" s="19" t="n"/>
      <c r="C91" s="19" t="n"/>
      <c r="D91" s="19" t="n"/>
      <c r="E91" s="19" t="n"/>
      <c r="F91" s="19" t="n"/>
      <c r="H91" s="19" t="n"/>
      <c r="I91" s="19" t="n"/>
      <c r="J91" s="19" t="n"/>
      <c r="K91" s="19" t="n"/>
      <c r="L91" s="19" t="n"/>
      <c r="M91" s="19" t="n"/>
      <c r="N91" s="19" t="n"/>
      <c r="O91" s="19" t="n"/>
      <c r="P91" s="19" t="n"/>
      <c r="Q91" s="19" t="n"/>
      <c r="R91" s="19" t="n"/>
      <c r="S91" s="19" t="n"/>
      <c r="T91" s="19" t="n"/>
      <c r="U91" s="19" t="n"/>
      <c r="V91" s="19" t="n"/>
      <c r="W91" s="19" t="n"/>
      <c r="X91" s="19" t="n"/>
      <c r="Y91" s="19" t="n"/>
      <c r="Z91" s="19" t="n"/>
      <c r="AA91" s="19" t="n"/>
    </row>
    <row r="92" ht="15.75" customHeight="1" s="545">
      <c r="A92" s="19" t="n"/>
      <c r="B92" s="19" t="n"/>
      <c r="C92" s="19" t="n"/>
      <c r="D92" s="19" t="n"/>
      <c r="E92" s="19" t="n"/>
      <c r="F92" s="19" t="n"/>
      <c r="H92" s="19" t="n"/>
      <c r="I92" s="19" t="n"/>
      <c r="J92" s="19" t="n"/>
      <c r="K92" s="19" t="n"/>
      <c r="L92" s="19" t="n"/>
      <c r="M92" s="19" t="n"/>
      <c r="N92" s="19" t="n"/>
      <c r="O92" s="19" t="n"/>
      <c r="P92" s="19" t="n"/>
      <c r="Q92" s="19" t="n"/>
      <c r="R92" s="19" t="n"/>
      <c r="S92" s="19" t="n"/>
      <c r="T92" s="19" t="n"/>
      <c r="U92" s="19" t="n"/>
      <c r="V92" s="19" t="n"/>
      <c r="W92" s="19" t="n"/>
      <c r="X92" s="19" t="n"/>
      <c r="Y92" s="19" t="n"/>
      <c r="Z92" s="19" t="n"/>
      <c r="AA92" s="19" t="n"/>
    </row>
    <row r="93" ht="15.75" customHeight="1" s="545">
      <c r="A93" s="19" t="n"/>
      <c r="B93" s="19" t="n"/>
      <c r="C93" s="19" t="n"/>
      <c r="D93" s="19" t="n"/>
      <c r="E93" s="19" t="n"/>
      <c r="F93" s="19" t="n"/>
      <c r="H93" s="19" t="n"/>
      <c r="I93" s="19" t="n"/>
      <c r="J93" s="19" t="n"/>
      <c r="K93" s="19" t="n"/>
      <c r="L93" s="19" t="n"/>
      <c r="M93" s="19" t="n"/>
      <c r="N93" s="19" t="n"/>
      <c r="O93" s="19" t="n"/>
      <c r="P93" s="19" t="n"/>
      <c r="Q93" s="19" t="n"/>
      <c r="R93" s="19" t="n"/>
      <c r="S93" s="19" t="n"/>
      <c r="T93" s="19" t="n"/>
      <c r="U93" s="19" t="n"/>
      <c r="V93" s="19" t="n"/>
      <c r="W93" s="19" t="n"/>
      <c r="X93" s="19" t="n"/>
      <c r="Y93" s="19" t="n"/>
      <c r="Z93" s="19" t="n"/>
      <c r="AA93" s="19" t="n"/>
    </row>
    <row r="94" ht="15.75" customHeight="1" s="545">
      <c r="A94" s="19" t="n"/>
      <c r="B94" s="19" t="n"/>
      <c r="C94" s="19" t="n"/>
      <c r="D94" s="19" t="n"/>
      <c r="E94" s="19" t="n"/>
      <c r="F94" s="19" t="n"/>
      <c r="H94" s="19" t="n"/>
      <c r="I94" s="19" t="n"/>
      <c r="J94" s="19" t="n"/>
      <c r="K94" s="19" t="n"/>
      <c r="L94" s="19" t="n"/>
      <c r="M94" s="19" t="n"/>
      <c r="N94" s="19" t="n"/>
      <c r="O94" s="19" t="n"/>
      <c r="P94" s="19" t="n"/>
      <c r="Q94" s="19" t="n"/>
      <c r="R94" s="19" t="n"/>
      <c r="S94" s="19" t="n"/>
      <c r="T94" s="19" t="n"/>
      <c r="U94" s="19" t="n"/>
      <c r="V94" s="19" t="n"/>
      <c r="W94" s="19" t="n"/>
      <c r="X94" s="19" t="n"/>
      <c r="Y94" s="19" t="n"/>
      <c r="Z94" s="19" t="n"/>
      <c r="AA94" s="19" t="n"/>
    </row>
    <row r="95" ht="15.75" customHeight="1" s="545">
      <c r="A95" s="19" t="n"/>
      <c r="B95" s="19" t="n"/>
      <c r="C95" s="19" t="n"/>
      <c r="D95" s="19" t="n"/>
      <c r="E95" s="19" t="n"/>
      <c r="F95" s="19" t="n"/>
      <c r="H95" s="19" t="n"/>
      <c r="I95" s="19" t="n"/>
      <c r="J95" s="19" t="n"/>
      <c r="K95" s="19" t="n"/>
      <c r="L95" s="19" t="n"/>
      <c r="M95" s="19" t="n"/>
      <c r="N95" s="19" t="n"/>
      <c r="O95" s="19" t="n"/>
      <c r="P95" s="19" t="n"/>
      <c r="Q95" s="19" t="n"/>
      <c r="R95" s="19" t="n"/>
      <c r="S95" s="19" t="n"/>
      <c r="T95" s="19" t="n"/>
      <c r="U95" s="19" t="n"/>
      <c r="V95" s="19" t="n"/>
      <c r="W95" s="19" t="n"/>
      <c r="X95" s="19" t="n"/>
      <c r="Y95" s="19" t="n"/>
      <c r="Z95" s="19" t="n"/>
      <c r="AA95" s="19" t="n"/>
    </row>
    <row r="96" ht="15.75" customHeight="1" s="545">
      <c r="A96" s="19" t="n"/>
      <c r="B96" s="19" t="n"/>
      <c r="C96" s="19" t="n"/>
      <c r="D96" s="19" t="n"/>
      <c r="E96" s="19" t="n"/>
      <c r="F96" s="19" t="n"/>
      <c r="H96" s="19" t="n"/>
      <c r="I96" s="19" t="n"/>
      <c r="J96" s="19" t="n"/>
      <c r="K96" s="19" t="n"/>
      <c r="L96" s="19" t="n"/>
      <c r="M96" s="19" t="n"/>
      <c r="N96" s="19" t="n"/>
      <c r="O96" s="19" t="n"/>
      <c r="P96" s="19" t="n"/>
      <c r="Q96" s="19" t="n"/>
      <c r="R96" s="19" t="n"/>
      <c r="S96" s="19" t="n"/>
      <c r="T96" s="19" t="n"/>
      <c r="U96" s="19" t="n"/>
      <c r="V96" s="19" t="n"/>
      <c r="W96" s="19" t="n"/>
      <c r="X96" s="19" t="n"/>
      <c r="Y96" s="19" t="n"/>
      <c r="Z96" s="19" t="n"/>
      <c r="AA96" s="19" t="n"/>
    </row>
    <row r="97" ht="15.75" customHeight="1" s="545">
      <c r="A97" s="19" t="n"/>
      <c r="B97" s="19" t="n"/>
      <c r="C97" s="19" t="n"/>
      <c r="D97" s="19" t="n"/>
      <c r="E97" s="19" t="n"/>
      <c r="F97" s="19" t="n"/>
      <c r="H97" s="19" t="n"/>
      <c r="I97" s="19" t="n"/>
      <c r="J97" s="19" t="n"/>
      <c r="K97" s="19" t="n"/>
      <c r="L97" s="19" t="n"/>
      <c r="M97" s="19" t="n"/>
      <c r="N97" s="19" t="n"/>
      <c r="O97" s="19" t="n"/>
      <c r="P97" s="19" t="n"/>
      <c r="Q97" s="19" t="n"/>
      <c r="R97" s="19" t="n"/>
      <c r="S97" s="19" t="n"/>
      <c r="T97" s="19" t="n"/>
      <c r="U97" s="19" t="n"/>
      <c r="V97" s="19" t="n"/>
      <c r="W97" s="19" t="n"/>
      <c r="X97" s="19" t="n"/>
      <c r="Y97" s="19" t="n"/>
      <c r="Z97" s="19" t="n"/>
      <c r="AA97" s="19" t="n"/>
    </row>
    <row r="98" ht="15.75" customHeight="1" s="545">
      <c r="A98" s="19" t="n"/>
      <c r="B98" s="19" t="n"/>
      <c r="C98" s="19" t="n"/>
      <c r="D98" s="19" t="n"/>
      <c r="E98" s="19" t="n"/>
      <c r="F98" s="19" t="n"/>
      <c r="H98" s="19" t="n"/>
      <c r="I98" s="19" t="n"/>
      <c r="J98" s="19" t="n"/>
      <c r="K98" s="19" t="n"/>
      <c r="L98" s="19" t="n"/>
      <c r="M98" s="19" t="n"/>
      <c r="N98" s="19" t="n"/>
      <c r="O98" s="19" t="n"/>
      <c r="P98" s="19" t="n"/>
      <c r="Q98" s="19" t="n"/>
      <c r="R98" s="19" t="n"/>
      <c r="S98" s="19" t="n"/>
      <c r="T98" s="19" t="n"/>
      <c r="U98" s="19" t="n"/>
      <c r="V98" s="19" t="n"/>
      <c r="W98" s="19" t="n"/>
      <c r="X98" s="19" t="n"/>
      <c r="Y98" s="19" t="n"/>
      <c r="Z98" s="19" t="n"/>
      <c r="AA98" s="19" t="n"/>
    </row>
    <row r="99" ht="15.75" customHeight="1" s="545">
      <c r="A99" s="19" t="n"/>
      <c r="B99" s="19" t="n"/>
      <c r="C99" s="19" t="n"/>
      <c r="D99" s="19" t="n"/>
      <c r="E99" s="19" t="n"/>
      <c r="F99" s="19" t="n"/>
      <c r="H99" s="19" t="n"/>
      <c r="I99" s="19" t="n"/>
      <c r="J99" s="19" t="n"/>
      <c r="K99" s="19" t="n"/>
      <c r="L99" s="19" t="n"/>
      <c r="M99" s="19" t="n"/>
      <c r="N99" s="19" t="n"/>
      <c r="O99" s="19" t="n"/>
      <c r="P99" s="19" t="n"/>
      <c r="Q99" s="19" t="n"/>
      <c r="R99" s="19" t="n"/>
      <c r="S99" s="19" t="n"/>
      <c r="T99" s="19" t="n"/>
      <c r="U99" s="19" t="n"/>
      <c r="V99" s="19" t="n"/>
      <c r="W99" s="19" t="n"/>
      <c r="X99" s="19" t="n"/>
      <c r="Y99" s="19" t="n"/>
      <c r="Z99" s="19" t="n"/>
      <c r="AA99" s="19" t="n"/>
    </row>
    <row r="100" ht="15.75" customHeight="1" s="545">
      <c r="A100" s="19" t="n"/>
      <c r="B100" s="19" t="n"/>
      <c r="C100" s="19" t="n"/>
      <c r="D100" s="19" t="n"/>
      <c r="E100" s="19" t="n"/>
      <c r="F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19" t="n"/>
      <c r="AA100" s="19" t="n"/>
    </row>
    <row r="101" ht="15.75" customHeight="1" s="545">
      <c r="A101" s="19" t="n"/>
      <c r="B101" s="19" t="n"/>
      <c r="C101" s="19" t="n"/>
      <c r="D101" s="19" t="n"/>
      <c r="E101" s="19" t="n"/>
      <c r="F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c r="AA101" s="19" t="n"/>
    </row>
    <row r="102" ht="15.75" customHeight="1" s="545">
      <c r="A102" s="19" t="n"/>
      <c r="B102" s="19" t="n"/>
      <c r="C102" s="19" t="n"/>
      <c r="D102" s="19" t="n"/>
      <c r="E102" s="19" t="n"/>
      <c r="F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c r="AA102" s="19" t="n"/>
    </row>
    <row r="103" ht="15.75" customHeight="1" s="545">
      <c r="A103" s="19" t="n"/>
      <c r="B103" s="19" t="n"/>
      <c r="C103" s="19" t="n"/>
      <c r="D103" s="19" t="n"/>
      <c r="E103" s="19" t="n"/>
      <c r="F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c r="AA103" s="19" t="n"/>
    </row>
    <row r="104" ht="15.75" customHeight="1" s="545">
      <c r="A104" s="19" t="n"/>
      <c r="B104" s="19" t="n"/>
      <c r="C104" s="19" t="n"/>
      <c r="D104" s="19" t="n"/>
      <c r="E104" s="19" t="n"/>
      <c r="F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19" t="n"/>
      <c r="AA104" s="19" t="n"/>
    </row>
    <row r="105" ht="15.75" customHeight="1" s="545">
      <c r="A105" s="19" t="n"/>
      <c r="B105" s="19" t="n"/>
      <c r="C105" s="19" t="n"/>
      <c r="D105" s="19" t="n"/>
      <c r="E105" s="19" t="n"/>
      <c r="F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c r="AA105" s="19" t="n"/>
    </row>
    <row r="106" ht="15.75" customHeight="1" s="545">
      <c r="A106" s="19" t="n"/>
      <c r="B106" s="19" t="n"/>
      <c r="C106" s="19" t="n"/>
      <c r="D106" s="19" t="n"/>
      <c r="E106" s="19" t="n"/>
      <c r="F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c r="AA106" s="19" t="n"/>
    </row>
    <row r="107" ht="15.75" customHeight="1" s="545">
      <c r="A107" s="19" t="n"/>
      <c r="B107" s="19" t="n"/>
      <c r="C107" s="19" t="n"/>
      <c r="D107" s="19" t="n"/>
      <c r="E107" s="19" t="n"/>
      <c r="F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c r="AA107" s="19" t="n"/>
    </row>
    <row r="108" ht="15.75" customHeight="1" s="545">
      <c r="A108" s="19" t="n"/>
      <c r="B108" s="19" t="n"/>
      <c r="C108" s="19" t="n"/>
      <c r="D108" s="19" t="n"/>
      <c r="E108" s="19" t="n"/>
      <c r="F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c r="AA108" s="19" t="n"/>
    </row>
    <row r="109" ht="15.75" customHeight="1" s="545">
      <c r="A109" s="19" t="n"/>
      <c r="B109" s="19" t="n"/>
      <c r="C109" s="19" t="n"/>
      <c r="D109" s="19" t="n"/>
      <c r="E109" s="19" t="n"/>
      <c r="F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c r="AA109" s="19" t="n"/>
    </row>
    <row r="110" ht="15.75" customHeight="1" s="545">
      <c r="A110" s="19" t="n"/>
      <c r="B110" s="19" t="n"/>
      <c r="C110" s="19" t="n"/>
      <c r="D110" s="19" t="n"/>
      <c r="E110" s="19" t="n"/>
      <c r="F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c r="AA110" s="19" t="n"/>
    </row>
    <row r="111" ht="15.75" customHeight="1" s="545">
      <c r="A111" s="19" t="n"/>
      <c r="B111" s="19" t="n"/>
      <c r="C111" s="19" t="n"/>
      <c r="D111" s="19" t="n"/>
      <c r="E111" s="19" t="n"/>
      <c r="F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c r="AA111" s="19" t="n"/>
    </row>
    <row r="112" ht="15.75" customHeight="1" s="545">
      <c r="A112" s="19" t="n"/>
      <c r="B112" s="19" t="n"/>
      <c r="C112" s="19" t="n"/>
      <c r="D112" s="19" t="n"/>
      <c r="E112" s="19" t="n"/>
      <c r="F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c r="AA112" s="19" t="n"/>
    </row>
    <row r="113" ht="15.75" customHeight="1" s="545">
      <c r="A113" s="19" t="n"/>
      <c r="B113" s="19" t="n"/>
      <c r="C113" s="19" t="n"/>
      <c r="D113" s="19" t="n"/>
      <c r="E113" s="19" t="n"/>
      <c r="F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c r="AA113" s="19" t="n"/>
    </row>
    <row r="114" ht="15.75" customHeight="1" s="545">
      <c r="A114" s="19" t="n"/>
      <c r="B114" s="19" t="n"/>
      <c r="C114" s="19" t="n"/>
      <c r="D114" s="19" t="n"/>
      <c r="E114" s="19" t="n"/>
      <c r="F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c r="AA114" s="19" t="n"/>
    </row>
    <row r="115" ht="15.75" customHeight="1" s="545">
      <c r="A115" s="19" t="n"/>
      <c r="B115" s="19" t="n"/>
      <c r="C115" s="19" t="n"/>
      <c r="D115" s="19" t="n"/>
      <c r="E115" s="19" t="n"/>
      <c r="F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c r="AA115" s="19" t="n"/>
    </row>
    <row r="116" ht="15.75" customHeight="1" s="545">
      <c r="A116" s="19" t="n"/>
      <c r="B116" s="19" t="n"/>
      <c r="C116" s="19" t="n"/>
      <c r="D116" s="19" t="n"/>
      <c r="E116" s="19" t="n"/>
      <c r="F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c r="AA116" s="19" t="n"/>
    </row>
    <row r="117" ht="15.75" customHeight="1" s="545">
      <c r="A117" s="19" t="n"/>
      <c r="B117" s="19" t="n"/>
      <c r="C117" s="19" t="n"/>
      <c r="D117" s="19" t="n"/>
      <c r="E117" s="19" t="n"/>
      <c r="F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c r="AA117" s="19" t="n"/>
    </row>
    <row r="118" ht="15.75" customHeight="1" s="545">
      <c r="A118" s="19" t="n"/>
      <c r="B118" s="19" t="n"/>
      <c r="C118" s="19" t="n"/>
      <c r="D118" s="19" t="n"/>
      <c r="E118" s="19" t="n"/>
      <c r="F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c r="AA118" s="19" t="n"/>
    </row>
    <row r="119" ht="15.75" customHeight="1" s="545">
      <c r="A119" s="19" t="n"/>
      <c r="B119" s="19" t="n"/>
      <c r="C119" s="19" t="n"/>
      <c r="D119" s="19" t="n"/>
      <c r="E119" s="19" t="n"/>
      <c r="F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c r="AA119" s="19" t="n"/>
    </row>
    <row r="120" ht="15.75" customHeight="1" s="545">
      <c r="A120" s="19" t="n"/>
      <c r="B120" s="19" t="n"/>
      <c r="C120" s="19" t="n"/>
      <c r="D120" s="19" t="n"/>
      <c r="E120" s="19" t="n"/>
      <c r="F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c r="AA120" s="19" t="n"/>
    </row>
    <row r="121" ht="15.75" customHeight="1" s="545">
      <c r="A121" s="19" t="n"/>
      <c r="B121" s="19" t="n"/>
      <c r="C121" s="19" t="n"/>
      <c r="D121" s="19" t="n"/>
      <c r="E121" s="19" t="n"/>
      <c r="F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c r="AA121" s="19" t="n"/>
    </row>
    <row r="122" ht="15.75" customHeight="1" s="545">
      <c r="A122" s="19" t="n"/>
      <c r="B122" s="19" t="n"/>
      <c r="C122" s="19" t="n"/>
      <c r="D122" s="19" t="n"/>
      <c r="E122" s="19" t="n"/>
      <c r="F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c r="AA122" s="19" t="n"/>
    </row>
    <row r="123" ht="15.75" customHeight="1" s="545">
      <c r="A123" s="19" t="n"/>
      <c r="B123" s="19" t="n"/>
      <c r="C123" s="19" t="n"/>
      <c r="D123" s="19" t="n"/>
      <c r="E123" s="19" t="n"/>
      <c r="F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c r="AA123" s="19" t="n"/>
    </row>
    <row r="124" ht="15.75" customHeight="1" s="545">
      <c r="A124" s="19" t="n"/>
      <c r="B124" s="19" t="n"/>
      <c r="C124" s="19" t="n"/>
      <c r="D124" s="19" t="n"/>
      <c r="E124" s="19" t="n"/>
      <c r="F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c r="AA124" s="19" t="n"/>
    </row>
    <row r="125" ht="15.75" customHeight="1" s="545">
      <c r="A125" s="19" t="n"/>
      <c r="B125" s="19" t="n"/>
      <c r="C125" s="19" t="n"/>
      <c r="D125" s="19" t="n"/>
      <c r="E125" s="19" t="n"/>
      <c r="F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c r="AA125" s="19" t="n"/>
    </row>
    <row r="126" ht="15.75" customHeight="1" s="545">
      <c r="A126" s="19" t="n"/>
      <c r="B126" s="19" t="n"/>
      <c r="C126" s="19" t="n"/>
      <c r="D126" s="19" t="n"/>
      <c r="E126" s="19" t="n"/>
      <c r="F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c r="AA126" s="19" t="n"/>
    </row>
    <row r="127" ht="15.75" customHeight="1" s="545">
      <c r="A127" s="19" t="n"/>
      <c r="B127" s="19" t="n"/>
      <c r="C127" s="19" t="n"/>
      <c r="D127" s="19" t="n"/>
      <c r="E127" s="19" t="n"/>
      <c r="F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c r="AA127" s="19" t="n"/>
    </row>
    <row r="128" ht="15.75" customHeight="1" s="545">
      <c r="A128" s="19" t="n"/>
      <c r="B128" s="19" t="n"/>
      <c r="C128" s="19" t="n"/>
      <c r="D128" s="19" t="n"/>
      <c r="E128" s="19" t="n"/>
      <c r="F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c r="AA128" s="19" t="n"/>
    </row>
    <row r="129" ht="15.75" customHeight="1" s="545">
      <c r="A129" s="19" t="n"/>
      <c r="B129" s="19" t="n"/>
      <c r="C129" s="19" t="n"/>
      <c r="D129" s="19" t="n"/>
      <c r="E129" s="19" t="n"/>
      <c r="F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c r="AA129" s="19" t="n"/>
    </row>
    <row r="130" ht="15.75" customHeight="1" s="545">
      <c r="A130" s="19" t="n"/>
      <c r="B130" s="19" t="n"/>
      <c r="C130" s="19" t="n"/>
      <c r="D130" s="19" t="n"/>
      <c r="E130" s="19" t="n"/>
      <c r="F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c r="AA130" s="19" t="n"/>
    </row>
    <row r="131" ht="15.75" customHeight="1" s="545">
      <c r="A131" s="19" t="n"/>
      <c r="B131" s="19" t="n"/>
      <c r="C131" s="19" t="n"/>
      <c r="D131" s="19" t="n"/>
      <c r="E131" s="19" t="n"/>
      <c r="F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c r="AA131" s="19" t="n"/>
    </row>
    <row r="132" ht="15.75" customHeight="1" s="545">
      <c r="A132" s="19" t="n"/>
      <c r="B132" s="19" t="n"/>
      <c r="C132" s="19" t="n"/>
      <c r="D132" s="19" t="n"/>
      <c r="E132" s="19" t="n"/>
      <c r="F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c r="AA132" s="19" t="n"/>
    </row>
    <row r="133" ht="15.75" customHeight="1" s="545">
      <c r="A133" s="19" t="n"/>
      <c r="B133" s="19" t="n"/>
      <c r="C133" s="19" t="n"/>
      <c r="D133" s="19" t="n"/>
      <c r="E133" s="19" t="n"/>
      <c r="F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c r="AA133" s="19" t="n"/>
    </row>
    <row r="134" ht="15.75" customHeight="1" s="545">
      <c r="A134" s="19" t="n"/>
      <c r="B134" s="19" t="n"/>
      <c r="C134" s="19" t="n"/>
      <c r="D134" s="19" t="n"/>
      <c r="E134" s="19" t="n"/>
      <c r="F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c r="AA134" s="19" t="n"/>
    </row>
    <row r="135" ht="15.75" customHeight="1" s="545">
      <c r="A135" s="19" t="n"/>
      <c r="B135" s="19" t="n"/>
      <c r="C135" s="19" t="n"/>
      <c r="D135" s="19" t="n"/>
      <c r="E135" s="19" t="n"/>
      <c r="F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c r="AA135" s="19" t="n"/>
    </row>
    <row r="136" ht="15.75" customHeight="1" s="545">
      <c r="A136" s="19" t="n"/>
      <c r="B136" s="19" t="n"/>
      <c r="C136" s="19" t="n"/>
      <c r="D136" s="19" t="n"/>
      <c r="E136" s="19" t="n"/>
      <c r="F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c r="AA136" s="19" t="n"/>
    </row>
    <row r="137" ht="15.75" customHeight="1" s="545">
      <c r="A137" s="19" t="n"/>
      <c r="B137" s="19" t="n"/>
      <c r="C137" s="19" t="n"/>
      <c r="D137" s="19" t="n"/>
      <c r="E137" s="19" t="n"/>
      <c r="F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c r="AA137" s="19" t="n"/>
    </row>
    <row r="138" ht="15.75" customHeight="1" s="545">
      <c r="A138" s="19" t="n"/>
      <c r="B138" s="19" t="n"/>
      <c r="C138" s="19" t="n"/>
      <c r="D138" s="19" t="n"/>
      <c r="E138" s="19" t="n"/>
      <c r="F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c r="AA138" s="19" t="n"/>
    </row>
    <row r="139" ht="15.75" customHeight="1" s="545">
      <c r="A139" s="19" t="n"/>
      <c r="B139" s="19" t="n"/>
      <c r="C139" s="19" t="n"/>
      <c r="D139" s="19" t="n"/>
      <c r="E139" s="19" t="n"/>
      <c r="F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c r="AA139" s="19" t="n"/>
    </row>
    <row r="140" ht="15.75" customHeight="1" s="545">
      <c r="A140" s="19" t="n"/>
      <c r="B140" s="19" t="n"/>
      <c r="C140" s="19" t="n"/>
      <c r="D140" s="19" t="n"/>
      <c r="E140" s="19" t="n"/>
      <c r="F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c r="AA140" s="19" t="n"/>
    </row>
    <row r="141" ht="15.75" customHeight="1" s="545">
      <c r="A141" s="19" t="n"/>
      <c r="B141" s="19" t="n"/>
      <c r="C141" s="19" t="n"/>
      <c r="D141" s="19" t="n"/>
      <c r="E141" s="19" t="n"/>
      <c r="F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c r="AA141" s="19" t="n"/>
    </row>
    <row r="142" ht="15.75" customHeight="1" s="545">
      <c r="A142" s="19" t="n"/>
      <c r="B142" s="19" t="n"/>
      <c r="C142" s="19" t="n"/>
      <c r="D142" s="19" t="n"/>
      <c r="E142" s="19" t="n"/>
      <c r="F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c r="AA142" s="19" t="n"/>
    </row>
    <row r="143" ht="15.75" customHeight="1" s="545">
      <c r="A143" s="19" t="n"/>
      <c r="B143" s="19" t="n"/>
      <c r="C143" s="19" t="n"/>
      <c r="D143" s="19" t="n"/>
      <c r="E143" s="19" t="n"/>
      <c r="F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c r="AA143" s="19" t="n"/>
    </row>
    <row r="144" ht="15.75" customHeight="1" s="545">
      <c r="A144" s="19" t="n"/>
      <c r="B144" s="19" t="n"/>
      <c r="C144" s="19" t="n"/>
      <c r="D144" s="19" t="n"/>
      <c r="E144" s="19" t="n"/>
      <c r="F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c r="AA144" s="19" t="n"/>
    </row>
    <row r="145" ht="15.75" customHeight="1" s="545">
      <c r="A145" s="19" t="n"/>
      <c r="B145" s="19" t="n"/>
      <c r="C145" s="19" t="n"/>
      <c r="D145" s="19" t="n"/>
      <c r="E145" s="19" t="n"/>
      <c r="F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c r="AA145" s="19" t="n"/>
    </row>
    <row r="146" ht="15.75" customHeight="1" s="545">
      <c r="A146" s="19" t="n"/>
      <c r="B146" s="19" t="n"/>
      <c r="C146" s="19" t="n"/>
      <c r="D146" s="19" t="n"/>
      <c r="E146" s="19" t="n"/>
      <c r="F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c r="AA146" s="19" t="n"/>
    </row>
    <row r="147" ht="15.75" customHeight="1" s="545">
      <c r="A147" s="19" t="n"/>
      <c r="B147" s="19" t="n"/>
      <c r="C147" s="19" t="n"/>
      <c r="D147" s="19" t="n"/>
      <c r="E147" s="19" t="n"/>
      <c r="F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c r="AA147" s="19" t="n"/>
    </row>
    <row r="148" ht="15.75" customHeight="1" s="545">
      <c r="A148" s="19" t="n"/>
      <c r="B148" s="19" t="n"/>
      <c r="C148" s="19" t="n"/>
      <c r="D148" s="19" t="n"/>
      <c r="E148" s="19" t="n"/>
      <c r="F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c r="AA148" s="19" t="n"/>
    </row>
    <row r="149" ht="15.75" customHeight="1" s="545">
      <c r="A149" s="19" t="n"/>
      <c r="B149" s="19" t="n"/>
      <c r="C149" s="19" t="n"/>
      <c r="D149" s="19" t="n"/>
      <c r="E149" s="19" t="n"/>
      <c r="F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c r="AA149" s="19" t="n"/>
    </row>
    <row r="150" ht="15.75" customHeight="1" s="545">
      <c r="A150" s="19" t="n"/>
      <c r="B150" s="19" t="n"/>
      <c r="C150" s="19" t="n"/>
      <c r="D150" s="19" t="n"/>
      <c r="E150" s="19" t="n"/>
      <c r="F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c r="AA150" s="19" t="n"/>
    </row>
    <row r="151" ht="15.75" customHeight="1" s="545">
      <c r="A151" s="19" t="n"/>
      <c r="B151" s="19" t="n"/>
      <c r="C151" s="19" t="n"/>
      <c r="D151" s="19" t="n"/>
      <c r="E151" s="19" t="n"/>
      <c r="F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c r="AA151" s="19" t="n"/>
    </row>
    <row r="152" ht="15.75" customHeight="1" s="545">
      <c r="A152" s="19" t="n"/>
      <c r="B152" s="19" t="n"/>
      <c r="C152" s="19" t="n"/>
      <c r="D152" s="19" t="n"/>
      <c r="E152" s="19" t="n"/>
      <c r="F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c r="AA152" s="19" t="n"/>
    </row>
    <row r="153" ht="15.75" customHeight="1" s="545">
      <c r="A153" s="19" t="n"/>
      <c r="B153" s="19" t="n"/>
      <c r="C153" s="19" t="n"/>
      <c r="D153" s="19" t="n"/>
      <c r="E153" s="19" t="n"/>
      <c r="F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c r="AA153" s="19" t="n"/>
    </row>
    <row r="154" ht="15.75" customHeight="1" s="545">
      <c r="A154" s="19" t="n"/>
      <c r="B154" s="19" t="n"/>
      <c r="C154" s="19" t="n"/>
      <c r="D154" s="19" t="n"/>
      <c r="E154" s="19" t="n"/>
      <c r="F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c r="AA154" s="19" t="n"/>
    </row>
    <row r="155" ht="15.75" customHeight="1" s="545">
      <c r="A155" s="19" t="n"/>
      <c r="B155" s="19" t="n"/>
      <c r="C155" s="19" t="n"/>
      <c r="D155" s="19" t="n"/>
      <c r="E155" s="19" t="n"/>
      <c r="F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c r="AA155" s="19" t="n"/>
    </row>
    <row r="156" ht="15.75" customHeight="1" s="545">
      <c r="A156" s="19" t="n"/>
      <c r="B156" s="19" t="n"/>
      <c r="C156" s="19" t="n"/>
      <c r="D156" s="19" t="n"/>
      <c r="E156" s="19" t="n"/>
      <c r="F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c r="AA156" s="19" t="n"/>
    </row>
    <row r="157" ht="15.75" customHeight="1" s="545">
      <c r="A157" s="19" t="n"/>
      <c r="B157" s="19" t="n"/>
      <c r="C157" s="19" t="n"/>
      <c r="D157" s="19" t="n"/>
      <c r="E157" s="19" t="n"/>
      <c r="F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c r="AA157" s="19" t="n"/>
    </row>
    <row r="158" ht="15.75" customHeight="1" s="545">
      <c r="A158" s="19" t="n"/>
      <c r="B158" s="19" t="n"/>
      <c r="C158" s="19" t="n"/>
      <c r="D158" s="19" t="n"/>
      <c r="E158" s="19" t="n"/>
      <c r="F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c r="AA158" s="19" t="n"/>
    </row>
    <row r="159" ht="15.75" customHeight="1" s="545">
      <c r="A159" s="19" t="n"/>
      <c r="B159" s="19" t="n"/>
      <c r="C159" s="19" t="n"/>
      <c r="D159" s="19" t="n"/>
      <c r="E159" s="19" t="n"/>
      <c r="F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c r="AA159" s="19" t="n"/>
    </row>
    <row r="160" ht="15.75" customHeight="1" s="545">
      <c r="A160" s="19" t="n"/>
      <c r="B160" s="19" t="n"/>
      <c r="C160" s="19" t="n"/>
      <c r="D160" s="19" t="n"/>
      <c r="E160" s="19" t="n"/>
      <c r="F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c r="AA160" s="19" t="n"/>
    </row>
    <row r="161" ht="15.75" customHeight="1" s="545">
      <c r="A161" s="19" t="n"/>
      <c r="B161" s="19" t="n"/>
      <c r="C161" s="19" t="n"/>
      <c r="D161" s="19" t="n"/>
      <c r="E161" s="19" t="n"/>
      <c r="F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c r="AA161" s="19" t="n"/>
    </row>
    <row r="162" ht="15.75" customHeight="1" s="545">
      <c r="A162" s="19" t="n"/>
      <c r="B162" s="19" t="n"/>
      <c r="C162" s="19" t="n"/>
      <c r="D162" s="19" t="n"/>
      <c r="E162" s="19" t="n"/>
      <c r="F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c r="AA162" s="19" t="n"/>
    </row>
    <row r="163" ht="15.75" customHeight="1" s="545">
      <c r="A163" s="19" t="n"/>
      <c r="B163" s="19" t="n"/>
      <c r="C163" s="19" t="n"/>
      <c r="D163" s="19" t="n"/>
      <c r="E163" s="19" t="n"/>
      <c r="F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c r="AA163" s="19" t="n"/>
    </row>
    <row r="164" ht="15.75" customHeight="1" s="545">
      <c r="A164" s="19" t="n"/>
      <c r="B164" s="19" t="n"/>
      <c r="C164" s="19" t="n"/>
      <c r="D164" s="19" t="n"/>
      <c r="E164" s="19" t="n"/>
      <c r="F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c r="AA164" s="19" t="n"/>
    </row>
    <row r="165" ht="15.75" customHeight="1" s="545">
      <c r="A165" s="19" t="n"/>
      <c r="B165" s="19" t="n"/>
      <c r="C165" s="19" t="n"/>
      <c r="D165" s="19" t="n"/>
      <c r="E165" s="19" t="n"/>
      <c r="F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c r="AA165" s="19" t="n"/>
    </row>
    <row r="166" ht="15.75" customHeight="1" s="545">
      <c r="A166" s="19" t="n"/>
      <c r="B166" s="19" t="n"/>
      <c r="C166" s="19" t="n"/>
      <c r="D166" s="19" t="n"/>
      <c r="E166" s="19" t="n"/>
      <c r="F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c r="AA166" s="19" t="n"/>
    </row>
    <row r="167" ht="15.75" customHeight="1" s="545">
      <c r="A167" s="19" t="n"/>
      <c r="B167" s="19" t="n"/>
      <c r="C167" s="19" t="n"/>
      <c r="D167" s="19" t="n"/>
      <c r="E167" s="19" t="n"/>
      <c r="F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c r="AA167" s="19" t="n"/>
    </row>
    <row r="168" ht="15.75" customHeight="1" s="545">
      <c r="A168" s="19" t="n"/>
      <c r="B168" s="19" t="n"/>
      <c r="C168" s="19" t="n"/>
      <c r="D168" s="19" t="n"/>
      <c r="E168" s="19" t="n"/>
      <c r="F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c r="AA168" s="19" t="n"/>
    </row>
    <row r="169" ht="15.75" customHeight="1" s="545">
      <c r="A169" s="19" t="n"/>
      <c r="B169" s="19" t="n"/>
      <c r="C169" s="19" t="n"/>
      <c r="D169" s="19" t="n"/>
      <c r="E169" s="19" t="n"/>
      <c r="F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c r="AA169" s="19" t="n"/>
    </row>
    <row r="170" ht="15.75" customHeight="1" s="545">
      <c r="A170" s="19" t="n"/>
      <c r="B170" s="19" t="n"/>
      <c r="C170" s="19" t="n"/>
      <c r="D170" s="19" t="n"/>
      <c r="E170" s="19" t="n"/>
      <c r="F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c r="AA170" s="19" t="n"/>
    </row>
    <row r="171" ht="15.75" customHeight="1" s="545">
      <c r="A171" s="19" t="n"/>
      <c r="B171" s="19" t="n"/>
      <c r="C171" s="19" t="n"/>
      <c r="D171" s="19" t="n"/>
      <c r="E171" s="19" t="n"/>
      <c r="F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c r="AA171" s="19" t="n"/>
    </row>
    <row r="172" ht="15.75" customHeight="1" s="545">
      <c r="A172" s="19" t="n"/>
      <c r="B172" s="19" t="n"/>
      <c r="C172" s="19" t="n"/>
      <c r="D172" s="19" t="n"/>
      <c r="E172" s="19" t="n"/>
      <c r="F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c r="AA172" s="19" t="n"/>
    </row>
    <row r="173" ht="15.75" customHeight="1" s="545">
      <c r="A173" s="19" t="n"/>
      <c r="B173" s="19" t="n"/>
      <c r="C173" s="19" t="n"/>
      <c r="D173" s="19" t="n"/>
      <c r="E173" s="19" t="n"/>
      <c r="F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c r="AA173" s="19" t="n"/>
    </row>
    <row r="174" ht="15.75" customHeight="1" s="545">
      <c r="A174" s="19" t="n"/>
      <c r="B174" s="19" t="n"/>
      <c r="C174" s="19" t="n"/>
      <c r="D174" s="19" t="n"/>
      <c r="E174" s="19" t="n"/>
      <c r="F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c r="AA174" s="19" t="n"/>
    </row>
    <row r="175" ht="15.75" customHeight="1" s="545">
      <c r="A175" s="19" t="n"/>
      <c r="B175" s="19" t="n"/>
      <c r="C175" s="19" t="n"/>
      <c r="D175" s="19" t="n"/>
      <c r="E175" s="19" t="n"/>
      <c r="F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c r="AA175" s="19" t="n"/>
    </row>
    <row r="176" ht="15.75" customHeight="1" s="545">
      <c r="A176" s="19" t="n"/>
      <c r="B176" s="19" t="n"/>
      <c r="C176" s="19" t="n"/>
      <c r="D176" s="19" t="n"/>
      <c r="E176" s="19" t="n"/>
      <c r="F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c r="AA176" s="19" t="n"/>
    </row>
    <row r="177" ht="15.75" customHeight="1" s="545">
      <c r="A177" s="19" t="n"/>
      <c r="B177" s="19" t="n"/>
      <c r="C177" s="19" t="n"/>
      <c r="D177" s="19" t="n"/>
      <c r="E177" s="19" t="n"/>
      <c r="F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c r="AA177" s="19" t="n"/>
    </row>
    <row r="178" ht="15.75" customHeight="1" s="545">
      <c r="A178" s="19" t="n"/>
      <c r="B178" s="19" t="n"/>
      <c r="C178" s="19" t="n"/>
      <c r="D178" s="19" t="n"/>
      <c r="E178" s="19" t="n"/>
      <c r="F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c r="AA178" s="19" t="n"/>
    </row>
    <row r="179" ht="15.75" customHeight="1" s="545">
      <c r="A179" s="19" t="n"/>
      <c r="B179" s="19" t="n"/>
      <c r="C179" s="19" t="n"/>
      <c r="D179" s="19" t="n"/>
      <c r="E179" s="19" t="n"/>
      <c r="F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c r="AA179" s="19" t="n"/>
    </row>
    <row r="180" ht="15.75" customHeight="1" s="545">
      <c r="A180" s="19" t="n"/>
      <c r="B180" s="19" t="n"/>
      <c r="C180" s="19" t="n"/>
      <c r="D180" s="19" t="n"/>
      <c r="E180" s="19" t="n"/>
      <c r="F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c r="AA180" s="19" t="n"/>
    </row>
    <row r="181" ht="15.75" customHeight="1" s="545">
      <c r="A181" s="19" t="n"/>
      <c r="B181" s="19" t="n"/>
      <c r="C181" s="19" t="n"/>
      <c r="D181" s="19" t="n"/>
      <c r="E181" s="19" t="n"/>
      <c r="F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c r="AA181" s="19" t="n"/>
    </row>
    <row r="182" ht="15.75" customHeight="1" s="545">
      <c r="A182" s="19" t="n"/>
      <c r="B182" s="19" t="n"/>
      <c r="C182" s="19" t="n"/>
      <c r="D182" s="19" t="n"/>
      <c r="E182" s="19" t="n"/>
      <c r="F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c r="AA182" s="19" t="n"/>
    </row>
    <row r="183" ht="15.75" customHeight="1" s="545">
      <c r="A183" s="19" t="n"/>
      <c r="B183" s="19" t="n"/>
      <c r="C183" s="19" t="n"/>
      <c r="D183" s="19" t="n"/>
      <c r="E183" s="19" t="n"/>
      <c r="F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c r="AA183" s="19" t="n"/>
    </row>
    <row r="184" ht="15.75" customHeight="1" s="545">
      <c r="A184" s="19" t="n"/>
      <c r="B184" s="19" t="n"/>
      <c r="C184" s="19" t="n"/>
      <c r="D184" s="19" t="n"/>
      <c r="E184" s="19" t="n"/>
      <c r="F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c r="AA184" s="19" t="n"/>
    </row>
    <row r="185" ht="15.75" customHeight="1" s="545">
      <c r="A185" s="19" t="n"/>
      <c r="B185" s="19" t="n"/>
      <c r="C185" s="19" t="n"/>
      <c r="D185" s="19" t="n"/>
      <c r="E185" s="19" t="n"/>
      <c r="F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c r="AA185" s="19" t="n"/>
    </row>
    <row r="186" ht="15.75" customHeight="1" s="545">
      <c r="A186" s="19" t="n"/>
      <c r="B186" s="19" t="n"/>
      <c r="C186" s="19" t="n"/>
      <c r="D186" s="19" t="n"/>
      <c r="E186" s="19" t="n"/>
      <c r="F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c r="AA186" s="19" t="n"/>
    </row>
    <row r="187" ht="15.75" customHeight="1" s="545">
      <c r="A187" s="19" t="n"/>
      <c r="B187" s="19" t="n"/>
      <c r="C187" s="19" t="n"/>
      <c r="D187" s="19" t="n"/>
      <c r="E187" s="19" t="n"/>
      <c r="F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c r="AA187" s="19" t="n"/>
    </row>
    <row r="188" ht="15.75" customHeight="1" s="545">
      <c r="A188" s="19" t="n"/>
      <c r="B188" s="19" t="n"/>
      <c r="C188" s="19" t="n"/>
      <c r="D188" s="19" t="n"/>
      <c r="E188" s="19" t="n"/>
      <c r="F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c r="AA188" s="19" t="n"/>
    </row>
    <row r="189" ht="15.75" customHeight="1" s="545">
      <c r="A189" s="19" t="n"/>
      <c r="B189" s="19" t="n"/>
      <c r="C189" s="19" t="n"/>
      <c r="D189" s="19" t="n"/>
      <c r="E189" s="19" t="n"/>
      <c r="F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c r="AA189" s="19" t="n"/>
    </row>
    <row r="190" ht="15.75" customHeight="1" s="545">
      <c r="A190" s="19" t="n"/>
      <c r="B190" s="19" t="n"/>
      <c r="C190" s="19" t="n"/>
      <c r="D190" s="19" t="n"/>
      <c r="E190" s="19" t="n"/>
      <c r="F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c r="AA190" s="19" t="n"/>
    </row>
    <row r="191" ht="15.75" customHeight="1" s="545">
      <c r="A191" s="19" t="n"/>
      <c r="B191" s="19" t="n"/>
      <c r="C191" s="19" t="n"/>
      <c r="D191" s="19" t="n"/>
      <c r="E191" s="19" t="n"/>
      <c r="F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c r="AA191" s="19" t="n"/>
    </row>
    <row r="192" ht="15.75" customHeight="1" s="545">
      <c r="A192" s="19" t="n"/>
      <c r="B192" s="19" t="n"/>
      <c r="C192" s="19" t="n"/>
      <c r="D192" s="19" t="n"/>
      <c r="E192" s="19" t="n"/>
      <c r="F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c r="AA192" s="19" t="n"/>
    </row>
    <row r="193" ht="15.75" customHeight="1" s="545">
      <c r="A193" s="19" t="n"/>
      <c r="B193" s="19" t="n"/>
      <c r="C193" s="19" t="n"/>
      <c r="D193" s="19" t="n"/>
      <c r="E193" s="19" t="n"/>
      <c r="F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c r="AA193" s="19" t="n"/>
    </row>
    <row r="194" ht="15.75" customHeight="1" s="545">
      <c r="A194" s="19" t="n"/>
      <c r="B194" s="19" t="n"/>
      <c r="C194" s="19" t="n"/>
      <c r="D194" s="19" t="n"/>
      <c r="E194" s="19" t="n"/>
      <c r="F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c r="AA194" s="19" t="n"/>
    </row>
    <row r="195" ht="15.75" customHeight="1" s="545">
      <c r="A195" s="19" t="n"/>
      <c r="B195" s="19" t="n"/>
      <c r="C195" s="19" t="n"/>
      <c r="D195" s="19" t="n"/>
      <c r="E195" s="19" t="n"/>
      <c r="F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c r="AA195" s="19" t="n"/>
    </row>
    <row r="196" ht="15.75" customHeight="1" s="545">
      <c r="A196" s="19" t="n"/>
      <c r="B196" s="19" t="n"/>
      <c r="C196" s="19" t="n"/>
      <c r="D196" s="19" t="n"/>
      <c r="E196" s="19" t="n"/>
      <c r="F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c r="AA196" s="19" t="n"/>
    </row>
    <row r="197" ht="15.75" customHeight="1" s="545">
      <c r="A197" s="19" t="n"/>
      <c r="B197" s="19" t="n"/>
      <c r="C197" s="19" t="n"/>
      <c r="D197" s="19" t="n"/>
      <c r="E197" s="19" t="n"/>
      <c r="F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c r="AA197" s="19" t="n"/>
    </row>
    <row r="198" ht="15.75" customHeight="1" s="545">
      <c r="A198" s="19" t="n"/>
      <c r="B198" s="19" t="n"/>
      <c r="C198" s="19" t="n"/>
      <c r="D198" s="19" t="n"/>
      <c r="E198" s="19" t="n"/>
      <c r="F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c r="AA198" s="19" t="n"/>
    </row>
    <row r="199" ht="15.75" customHeight="1" s="545">
      <c r="A199" s="19" t="n"/>
      <c r="B199" s="19" t="n"/>
      <c r="C199" s="19" t="n"/>
      <c r="D199" s="19" t="n"/>
      <c r="E199" s="19" t="n"/>
      <c r="F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c r="AA199" s="19" t="n"/>
    </row>
    <row r="200" ht="15.75" customHeight="1" s="545">
      <c r="A200" s="19" t="n"/>
      <c r="B200" s="19" t="n"/>
      <c r="C200" s="19" t="n"/>
      <c r="D200" s="19" t="n"/>
      <c r="E200" s="19" t="n"/>
      <c r="F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c r="AA200" s="19" t="n"/>
    </row>
    <row r="201" ht="15.75" customHeight="1" s="545">
      <c r="A201" s="19" t="n"/>
      <c r="B201" s="19" t="n"/>
      <c r="C201" s="19" t="n"/>
      <c r="D201" s="19" t="n"/>
      <c r="E201" s="19" t="n"/>
      <c r="F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c r="AA201" s="19" t="n"/>
    </row>
    <row r="202" ht="15.75" customHeight="1" s="545">
      <c r="A202" s="19" t="n"/>
      <c r="B202" s="19" t="n"/>
      <c r="C202" s="19" t="n"/>
      <c r="D202" s="19" t="n"/>
      <c r="E202" s="19" t="n"/>
      <c r="F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c r="AA202" s="19" t="n"/>
    </row>
    <row r="203" ht="15.75" customHeight="1" s="545">
      <c r="A203" s="19" t="n"/>
      <c r="B203" s="19" t="n"/>
      <c r="C203" s="19" t="n"/>
      <c r="D203" s="19" t="n"/>
      <c r="E203" s="19" t="n"/>
      <c r="F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c r="AA203" s="19" t="n"/>
    </row>
    <row r="204" ht="15.75" customHeight="1" s="545">
      <c r="A204" s="19" t="n"/>
      <c r="B204" s="19" t="n"/>
      <c r="C204" s="19" t="n"/>
      <c r="D204" s="19" t="n"/>
      <c r="E204" s="19" t="n"/>
      <c r="F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c r="AA204" s="19" t="n"/>
    </row>
    <row r="205" ht="15.75" customHeight="1" s="545">
      <c r="A205" s="19" t="n"/>
      <c r="B205" s="19" t="n"/>
      <c r="C205" s="19" t="n"/>
      <c r="D205" s="19" t="n"/>
      <c r="E205" s="19" t="n"/>
      <c r="F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c r="AA205" s="19" t="n"/>
    </row>
    <row r="206" ht="15.75" customHeight="1" s="545">
      <c r="A206" s="19" t="n"/>
      <c r="B206" s="19" t="n"/>
      <c r="C206" s="19" t="n"/>
      <c r="D206" s="19" t="n"/>
      <c r="E206" s="19" t="n"/>
      <c r="F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c r="AA206" s="19" t="n"/>
    </row>
    <row r="207" ht="15.75" customHeight="1" s="545">
      <c r="A207" s="19" t="n"/>
      <c r="B207" s="19" t="n"/>
      <c r="C207" s="19" t="n"/>
      <c r="D207" s="19" t="n"/>
      <c r="E207" s="19" t="n"/>
      <c r="F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c r="AA207" s="19" t="n"/>
    </row>
    <row r="208" ht="15.75" customHeight="1" s="545">
      <c r="A208" s="19" t="n"/>
      <c r="B208" s="19" t="n"/>
      <c r="C208" s="19" t="n"/>
      <c r="D208" s="19" t="n"/>
      <c r="E208" s="19" t="n"/>
      <c r="F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c r="AA208" s="19" t="n"/>
    </row>
    <row r="209" ht="15.75" customHeight="1" s="545">
      <c r="A209" s="19" t="n"/>
      <c r="B209" s="19" t="n"/>
      <c r="C209" s="19" t="n"/>
      <c r="D209" s="19" t="n"/>
      <c r="E209" s="19" t="n"/>
      <c r="F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c r="AA209" s="19" t="n"/>
    </row>
    <row r="210" ht="15.75" customHeight="1" s="545">
      <c r="A210" s="19" t="n"/>
      <c r="B210" s="19" t="n"/>
      <c r="C210" s="19" t="n"/>
      <c r="D210" s="19" t="n"/>
      <c r="E210" s="19" t="n"/>
      <c r="F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c r="AA210" s="19" t="n"/>
    </row>
    <row r="211" ht="15.75" customHeight="1" s="545">
      <c r="A211" s="19" t="n"/>
      <c r="B211" s="19" t="n"/>
      <c r="C211" s="19" t="n"/>
      <c r="D211" s="19" t="n"/>
      <c r="E211" s="19" t="n"/>
      <c r="F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c r="AA211" s="19" t="n"/>
    </row>
    <row r="212" ht="15.75" customHeight="1" s="545">
      <c r="A212" s="19" t="n"/>
      <c r="B212" s="19" t="n"/>
      <c r="C212" s="19" t="n"/>
      <c r="D212" s="19" t="n"/>
      <c r="E212" s="19" t="n"/>
      <c r="F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c r="AA212" s="19" t="n"/>
    </row>
    <row r="213" ht="15.75" customHeight="1" s="545">
      <c r="A213" s="19" t="n"/>
      <c r="B213" s="19" t="n"/>
      <c r="C213" s="19" t="n"/>
      <c r="D213" s="19" t="n"/>
      <c r="E213" s="19" t="n"/>
      <c r="F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c r="AA213" s="19" t="n"/>
    </row>
    <row r="214" ht="15.75" customHeight="1" s="545">
      <c r="A214" s="19" t="n"/>
      <c r="B214" s="19" t="n"/>
      <c r="C214" s="19" t="n"/>
      <c r="D214" s="19" t="n"/>
      <c r="E214" s="19" t="n"/>
      <c r="F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c r="AA214" s="19" t="n"/>
    </row>
    <row r="215" ht="15.75" customHeight="1" s="545">
      <c r="A215" s="19" t="n"/>
      <c r="B215" s="19" t="n"/>
      <c r="C215" s="19" t="n"/>
      <c r="D215" s="19" t="n"/>
      <c r="E215" s="19" t="n"/>
      <c r="F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c r="AA215" s="19" t="n"/>
    </row>
    <row r="216" ht="15.75" customHeight="1" s="545">
      <c r="A216" s="19" t="n"/>
      <c r="B216" s="19" t="n"/>
      <c r="C216" s="19" t="n"/>
      <c r="D216" s="19" t="n"/>
      <c r="E216" s="19" t="n"/>
      <c r="F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c r="AA216" s="19" t="n"/>
    </row>
    <row r="217" ht="15.75" customHeight="1" s="545">
      <c r="A217" s="19" t="n"/>
      <c r="B217" s="19" t="n"/>
      <c r="C217" s="19" t="n"/>
      <c r="D217" s="19" t="n"/>
      <c r="E217" s="19" t="n"/>
      <c r="F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c r="AA217" s="19" t="n"/>
    </row>
    <row r="218" ht="15.75" customHeight="1" s="545">
      <c r="A218" s="19" t="n"/>
      <c r="B218" s="19" t="n"/>
      <c r="C218" s="19" t="n"/>
      <c r="D218" s="19" t="n"/>
      <c r="E218" s="19" t="n"/>
      <c r="F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c r="AA218" s="19" t="n"/>
    </row>
    <row r="219" ht="15.75" customHeight="1" s="545">
      <c r="A219" s="19" t="n"/>
      <c r="B219" s="19" t="n"/>
      <c r="C219" s="19" t="n"/>
      <c r="D219" s="19" t="n"/>
      <c r="E219" s="19" t="n"/>
      <c r="F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c r="AA219" s="19" t="n"/>
    </row>
    <row r="220" ht="15.75" customHeight="1" s="545">
      <c r="A220" s="19" t="n"/>
      <c r="B220" s="19" t="n"/>
      <c r="C220" s="19" t="n"/>
      <c r="D220" s="19" t="n"/>
      <c r="E220" s="19" t="n"/>
      <c r="F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c r="AA220" s="19" t="n"/>
    </row>
    <row r="221" ht="15.75" customHeight="1" s="545">
      <c r="A221" s="19" t="n"/>
      <c r="B221" s="19" t="n"/>
      <c r="C221" s="19" t="n"/>
      <c r="D221" s="19" t="n"/>
      <c r="E221" s="19" t="n"/>
      <c r="F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c r="AA221" s="19" t="n"/>
    </row>
    <row r="222" ht="15.75" customHeight="1" s="545">
      <c r="A222" s="19" t="n"/>
      <c r="B222" s="19" t="n"/>
      <c r="C222" s="19" t="n"/>
      <c r="D222" s="19" t="n"/>
      <c r="E222" s="19" t="n"/>
      <c r="F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c r="AA222" s="19" t="n"/>
    </row>
    <row r="223" ht="15.75" customHeight="1" s="545">
      <c r="A223" s="19" t="n"/>
      <c r="B223" s="19" t="n"/>
      <c r="C223" s="19" t="n"/>
      <c r="D223" s="19" t="n"/>
      <c r="E223" s="19" t="n"/>
      <c r="F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19" t="n"/>
      <c r="AA223" s="19" t="n"/>
    </row>
    <row r="224" ht="15.75" customHeight="1" s="545">
      <c r="A224" s="19" t="n"/>
      <c r="B224" s="19" t="n"/>
      <c r="C224" s="19" t="n"/>
      <c r="D224" s="19" t="n"/>
      <c r="E224" s="19" t="n"/>
      <c r="F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19" t="n"/>
      <c r="AA224" s="19" t="n"/>
    </row>
    <row r="225" ht="15.75" customHeight="1" s="545">
      <c r="A225" s="19" t="n"/>
      <c r="B225" s="19" t="n"/>
      <c r="C225" s="19" t="n"/>
      <c r="D225" s="19" t="n"/>
      <c r="E225" s="19" t="n"/>
      <c r="F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c r="AA225" s="19" t="n"/>
    </row>
    <row r="226" ht="15.75" customHeight="1" s="545">
      <c r="A226" s="19" t="n"/>
      <c r="B226" s="19" t="n"/>
      <c r="C226" s="19" t="n"/>
      <c r="D226" s="19" t="n"/>
      <c r="E226" s="19" t="n"/>
      <c r="F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19" t="n"/>
      <c r="AA226" s="19" t="n"/>
    </row>
    <row r="227" ht="15.75" customHeight="1" s="545">
      <c r="A227" s="19" t="n"/>
      <c r="B227" s="19" t="n"/>
      <c r="C227" s="19" t="n"/>
      <c r="D227" s="19" t="n"/>
      <c r="E227" s="19" t="n"/>
      <c r="F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19" t="n"/>
      <c r="AA227" s="19" t="n"/>
    </row>
    <row r="228" ht="15.75" customHeight="1" s="545">
      <c r="A228" s="19" t="n"/>
      <c r="B228" s="19" t="n"/>
      <c r="C228" s="19" t="n"/>
      <c r="D228" s="19" t="n"/>
      <c r="E228" s="19" t="n"/>
      <c r="F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c r="AA228" s="19" t="n"/>
    </row>
    <row r="229" ht="15.75" customHeight="1" s="545">
      <c r="A229" s="19" t="n"/>
      <c r="B229" s="19" t="n"/>
      <c r="C229" s="19" t="n"/>
      <c r="D229" s="19" t="n"/>
      <c r="E229" s="19" t="n"/>
      <c r="F229" s="19" t="n"/>
      <c r="H229" s="19" t="n"/>
      <c r="I229" s="19" t="n"/>
      <c r="J229" s="19" t="n"/>
      <c r="K229" s="19" t="n"/>
      <c r="L229" s="19" t="n"/>
      <c r="M229" s="19" t="n"/>
      <c r="N229" s="19" t="n"/>
      <c r="O229" s="19" t="n"/>
      <c r="P229" s="19" t="n"/>
      <c r="Q229" s="19" t="n"/>
      <c r="R229" s="19" t="n"/>
      <c r="S229" s="19" t="n"/>
      <c r="T229" s="19" t="n"/>
      <c r="U229" s="19" t="n"/>
      <c r="V229" s="19" t="n"/>
      <c r="W229" s="19" t="n"/>
      <c r="X229" s="19" t="n"/>
      <c r="Y229" s="19" t="n"/>
      <c r="Z229" s="19" t="n"/>
      <c r="AA229" s="19" t="n"/>
    </row>
    <row r="230" ht="15.75" customHeight="1" s="545">
      <c r="A230" s="19" t="n"/>
      <c r="B230" s="19" t="n"/>
      <c r="C230" s="19" t="n"/>
      <c r="D230" s="19" t="n"/>
      <c r="E230" s="19" t="n"/>
      <c r="F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c r="AA230" s="19" t="n"/>
    </row>
    <row r="231" ht="15.75" customHeight="1" s="545">
      <c r="A231" s="19" t="n"/>
      <c r="B231" s="19" t="n"/>
      <c r="C231" s="19" t="n"/>
      <c r="D231" s="19" t="n"/>
      <c r="E231" s="19" t="n"/>
      <c r="F231" s="19" t="n"/>
      <c r="H231" s="19" t="n"/>
      <c r="I231" s="19" t="n"/>
      <c r="J231" s="19" t="n"/>
      <c r="K231" s="19" t="n"/>
      <c r="L231" s="19" t="n"/>
      <c r="M231" s="19" t="n"/>
      <c r="N231" s="19" t="n"/>
      <c r="O231" s="19" t="n"/>
      <c r="P231" s="19" t="n"/>
      <c r="Q231" s="19" t="n"/>
      <c r="R231" s="19" t="n"/>
      <c r="S231" s="19" t="n"/>
      <c r="T231" s="19" t="n"/>
      <c r="U231" s="19" t="n"/>
      <c r="V231" s="19" t="n"/>
      <c r="W231" s="19" t="n"/>
      <c r="X231" s="19" t="n"/>
      <c r="Y231" s="19" t="n"/>
      <c r="Z231" s="19" t="n"/>
      <c r="AA231" s="19" t="n"/>
    </row>
    <row r="232" ht="15.75" customHeight="1" s="545">
      <c r="A232" s="19" t="n"/>
      <c r="B232" s="19" t="n"/>
      <c r="C232" s="19" t="n"/>
      <c r="D232" s="19" t="n"/>
      <c r="E232" s="19" t="n"/>
      <c r="F232" s="19" t="n"/>
      <c r="H232" s="19" t="n"/>
      <c r="I232" s="19" t="n"/>
      <c r="J232" s="19" t="n"/>
      <c r="K232" s="19" t="n"/>
      <c r="L232" s="19" t="n"/>
      <c r="M232" s="19" t="n"/>
      <c r="N232" s="19" t="n"/>
      <c r="O232" s="19" t="n"/>
      <c r="P232" s="19" t="n"/>
      <c r="Q232" s="19" t="n"/>
      <c r="R232" s="19" t="n"/>
      <c r="S232" s="19" t="n"/>
      <c r="T232" s="19" t="n"/>
      <c r="U232" s="19" t="n"/>
      <c r="V232" s="19" t="n"/>
      <c r="W232" s="19" t="n"/>
      <c r="X232" s="19" t="n"/>
      <c r="Y232" s="19" t="n"/>
      <c r="Z232" s="19" t="n"/>
      <c r="AA232" s="19" t="n"/>
    </row>
    <row r="233" ht="15.75" customHeight="1" s="545">
      <c r="A233" s="19" t="n"/>
      <c r="B233" s="19" t="n"/>
      <c r="C233" s="19" t="n"/>
      <c r="D233" s="19" t="n"/>
      <c r="E233" s="19" t="n"/>
      <c r="F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c r="AA233" s="19" t="n"/>
    </row>
    <row r="234" ht="15.75" customHeight="1" s="545">
      <c r="A234" s="19" t="n"/>
      <c r="B234" s="19" t="n"/>
      <c r="C234" s="19" t="n"/>
      <c r="D234" s="19" t="n"/>
      <c r="E234" s="19" t="n"/>
      <c r="F234" s="19" t="n"/>
      <c r="H234" s="19" t="n"/>
      <c r="I234" s="19" t="n"/>
      <c r="J234" s="19" t="n"/>
      <c r="K234" s="19" t="n"/>
      <c r="L234" s="19" t="n"/>
      <c r="M234" s="19" t="n"/>
      <c r="N234" s="19" t="n"/>
      <c r="O234" s="19" t="n"/>
      <c r="P234" s="19" t="n"/>
      <c r="Q234" s="19" t="n"/>
      <c r="R234" s="19" t="n"/>
      <c r="S234" s="19" t="n"/>
      <c r="T234" s="19" t="n"/>
      <c r="U234" s="19" t="n"/>
      <c r="V234" s="19" t="n"/>
      <c r="W234" s="19" t="n"/>
      <c r="X234" s="19" t="n"/>
      <c r="Y234" s="19" t="n"/>
      <c r="Z234" s="19" t="n"/>
      <c r="AA234" s="19" t="n"/>
    </row>
    <row r="235" ht="15.75" customHeight="1" s="545">
      <c r="A235" s="19" t="n"/>
      <c r="B235" s="19" t="n"/>
      <c r="C235" s="19" t="n"/>
      <c r="D235" s="19" t="n"/>
      <c r="E235" s="19" t="n"/>
      <c r="F235" s="19" t="n"/>
      <c r="H235" s="19" t="n"/>
      <c r="I235" s="19" t="n"/>
      <c r="J235" s="19" t="n"/>
      <c r="K235" s="19" t="n"/>
      <c r="L235" s="19" t="n"/>
      <c r="M235" s="19" t="n"/>
      <c r="N235" s="19" t="n"/>
      <c r="O235" s="19" t="n"/>
      <c r="P235" s="19" t="n"/>
      <c r="Q235" s="19" t="n"/>
      <c r="R235" s="19" t="n"/>
      <c r="S235" s="19" t="n"/>
      <c r="T235" s="19" t="n"/>
      <c r="U235" s="19" t="n"/>
      <c r="V235" s="19" t="n"/>
      <c r="W235" s="19" t="n"/>
      <c r="X235" s="19" t="n"/>
      <c r="Y235" s="19" t="n"/>
      <c r="Z235" s="19" t="n"/>
      <c r="AA235" s="19" t="n"/>
    </row>
    <row r="236" ht="15.75" customHeight="1" s="545">
      <c r="A236" s="19" t="n"/>
      <c r="B236" s="19" t="n"/>
      <c r="C236" s="19" t="n"/>
      <c r="D236" s="19" t="n"/>
      <c r="E236" s="19" t="n"/>
      <c r="F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c r="AA236" s="19" t="n"/>
    </row>
    <row r="237" ht="15.75" customHeight="1" s="545">
      <c r="A237" s="19" t="n"/>
      <c r="B237" s="19" t="n"/>
      <c r="C237" s="19" t="n"/>
      <c r="D237" s="19" t="n"/>
      <c r="E237" s="19" t="n"/>
      <c r="F237" s="19" t="n"/>
      <c r="H237" s="19" t="n"/>
      <c r="I237" s="19" t="n"/>
      <c r="J237" s="19" t="n"/>
      <c r="K237" s="19" t="n"/>
      <c r="L237" s="19" t="n"/>
      <c r="M237" s="19" t="n"/>
      <c r="N237" s="19" t="n"/>
      <c r="O237" s="19" t="n"/>
      <c r="P237" s="19" t="n"/>
      <c r="Q237" s="19" t="n"/>
      <c r="R237" s="19" t="n"/>
      <c r="S237" s="19" t="n"/>
      <c r="T237" s="19" t="n"/>
      <c r="U237" s="19" t="n"/>
      <c r="V237" s="19" t="n"/>
      <c r="W237" s="19" t="n"/>
      <c r="X237" s="19" t="n"/>
      <c r="Y237" s="19" t="n"/>
      <c r="Z237" s="19" t="n"/>
      <c r="AA237" s="19" t="n"/>
    </row>
    <row r="238" ht="15.75" customHeight="1" s="545">
      <c r="A238" s="19" t="n"/>
      <c r="B238" s="19" t="n"/>
      <c r="C238" s="19" t="n"/>
      <c r="D238" s="19" t="n"/>
      <c r="E238" s="19" t="n"/>
      <c r="F238" s="19" t="n"/>
      <c r="H238" s="19" t="n"/>
      <c r="I238" s="19" t="n"/>
      <c r="J238" s="19" t="n"/>
      <c r="K238" s="19" t="n"/>
      <c r="L238" s="19" t="n"/>
      <c r="M238" s="19" t="n"/>
      <c r="N238" s="19" t="n"/>
      <c r="O238" s="19" t="n"/>
      <c r="P238" s="19" t="n"/>
      <c r="Q238" s="19" t="n"/>
      <c r="R238" s="19" t="n"/>
      <c r="S238" s="19" t="n"/>
      <c r="T238" s="19" t="n"/>
      <c r="U238" s="19" t="n"/>
      <c r="V238" s="19" t="n"/>
      <c r="W238" s="19" t="n"/>
      <c r="X238" s="19" t="n"/>
      <c r="Y238" s="19" t="n"/>
      <c r="Z238" s="19" t="n"/>
      <c r="AA238" s="19" t="n"/>
    </row>
    <row r="239" ht="15.75" customHeight="1" s="545">
      <c r="A239" s="19" t="n"/>
      <c r="B239" s="19" t="n"/>
      <c r="C239" s="19" t="n"/>
      <c r="D239" s="19" t="n"/>
      <c r="E239" s="19" t="n"/>
      <c r="F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c r="AA239" s="19" t="n"/>
    </row>
    <row r="240" ht="15.75" customHeight="1" s="545">
      <c r="A240" s="19" t="n"/>
      <c r="B240" s="19" t="n"/>
      <c r="C240" s="19" t="n"/>
      <c r="D240" s="19" t="n"/>
      <c r="E240" s="19" t="n"/>
      <c r="F240" s="19" t="n"/>
      <c r="H240" s="19" t="n"/>
      <c r="I240" s="19" t="n"/>
      <c r="J240" s="19" t="n"/>
      <c r="K240" s="19" t="n"/>
      <c r="L240" s="19" t="n"/>
      <c r="M240" s="19" t="n"/>
      <c r="N240" s="19" t="n"/>
      <c r="O240" s="19" t="n"/>
      <c r="P240" s="19" t="n"/>
      <c r="Q240" s="19" t="n"/>
      <c r="R240" s="19" t="n"/>
      <c r="S240" s="19" t="n"/>
      <c r="T240" s="19" t="n"/>
      <c r="U240" s="19" t="n"/>
      <c r="V240" s="19" t="n"/>
      <c r="W240" s="19" t="n"/>
      <c r="X240" s="19" t="n"/>
      <c r="Y240" s="19" t="n"/>
      <c r="Z240" s="19" t="n"/>
      <c r="AA240" s="19" t="n"/>
    </row>
    <row r="241" ht="15.75" customHeight="1" s="545">
      <c r="A241" s="19" t="n"/>
      <c r="B241" s="19" t="n"/>
      <c r="C241" s="19" t="n"/>
      <c r="D241" s="19" t="n"/>
      <c r="E241" s="19" t="n"/>
      <c r="F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c r="AA241" s="19" t="n"/>
    </row>
    <row r="242" ht="15.75" customHeight="1" s="545">
      <c r="A242" s="19" t="n"/>
      <c r="B242" s="19" t="n"/>
      <c r="C242" s="19" t="n"/>
      <c r="D242" s="19" t="n"/>
      <c r="E242" s="19" t="n"/>
      <c r="F242" s="19" t="n"/>
      <c r="H242" s="19" t="n"/>
      <c r="I242" s="19" t="n"/>
      <c r="J242" s="19" t="n"/>
      <c r="K242" s="19" t="n"/>
      <c r="L242" s="19" t="n"/>
      <c r="M242" s="19" t="n"/>
      <c r="N242" s="19" t="n"/>
      <c r="O242" s="19" t="n"/>
      <c r="P242" s="19" t="n"/>
      <c r="Q242" s="19" t="n"/>
      <c r="R242" s="19" t="n"/>
      <c r="S242" s="19" t="n"/>
      <c r="T242" s="19" t="n"/>
      <c r="U242" s="19" t="n"/>
      <c r="V242" s="19" t="n"/>
      <c r="W242" s="19" t="n"/>
      <c r="X242" s="19" t="n"/>
      <c r="Y242" s="19" t="n"/>
      <c r="Z242" s="19" t="n"/>
      <c r="AA242" s="19" t="n"/>
    </row>
    <row r="243" ht="15.75" customHeight="1" s="545">
      <c r="A243" s="19" t="n"/>
      <c r="B243" s="19" t="n"/>
      <c r="C243" s="19" t="n"/>
      <c r="D243" s="19" t="n"/>
      <c r="E243" s="19" t="n"/>
      <c r="F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c r="AA243" s="19" t="n"/>
    </row>
    <row r="244" ht="15.75" customHeight="1" s="545">
      <c r="A244" s="19" t="n"/>
      <c r="B244" s="19" t="n"/>
      <c r="C244" s="19" t="n"/>
      <c r="D244" s="19" t="n"/>
      <c r="E244" s="19" t="n"/>
      <c r="F244" s="19" t="n"/>
      <c r="H244" s="19" t="n"/>
      <c r="I244" s="19" t="n"/>
      <c r="J244" s="19" t="n"/>
      <c r="K244" s="19" t="n"/>
      <c r="L244" s="19" t="n"/>
      <c r="M244" s="19" t="n"/>
      <c r="N244" s="19" t="n"/>
      <c r="O244" s="19" t="n"/>
      <c r="P244" s="19" t="n"/>
      <c r="Q244" s="19" t="n"/>
      <c r="R244" s="19" t="n"/>
      <c r="S244" s="19" t="n"/>
      <c r="T244" s="19" t="n"/>
      <c r="U244" s="19" t="n"/>
      <c r="V244" s="19" t="n"/>
      <c r="W244" s="19" t="n"/>
      <c r="X244" s="19" t="n"/>
      <c r="Y244" s="19" t="n"/>
      <c r="Z244" s="19" t="n"/>
      <c r="AA244" s="19" t="n"/>
    </row>
    <row r="245" ht="15.75" customHeight="1" s="545">
      <c r="A245" s="19" t="n"/>
      <c r="B245" s="19" t="n"/>
      <c r="C245" s="19" t="n"/>
      <c r="D245" s="19" t="n"/>
      <c r="E245" s="19" t="n"/>
      <c r="F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c r="AA245" s="19" t="n"/>
    </row>
    <row r="246" ht="15.75" customHeight="1" s="545">
      <c r="A246" s="19" t="n"/>
      <c r="B246" s="19" t="n"/>
      <c r="C246" s="19" t="n"/>
      <c r="D246" s="19" t="n"/>
      <c r="E246" s="19" t="n"/>
      <c r="F246" s="19" t="n"/>
      <c r="H246" s="19" t="n"/>
      <c r="I246" s="19" t="n"/>
      <c r="J246" s="19" t="n"/>
      <c r="K246" s="19" t="n"/>
      <c r="L246" s="19" t="n"/>
      <c r="M246" s="19" t="n"/>
      <c r="N246" s="19" t="n"/>
      <c r="O246" s="19" t="n"/>
      <c r="P246" s="19" t="n"/>
      <c r="Q246" s="19" t="n"/>
      <c r="R246" s="19" t="n"/>
      <c r="S246" s="19" t="n"/>
      <c r="T246" s="19" t="n"/>
      <c r="U246" s="19" t="n"/>
      <c r="V246" s="19" t="n"/>
      <c r="W246" s="19" t="n"/>
      <c r="X246" s="19" t="n"/>
      <c r="Y246" s="19" t="n"/>
      <c r="Z246" s="19" t="n"/>
      <c r="AA246" s="19" t="n"/>
    </row>
    <row r="247" ht="15.75" customHeight="1" s="545">
      <c r="A247" s="19" t="n"/>
      <c r="B247" s="19" t="n"/>
      <c r="C247" s="19" t="n"/>
      <c r="D247" s="19" t="n"/>
      <c r="E247" s="19" t="n"/>
      <c r="F247" s="19" t="n"/>
      <c r="H247" s="19" t="n"/>
      <c r="I247" s="19" t="n"/>
      <c r="J247" s="19" t="n"/>
      <c r="K247" s="19" t="n"/>
      <c r="L247" s="19" t="n"/>
      <c r="M247" s="19" t="n"/>
      <c r="N247" s="19" t="n"/>
      <c r="O247" s="19" t="n"/>
      <c r="P247" s="19" t="n"/>
      <c r="Q247" s="19" t="n"/>
      <c r="R247" s="19" t="n"/>
      <c r="S247" s="19" t="n"/>
      <c r="T247" s="19" t="n"/>
      <c r="U247" s="19" t="n"/>
      <c r="V247" s="19" t="n"/>
      <c r="W247" s="19" t="n"/>
      <c r="X247" s="19" t="n"/>
      <c r="Y247" s="19" t="n"/>
      <c r="Z247" s="19" t="n"/>
      <c r="AA247" s="19" t="n"/>
    </row>
    <row r="248" ht="15.75" customHeight="1" s="545">
      <c r="A248" s="19" t="n"/>
      <c r="B248" s="19" t="n"/>
      <c r="C248" s="19" t="n"/>
      <c r="D248" s="19" t="n"/>
      <c r="E248" s="19" t="n"/>
      <c r="F248" s="19" t="n"/>
      <c r="H248" s="19" t="n"/>
      <c r="I248" s="19" t="n"/>
      <c r="J248" s="19" t="n"/>
      <c r="K248" s="19" t="n"/>
      <c r="L248" s="19" t="n"/>
      <c r="M248" s="19" t="n"/>
      <c r="N248" s="19" t="n"/>
      <c r="O248" s="19" t="n"/>
      <c r="P248" s="19" t="n"/>
      <c r="Q248" s="19" t="n"/>
      <c r="R248" s="19" t="n"/>
      <c r="S248" s="19" t="n"/>
      <c r="T248" s="19" t="n"/>
      <c r="U248" s="19" t="n"/>
      <c r="V248" s="19" t="n"/>
      <c r="W248" s="19" t="n"/>
      <c r="X248" s="19" t="n"/>
      <c r="Y248" s="19" t="n"/>
      <c r="Z248" s="19" t="n"/>
      <c r="AA248" s="19" t="n"/>
    </row>
    <row r="249" ht="15.75" customHeight="1" s="545">
      <c r="A249" s="19" t="n"/>
      <c r="B249" s="19" t="n"/>
      <c r="C249" s="19" t="n"/>
      <c r="D249" s="19" t="n"/>
      <c r="E249" s="19" t="n"/>
      <c r="F249" s="19" t="n"/>
      <c r="H249" s="19" t="n"/>
      <c r="I249" s="19" t="n"/>
      <c r="J249" s="19" t="n"/>
      <c r="K249" s="19" t="n"/>
      <c r="L249" s="19" t="n"/>
      <c r="M249" s="19" t="n"/>
      <c r="N249" s="19" t="n"/>
      <c r="O249" s="19" t="n"/>
      <c r="P249" s="19" t="n"/>
      <c r="Q249" s="19" t="n"/>
      <c r="R249" s="19" t="n"/>
      <c r="S249" s="19" t="n"/>
      <c r="T249" s="19" t="n"/>
      <c r="U249" s="19" t="n"/>
      <c r="V249" s="19" t="n"/>
      <c r="W249" s="19" t="n"/>
      <c r="X249" s="19" t="n"/>
      <c r="Y249" s="19" t="n"/>
      <c r="Z249" s="19" t="n"/>
      <c r="AA249" s="19" t="n"/>
    </row>
    <row r="250" ht="15.75" customHeight="1" s="545">
      <c r="A250" s="19" t="n"/>
      <c r="B250" s="19" t="n"/>
      <c r="C250" s="19" t="n"/>
      <c r="D250" s="19" t="n"/>
      <c r="E250" s="19" t="n"/>
      <c r="F250" s="19" t="n"/>
      <c r="H250" s="19" t="n"/>
      <c r="I250" s="19" t="n"/>
      <c r="J250" s="19" t="n"/>
      <c r="K250" s="19" t="n"/>
      <c r="L250" s="19" t="n"/>
      <c r="M250" s="19" t="n"/>
      <c r="N250" s="19" t="n"/>
      <c r="O250" s="19" t="n"/>
      <c r="P250" s="19" t="n"/>
      <c r="Q250" s="19" t="n"/>
      <c r="R250" s="19" t="n"/>
      <c r="S250" s="19" t="n"/>
      <c r="T250" s="19" t="n"/>
      <c r="U250" s="19" t="n"/>
      <c r="V250" s="19" t="n"/>
      <c r="W250" s="19" t="n"/>
      <c r="X250" s="19" t="n"/>
      <c r="Y250" s="19" t="n"/>
      <c r="Z250" s="19" t="n"/>
      <c r="AA250" s="19" t="n"/>
    </row>
    <row r="251" ht="15.75" customHeight="1" s="545">
      <c r="A251" s="19" t="n"/>
      <c r="B251" s="19" t="n"/>
      <c r="C251" s="19" t="n"/>
      <c r="D251" s="19" t="n"/>
      <c r="E251" s="19" t="n"/>
      <c r="F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c r="AA251" s="19" t="n"/>
    </row>
    <row r="252" ht="15.75" customHeight="1" s="545">
      <c r="A252" s="19" t="n"/>
      <c r="B252" s="19" t="n"/>
      <c r="C252" s="19" t="n"/>
      <c r="D252" s="19" t="n"/>
      <c r="E252" s="19" t="n"/>
      <c r="F252" s="19" t="n"/>
      <c r="H252" s="19" t="n"/>
      <c r="I252" s="19" t="n"/>
      <c r="J252" s="19" t="n"/>
      <c r="K252" s="19" t="n"/>
      <c r="L252" s="19" t="n"/>
      <c r="M252" s="19" t="n"/>
      <c r="N252" s="19" t="n"/>
      <c r="O252" s="19" t="n"/>
      <c r="P252" s="19" t="n"/>
      <c r="Q252" s="19" t="n"/>
      <c r="R252" s="19" t="n"/>
      <c r="S252" s="19" t="n"/>
      <c r="T252" s="19" t="n"/>
      <c r="U252" s="19" t="n"/>
      <c r="V252" s="19" t="n"/>
      <c r="W252" s="19" t="n"/>
      <c r="X252" s="19" t="n"/>
      <c r="Y252" s="19" t="n"/>
      <c r="Z252" s="19" t="n"/>
      <c r="AA252" s="19" t="n"/>
    </row>
    <row r="253" ht="15.75" customHeight="1" s="545">
      <c r="A253" s="19" t="n"/>
      <c r="B253" s="19" t="n"/>
      <c r="C253" s="19" t="n"/>
      <c r="D253" s="19" t="n"/>
      <c r="E253" s="19" t="n"/>
      <c r="F253" s="19" t="n"/>
      <c r="H253" s="19" t="n"/>
      <c r="I253" s="19" t="n"/>
      <c r="J253" s="19" t="n"/>
      <c r="K253" s="19" t="n"/>
      <c r="L253" s="19" t="n"/>
      <c r="M253" s="19" t="n"/>
      <c r="N253" s="19" t="n"/>
      <c r="O253" s="19" t="n"/>
      <c r="P253" s="19" t="n"/>
      <c r="Q253" s="19" t="n"/>
      <c r="R253" s="19" t="n"/>
      <c r="S253" s="19" t="n"/>
      <c r="T253" s="19" t="n"/>
      <c r="U253" s="19" t="n"/>
      <c r="V253" s="19" t="n"/>
      <c r="W253" s="19" t="n"/>
      <c r="X253" s="19" t="n"/>
      <c r="Y253" s="19" t="n"/>
      <c r="Z253" s="19" t="n"/>
      <c r="AA253" s="19" t="n"/>
    </row>
    <row r="254" ht="15.75" customHeight="1" s="545">
      <c r="A254" s="19" t="n"/>
      <c r="B254" s="19" t="n"/>
      <c r="C254" s="19" t="n"/>
      <c r="D254" s="19" t="n"/>
      <c r="E254" s="19" t="n"/>
      <c r="F254" s="19" t="n"/>
      <c r="H254" s="19" t="n"/>
      <c r="I254" s="19" t="n"/>
      <c r="J254" s="19" t="n"/>
      <c r="K254" s="19" t="n"/>
      <c r="L254" s="19" t="n"/>
      <c r="M254" s="19" t="n"/>
      <c r="N254" s="19" t="n"/>
      <c r="O254" s="19" t="n"/>
      <c r="P254" s="19" t="n"/>
      <c r="Q254" s="19" t="n"/>
      <c r="R254" s="19" t="n"/>
      <c r="S254" s="19" t="n"/>
      <c r="T254" s="19" t="n"/>
      <c r="U254" s="19" t="n"/>
      <c r="V254" s="19" t="n"/>
      <c r="W254" s="19" t="n"/>
      <c r="X254" s="19" t="n"/>
      <c r="Y254" s="19" t="n"/>
      <c r="Z254" s="19" t="n"/>
      <c r="AA254" s="19" t="n"/>
    </row>
    <row r="255" ht="15.75" customHeight="1" s="545">
      <c r="A255" s="19" t="n"/>
      <c r="B255" s="19" t="n"/>
      <c r="C255" s="19" t="n"/>
      <c r="D255" s="19" t="n"/>
      <c r="E255" s="19" t="n"/>
      <c r="F255" s="19" t="n"/>
      <c r="H255" s="19" t="n"/>
      <c r="I255" s="19" t="n"/>
      <c r="J255" s="19" t="n"/>
      <c r="K255" s="19" t="n"/>
      <c r="L255" s="19" t="n"/>
      <c r="M255" s="19" t="n"/>
      <c r="N255" s="19" t="n"/>
      <c r="O255" s="19" t="n"/>
      <c r="P255" s="19" t="n"/>
      <c r="Q255" s="19" t="n"/>
      <c r="R255" s="19" t="n"/>
      <c r="S255" s="19" t="n"/>
      <c r="T255" s="19" t="n"/>
      <c r="U255" s="19" t="n"/>
      <c r="V255" s="19" t="n"/>
      <c r="W255" s="19" t="n"/>
      <c r="X255" s="19" t="n"/>
      <c r="Y255" s="19" t="n"/>
      <c r="Z255" s="19" t="n"/>
      <c r="AA255" s="19" t="n"/>
    </row>
    <row r="256" ht="15.75" customHeight="1" s="545">
      <c r="A256" s="19" t="n"/>
      <c r="B256" s="19" t="n"/>
      <c r="C256" s="19" t="n"/>
      <c r="D256" s="19" t="n"/>
      <c r="E256" s="19" t="n"/>
      <c r="F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c r="AA256" s="19" t="n"/>
    </row>
    <row r="257" ht="15.75" customHeight="1" s="545">
      <c r="A257" s="19" t="n"/>
      <c r="B257" s="19" t="n"/>
      <c r="C257" s="19" t="n"/>
      <c r="D257" s="19" t="n"/>
      <c r="E257" s="19" t="n"/>
      <c r="F257" s="19" t="n"/>
      <c r="H257" s="19" t="n"/>
      <c r="I257" s="19" t="n"/>
      <c r="J257" s="19" t="n"/>
      <c r="K257" s="19" t="n"/>
      <c r="L257" s="19" t="n"/>
      <c r="M257" s="19" t="n"/>
      <c r="N257" s="19" t="n"/>
      <c r="O257" s="19" t="n"/>
      <c r="P257" s="19" t="n"/>
      <c r="Q257" s="19" t="n"/>
      <c r="R257" s="19" t="n"/>
      <c r="S257" s="19" t="n"/>
      <c r="T257" s="19" t="n"/>
      <c r="U257" s="19" t="n"/>
      <c r="V257" s="19" t="n"/>
      <c r="W257" s="19" t="n"/>
      <c r="X257" s="19" t="n"/>
      <c r="Y257" s="19" t="n"/>
      <c r="Z257" s="19" t="n"/>
      <c r="AA257" s="19" t="n"/>
    </row>
    <row r="258" ht="15.75" customHeight="1" s="545">
      <c r="A258" s="19" t="n"/>
      <c r="B258" s="19" t="n"/>
      <c r="C258" s="19" t="n"/>
      <c r="D258" s="19" t="n"/>
      <c r="E258" s="19" t="n"/>
      <c r="F258" s="19" t="n"/>
      <c r="H258" s="19" t="n"/>
      <c r="I258" s="19" t="n"/>
      <c r="J258" s="19" t="n"/>
      <c r="K258" s="19" t="n"/>
      <c r="L258" s="19" t="n"/>
      <c r="M258" s="19" t="n"/>
      <c r="N258" s="19" t="n"/>
      <c r="O258" s="19" t="n"/>
      <c r="P258" s="19" t="n"/>
      <c r="Q258" s="19" t="n"/>
      <c r="R258" s="19" t="n"/>
      <c r="S258" s="19" t="n"/>
      <c r="T258" s="19" t="n"/>
      <c r="U258" s="19" t="n"/>
      <c r="V258" s="19" t="n"/>
      <c r="W258" s="19" t="n"/>
      <c r="X258" s="19" t="n"/>
      <c r="Y258" s="19" t="n"/>
      <c r="Z258" s="19" t="n"/>
      <c r="AA258" s="19" t="n"/>
    </row>
    <row r="259" ht="15.75" customHeight="1" s="545">
      <c r="A259" s="19" t="n"/>
      <c r="B259" s="19" t="n"/>
      <c r="C259" s="19" t="n"/>
      <c r="D259" s="19" t="n"/>
      <c r="E259" s="19" t="n"/>
      <c r="F259" s="19" t="n"/>
      <c r="H259" s="19" t="n"/>
      <c r="I259" s="19" t="n"/>
      <c r="J259" s="19" t="n"/>
      <c r="K259" s="19" t="n"/>
      <c r="L259" s="19" t="n"/>
      <c r="M259" s="19" t="n"/>
      <c r="N259" s="19" t="n"/>
      <c r="O259" s="19" t="n"/>
      <c r="P259" s="19" t="n"/>
      <c r="Q259" s="19" t="n"/>
      <c r="R259" s="19" t="n"/>
      <c r="S259" s="19" t="n"/>
      <c r="T259" s="19" t="n"/>
      <c r="U259" s="19" t="n"/>
      <c r="V259" s="19" t="n"/>
      <c r="W259" s="19" t="n"/>
      <c r="X259" s="19" t="n"/>
      <c r="Y259" s="19" t="n"/>
      <c r="Z259" s="19" t="n"/>
      <c r="AA259" s="19" t="n"/>
    </row>
    <row r="260" ht="15.75" customHeight="1" s="545">
      <c r="A260" s="19" t="n"/>
      <c r="B260" s="19" t="n"/>
      <c r="C260" s="19" t="n"/>
      <c r="D260" s="19" t="n"/>
      <c r="E260" s="19" t="n"/>
      <c r="F260" s="19" t="n"/>
      <c r="H260" s="19" t="n"/>
      <c r="I260" s="19" t="n"/>
      <c r="J260" s="19" t="n"/>
      <c r="K260" s="19" t="n"/>
      <c r="L260" s="19" t="n"/>
      <c r="M260" s="19" t="n"/>
      <c r="N260" s="19" t="n"/>
      <c r="O260" s="19" t="n"/>
      <c r="P260" s="19" t="n"/>
      <c r="Q260" s="19" t="n"/>
      <c r="R260" s="19" t="n"/>
      <c r="S260" s="19" t="n"/>
      <c r="T260" s="19" t="n"/>
      <c r="U260" s="19" t="n"/>
      <c r="V260" s="19" t="n"/>
      <c r="W260" s="19" t="n"/>
      <c r="X260" s="19" t="n"/>
      <c r="Y260" s="19" t="n"/>
      <c r="Z260" s="19" t="n"/>
      <c r="AA260" s="19" t="n"/>
    </row>
    <row r="261" ht="15.75" customHeight="1" s="545">
      <c r="A261" s="19" t="n"/>
      <c r="B261" s="19" t="n"/>
      <c r="C261" s="19" t="n"/>
      <c r="D261" s="19" t="n"/>
      <c r="E261" s="19" t="n"/>
      <c r="F261" s="19" t="n"/>
      <c r="H261" s="19" t="n"/>
      <c r="I261" s="19" t="n"/>
      <c r="J261" s="19" t="n"/>
      <c r="K261" s="19" t="n"/>
      <c r="L261" s="19" t="n"/>
      <c r="M261" s="19" t="n"/>
      <c r="N261" s="19" t="n"/>
      <c r="O261" s="19" t="n"/>
      <c r="P261" s="19" t="n"/>
      <c r="Q261" s="19" t="n"/>
      <c r="R261" s="19" t="n"/>
      <c r="S261" s="19" t="n"/>
      <c r="T261" s="19" t="n"/>
      <c r="U261" s="19" t="n"/>
      <c r="V261" s="19" t="n"/>
      <c r="W261" s="19" t="n"/>
      <c r="X261" s="19" t="n"/>
      <c r="Y261" s="19" t="n"/>
      <c r="Z261" s="19" t="n"/>
      <c r="AA261" s="19" t="n"/>
    </row>
    <row r="262" ht="15.75" customHeight="1" s="545">
      <c r="A262" s="19" t="n"/>
      <c r="B262" s="19" t="n"/>
      <c r="C262" s="19" t="n"/>
      <c r="D262" s="19" t="n"/>
      <c r="E262" s="19" t="n"/>
      <c r="F262" s="19" t="n"/>
      <c r="H262" s="19" t="n"/>
      <c r="I262" s="19" t="n"/>
      <c r="J262" s="19" t="n"/>
      <c r="K262" s="19" t="n"/>
      <c r="L262" s="19" t="n"/>
      <c r="M262" s="19" t="n"/>
      <c r="N262" s="19" t="n"/>
      <c r="O262" s="19" t="n"/>
      <c r="P262" s="19" t="n"/>
      <c r="Q262" s="19" t="n"/>
      <c r="R262" s="19" t="n"/>
      <c r="S262" s="19" t="n"/>
      <c r="T262" s="19" t="n"/>
      <c r="U262" s="19" t="n"/>
      <c r="V262" s="19" t="n"/>
      <c r="W262" s="19" t="n"/>
      <c r="X262" s="19" t="n"/>
      <c r="Y262" s="19" t="n"/>
      <c r="Z262" s="19" t="n"/>
      <c r="AA262" s="19" t="n"/>
    </row>
    <row r="263" ht="15.75" customHeight="1" s="545">
      <c r="A263" s="19" t="n"/>
      <c r="B263" s="19" t="n"/>
      <c r="C263" s="19" t="n"/>
      <c r="D263" s="19" t="n"/>
      <c r="E263" s="19" t="n"/>
      <c r="F263" s="19" t="n"/>
      <c r="H263" s="19" t="n"/>
      <c r="I263" s="19" t="n"/>
      <c r="J263" s="19" t="n"/>
      <c r="K263" s="19" t="n"/>
      <c r="L263" s="19" t="n"/>
      <c r="M263" s="19" t="n"/>
      <c r="N263" s="19" t="n"/>
      <c r="O263" s="19" t="n"/>
      <c r="P263" s="19" t="n"/>
      <c r="Q263" s="19" t="n"/>
      <c r="R263" s="19" t="n"/>
      <c r="S263" s="19" t="n"/>
      <c r="T263" s="19" t="n"/>
      <c r="U263" s="19" t="n"/>
      <c r="V263" s="19" t="n"/>
      <c r="W263" s="19" t="n"/>
      <c r="X263" s="19" t="n"/>
      <c r="Y263" s="19" t="n"/>
      <c r="Z263" s="19" t="n"/>
      <c r="AA263" s="19" t="n"/>
    </row>
    <row r="264" ht="15.75" customHeight="1" s="545">
      <c r="A264" s="19" t="n"/>
      <c r="B264" s="19" t="n"/>
      <c r="C264" s="19" t="n"/>
      <c r="D264" s="19" t="n"/>
      <c r="E264" s="19" t="n"/>
      <c r="F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c r="AA264" s="19" t="n"/>
    </row>
    <row r="265" ht="15.75" customHeight="1" s="545">
      <c r="A265" s="19" t="n"/>
      <c r="B265" s="19" t="n"/>
      <c r="C265" s="19" t="n"/>
      <c r="D265" s="19" t="n"/>
      <c r="E265" s="19" t="n"/>
      <c r="F265" s="19" t="n"/>
      <c r="H265" s="19" t="n"/>
      <c r="I265" s="19" t="n"/>
      <c r="J265" s="19" t="n"/>
      <c r="K265" s="19" t="n"/>
      <c r="L265" s="19" t="n"/>
      <c r="M265" s="19" t="n"/>
      <c r="N265" s="19" t="n"/>
      <c r="O265" s="19" t="n"/>
      <c r="P265" s="19" t="n"/>
      <c r="Q265" s="19" t="n"/>
      <c r="R265" s="19" t="n"/>
      <c r="S265" s="19" t="n"/>
      <c r="T265" s="19" t="n"/>
      <c r="U265" s="19" t="n"/>
      <c r="V265" s="19" t="n"/>
      <c r="W265" s="19" t="n"/>
      <c r="X265" s="19" t="n"/>
      <c r="Y265" s="19" t="n"/>
      <c r="Z265" s="19" t="n"/>
      <c r="AA265" s="19" t="n"/>
    </row>
    <row r="266" ht="15.75" customHeight="1" s="545">
      <c r="A266" s="19" t="n"/>
      <c r="B266" s="19" t="n"/>
      <c r="C266" s="19" t="n"/>
      <c r="D266" s="19" t="n"/>
      <c r="E266" s="19" t="n"/>
      <c r="F266" s="19" t="n"/>
      <c r="H266" s="19" t="n"/>
      <c r="I266" s="19" t="n"/>
      <c r="J266" s="19" t="n"/>
      <c r="K266" s="19" t="n"/>
      <c r="L266" s="19" t="n"/>
      <c r="M266" s="19" t="n"/>
      <c r="N266" s="19" t="n"/>
      <c r="O266" s="19" t="n"/>
      <c r="P266" s="19" t="n"/>
      <c r="Q266" s="19" t="n"/>
      <c r="R266" s="19" t="n"/>
      <c r="S266" s="19" t="n"/>
      <c r="T266" s="19" t="n"/>
      <c r="U266" s="19" t="n"/>
      <c r="V266" s="19" t="n"/>
      <c r="W266" s="19" t="n"/>
      <c r="X266" s="19" t="n"/>
      <c r="Y266" s="19" t="n"/>
      <c r="Z266" s="19" t="n"/>
      <c r="AA266" s="19" t="n"/>
    </row>
    <row r="267" ht="15.75" customHeight="1" s="545">
      <c r="A267" s="19" t="n"/>
      <c r="B267" s="19" t="n"/>
      <c r="C267" s="19" t="n"/>
      <c r="D267" s="19" t="n"/>
      <c r="E267" s="19" t="n"/>
      <c r="F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c r="AA267" s="19" t="n"/>
    </row>
    <row r="268" ht="15.75" customHeight="1" s="545">
      <c r="A268" s="19" t="n"/>
      <c r="B268" s="19" t="n"/>
      <c r="C268" s="19" t="n"/>
      <c r="D268" s="19" t="n"/>
      <c r="E268" s="19" t="n"/>
      <c r="F268" s="19" t="n"/>
      <c r="H268" s="19" t="n"/>
      <c r="I268" s="19" t="n"/>
      <c r="J268" s="19" t="n"/>
      <c r="K268" s="19" t="n"/>
      <c r="L268" s="19" t="n"/>
      <c r="M268" s="19" t="n"/>
      <c r="N268" s="19" t="n"/>
      <c r="O268" s="19" t="n"/>
      <c r="P268" s="19" t="n"/>
      <c r="Q268" s="19" t="n"/>
      <c r="R268" s="19" t="n"/>
      <c r="S268" s="19" t="n"/>
      <c r="T268" s="19" t="n"/>
      <c r="U268" s="19" t="n"/>
      <c r="V268" s="19" t="n"/>
      <c r="W268" s="19" t="n"/>
      <c r="X268" s="19" t="n"/>
      <c r="Y268" s="19" t="n"/>
      <c r="Z268" s="19" t="n"/>
      <c r="AA268" s="19" t="n"/>
    </row>
    <row r="269" ht="15.75" customHeight="1" s="545">
      <c r="A269" s="19" t="n"/>
      <c r="B269" s="19" t="n"/>
      <c r="C269" s="19" t="n"/>
      <c r="D269" s="19" t="n"/>
      <c r="E269" s="19" t="n"/>
      <c r="F269" s="19" t="n"/>
      <c r="H269" s="19" t="n"/>
      <c r="I269" s="19" t="n"/>
      <c r="J269" s="19" t="n"/>
      <c r="K269" s="19" t="n"/>
      <c r="L269" s="19" t="n"/>
      <c r="M269" s="19" t="n"/>
      <c r="N269" s="19" t="n"/>
      <c r="O269" s="19" t="n"/>
      <c r="P269" s="19" t="n"/>
      <c r="Q269" s="19" t="n"/>
      <c r="R269" s="19" t="n"/>
      <c r="S269" s="19" t="n"/>
      <c r="T269" s="19" t="n"/>
      <c r="U269" s="19" t="n"/>
      <c r="V269" s="19" t="n"/>
      <c r="W269" s="19" t="n"/>
      <c r="X269" s="19" t="n"/>
      <c r="Y269" s="19" t="n"/>
      <c r="Z269" s="19" t="n"/>
      <c r="AA269" s="19" t="n"/>
    </row>
    <row r="270" ht="15.75" customHeight="1" s="545">
      <c r="A270" s="19" t="n"/>
      <c r="B270" s="19" t="n"/>
      <c r="C270" s="19" t="n"/>
      <c r="D270" s="19" t="n"/>
      <c r="E270" s="19" t="n"/>
      <c r="F270" s="19" t="n"/>
      <c r="H270" s="19" t="n"/>
      <c r="I270" s="19" t="n"/>
      <c r="J270" s="19" t="n"/>
      <c r="K270" s="19" t="n"/>
      <c r="L270" s="19" t="n"/>
      <c r="M270" s="19" t="n"/>
      <c r="N270" s="19" t="n"/>
      <c r="O270" s="19" t="n"/>
      <c r="P270" s="19" t="n"/>
      <c r="Q270" s="19" t="n"/>
      <c r="R270" s="19" t="n"/>
      <c r="S270" s="19" t="n"/>
      <c r="T270" s="19" t="n"/>
      <c r="U270" s="19" t="n"/>
      <c r="V270" s="19" t="n"/>
      <c r="W270" s="19" t="n"/>
      <c r="X270" s="19" t="n"/>
      <c r="Y270" s="19" t="n"/>
      <c r="Z270" s="19" t="n"/>
      <c r="AA270" s="19" t="n"/>
    </row>
    <row r="271" ht="15.75" customHeight="1" s="545">
      <c r="A271" s="19" t="n"/>
      <c r="B271" s="19" t="n"/>
      <c r="C271" s="19" t="n"/>
      <c r="D271" s="19" t="n"/>
      <c r="E271" s="19" t="n"/>
      <c r="F271" s="19" t="n"/>
      <c r="H271" s="19" t="n"/>
      <c r="I271" s="19" t="n"/>
      <c r="J271" s="19" t="n"/>
      <c r="K271" s="19" t="n"/>
      <c r="L271" s="19" t="n"/>
      <c r="M271" s="19" t="n"/>
      <c r="N271" s="19" t="n"/>
      <c r="O271" s="19" t="n"/>
      <c r="P271" s="19" t="n"/>
      <c r="Q271" s="19" t="n"/>
      <c r="R271" s="19" t="n"/>
      <c r="S271" s="19" t="n"/>
      <c r="T271" s="19" t="n"/>
      <c r="U271" s="19" t="n"/>
      <c r="V271" s="19" t="n"/>
      <c r="W271" s="19" t="n"/>
      <c r="X271" s="19" t="n"/>
      <c r="Y271" s="19" t="n"/>
      <c r="Z271" s="19" t="n"/>
      <c r="AA271" s="19" t="n"/>
    </row>
    <row r="272" ht="15.75" customHeight="1" s="545">
      <c r="A272" s="19" t="n"/>
      <c r="B272" s="19" t="n"/>
      <c r="C272" s="19" t="n"/>
      <c r="D272" s="19" t="n"/>
      <c r="E272" s="19" t="n"/>
      <c r="F272" s="19" t="n"/>
      <c r="H272" s="19" t="n"/>
      <c r="I272" s="19" t="n"/>
      <c r="J272" s="19" t="n"/>
      <c r="K272" s="19" t="n"/>
      <c r="L272" s="19" t="n"/>
      <c r="M272" s="19" t="n"/>
      <c r="N272" s="19" t="n"/>
      <c r="O272" s="19" t="n"/>
      <c r="P272" s="19" t="n"/>
      <c r="Q272" s="19" t="n"/>
      <c r="R272" s="19" t="n"/>
      <c r="S272" s="19" t="n"/>
      <c r="T272" s="19" t="n"/>
      <c r="U272" s="19" t="n"/>
      <c r="V272" s="19" t="n"/>
      <c r="W272" s="19" t="n"/>
      <c r="X272" s="19" t="n"/>
      <c r="Y272" s="19" t="n"/>
      <c r="Z272" s="19" t="n"/>
      <c r="AA272" s="19" t="n"/>
    </row>
    <row r="273" ht="15.75" customHeight="1" s="545">
      <c r="A273" s="19" t="n"/>
      <c r="B273" s="19" t="n"/>
      <c r="C273" s="19" t="n"/>
      <c r="D273" s="19" t="n"/>
      <c r="E273" s="19" t="n"/>
      <c r="F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c r="AA273" s="19" t="n"/>
    </row>
    <row r="274" ht="15.75" customHeight="1" s="545">
      <c r="A274" s="19" t="n"/>
      <c r="B274" s="19" t="n"/>
      <c r="C274" s="19" t="n"/>
      <c r="D274" s="19" t="n"/>
      <c r="E274" s="19" t="n"/>
      <c r="F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c r="AA274" s="19" t="n"/>
    </row>
    <row r="275" ht="15.75" customHeight="1" s="545">
      <c r="A275" s="19" t="n"/>
      <c r="B275" s="19" t="n"/>
      <c r="C275" s="19" t="n"/>
      <c r="D275" s="19" t="n"/>
      <c r="E275" s="19" t="n"/>
      <c r="F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c r="AA275" s="19" t="n"/>
    </row>
    <row r="276" ht="15.75" customHeight="1" s="545">
      <c r="A276" s="19" t="n"/>
      <c r="B276" s="19" t="n"/>
      <c r="C276" s="19" t="n"/>
      <c r="D276" s="19" t="n"/>
      <c r="E276" s="19" t="n"/>
      <c r="F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c r="AA276" s="19" t="n"/>
    </row>
    <row r="277" ht="15.75" customHeight="1" s="545">
      <c r="A277" s="19" t="n"/>
      <c r="B277" s="19" t="n"/>
      <c r="C277" s="19" t="n"/>
      <c r="D277" s="19" t="n"/>
      <c r="E277" s="19" t="n"/>
      <c r="F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c r="AA277" s="19" t="n"/>
    </row>
    <row r="278" ht="15.75" customHeight="1" s="545">
      <c r="A278" s="19" t="n"/>
      <c r="B278" s="19" t="n"/>
      <c r="C278" s="19" t="n"/>
      <c r="D278" s="19" t="n"/>
      <c r="E278" s="19" t="n"/>
      <c r="F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c r="AA278" s="19" t="n"/>
    </row>
    <row r="279" ht="15.75" customHeight="1" s="545">
      <c r="A279" s="19" t="n"/>
      <c r="B279" s="19" t="n"/>
      <c r="C279" s="19" t="n"/>
      <c r="D279" s="19" t="n"/>
      <c r="E279" s="19" t="n"/>
      <c r="F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c r="AA279" s="19" t="n"/>
    </row>
    <row r="280" ht="15.75" customHeight="1" s="545">
      <c r="A280" s="19" t="n"/>
      <c r="B280" s="19" t="n"/>
      <c r="C280" s="19" t="n"/>
      <c r="D280" s="19" t="n"/>
      <c r="E280" s="19" t="n"/>
      <c r="F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c r="AA280" s="19" t="n"/>
    </row>
    <row r="281" ht="15.75" customHeight="1" s="545">
      <c r="A281" s="19" t="n"/>
      <c r="B281" s="19" t="n"/>
      <c r="C281" s="19" t="n"/>
      <c r="D281" s="19" t="n"/>
      <c r="E281" s="19" t="n"/>
      <c r="F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c r="AA281" s="19" t="n"/>
    </row>
    <row r="282" ht="15.75" customHeight="1" s="545">
      <c r="A282" s="19" t="n"/>
      <c r="B282" s="19" t="n"/>
      <c r="C282" s="19" t="n"/>
      <c r="D282" s="19" t="n"/>
      <c r="E282" s="19" t="n"/>
      <c r="F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c r="AA282" s="19" t="n"/>
    </row>
    <row r="283" ht="15.75" customHeight="1" s="545">
      <c r="A283" s="19" t="n"/>
      <c r="B283" s="19" t="n"/>
      <c r="C283" s="19" t="n"/>
      <c r="D283" s="19" t="n"/>
      <c r="E283" s="19" t="n"/>
      <c r="F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c r="AA283" s="19" t="n"/>
    </row>
    <row r="284" ht="15.75" customHeight="1" s="545">
      <c r="A284" s="19" t="n"/>
      <c r="B284" s="19" t="n"/>
      <c r="C284" s="19" t="n"/>
      <c r="D284" s="19" t="n"/>
      <c r="E284" s="19" t="n"/>
      <c r="F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c r="AA284" s="19" t="n"/>
    </row>
    <row r="285" ht="15.75" customHeight="1" s="545">
      <c r="A285" s="19" t="n"/>
      <c r="B285" s="19" t="n"/>
      <c r="C285" s="19" t="n"/>
      <c r="D285" s="19" t="n"/>
      <c r="E285" s="19" t="n"/>
      <c r="F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c r="AA285" s="19" t="n"/>
    </row>
    <row r="286" ht="15.75" customHeight="1" s="545">
      <c r="A286" s="19" t="n"/>
      <c r="B286" s="19" t="n"/>
      <c r="C286" s="19" t="n"/>
      <c r="D286" s="19" t="n"/>
      <c r="E286" s="19" t="n"/>
      <c r="F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c r="AA286" s="19" t="n"/>
    </row>
    <row r="287" ht="15.75" customHeight="1" s="545">
      <c r="A287" s="19" t="n"/>
      <c r="B287" s="19" t="n"/>
      <c r="C287" s="19" t="n"/>
      <c r="D287" s="19" t="n"/>
      <c r="E287" s="19" t="n"/>
      <c r="F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c r="AA287" s="19" t="n"/>
    </row>
    <row r="288" ht="15.75" customHeight="1" s="545">
      <c r="A288" s="19" t="n"/>
      <c r="B288" s="19" t="n"/>
      <c r="C288" s="19" t="n"/>
      <c r="D288" s="19" t="n"/>
      <c r="E288" s="19" t="n"/>
      <c r="F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c r="AA288" s="19" t="n"/>
    </row>
    <row r="289" ht="15.75" customHeight="1" s="545">
      <c r="A289" s="19" t="n"/>
      <c r="B289" s="19" t="n"/>
      <c r="C289" s="19" t="n"/>
      <c r="D289" s="19" t="n"/>
      <c r="E289" s="19" t="n"/>
      <c r="F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c r="AA289" s="19" t="n"/>
    </row>
    <row r="290" ht="15.75" customHeight="1" s="545">
      <c r="A290" s="19" t="n"/>
      <c r="B290" s="19" t="n"/>
      <c r="C290" s="19" t="n"/>
      <c r="D290" s="19" t="n"/>
      <c r="E290" s="19" t="n"/>
      <c r="F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c r="AA290" s="19" t="n"/>
    </row>
    <row r="291" ht="15.75" customHeight="1" s="545">
      <c r="A291" s="19" t="n"/>
      <c r="B291" s="19" t="n"/>
      <c r="C291" s="19" t="n"/>
      <c r="D291" s="19" t="n"/>
      <c r="E291" s="19" t="n"/>
      <c r="F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c r="AA291" s="19" t="n"/>
    </row>
    <row r="292" ht="15.75" customHeight="1" s="545">
      <c r="A292" s="19" t="n"/>
      <c r="B292" s="19" t="n"/>
      <c r="C292" s="19" t="n"/>
      <c r="D292" s="19" t="n"/>
      <c r="E292" s="19" t="n"/>
      <c r="F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c r="AA292" s="19" t="n"/>
    </row>
    <row r="293" ht="15.75" customHeight="1" s="545">
      <c r="A293" s="19" t="n"/>
      <c r="B293" s="19" t="n"/>
      <c r="C293" s="19" t="n"/>
      <c r="D293" s="19" t="n"/>
      <c r="E293" s="19" t="n"/>
      <c r="F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c r="AA293" s="19" t="n"/>
    </row>
    <row r="294" ht="15.75" customHeight="1" s="545">
      <c r="A294" s="19" t="n"/>
      <c r="B294" s="19" t="n"/>
      <c r="C294" s="19" t="n"/>
      <c r="D294" s="19" t="n"/>
      <c r="E294" s="19" t="n"/>
      <c r="F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c r="AA294" s="19" t="n"/>
    </row>
    <row r="295" ht="15.75" customHeight="1" s="545">
      <c r="A295" s="19" t="n"/>
      <c r="B295" s="19" t="n"/>
      <c r="C295" s="19" t="n"/>
      <c r="D295" s="19" t="n"/>
      <c r="E295" s="19" t="n"/>
      <c r="F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c r="AA295" s="19" t="n"/>
    </row>
    <row r="296" ht="15.75" customHeight="1" s="545">
      <c r="A296" s="19" t="n"/>
      <c r="B296" s="19" t="n"/>
      <c r="C296" s="19" t="n"/>
      <c r="D296" s="19" t="n"/>
      <c r="E296" s="19" t="n"/>
      <c r="F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c r="AA296" s="19" t="n"/>
    </row>
    <row r="297" ht="15.75" customHeight="1" s="545">
      <c r="A297" s="19" t="n"/>
      <c r="B297" s="19" t="n"/>
      <c r="C297" s="19" t="n"/>
      <c r="D297" s="19" t="n"/>
      <c r="E297" s="19" t="n"/>
      <c r="F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c r="AA297" s="19" t="n"/>
    </row>
    <row r="298" ht="15.75" customHeight="1" s="545">
      <c r="A298" s="19" t="n"/>
      <c r="B298" s="19" t="n"/>
      <c r="C298" s="19" t="n"/>
      <c r="D298" s="19" t="n"/>
      <c r="E298" s="19" t="n"/>
      <c r="F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c r="AA298" s="19" t="n"/>
    </row>
    <row r="299" ht="15.75" customHeight="1" s="545">
      <c r="A299" s="19" t="n"/>
      <c r="B299" s="19" t="n"/>
      <c r="C299" s="19" t="n"/>
      <c r="D299" s="19" t="n"/>
      <c r="E299" s="19" t="n"/>
      <c r="F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c r="AA299" s="19" t="n"/>
    </row>
    <row r="300" ht="15.75" customHeight="1" s="545">
      <c r="A300" s="19" t="n"/>
      <c r="B300" s="19" t="n"/>
      <c r="C300" s="19" t="n"/>
      <c r="D300" s="19" t="n"/>
      <c r="E300" s="19" t="n"/>
      <c r="F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c r="AA300" s="19" t="n"/>
    </row>
    <row r="301" ht="15.75" customHeight="1" s="545">
      <c r="A301" s="19" t="n"/>
      <c r="B301" s="19" t="n"/>
      <c r="C301" s="19" t="n"/>
      <c r="D301" s="19" t="n"/>
      <c r="E301" s="19" t="n"/>
      <c r="F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c r="AA301" s="19" t="n"/>
    </row>
    <row r="302" ht="15.75" customHeight="1" s="545">
      <c r="A302" s="19" t="n"/>
      <c r="B302" s="19" t="n"/>
      <c r="C302" s="19" t="n"/>
      <c r="D302" s="19" t="n"/>
      <c r="E302" s="19" t="n"/>
      <c r="F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c r="AA302" s="19" t="n"/>
    </row>
    <row r="303" ht="15.75" customHeight="1" s="545">
      <c r="A303" s="19" t="n"/>
      <c r="B303" s="19" t="n"/>
      <c r="C303" s="19" t="n"/>
      <c r="D303" s="19" t="n"/>
      <c r="E303" s="19" t="n"/>
      <c r="F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c r="AA303" s="19" t="n"/>
    </row>
    <row r="304" ht="15.75" customHeight="1" s="545">
      <c r="A304" s="19" t="n"/>
      <c r="B304" s="19" t="n"/>
      <c r="C304" s="19" t="n"/>
      <c r="D304" s="19" t="n"/>
      <c r="E304" s="19" t="n"/>
      <c r="F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c r="AA304" s="19" t="n"/>
    </row>
    <row r="305" ht="15.75" customHeight="1" s="545">
      <c r="A305" s="19" t="n"/>
      <c r="B305" s="19" t="n"/>
      <c r="C305" s="19" t="n"/>
      <c r="D305" s="19" t="n"/>
      <c r="E305" s="19" t="n"/>
      <c r="F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c r="AA305" s="19" t="n"/>
    </row>
    <row r="306" ht="15.75" customHeight="1" s="545">
      <c r="A306" s="19" t="n"/>
      <c r="B306" s="19" t="n"/>
      <c r="C306" s="19" t="n"/>
      <c r="D306" s="19" t="n"/>
      <c r="E306" s="19" t="n"/>
      <c r="F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c r="AA306" s="19" t="n"/>
    </row>
    <row r="307" ht="15.75" customHeight="1" s="545">
      <c r="A307" s="19" t="n"/>
      <c r="B307" s="19" t="n"/>
      <c r="C307" s="19" t="n"/>
      <c r="D307" s="19" t="n"/>
      <c r="E307" s="19" t="n"/>
      <c r="F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c r="AA307" s="19" t="n"/>
    </row>
    <row r="308" ht="15.75" customHeight="1" s="545">
      <c r="A308" s="19" t="n"/>
      <c r="B308" s="19" t="n"/>
      <c r="C308" s="19" t="n"/>
      <c r="D308" s="19" t="n"/>
      <c r="E308" s="19" t="n"/>
      <c r="F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c r="AA308" s="19" t="n"/>
    </row>
    <row r="309" ht="15.75" customHeight="1" s="545">
      <c r="A309" s="19" t="n"/>
      <c r="B309" s="19" t="n"/>
      <c r="C309" s="19" t="n"/>
      <c r="D309" s="19" t="n"/>
      <c r="E309" s="19" t="n"/>
      <c r="F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c r="AA309" s="19" t="n"/>
    </row>
    <row r="310" ht="15.75" customHeight="1" s="545">
      <c r="A310" s="19" t="n"/>
      <c r="B310" s="19" t="n"/>
      <c r="C310" s="19" t="n"/>
      <c r="D310" s="19" t="n"/>
      <c r="E310" s="19" t="n"/>
      <c r="F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c r="AA310" s="19" t="n"/>
    </row>
    <row r="311" ht="15.75" customHeight="1" s="545">
      <c r="A311" s="19" t="n"/>
      <c r="B311" s="19" t="n"/>
      <c r="C311" s="19" t="n"/>
      <c r="D311" s="19" t="n"/>
      <c r="E311" s="19" t="n"/>
      <c r="F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c r="AA311" s="19" t="n"/>
    </row>
    <row r="312" ht="15.75" customHeight="1" s="545">
      <c r="A312" s="19" t="n"/>
      <c r="B312" s="19" t="n"/>
      <c r="C312" s="19" t="n"/>
      <c r="D312" s="19" t="n"/>
      <c r="E312" s="19" t="n"/>
      <c r="F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c r="AA312" s="19" t="n"/>
    </row>
    <row r="313" ht="15.75" customHeight="1" s="545">
      <c r="A313" s="19" t="n"/>
      <c r="B313" s="19" t="n"/>
      <c r="C313" s="19" t="n"/>
      <c r="D313" s="19" t="n"/>
      <c r="E313" s="19" t="n"/>
      <c r="F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c r="AA313" s="19" t="n"/>
    </row>
    <row r="314" ht="15.75" customHeight="1" s="545">
      <c r="A314" s="19" t="n"/>
      <c r="B314" s="19" t="n"/>
      <c r="C314" s="19" t="n"/>
      <c r="D314" s="19" t="n"/>
      <c r="E314" s="19" t="n"/>
      <c r="F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c r="AA314" s="19" t="n"/>
    </row>
    <row r="315" ht="15.75" customHeight="1" s="545">
      <c r="A315" s="19" t="n"/>
      <c r="B315" s="19" t="n"/>
      <c r="C315" s="19" t="n"/>
      <c r="D315" s="19" t="n"/>
      <c r="E315" s="19" t="n"/>
      <c r="F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c r="AA315" s="19" t="n"/>
    </row>
    <row r="316" ht="15.75" customHeight="1" s="545">
      <c r="A316" s="19" t="n"/>
      <c r="B316" s="19" t="n"/>
      <c r="C316" s="19" t="n"/>
      <c r="D316" s="19" t="n"/>
      <c r="E316" s="19" t="n"/>
      <c r="F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c r="AA316" s="19" t="n"/>
    </row>
    <row r="317" ht="15.75" customHeight="1" s="545">
      <c r="A317" s="19" t="n"/>
      <c r="B317" s="19" t="n"/>
      <c r="C317" s="19" t="n"/>
      <c r="D317" s="19" t="n"/>
      <c r="E317" s="19" t="n"/>
      <c r="F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c r="AA317" s="19" t="n"/>
    </row>
    <row r="318" ht="15.75" customHeight="1" s="545">
      <c r="A318" s="19" t="n"/>
      <c r="B318" s="19" t="n"/>
      <c r="C318" s="19" t="n"/>
      <c r="D318" s="19" t="n"/>
      <c r="E318" s="19" t="n"/>
      <c r="F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c r="AA318" s="19" t="n"/>
    </row>
    <row r="319" ht="15.75" customHeight="1" s="545">
      <c r="A319" s="19" t="n"/>
      <c r="B319" s="19" t="n"/>
      <c r="C319" s="19" t="n"/>
      <c r="D319" s="19" t="n"/>
      <c r="E319" s="19" t="n"/>
      <c r="F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c r="AA319" s="19" t="n"/>
    </row>
    <row r="320" ht="15.75" customHeight="1" s="545">
      <c r="A320" s="19" t="n"/>
      <c r="B320" s="19" t="n"/>
      <c r="C320" s="19" t="n"/>
      <c r="D320" s="19" t="n"/>
      <c r="E320" s="19" t="n"/>
      <c r="F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c r="AA320" s="19" t="n"/>
    </row>
    <row r="321" ht="15.75" customHeight="1" s="545">
      <c r="A321" s="19" t="n"/>
      <c r="B321" s="19" t="n"/>
      <c r="C321" s="19" t="n"/>
      <c r="D321" s="19" t="n"/>
      <c r="E321" s="19" t="n"/>
      <c r="F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c r="AA321" s="19" t="n"/>
    </row>
    <row r="322" ht="15.75" customHeight="1" s="545">
      <c r="A322" s="19" t="n"/>
      <c r="B322" s="19" t="n"/>
      <c r="C322" s="19" t="n"/>
      <c r="D322" s="19" t="n"/>
      <c r="E322" s="19" t="n"/>
      <c r="F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c r="AA322" s="19" t="n"/>
    </row>
    <row r="323" ht="15.75" customHeight="1" s="545">
      <c r="A323" s="19" t="n"/>
      <c r="B323" s="19" t="n"/>
      <c r="C323" s="19" t="n"/>
      <c r="D323" s="19" t="n"/>
      <c r="E323" s="19" t="n"/>
      <c r="F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c r="AA323" s="19" t="n"/>
    </row>
    <row r="324" ht="15.75" customHeight="1" s="545">
      <c r="A324" s="19" t="n"/>
      <c r="B324" s="19" t="n"/>
      <c r="C324" s="19" t="n"/>
      <c r="D324" s="19" t="n"/>
      <c r="E324" s="19" t="n"/>
      <c r="F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c r="AA324" s="19" t="n"/>
    </row>
    <row r="325" ht="15.75" customHeight="1" s="545">
      <c r="A325" s="19" t="n"/>
      <c r="B325" s="19" t="n"/>
      <c r="C325" s="19" t="n"/>
      <c r="D325" s="19" t="n"/>
      <c r="E325" s="19" t="n"/>
      <c r="F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c r="AA325" s="19" t="n"/>
    </row>
    <row r="326" ht="15.75" customHeight="1" s="545">
      <c r="A326" s="19" t="n"/>
      <c r="B326" s="19" t="n"/>
      <c r="C326" s="19" t="n"/>
      <c r="D326" s="19" t="n"/>
      <c r="E326" s="19" t="n"/>
      <c r="F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c r="AA326" s="19" t="n"/>
    </row>
    <row r="327" ht="15.75" customHeight="1" s="545">
      <c r="A327" s="19" t="n"/>
      <c r="B327" s="19" t="n"/>
      <c r="C327" s="19" t="n"/>
      <c r="D327" s="19" t="n"/>
      <c r="E327" s="19" t="n"/>
      <c r="F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c r="AA327" s="19" t="n"/>
    </row>
    <row r="328" ht="15.75" customHeight="1" s="545">
      <c r="A328" s="19" t="n"/>
      <c r="B328" s="19" t="n"/>
      <c r="C328" s="19" t="n"/>
      <c r="D328" s="19" t="n"/>
      <c r="E328" s="19" t="n"/>
      <c r="F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c r="AA328" s="19" t="n"/>
    </row>
    <row r="329" ht="15.75" customHeight="1" s="545">
      <c r="A329" s="19" t="n"/>
      <c r="B329" s="19" t="n"/>
      <c r="C329" s="19" t="n"/>
      <c r="D329" s="19" t="n"/>
      <c r="E329" s="19" t="n"/>
      <c r="F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c r="AA329" s="19" t="n"/>
    </row>
    <row r="330" ht="15.75" customHeight="1" s="545">
      <c r="A330" s="19" t="n"/>
      <c r="B330" s="19" t="n"/>
      <c r="C330" s="19" t="n"/>
      <c r="D330" s="19" t="n"/>
      <c r="E330" s="19" t="n"/>
      <c r="F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c r="AA330" s="19" t="n"/>
    </row>
    <row r="331" ht="15.75" customHeight="1" s="545">
      <c r="A331" s="19" t="n"/>
      <c r="B331" s="19" t="n"/>
      <c r="C331" s="19" t="n"/>
      <c r="D331" s="19" t="n"/>
      <c r="E331" s="19" t="n"/>
      <c r="F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c r="AA331" s="19" t="n"/>
    </row>
    <row r="332" ht="15.75" customHeight="1" s="545">
      <c r="A332" s="19" t="n"/>
      <c r="B332" s="19" t="n"/>
      <c r="C332" s="19" t="n"/>
      <c r="D332" s="19" t="n"/>
      <c r="E332" s="19" t="n"/>
      <c r="F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c r="AA332" s="19" t="n"/>
    </row>
    <row r="333" ht="15.75" customHeight="1" s="545">
      <c r="A333" s="19" t="n"/>
      <c r="B333" s="19" t="n"/>
      <c r="C333" s="19" t="n"/>
      <c r="D333" s="19" t="n"/>
      <c r="E333" s="19" t="n"/>
      <c r="F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c r="AA333" s="19" t="n"/>
    </row>
    <row r="334" ht="15.75" customHeight="1" s="545">
      <c r="A334" s="19" t="n"/>
      <c r="B334" s="19" t="n"/>
      <c r="C334" s="19" t="n"/>
      <c r="D334" s="19" t="n"/>
      <c r="E334" s="19" t="n"/>
      <c r="F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c r="AA334" s="19" t="n"/>
    </row>
    <row r="335" ht="15.75" customHeight="1" s="545">
      <c r="A335" s="19" t="n"/>
      <c r="B335" s="19" t="n"/>
      <c r="C335" s="19" t="n"/>
      <c r="D335" s="19" t="n"/>
      <c r="E335" s="19" t="n"/>
      <c r="F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c r="AA335" s="19" t="n"/>
    </row>
    <row r="336" ht="15.75" customHeight="1" s="545">
      <c r="A336" s="19" t="n"/>
      <c r="B336" s="19" t="n"/>
      <c r="C336" s="19" t="n"/>
      <c r="D336" s="19" t="n"/>
      <c r="E336" s="19" t="n"/>
      <c r="F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c r="AA336" s="19" t="n"/>
    </row>
    <row r="337" ht="15.75" customHeight="1" s="545">
      <c r="A337" s="19" t="n"/>
      <c r="B337" s="19" t="n"/>
      <c r="C337" s="19" t="n"/>
      <c r="D337" s="19" t="n"/>
      <c r="E337" s="19" t="n"/>
      <c r="F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c r="AA337" s="19" t="n"/>
    </row>
    <row r="338" ht="15.75" customHeight="1" s="545">
      <c r="A338" s="19" t="n"/>
      <c r="B338" s="19" t="n"/>
      <c r="C338" s="19" t="n"/>
      <c r="D338" s="19" t="n"/>
      <c r="E338" s="19" t="n"/>
      <c r="F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c r="AA338" s="19" t="n"/>
    </row>
    <row r="339" ht="15.75" customHeight="1" s="545">
      <c r="A339" s="19" t="n"/>
      <c r="B339" s="19" t="n"/>
      <c r="C339" s="19" t="n"/>
      <c r="D339" s="19" t="n"/>
      <c r="E339" s="19" t="n"/>
      <c r="F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c r="AA339" s="19" t="n"/>
    </row>
    <row r="340" ht="15.75" customHeight="1" s="545">
      <c r="A340" s="19" t="n"/>
      <c r="B340" s="19" t="n"/>
      <c r="C340" s="19" t="n"/>
      <c r="D340" s="19" t="n"/>
      <c r="E340" s="19" t="n"/>
      <c r="F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c r="AA340" s="19" t="n"/>
    </row>
    <row r="341" ht="15.75" customHeight="1" s="545">
      <c r="A341" s="19" t="n"/>
      <c r="B341" s="19" t="n"/>
      <c r="C341" s="19" t="n"/>
      <c r="D341" s="19" t="n"/>
      <c r="E341" s="19" t="n"/>
      <c r="F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c r="AA341" s="19" t="n"/>
    </row>
    <row r="342" ht="15.75" customHeight="1" s="545">
      <c r="A342" s="19" t="n"/>
      <c r="B342" s="19" t="n"/>
      <c r="C342" s="19" t="n"/>
      <c r="D342" s="19" t="n"/>
      <c r="E342" s="19" t="n"/>
      <c r="F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c r="AA342" s="19" t="n"/>
    </row>
    <row r="343" ht="15.75" customHeight="1" s="545">
      <c r="A343" s="19" t="n"/>
      <c r="B343" s="19" t="n"/>
      <c r="C343" s="19" t="n"/>
      <c r="D343" s="19" t="n"/>
      <c r="E343" s="19" t="n"/>
      <c r="F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c r="AA343" s="19" t="n"/>
    </row>
    <row r="344" ht="15.75" customHeight="1" s="545">
      <c r="A344" s="19" t="n"/>
      <c r="B344" s="19" t="n"/>
      <c r="C344" s="19" t="n"/>
      <c r="D344" s="19" t="n"/>
      <c r="E344" s="19" t="n"/>
      <c r="F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c r="AA344" s="19" t="n"/>
    </row>
    <row r="345" ht="15.75" customHeight="1" s="545">
      <c r="A345" s="19" t="n"/>
      <c r="B345" s="19" t="n"/>
      <c r="C345" s="19" t="n"/>
      <c r="D345" s="19" t="n"/>
      <c r="E345" s="19" t="n"/>
      <c r="F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c r="AA345" s="19" t="n"/>
    </row>
    <row r="346" ht="15.75" customHeight="1" s="545">
      <c r="A346" s="19" t="n"/>
      <c r="B346" s="19" t="n"/>
      <c r="C346" s="19" t="n"/>
      <c r="D346" s="19" t="n"/>
      <c r="E346" s="19" t="n"/>
      <c r="F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c r="AA346" s="19" t="n"/>
    </row>
    <row r="347" ht="15.75" customHeight="1" s="545">
      <c r="A347" s="19" t="n"/>
      <c r="B347" s="19" t="n"/>
      <c r="C347" s="19" t="n"/>
      <c r="D347" s="19" t="n"/>
      <c r="E347" s="19" t="n"/>
      <c r="F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c r="AA347" s="19" t="n"/>
    </row>
    <row r="348" ht="15.75" customHeight="1" s="545">
      <c r="A348" s="19" t="n"/>
      <c r="B348" s="19" t="n"/>
      <c r="C348" s="19" t="n"/>
      <c r="D348" s="19" t="n"/>
      <c r="E348" s="19" t="n"/>
      <c r="F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c r="AA348" s="19" t="n"/>
    </row>
    <row r="349" ht="15.75" customHeight="1" s="545">
      <c r="A349" s="19" t="n"/>
      <c r="B349" s="19" t="n"/>
      <c r="C349" s="19" t="n"/>
      <c r="D349" s="19" t="n"/>
      <c r="E349" s="19" t="n"/>
      <c r="F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c r="AA349" s="19" t="n"/>
    </row>
    <row r="350" ht="15.75" customHeight="1" s="545">
      <c r="A350" s="19" t="n"/>
      <c r="B350" s="19" t="n"/>
      <c r="C350" s="19" t="n"/>
      <c r="D350" s="19" t="n"/>
      <c r="E350" s="19" t="n"/>
      <c r="F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c r="AA350" s="19" t="n"/>
    </row>
    <row r="351" ht="15.75" customHeight="1" s="545">
      <c r="A351" s="19" t="n"/>
      <c r="B351" s="19" t="n"/>
      <c r="C351" s="19" t="n"/>
      <c r="D351" s="19" t="n"/>
      <c r="E351" s="19" t="n"/>
      <c r="F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c r="AA351" s="19" t="n"/>
    </row>
    <row r="352" ht="15.75" customHeight="1" s="545">
      <c r="A352" s="19" t="n"/>
      <c r="B352" s="19" t="n"/>
      <c r="C352" s="19" t="n"/>
      <c r="D352" s="19" t="n"/>
      <c r="E352" s="19" t="n"/>
      <c r="F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c r="AA352" s="19" t="n"/>
    </row>
    <row r="353" ht="15.75" customHeight="1" s="545">
      <c r="A353" s="19" t="n"/>
      <c r="B353" s="19" t="n"/>
      <c r="C353" s="19" t="n"/>
      <c r="D353" s="19" t="n"/>
      <c r="E353" s="19" t="n"/>
      <c r="F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c r="AA353" s="19" t="n"/>
    </row>
    <row r="354" ht="15.75" customHeight="1" s="545">
      <c r="A354" s="19" t="n"/>
      <c r="B354" s="19" t="n"/>
      <c r="C354" s="19" t="n"/>
      <c r="D354" s="19" t="n"/>
      <c r="E354" s="19" t="n"/>
      <c r="F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c r="AA354" s="19" t="n"/>
    </row>
    <row r="355" ht="15.75" customHeight="1" s="545">
      <c r="A355" s="19" t="n"/>
      <c r="B355" s="19" t="n"/>
      <c r="C355" s="19" t="n"/>
      <c r="D355" s="19" t="n"/>
      <c r="E355" s="19" t="n"/>
      <c r="F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c r="AA355" s="19" t="n"/>
    </row>
    <row r="356" ht="15.75" customHeight="1" s="545">
      <c r="A356" s="19" t="n"/>
      <c r="B356" s="19" t="n"/>
      <c r="C356" s="19" t="n"/>
      <c r="D356" s="19" t="n"/>
      <c r="E356" s="19" t="n"/>
      <c r="F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c r="AA356" s="19" t="n"/>
    </row>
    <row r="357" ht="15.75" customHeight="1" s="545">
      <c r="A357" s="19" t="n"/>
      <c r="B357" s="19" t="n"/>
      <c r="C357" s="19" t="n"/>
      <c r="D357" s="19" t="n"/>
      <c r="E357" s="19" t="n"/>
      <c r="F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c r="AA357" s="19" t="n"/>
    </row>
    <row r="358" ht="15.75" customHeight="1" s="545">
      <c r="A358" s="19" t="n"/>
      <c r="B358" s="19" t="n"/>
      <c r="C358" s="19" t="n"/>
      <c r="D358" s="19" t="n"/>
      <c r="E358" s="19" t="n"/>
      <c r="F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c r="AA358" s="19" t="n"/>
    </row>
    <row r="359" ht="15.75" customHeight="1" s="545">
      <c r="A359" s="19" t="n"/>
      <c r="B359" s="19" t="n"/>
      <c r="C359" s="19" t="n"/>
      <c r="D359" s="19" t="n"/>
      <c r="E359" s="19" t="n"/>
      <c r="F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c r="AA359" s="19" t="n"/>
    </row>
    <row r="360" ht="15.75" customHeight="1" s="545">
      <c r="A360" s="19" t="n"/>
      <c r="B360" s="19" t="n"/>
      <c r="C360" s="19" t="n"/>
      <c r="D360" s="19" t="n"/>
      <c r="E360" s="19" t="n"/>
      <c r="F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c r="AA360" s="19" t="n"/>
    </row>
    <row r="361" ht="15.75" customHeight="1" s="545">
      <c r="A361" s="19" t="n"/>
      <c r="B361" s="19" t="n"/>
      <c r="C361" s="19" t="n"/>
      <c r="D361" s="19" t="n"/>
      <c r="E361" s="19" t="n"/>
      <c r="F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c r="AA361" s="19" t="n"/>
    </row>
    <row r="362" ht="15.75" customHeight="1" s="545">
      <c r="A362" s="19" t="n"/>
      <c r="B362" s="19" t="n"/>
      <c r="C362" s="19" t="n"/>
      <c r="D362" s="19" t="n"/>
      <c r="E362" s="19" t="n"/>
      <c r="F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c r="AA362" s="19" t="n"/>
    </row>
    <row r="363" ht="15.75" customHeight="1" s="545">
      <c r="A363" s="19" t="n"/>
      <c r="B363" s="19" t="n"/>
      <c r="C363" s="19" t="n"/>
      <c r="D363" s="19" t="n"/>
      <c r="E363" s="19" t="n"/>
      <c r="F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c r="AA363" s="19" t="n"/>
    </row>
    <row r="364" ht="15.75" customHeight="1" s="545">
      <c r="A364" s="19" t="n"/>
      <c r="B364" s="19" t="n"/>
      <c r="C364" s="19" t="n"/>
      <c r="D364" s="19" t="n"/>
      <c r="E364" s="19" t="n"/>
      <c r="F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c r="AA364" s="19" t="n"/>
    </row>
    <row r="365" ht="15.75" customHeight="1" s="545">
      <c r="A365" s="19" t="n"/>
      <c r="B365" s="19" t="n"/>
      <c r="C365" s="19" t="n"/>
      <c r="D365" s="19" t="n"/>
      <c r="E365" s="19" t="n"/>
      <c r="F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c r="AA365" s="19" t="n"/>
    </row>
    <row r="366" ht="15.75" customHeight="1" s="545">
      <c r="A366" s="19" t="n"/>
      <c r="B366" s="19" t="n"/>
      <c r="C366" s="19" t="n"/>
      <c r="D366" s="19" t="n"/>
      <c r="E366" s="19" t="n"/>
      <c r="F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c r="AA366" s="19" t="n"/>
    </row>
    <row r="367" ht="15.75" customHeight="1" s="545">
      <c r="A367" s="19" t="n"/>
      <c r="B367" s="19" t="n"/>
      <c r="C367" s="19" t="n"/>
      <c r="D367" s="19" t="n"/>
      <c r="E367" s="19" t="n"/>
      <c r="F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c r="AA367" s="19" t="n"/>
    </row>
    <row r="368" ht="15.75" customHeight="1" s="545">
      <c r="A368" s="19" t="n"/>
      <c r="B368" s="19" t="n"/>
      <c r="C368" s="19" t="n"/>
      <c r="D368" s="19" t="n"/>
      <c r="E368" s="19" t="n"/>
      <c r="F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c r="AA368" s="19" t="n"/>
    </row>
    <row r="369" ht="15.75" customHeight="1" s="545">
      <c r="A369" s="19" t="n"/>
      <c r="B369" s="19" t="n"/>
      <c r="C369" s="19" t="n"/>
      <c r="D369" s="19" t="n"/>
      <c r="E369" s="19" t="n"/>
      <c r="F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c r="AA369" s="19" t="n"/>
    </row>
    <row r="370" ht="15.75" customHeight="1" s="545">
      <c r="A370" s="19" t="n"/>
      <c r="B370" s="19" t="n"/>
      <c r="C370" s="19" t="n"/>
      <c r="D370" s="19" t="n"/>
      <c r="E370" s="19" t="n"/>
      <c r="F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c r="AA370" s="19" t="n"/>
    </row>
    <row r="371" ht="15.75" customHeight="1" s="545">
      <c r="A371" s="19" t="n"/>
      <c r="B371" s="19" t="n"/>
      <c r="C371" s="19" t="n"/>
      <c r="D371" s="19" t="n"/>
      <c r="E371" s="19" t="n"/>
      <c r="F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c r="AA371" s="19" t="n"/>
    </row>
    <row r="372" ht="15.75" customHeight="1" s="545">
      <c r="A372" s="19" t="n"/>
      <c r="B372" s="19" t="n"/>
      <c r="C372" s="19" t="n"/>
      <c r="D372" s="19" t="n"/>
      <c r="E372" s="19" t="n"/>
      <c r="F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c r="AA372" s="19" t="n"/>
    </row>
    <row r="373" ht="15.75" customHeight="1" s="545">
      <c r="A373" s="19" t="n"/>
      <c r="B373" s="19" t="n"/>
      <c r="C373" s="19" t="n"/>
      <c r="D373" s="19" t="n"/>
      <c r="E373" s="19" t="n"/>
      <c r="F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c r="AA373" s="19" t="n"/>
    </row>
    <row r="374" ht="15.75" customHeight="1" s="545">
      <c r="A374" s="19" t="n"/>
      <c r="B374" s="19" t="n"/>
      <c r="C374" s="19" t="n"/>
      <c r="D374" s="19" t="n"/>
      <c r="E374" s="19" t="n"/>
      <c r="F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c r="AA374" s="19" t="n"/>
    </row>
    <row r="375" ht="15.75" customHeight="1" s="545">
      <c r="A375" s="19" t="n"/>
      <c r="B375" s="19" t="n"/>
      <c r="C375" s="19" t="n"/>
      <c r="D375" s="19" t="n"/>
      <c r="E375" s="19" t="n"/>
      <c r="F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c r="AA375" s="19" t="n"/>
    </row>
    <row r="376" ht="15.75" customHeight="1" s="545">
      <c r="A376" s="19" t="n"/>
      <c r="B376" s="19" t="n"/>
      <c r="C376" s="19" t="n"/>
      <c r="D376" s="19" t="n"/>
      <c r="E376" s="19" t="n"/>
      <c r="F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c r="AA376" s="19" t="n"/>
    </row>
    <row r="377" ht="15.75" customHeight="1" s="545">
      <c r="A377" s="19" t="n"/>
      <c r="B377" s="19" t="n"/>
      <c r="C377" s="19" t="n"/>
      <c r="D377" s="19" t="n"/>
      <c r="E377" s="19" t="n"/>
      <c r="F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c r="AA377" s="19" t="n"/>
    </row>
    <row r="378" ht="15.75" customHeight="1" s="545">
      <c r="A378" s="19" t="n"/>
      <c r="B378" s="19" t="n"/>
      <c r="C378" s="19" t="n"/>
      <c r="D378" s="19" t="n"/>
      <c r="E378" s="19" t="n"/>
      <c r="F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c r="AA378" s="19" t="n"/>
    </row>
    <row r="379" ht="15.75" customHeight="1" s="545">
      <c r="A379" s="19" t="n"/>
      <c r="B379" s="19" t="n"/>
      <c r="C379" s="19" t="n"/>
      <c r="D379" s="19" t="n"/>
      <c r="E379" s="19" t="n"/>
      <c r="F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c r="AA379" s="19" t="n"/>
    </row>
    <row r="380" ht="15.75" customHeight="1" s="545">
      <c r="A380" s="19" t="n"/>
      <c r="B380" s="19" t="n"/>
      <c r="C380" s="19" t="n"/>
      <c r="D380" s="19" t="n"/>
      <c r="E380" s="19" t="n"/>
      <c r="F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c r="AA380" s="19" t="n"/>
    </row>
    <row r="381" ht="15.75" customHeight="1" s="545">
      <c r="A381" s="19" t="n"/>
      <c r="B381" s="19" t="n"/>
      <c r="C381" s="19" t="n"/>
      <c r="D381" s="19" t="n"/>
      <c r="E381" s="19" t="n"/>
      <c r="F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c r="AA381" s="19" t="n"/>
    </row>
    <row r="382" ht="15.75" customHeight="1" s="545">
      <c r="A382" s="19" t="n"/>
      <c r="B382" s="19" t="n"/>
      <c r="C382" s="19" t="n"/>
      <c r="D382" s="19" t="n"/>
      <c r="E382" s="19" t="n"/>
      <c r="F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c r="AA382" s="19" t="n"/>
    </row>
    <row r="383" ht="15.75" customHeight="1" s="545">
      <c r="A383" s="19" t="n"/>
      <c r="B383" s="19" t="n"/>
      <c r="C383" s="19" t="n"/>
      <c r="D383" s="19" t="n"/>
      <c r="E383" s="19" t="n"/>
      <c r="F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c r="AA383" s="19" t="n"/>
    </row>
    <row r="384" ht="15.75" customHeight="1" s="545">
      <c r="A384" s="19" t="n"/>
      <c r="B384" s="19" t="n"/>
      <c r="C384" s="19" t="n"/>
      <c r="D384" s="19" t="n"/>
      <c r="E384" s="19" t="n"/>
      <c r="F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c r="AA384" s="19" t="n"/>
    </row>
    <row r="385" ht="15.75" customHeight="1" s="545">
      <c r="A385" s="19" t="n"/>
      <c r="B385" s="19" t="n"/>
      <c r="C385" s="19" t="n"/>
      <c r="D385" s="19" t="n"/>
      <c r="E385" s="19" t="n"/>
      <c r="F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c r="AA385" s="19" t="n"/>
    </row>
    <row r="386" ht="15.75" customHeight="1" s="545">
      <c r="A386" s="19" t="n"/>
      <c r="B386" s="19" t="n"/>
      <c r="C386" s="19" t="n"/>
      <c r="D386" s="19" t="n"/>
      <c r="E386" s="19" t="n"/>
      <c r="F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c r="AA386" s="19" t="n"/>
    </row>
    <row r="387" ht="15.75" customHeight="1" s="545">
      <c r="A387" s="19" t="n"/>
      <c r="B387" s="19" t="n"/>
      <c r="C387" s="19" t="n"/>
      <c r="D387" s="19" t="n"/>
      <c r="E387" s="19" t="n"/>
      <c r="F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c r="AA387" s="19" t="n"/>
    </row>
    <row r="388" ht="15.75" customHeight="1" s="545">
      <c r="A388" s="19" t="n"/>
      <c r="B388" s="19" t="n"/>
      <c r="C388" s="19" t="n"/>
      <c r="D388" s="19" t="n"/>
      <c r="E388" s="19" t="n"/>
      <c r="F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c r="AA388" s="19" t="n"/>
    </row>
    <row r="389" ht="15.75" customHeight="1" s="545">
      <c r="A389" s="19" t="n"/>
      <c r="B389" s="19" t="n"/>
      <c r="C389" s="19" t="n"/>
      <c r="D389" s="19" t="n"/>
      <c r="E389" s="19" t="n"/>
      <c r="F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c r="AA389" s="19" t="n"/>
    </row>
    <row r="390" ht="15.75" customHeight="1" s="545">
      <c r="A390" s="19" t="n"/>
      <c r="B390" s="19" t="n"/>
      <c r="C390" s="19" t="n"/>
      <c r="D390" s="19" t="n"/>
      <c r="E390" s="19" t="n"/>
      <c r="F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c r="AA390" s="19" t="n"/>
    </row>
    <row r="391" ht="15.75" customHeight="1" s="545">
      <c r="A391" s="19" t="n"/>
      <c r="B391" s="19" t="n"/>
      <c r="C391" s="19" t="n"/>
      <c r="D391" s="19" t="n"/>
      <c r="E391" s="19" t="n"/>
      <c r="F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c r="AA391" s="19" t="n"/>
    </row>
    <row r="392" ht="15.75" customHeight="1" s="545">
      <c r="A392" s="19" t="n"/>
      <c r="B392" s="19" t="n"/>
      <c r="C392" s="19" t="n"/>
      <c r="D392" s="19" t="n"/>
      <c r="E392" s="19" t="n"/>
      <c r="F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c r="AA392" s="19" t="n"/>
    </row>
    <row r="393" ht="15.75" customHeight="1" s="545">
      <c r="A393" s="19" t="n"/>
      <c r="B393" s="19" t="n"/>
      <c r="C393" s="19" t="n"/>
      <c r="D393" s="19" t="n"/>
      <c r="E393" s="19" t="n"/>
      <c r="F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c r="AA393" s="19" t="n"/>
    </row>
    <row r="394" ht="15.75" customHeight="1" s="545">
      <c r="A394" s="19" t="n"/>
      <c r="B394" s="19" t="n"/>
      <c r="C394" s="19" t="n"/>
      <c r="D394" s="19" t="n"/>
      <c r="E394" s="19" t="n"/>
      <c r="F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c r="AA394" s="19" t="n"/>
    </row>
    <row r="395" ht="15.75" customHeight="1" s="545">
      <c r="A395" s="19" t="n"/>
      <c r="B395" s="19" t="n"/>
      <c r="C395" s="19" t="n"/>
      <c r="D395" s="19" t="n"/>
      <c r="E395" s="19" t="n"/>
      <c r="F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c r="AA395" s="19" t="n"/>
    </row>
    <row r="396" ht="15.75" customHeight="1" s="545">
      <c r="A396" s="19" t="n"/>
      <c r="B396" s="19" t="n"/>
      <c r="C396" s="19" t="n"/>
      <c r="D396" s="19" t="n"/>
      <c r="E396" s="19" t="n"/>
      <c r="F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c r="AA396" s="19" t="n"/>
    </row>
    <row r="397" ht="15.75" customHeight="1" s="545">
      <c r="A397" s="19" t="n"/>
      <c r="B397" s="19" t="n"/>
      <c r="C397" s="19" t="n"/>
      <c r="D397" s="19" t="n"/>
      <c r="E397" s="19" t="n"/>
      <c r="F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c r="AA397" s="19" t="n"/>
    </row>
    <row r="398" ht="15.75" customHeight="1" s="545">
      <c r="A398" s="19" t="n"/>
      <c r="B398" s="19" t="n"/>
      <c r="C398" s="19" t="n"/>
      <c r="D398" s="19" t="n"/>
      <c r="E398" s="19" t="n"/>
      <c r="F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c r="AA398" s="19" t="n"/>
    </row>
    <row r="399" ht="15.75" customHeight="1" s="545">
      <c r="A399" s="19" t="n"/>
      <c r="B399" s="19" t="n"/>
      <c r="C399" s="19" t="n"/>
      <c r="D399" s="19" t="n"/>
      <c r="E399" s="19" t="n"/>
      <c r="F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c r="AA399" s="19" t="n"/>
    </row>
    <row r="400" ht="15.75" customHeight="1" s="545">
      <c r="A400" s="19" t="n"/>
      <c r="B400" s="19" t="n"/>
      <c r="C400" s="19" t="n"/>
      <c r="D400" s="19" t="n"/>
      <c r="E400" s="19" t="n"/>
      <c r="F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c r="AA400" s="19" t="n"/>
    </row>
    <row r="401" ht="15.75" customHeight="1" s="545">
      <c r="A401" s="19" t="n"/>
      <c r="B401" s="19" t="n"/>
      <c r="C401" s="19" t="n"/>
      <c r="D401" s="19" t="n"/>
      <c r="E401" s="19" t="n"/>
      <c r="F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c r="AA401" s="19" t="n"/>
    </row>
    <row r="402" ht="15.75" customHeight="1" s="545">
      <c r="A402" s="19" t="n"/>
      <c r="B402" s="19" t="n"/>
      <c r="C402" s="19" t="n"/>
      <c r="D402" s="19" t="n"/>
      <c r="E402" s="19" t="n"/>
      <c r="F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c r="AA402" s="19" t="n"/>
    </row>
    <row r="403" ht="15.75" customHeight="1" s="545">
      <c r="A403" s="19" t="n"/>
      <c r="B403" s="19" t="n"/>
      <c r="C403" s="19" t="n"/>
      <c r="D403" s="19" t="n"/>
      <c r="E403" s="19" t="n"/>
      <c r="F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c r="AA403" s="19" t="n"/>
    </row>
    <row r="404" ht="15.75" customHeight="1" s="545">
      <c r="A404" s="19" t="n"/>
      <c r="B404" s="19" t="n"/>
      <c r="C404" s="19" t="n"/>
      <c r="D404" s="19" t="n"/>
      <c r="E404" s="19" t="n"/>
      <c r="F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c r="AA404" s="19" t="n"/>
    </row>
    <row r="405" ht="15.75" customHeight="1" s="545">
      <c r="A405" s="19" t="n"/>
      <c r="B405" s="19" t="n"/>
      <c r="C405" s="19" t="n"/>
      <c r="D405" s="19" t="n"/>
      <c r="E405" s="19" t="n"/>
      <c r="F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c r="AA405" s="19" t="n"/>
    </row>
    <row r="406" ht="15.75" customHeight="1" s="545">
      <c r="A406" s="19" t="n"/>
      <c r="B406" s="19" t="n"/>
      <c r="C406" s="19" t="n"/>
      <c r="D406" s="19" t="n"/>
      <c r="E406" s="19" t="n"/>
      <c r="F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c r="AA406" s="19" t="n"/>
    </row>
    <row r="407" ht="15.75" customHeight="1" s="545">
      <c r="A407" s="19" t="n"/>
      <c r="B407" s="19" t="n"/>
      <c r="C407" s="19" t="n"/>
      <c r="D407" s="19" t="n"/>
      <c r="E407" s="19" t="n"/>
      <c r="F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c r="AA407" s="19" t="n"/>
    </row>
    <row r="408" ht="15.75" customHeight="1" s="545">
      <c r="A408" s="19" t="n"/>
      <c r="B408" s="19" t="n"/>
      <c r="C408" s="19" t="n"/>
      <c r="D408" s="19" t="n"/>
      <c r="E408" s="19" t="n"/>
      <c r="F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c r="AA408" s="19" t="n"/>
    </row>
    <row r="409" ht="15.75" customHeight="1" s="545">
      <c r="A409" s="19" t="n"/>
      <c r="B409" s="19" t="n"/>
      <c r="C409" s="19" t="n"/>
      <c r="D409" s="19" t="n"/>
      <c r="E409" s="19" t="n"/>
      <c r="F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c r="AA409" s="19" t="n"/>
    </row>
    <row r="410" ht="15.75" customHeight="1" s="545">
      <c r="A410" s="19" t="n"/>
      <c r="B410" s="19" t="n"/>
      <c r="C410" s="19" t="n"/>
      <c r="D410" s="19" t="n"/>
      <c r="E410" s="19" t="n"/>
      <c r="F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c r="AA410" s="19" t="n"/>
    </row>
    <row r="411" ht="15.75" customHeight="1" s="545">
      <c r="A411" s="19" t="n"/>
      <c r="B411" s="19" t="n"/>
      <c r="C411" s="19" t="n"/>
      <c r="D411" s="19" t="n"/>
      <c r="E411" s="19" t="n"/>
      <c r="F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c r="AA411" s="19" t="n"/>
    </row>
    <row r="412" ht="15.75" customHeight="1" s="545">
      <c r="A412" s="19" t="n"/>
      <c r="B412" s="19" t="n"/>
      <c r="C412" s="19" t="n"/>
      <c r="D412" s="19" t="n"/>
      <c r="E412" s="19" t="n"/>
      <c r="F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c r="AA412" s="19" t="n"/>
    </row>
    <row r="413" ht="15.75" customHeight="1" s="545">
      <c r="A413" s="19" t="n"/>
      <c r="B413" s="19" t="n"/>
      <c r="C413" s="19" t="n"/>
      <c r="D413" s="19" t="n"/>
      <c r="E413" s="19" t="n"/>
      <c r="F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c r="AA413" s="19" t="n"/>
    </row>
    <row r="414" ht="15.75" customHeight="1" s="545">
      <c r="A414" s="19" t="n"/>
      <c r="B414" s="19" t="n"/>
      <c r="C414" s="19" t="n"/>
      <c r="D414" s="19" t="n"/>
      <c r="E414" s="19" t="n"/>
      <c r="F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c r="AA414" s="19" t="n"/>
    </row>
    <row r="415" ht="15.75" customHeight="1" s="545">
      <c r="A415" s="19" t="n"/>
      <c r="B415" s="19" t="n"/>
      <c r="C415" s="19" t="n"/>
      <c r="D415" s="19" t="n"/>
      <c r="E415" s="19" t="n"/>
      <c r="F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c r="AA415" s="19" t="n"/>
    </row>
    <row r="416" ht="15.75" customHeight="1" s="545">
      <c r="A416" s="19" t="n"/>
      <c r="B416" s="19" t="n"/>
      <c r="C416" s="19" t="n"/>
      <c r="D416" s="19" t="n"/>
      <c r="E416" s="19" t="n"/>
      <c r="F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c r="AA416" s="19" t="n"/>
    </row>
    <row r="417" ht="15.75" customHeight="1" s="545">
      <c r="A417" s="19" t="n"/>
      <c r="B417" s="19" t="n"/>
      <c r="C417" s="19" t="n"/>
      <c r="D417" s="19" t="n"/>
      <c r="E417" s="19" t="n"/>
      <c r="F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c r="AA417" s="19" t="n"/>
    </row>
    <row r="418" ht="15.75" customHeight="1" s="545">
      <c r="A418" s="19" t="n"/>
      <c r="B418" s="19" t="n"/>
      <c r="C418" s="19" t="n"/>
      <c r="D418" s="19" t="n"/>
      <c r="E418" s="19" t="n"/>
      <c r="F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c r="AA418" s="19" t="n"/>
    </row>
    <row r="419" ht="15.75" customHeight="1" s="545">
      <c r="A419" s="19" t="n"/>
      <c r="B419" s="19" t="n"/>
      <c r="C419" s="19" t="n"/>
      <c r="D419" s="19" t="n"/>
      <c r="E419" s="19" t="n"/>
      <c r="F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c r="AA419" s="19" t="n"/>
    </row>
    <row r="420" ht="15.75" customHeight="1" s="545">
      <c r="A420" s="19" t="n"/>
      <c r="B420" s="19" t="n"/>
      <c r="C420" s="19" t="n"/>
      <c r="D420" s="19" t="n"/>
      <c r="E420" s="19" t="n"/>
      <c r="F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c r="AA420" s="19" t="n"/>
    </row>
    <row r="421" ht="15.75" customHeight="1" s="545">
      <c r="A421" s="19" t="n"/>
      <c r="B421" s="19" t="n"/>
      <c r="C421" s="19" t="n"/>
      <c r="D421" s="19" t="n"/>
      <c r="E421" s="19" t="n"/>
      <c r="F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c r="AA421" s="19" t="n"/>
    </row>
    <row r="422" ht="15.75" customHeight="1" s="545">
      <c r="A422" s="19" t="n"/>
      <c r="B422" s="19" t="n"/>
      <c r="C422" s="19" t="n"/>
      <c r="D422" s="19" t="n"/>
      <c r="E422" s="19" t="n"/>
      <c r="F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c r="AA422" s="19" t="n"/>
    </row>
    <row r="423" ht="15.75" customHeight="1" s="545">
      <c r="A423" s="19" t="n"/>
      <c r="B423" s="19" t="n"/>
      <c r="C423" s="19" t="n"/>
      <c r="D423" s="19" t="n"/>
      <c r="E423" s="19" t="n"/>
      <c r="F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c r="AA423" s="19" t="n"/>
    </row>
    <row r="424" ht="15.75" customHeight="1" s="545">
      <c r="A424" s="19" t="n"/>
      <c r="B424" s="19" t="n"/>
      <c r="C424" s="19" t="n"/>
      <c r="D424" s="19" t="n"/>
      <c r="E424" s="19" t="n"/>
      <c r="F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c r="AA424" s="19" t="n"/>
    </row>
    <row r="425" ht="15.75" customHeight="1" s="545">
      <c r="A425" s="19" t="n"/>
      <c r="B425" s="19" t="n"/>
      <c r="C425" s="19" t="n"/>
      <c r="D425" s="19" t="n"/>
      <c r="E425" s="19" t="n"/>
      <c r="F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c r="AA425" s="19" t="n"/>
    </row>
    <row r="426" ht="15.75" customHeight="1" s="545">
      <c r="A426" s="19" t="n"/>
      <c r="B426" s="19" t="n"/>
      <c r="C426" s="19" t="n"/>
      <c r="D426" s="19" t="n"/>
      <c r="E426" s="19" t="n"/>
      <c r="F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c r="AA426" s="19" t="n"/>
    </row>
    <row r="427" ht="15.75" customHeight="1" s="545">
      <c r="A427" s="19" t="n"/>
      <c r="B427" s="19" t="n"/>
      <c r="C427" s="19" t="n"/>
      <c r="D427" s="19" t="n"/>
      <c r="E427" s="19" t="n"/>
      <c r="F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c r="AA427" s="19" t="n"/>
    </row>
    <row r="428" ht="15.75" customHeight="1" s="545">
      <c r="A428" s="19" t="n"/>
      <c r="B428" s="19" t="n"/>
      <c r="C428" s="19" t="n"/>
      <c r="D428" s="19" t="n"/>
      <c r="E428" s="19" t="n"/>
      <c r="F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c r="AA428" s="19" t="n"/>
    </row>
    <row r="429" ht="15.75" customHeight="1" s="545">
      <c r="A429" s="19" t="n"/>
      <c r="B429" s="19" t="n"/>
      <c r="C429" s="19" t="n"/>
      <c r="D429" s="19" t="n"/>
      <c r="E429" s="19" t="n"/>
      <c r="F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c r="AA429" s="19" t="n"/>
    </row>
    <row r="430" ht="15.75" customHeight="1" s="545">
      <c r="A430" s="19" t="n"/>
      <c r="B430" s="19" t="n"/>
      <c r="C430" s="19" t="n"/>
      <c r="D430" s="19" t="n"/>
      <c r="E430" s="19" t="n"/>
      <c r="F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c r="AA430" s="19" t="n"/>
    </row>
    <row r="431" ht="15.75" customHeight="1" s="545">
      <c r="A431" s="19" t="n"/>
      <c r="B431" s="19" t="n"/>
      <c r="C431" s="19" t="n"/>
      <c r="D431" s="19" t="n"/>
      <c r="E431" s="19" t="n"/>
      <c r="F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c r="AA431" s="19" t="n"/>
    </row>
    <row r="432" ht="15.75" customHeight="1" s="545">
      <c r="A432" s="19" t="n"/>
      <c r="B432" s="19" t="n"/>
      <c r="C432" s="19" t="n"/>
      <c r="D432" s="19" t="n"/>
      <c r="E432" s="19" t="n"/>
      <c r="F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c r="AA432" s="19" t="n"/>
    </row>
    <row r="433" ht="15.75" customHeight="1" s="545">
      <c r="A433" s="19" t="n"/>
      <c r="B433" s="19" t="n"/>
      <c r="C433" s="19" t="n"/>
      <c r="D433" s="19" t="n"/>
      <c r="E433" s="19" t="n"/>
      <c r="F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c r="AA433" s="19" t="n"/>
    </row>
    <row r="434" ht="15.75" customHeight="1" s="545">
      <c r="A434" s="19" t="n"/>
      <c r="B434" s="19" t="n"/>
      <c r="C434" s="19" t="n"/>
      <c r="D434" s="19" t="n"/>
      <c r="E434" s="19" t="n"/>
      <c r="F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c r="AA434" s="19" t="n"/>
    </row>
    <row r="435" ht="15.75" customHeight="1" s="545">
      <c r="A435" s="19" t="n"/>
      <c r="B435" s="19" t="n"/>
      <c r="C435" s="19" t="n"/>
      <c r="D435" s="19" t="n"/>
      <c r="E435" s="19" t="n"/>
      <c r="F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c r="AA435" s="19" t="n"/>
    </row>
    <row r="436" ht="15.75" customHeight="1" s="545">
      <c r="A436" s="19" t="n"/>
      <c r="B436" s="19" t="n"/>
      <c r="C436" s="19" t="n"/>
      <c r="D436" s="19" t="n"/>
      <c r="E436" s="19" t="n"/>
      <c r="F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c r="AA436" s="19" t="n"/>
    </row>
    <row r="437" ht="15.75" customHeight="1" s="545">
      <c r="A437" s="19" t="n"/>
      <c r="B437" s="19" t="n"/>
      <c r="C437" s="19" t="n"/>
      <c r="D437" s="19" t="n"/>
      <c r="E437" s="19" t="n"/>
      <c r="F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c r="AA437" s="19" t="n"/>
    </row>
    <row r="438" ht="15.75" customHeight="1" s="545">
      <c r="A438" s="19" t="n"/>
      <c r="B438" s="19" t="n"/>
      <c r="C438" s="19" t="n"/>
      <c r="D438" s="19" t="n"/>
      <c r="E438" s="19" t="n"/>
      <c r="F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c r="AA438" s="19" t="n"/>
    </row>
    <row r="439" ht="15.75" customHeight="1" s="545">
      <c r="A439" s="19" t="n"/>
      <c r="B439" s="19" t="n"/>
      <c r="C439" s="19" t="n"/>
      <c r="D439" s="19" t="n"/>
      <c r="E439" s="19" t="n"/>
      <c r="F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c r="AA439" s="19" t="n"/>
    </row>
    <row r="440" ht="15.75" customHeight="1" s="545">
      <c r="A440" s="19" t="n"/>
      <c r="B440" s="19" t="n"/>
      <c r="C440" s="19" t="n"/>
      <c r="D440" s="19" t="n"/>
      <c r="E440" s="19" t="n"/>
      <c r="F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c r="AA440" s="19" t="n"/>
    </row>
    <row r="441" ht="15.75" customHeight="1" s="545">
      <c r="A441" s="19" t="n"/>
      <c r="B441" s="19" t="n"/>
      <c r="C441" s="19" t="n"/>
      <c r="D441" s="19" t="n"/>
      <c r="E441" s="19" t="n"/>
      <c r="F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c r="AA441" s="19" t="n"/>
    </row>
    <row r="442" ht="15.75" customHeight="1" s="545">
      <c r="A442" s="19" t="n"/>
      <c r="B442" s="19" t="n"/>
      <c r="C442" s="19" t="n"/>
      <c r="D442" s="19" t="n"/>
      <c r="E442" s="19" t="n"/>
      <c r="F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c r="AA442" s="19" t="n"/>
    </row>
    <row r="443" ht="15.75" customHeight="1" s="545">
      <c r="A443" s="19" t="n"/>
      <c r="B443" s="19" t="n"/>
      <c r="C443" s="19" t="n"/>
      <c r="D443" s="19" t="n"/>
      <c r="E443" s="19" t="n"/>
      <c r="F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c r="AA443" s="19" t="n"/>
    </row>
    <row r="444" ht="15.75" customHeight="1" s="545">
      <c r="A444" s="19" t="n"/>
      <c r="B444" s="19" t="n"/>
      <c r="C444" s="19" t="n"/>
      <c r="D444" s="19" t="n"/>
      <c r="E444" s="19" t="n"/>
      <c r="F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c r="AA444" s="19" t="n"/>
    </row>
    <row r="445" ht="15.75" customHeight="1" s="545">
      <c r="A445" s="19" t="n"/>
      <c r="B445" s="19" t="n"/>
      <c r="C445" s="19" t="n"/>
      <c r="D445" s="19" t="n"/>
      <c r="E445" s="19" t="n"/>
      <c r="F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c r="AA445" s="19" t="n"/>
    </row>
    <row r="446" ht="15.75" customHeight="1" s="545">
      <c r="A446" s="19" t="n"/>
      <c r="B446" s="19" t="n"/>
      <c r="C446" s="19" t="n"/>
      <c r="D446" s="19" t="n"/>
      <c r="E446" s="19" t="n"/>
      <c r="F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c r="AA446" s="19" t="n"/>
    </row>
    <row r="447" ht="15.75" customHeight="1" s="545">
      <c r="A447" s="19" t="n"/>
      <c r="B447" s="19" t="n"/>
      <c r="C447" s="19" t="n"/>
      <c r="D447" s="19" t="n"/>
      <c r="E447" s="19" t="n"/>
      <c r="F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c r="AA447" s="19" t="n"/>
    </row>
    <row r="448" ht="15.75" customHeight="1" s="545">
      <c r="A448" s="19" t="n"/>
      <c r="B448" s="19" t="n"/>
      <c r="C448" s="19" t="n"/>
      <c r="D448" s="19" t="n"/>
      <c r="E448" s="19" t="n"/>
      <c r="F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c r="AA448" s="19" t="n"/>
    </row>
    <row r="449" ht="15.75" customHeight="1" s="545">
      <c r="A449" s="19" t="n"/>
      <c r="B449" s="19" t="n"/>
      <c r="C449" s="19" t="n"/>
      <c r="D449" s="19" t="n"/>
      <c r="E449" s="19" t="n"/>
      <c r="F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c r="AA449" s="19" t="n"/>
    </row>
    <row r="450" ht="15.75" customHeight="1" s="545">
      <c r="A450" s="19" t="n"/>
      <c r="B450" s="19" t="n"/>
      <c r="C450" s="19" t="n"/>
      <c r="D450" s="19" t="n"/>
      <c r="E450" s="19" t="n"/>
      <c r="F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c r="AA450" s="19" t="n"/>
    </row>
    <row r="451" ht="15.75" customHeight="1" s="545">
      <c r="A451" s="19" t="n"/>
      <c r="B451" s="19" t="n"/>
      <c r="C451" s="19" t="n"/>
      <c r="D451" s="19" t="n"/>
      <c r="E451" s="19" t="n"/>
      <c r="F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c r="AA451" s="19" t="n"/>
    </row>
    <row r="452" ht="15.75" customHeight="1" s="545">
      <c r="A452" s="19" t="n"/>
      <c r="B452" s="19" t="n"/>
      <c r="C452" s="19" t="n"/>
      <c r="D452" s="19" t="n"/>
      <c r="E452" s="19" t="n"/>
      <c r="F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c r="AA452" s="19" t="n"/>
    </row>
    <row r="453" ht="15.75" customHeight="1" s="545">
      <c r="A453" s="19" t="n"/>
      <c r="B453" s="19" t="n"/>
      <c r="C453" s="19" t="n"/>
      <c r="D453" s="19" t="n"/>
      <c r="E453" s="19" t="n"/>
      <c r="F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c r="AA453" s="19" t="n"/>
    </row>
    <row r="454" ht="15.75" customHeight="1" s="545">
      <c r="A454" s="19" t="n"/>
      <c r="B454" s="19" t="n"/>
      <c r="C454" s="19" t="n"/>
      <c r="D454" s="19" t="n"/>
      <c r="E454" s="19" t="n"/>
      <c r="F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c r="AA454" s="19" t="n"/>
    </row>
    <row r="455" ht="15.75" customHeight="1" s="545">
      <c r="A455" s="19" t="n"/>
      <c r="B455" s="19" t="n"/>
      <c r="C455" s="19" t="n"/>
      <c r="D455" s="19" t="n"/>
      <c r="E455" s="19" t="n"/>
      <c r="F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c r="AA455" s="19" t="n"/>
    </row>
    <row r="456" ht="15.75" customHeight="1" s="545">
      <c r="A456" s="19" t="n"/>
      <c r="B456" s="19" t="n"/>
      <c r="C456" s="19" t="n"/>
      <c r="D456" s="19" t="n"/>
      <c r="E456" s="19" t="n"/>
      <c r="F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c r="AA456" s="19" t="n"/>
    </row>
    <row r="457" ht="15.75" customHeight="1" s="545">
      <c r="A457" s="19" t="n"/>
      <c r="B457" s="19" t="n"/>
      <c r="C457" s="19" t="n"/>
      <c r="D457" s="19" t="n"/>
      <c r="E457" s="19" t="n"/>
      <c r="F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c r="AA457" s="19" t="n"/>
    </row>
    <row r="458" ht="15.75" customHeight="1" s="545">
      <c r="A458" s="19" t="n"/>
      <c r="B458" s="19" t="n"/>
      <c r="C458" s="19" t="n"/>
      <c r="D458" s="19" t="n"/>
      <c r="E458" s="19" t="n"/>
      <c r="F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c r="AA458" s="19" t="n"/>
    </row>
    <row r="459" ht="15.75" customHeight="1" s="545">
      <c r="A459" s="19" t="n"/>
      <c r="B459" s="19" t="n"/>
      <c r="C459" s="19" t="n"/>
      <c r="D459" s="19" t="n"/>
      <c r="E459" s="19" t="n"/>
      <c r="F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c r="AA459" s="19" t="n"/>
    </row>
    <row r="460" ht="15.75" customHeight="1" s="545">
      <c r="A460" s="19" t="n"/>
      <c r="B460" s="19" t="n"/>
      <c r="C460" s="19" t="n"/>
      <c r="D460" s="19" t="n"/>
      <c r="E460" s="19" t="n"/>
      <c r="F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c r="AA460" s="19" t="n"/>
    </row>
    <row r="461" ht="15.75" customHeight="1" s="545">
      <c r="A461" s="19" t="n"/>
      <c r="B461" s="19" t="n"/>
      <c r="C461" s="19" t="n"/>
      <c r="D461" s="19" t="n"/>
      <c r="E461" s="19" t="n"/>
      <c r="F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c r="AA461" s="19" t="n"/>
    </row>
    <row r="462" ht="15.75" customHeight="1" s="545">
      <c r="A462" s="19" t="n"/>
      <c r="B462" s="19" t="n"/>
      <c r="C462" s="19" t="n"/>
      <c r="D462" s="19" t="n"/>
      <c r="E462" s="19" t="n"/>
      <c r="F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c r="AA462" s="19" t="n"/>
    </row>
    <row r="463" ht="15.75" customHeight="1" s="545">
      <c r="A463" s="19" t="n"/>
      <c r="B463" s="19" t="n"/>
      <c r="C463" s="19" t="n"/>
      <c r="D463" s="19" t="n"/>
      <c r="E463" s="19" t="n"/>
      <c r="F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c r="AA463" s="19" t="n"/>
    </row>
    <row r="464" ht="15.75" customHeight="1" s="545">
      <c r="A464" s="19" t="n"/>
      <c r="B464" s="19" t="n"/>
      <c r="C464" s="19" t="n"/>
      <c r="D464" s="19" t="n"/>
      <c r="E464" s="19" t="n"/>
      <c r="F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c r="AA464" s="19" t="n"/>
    </row>
    <row r="465" ht="15.75" customHeight="1" s="545">
      <c r="A465" s="19" t="n"/>
      <c r="B465" s="19" t="n"/>
      <c r="C465" s="19" t="n"/>
      <c r="D465" s="19" t="n"/>
      <c r="E465" s="19" t="n"/>
      <c r="F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c r="AA465" s="19" t="n"/>
    </row>
    <row r="466" ht="15.75" customHeight="1" s="545">
      <c r="A466" s="19" t="n"/>
      <c r="B466" s="19" t="n"/>
      <c r="C466" s="19" t="n"/>
      <c r="D466" s="19" t="n"/>
      <c r="E466" s="19" t="n"/>
      <c r="F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c r="AA466" s="19" t="n"/>
    </row>
    <row r="467" ht="15.75" customHeight="1" s="545">
      <c r="A467" s="19" t="n"/>
      <c r="B467" s="19" t="n"/>
      <c r="C467" s="19" t="n"/>
      <c r="D467" s="19" t="n"/>
      <c r="E467" s="19" t="n"/>
      <c r="F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c r="AA467" s="19" t="n"/>
    </row>
    <row r="468" ht="15.75" customHeight="1" s="545">
      <c r="A468" s="19" t="n"/>
      <c r="B468" s="19" t="n"/>
      <c r="C468" s="19" t="n"/>
      <c r="D468" s="19" t="n"/>
      <c r="E468" s="19" t="n"/>
      <c r="F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c r="AA468" s="19" t="n"/>
    </row>
    <row r="469" ht="15.75" customHeight="1" s="545">
      <c r="A469" s="19" t="n"/>
      <c r="B469" s="19" t="n"/>
      <c r="C469" s="19" t="n"/>
      <c r="D469" s="19" t="n"/>
      <c r="E469" s="19" t="n"/>
      <c r="F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c r="AA469" s="19" t="n"/>
    </row>
    <row r="470" ht="15.75" customHeight="1" s="545">
      <c r="A470" s="19" t="n"/>
      <c r="B470" s="19" t="n"/>
      <c r="C470" s="19" t="n"/>
      <c r="D470" s="19" t="n"/>
      <c r="E470" s="19" t="n"/>
      <c r="F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c r="AA470" s="19" t="n"/>
    </row>
    <row r="471" ht="15.75" customHeight="1" s="545">
      <c r="A471" s="19" t="n"/>
      <c r="B471" s="19" t="n"/>
      <c r="C471" s="19" t="n"/>
      <c r="D471" s="19" t="n"/>
      <c r="E471" s="19" t="n"/>
      <c r="F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c r="AA471" s="19" t="n"/>
    </row>
    <row r="472" ht="15.75" customHeight="1" s="545">
      <c r="A472" s="19" t="n"/>
      <c r="B472" s="19" t="n"/>
      <c r="C472" s="19" t="n"/>
      <c r="D472" s="19" t="n"/>
      <c r="E472" s="19" t="n"/>
      <c r="F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c r="AA472" s="19" t="n"/>
    </row>
    <row r="473" ht="15.75" customHeight="1" s="545">
      <c r="A473" s="19" t="n"/>
      <c r="B473" s="19" t="n"/>
      <c r="C473" s="19" t="n"/>
      <c r="D473" s="19" t="n"/>
      <c r="E473" s="19" t="n"/>
      <c r="F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c r="AA473" s="19" t="n"/>
    </row>
    <row r="474" ht="15.75" customHeight="1" s="545">
      <c r="A474" s="19" t="n"/>
      <c r="B474" s="19" t="n"/>
      <c r="C474" s="19" t="n"/>
      <c r="D474" s="19" t="n"/>
      <c r="E474" s="19" t="n"/>
      <c r="F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c r="AA474" s="19" t="n"/>
    </row>
    <row r="475" ht="15.75" customHeight="1" s="545">
      <c r="A475" s="19" t="n"/>
      <c r="B475" s="19" t="n"/>
      <c r="C475" s="19" t="n"/>
      <c r="D475" s="19" t="n"/>
      <c r="E475" s="19" t="n"/>
      <c r="F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c r="AA475" s="19" t="n"/>
    </row>
    <row r="476" ht="15.75" customHeight="1" s="545">
      <c r="A476" s="19" t="n"/>
      <c r="B476" s="19" t="n"/>
      <c r="C476" s="19" t="n"/>
      <c r="D476" s="19" t="n"/>
      <c r="E476" s="19" t="n"/>
      <c r="F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c r="AA476" s="19" t="n"/>
    </row>
    <row r="477" ht="15.75" customHeight="1" s="545">
      <c r="A477" s="19" t="n"/>
      <c r="B477" s="19" t="n"/>
      <c r="C477" s="19" t="n"/>
      <c r="D477" s="19" t="n"/>
      <c r="E477" s="19" t="n"/>
      <c r="F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c r="AA477" s="19" t="n"/>
    </row>
    <row r="478" ht="15.75" customHeight="1" s="545">
      <c r="A478" s="19" t="n"/>
      <c r="B478" s="19" t="n"/>
      <c r="C478" s="19" t="n"/>
      <c r="D478" s="19" t="n"/>
      <c r="E478" s="19" t="n"/>
      <c r="F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c r="AA478" s="19" t="n"/>
    </row>
    <row r="479" ht="15.75" customHeight="1" s="545">
      <c r="A479" s="19" t="n"/>
      <c r="B479" s="19" t="n"/>
      <c r="C479" s="19" t="n"/>
      <c r="D479" s="19" t="n"/>
      <c r="E479" s="19" t="n"/>
      <c r="F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c r="AA479" s="19" t="n"/>
    </row>
    <row r="480" ht="15.75" customHeight="1" s="545">
      <c r="A480" s="19" t="n"/>
      <c r="B480" s="19" t="n"/>
      <c r="C480" s="19" t="n"/>
      <c r="D480" s="19" t="n"/>
      <c r="E480" s="19" t="n"/>
      <c r="F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c r="AA480" s="19" t="n"/>
    </row>
    <row r="481" ht="15.75" customHeight="1" s="545">
      <c r="A481" s="19" t="n"/>
      <c r="B481" s="19" t="n"/>
      <c r="C481" s="19" t="n"/>
      <c r="D481" s="19" t="n"/>
      <c r="E481" s="19" t="n"/>
      <c r="F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c r="AA481" s="19" t="n"/>
    </row>
    <row r="482" ht="15.75" customHeight="1" s="545">
      <c r="A482" s="19" t="n"/>
      <c r="B482" s="19" t="n"/>
      <c r="C482" s="19" t="n"/>
      <c r="D482" s="19" t="n"/>
      <c r="E482" s="19" t="n"/>
      <c r="F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c r="AA482" s="19" t="n"/>
    </row>
    <row r="483" ht="15.75" customHeight="1" s="545">
      <c r="A483" s="19" t="n"/>
      <c r="B483" s="19" t="n"/>
      <c r="C483" s="19" t="n"/>
      <c r="D483" s="19" t="n"/>
      <c r="E483" s="19" t="n"/>
      <c r="F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c r="AA483" s="19" t="n"/>
    </row>
    <row r="484" ht="15.75" customHeight="1" s="545">
      <c r="A484" s="19" t="n"/>
      <c r="B484" s="19" t="n"/>
      <c r="C484" s="19" t="n"/>
      <c r="D484" s="19" t="n"/>
      <c r="E484" s="19" t="n"/>
      <c r="F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c r="AA484" s="19" t="n"/>
    </row>
    <row r="485" ht="15.75" customHeight="1" s="545">
      <c r="A485" s="19" t="n"/>
      <c r="B485" s="19" t="n"/>
      <c r="C485" s="19" t="n"/>
      <c r="D485" s="19" t="n"/>
      <c r="E485" s="19" t="n"/>
      <c r="F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c r="AA485" s="19" t="n"/>
    </row>
    <row r="486" ht="15.75" customHeight="1" s="545">
      <c r="A486" s="19" t="n"/>
      <c r="B486" s="19" t="n"/>
      <c r="C486" s="19" t="n"/>
      <c r="D486" s="19" t="n"/>
      <c r="E486" s="19" t="n"/>
      <c r="F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c r="AA486" s="19" t="n"/>
    </row>
    <row r="487" ht="15.75" customHeight="1" s="545">
      <c r="A487" s="19" t="n"/>
      <c r="B487" s="19" t="n"/>
      <c r="C487" s="19" t="n"/>
      <c r="D487" s="19" t="n"/>
      <c r="E487" s="19" t="n"/>
      <c r="F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c r="AA487" s="19" t="n"/>
    </row>
    <row r="488" ht="15.75" customHeight="1" s="545">
      <c r="A488" s="19" t="n"/>
      <c r="B488" s="19" t="n"/>
      <c r="C488" s="19" t="n"/>
      <c r="D488" s="19" t="n"/>
      <c r="E488" s="19" t="n"/>
      <c r="F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c r="AA488" s="19" t="n"/>
    </row>
    <row r="489" ht="15.75" customHeight="1" s="545">
      <c r="A489" s="19" t="n"/>
      <c r="B489" s="19" t="n"/>
      <c r="C489" s="19" t="n"/>
      <c r="D489" s="19" t="n"/>
      <c r="E489" s="19" t="n"/>
      <c r="F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c r="AA489" s="19" t="n"/>
    </row>
    <row r="490" ht="15.75" customHeight="1" s="545">
      <c r="A490" s="19" t="n"/>
      <c r="B490" s="19" t="n"/>
      <c r="C490" s="19" t="n"/>
      <c r="D490" s="19" t="n"/>
      <c r="E490" s="19" t="n"/>
      <c r="F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c r="AA490" s="19" t="n"/>
    </row>
    <row r="491" ht="15.75" customHeight="1" s="545">
      <c r="A491" s="19" t="n"/>
      <c r="B491" s="19" t="n"/>
      <c r="C491" s="19" t="n"/>
      <c r="D491" s="19" t="n"/>
      <c r="E491" s="19" t="n"/>
      <c r="F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c r="AA491" s="19" t="n"/>
    </row>
    <row r="492" ht="15.75" customHeight="1" s="545">
      <c r="A492" s="19" t="n"/>
      <c r="B492" s="19" t="n"/>
      <c r="C492" s="19" t="n"/>
      <c r="D492" s="19" t="n"/>
      <c r="E492" s="19" t="n"/>
      <c r="F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c r="AA492" s="19" t="n"/>
    </row>
    <row r="493" ht="15.75" customHeight="1" s="545">
      <c r="A493" s="19" t="n"/>
      <c r="B493" s="19" t="n"/>
      <c r="C493" s="19" t="n"/>
      <c r="D493" s="19" t="n"/>
      <c r="E493" s="19" t="n"/>
      <c r="F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c r="AA493" s="19" t="n"/>
    </row>
    <row r="494" ht="15.75" customHeight="1" s="545">
      <c r="A494" s="19" t="n"/>
      <c r="B494" s="19" t="n"/>
      <c r="C494" s="19" t="n"/>
      <c r="D494" s="19" t="n"/>
      <c r="E494" s="19" t="n"/>
      <c r="F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c r="AA494" s="19" t="n"/>
    </row>
    <row r="495" ht="15.75" customHeight="1" s="545">
      <c r="A495" s="19" t="n"/>
      <c r="B495" s="19" t="n"/>
      <c r="C495" s="19" t="n"/>
      <c r="D495" s="19" t="n"/>
      <c r="E495" s="19" t="n"/>
      <c r="F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c r="AA495" s="19" t="n"/>
    </row>
    <row r="496" ht="15.75" customHeight="1" s="545">
      <c r="A496" s="19" t="n"/>
      <c r="B496" s="19" t="n"/>
      <c r="C496" s="19" t="n"/>
      <c r="D496" s="19" t="n"/>
      <c r="E496" s="19" t="n"/>
      <c r="F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c r="AA496" s="19" t="n"/>
    </row>
    <row r="497" ht="15.75" customHeight="1" s="545">
      <c r="A497" s="19" t="n"/>
      <c r="B497" s="19" t="n"/>
      <c r="C497" s="19" t="n"/>
      <c r="D497" s="19" t="n"/>
      <c r="E497" s="19" t="n"/>
      <c r="F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c r="AA497" s="19" t="n"/>
    </row>
    <row r="498" ht="15.75" customHeight="1" s="545">
      <c r="A498" s="19" t="n"/>
      <c r="B498" s="19" t="n"/>
      <c r="C498" s="19" t="n"/>
      <c r="D498" s="19" t="n"/>
      <c r="E498" s="19" t="n"/>
      <c r="F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c r="AA498" s="19" t="n"/>
    </row>
    <row r="499" ht="15.75" customHeight="1" s="545">
      <c r="A499" s="19" t="n"/>
      <c r="B499" s="19" t="n"/>
      <c r="C499" s="19" t="n"/>
      <c r="D499" s="19" t="n"/>
      <c r="E499" s="19" t="n"/>
      <c r="F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c r="AA499" s="19" t="n"/>
    </row>
    <row r="500" ht="15.75" customHeight="1" s="545">
      <c r="A500" s="19" t="n"/>
      <c r="B500" s="19" t="n"/>
      <c r="C500" s="19" t="n"/>
      <c r="D500" s="19" t="n"/>
      <c r="E500" s="19" t="n"/>
      <c r="F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c r="AA500" s="19" t="n"/>
    </row>
    <row r="501" ht="15.75" customHeight="1" s="545">
      <c r="A501" s="19" t="n"/>
      <c r="B501" s="19" t="n"/>
      <c r="C501" s="19" t="n"/>
      <c r="D501" s="19" t="n"/>
      <c r="E501" s="19" t="n"/>
      <c r="F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c r="AA501" s="19" t="n"/>
    </row>
    <row r="502" ht="15.75" customHeight="1" s="545">
      <c r="A502" s="19" t="n"/>
      <c r="B502" s="19" t="n"/>
      <c r="C502" s="19" t="n"/>
      <c r="D502" s="19" t="n"/>
      <c r="E502" s="19" t="n"/>
      <c r="F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c r="AA502" s="19" t="n"/>
    </row>
    <row r="503" ht="15.75" customHeight="1" s="545">
      <c r="A503" s="19" t="n"/>
      <c r="B503" s="19" t="n"/>
      <c r="C503" s="19" t="n"/>
      <c r="D503" s="19" t="n"/>
      <c r="E503" s="19" t="n"/>
      <c r="F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c r="AA503" s="19" t="n"/>
    </row>
    <row r="504" ht="15.75" customHeight="1" s="545">
      <c r="A504" s="19" t="n"/>
      <c r="B504" s="19" t="n"/>
      <c r="C504" s="19" t="n"/>
      <c r="D504" s="19" t="n"/>
      <c r="E504" s="19" t="n"/>
      <c r="F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c r="AA504" s="19" t="n"/>
    </row>
    <row r="505" ht="15.75" customHeight="1" s="545">
      <c r="A505" s="19" t="n"/>
      <c r="B505" s="19" t="n"/>
      <c r="C505" s="19" t="n"/>
      <c r="D505" s="19" t="n"/>
      <c r="E505" s="19" t="n"/>
      <c r="F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c r="AA505" s="19" t="n"/>
    </row>
    <row r="506" ht="15.75" customHeight="1" s="545">
      <c r="A506" s="19" t="n"/>
      <c r="B506" s="19" t="n"/>
      <c r="C506" s="19" t="n"/>
      <c r="D506" s="19" t="n"/>
      <c r="E506" s="19" t="n"/>
      <c r="F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c r="AA506" s="19" t="n"/>
    </row>
    <row r="507" ht="15.75" customHeight="1" s="545">
      <c r="A507" s="19" t="n"/>
      <c r="B507" s="19" t="n"/>
      <c r="C507" s="19" t="n"/>
      <c r="D507" s="19" t="n"/>
      <c r="E507" s="19" t="n"/>
      <c r="F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c r="AA507" s="19" t="n"/>
    </row>
    <row r="508" ht="15.75" customHeight="1" s="545">
      <c r="A508" s="19" t="n"/>
      <c r="B508" s="19" t="n"/>
      <c r="C508" s="19" t="n"/>
      <c r="D508" s="19" t="n"/>
      <c r="E508" s="19" t="n"/>
      <c r="F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c r="AA508" s="19" t="n"/>
    </row>
    <row r="509" ht="15.75" customHeight="1" s="545">
      <c r="A509" s="19" t="n"/>
      <c r="B509" s="19" t="n"/>
      <c r="C509" s="19" t="n"/>
      <c r="D509" s="19" t="n"/>
      <c r="E509" s="19" t="n"/>
      <c r="F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c r="AA509" s="19" t="n"/>
    </row>
    <row r="510" ht="15.75" customHeight="1" s="545">
      <c r="A510" s="19" t="n"/>
      <c r="B510" s="19" t="n"/>
      <c r="C510" s="19" t="n"/>
      <c r="D510" s="19" t="n"/>
      <c r="E510" s="19" t="n"/>
      <c r="F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c r="AA510" s="19" t="n"/>
    </row>
    <row r="511" ht="15.75" customHeight="1" s="545">
      <c r="A511" s="19" t="n"/>
      <c r="B511" s="19" t="n"/>
      <c r="C511" s="19" t="n"/>
      <c r="D511" s="19" t="n"/>
      <c r="E511" s="19" t="n"/>
      <c r="F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c r="AA511" s="19" t="n"/>
    </row>
    <row r="512" ht="15.75" customHeight="1" s="545">
      <c r="A512" s="19" t="n"/>
      <c r="B512" s="19" t="n"/>
      <c r="C512" s="19" t="n"/>
      <c r="D512" s="19" t="n"/>
      <c r="E512" s="19" t="n"/>
      <c r="F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c r="AA512" s="19" t="n"/>
    </row>
    <row r="513" ht="15.75" customHeight="1" s="545">
      <c r="A513" s="19" t="n"/>
      <c r="B513" s="19" t="n"/>
      <c r="C513" s="19" t="n"/>
      <c r="D513" s="19" t="n"/>
      <c r="E513" s="19" t="n"/>
      <c r="F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c r="AA513" s="19" t="n"/>
    </row>
    <row r="514" ht="15.75" customHeight="1" s="545">
      <c r="A514" s="19" t="n"/>
      <c r="B514" s="19" t="n"/>
      <c r="C514" s="19" t="n"/>
      <c r="D514" s="19" t="n"/>
      <c r="E514" s="19" t="n"/>
      <c r="F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c r="AA514" s="19" t="n"/>
    </row>
    <row r="515" ht="15.75" customHeight="1" s="545">
      <c r="A515" s="19" t="n"/>
      <c r="B515" s="19" t="n"/>
      <c r="C515" s="19" t="n"/>
      <c r="D515" s="19" t="n"/>
      <c r="E515" s="19" t="n"/>
      <c r="F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c r="AA515" s="19" t="n"/>
    </row>
    <row r="516" ht="15.75" customHeight="1" s="545">
      <c r="A516" s="19" t="n"/>
      <c r="B516" s="19" t="n"/>
      <c r="C516" s="19" t="n"/>
      <c r="D516" s="19" t="n"/>
      <c r="E516" s="19" t="n"/>
      <c r="F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c r="AA516" s="19" t="n"/>
    </row>
    <row r="517" ht="15.75" customHeight="1" s="545">
      <c r="A517" s="19" t="n"/>
      <c r="B517" s="19" t="n"/>
      <c r="C517" s="19" t="n"/>
      <c r="D517" s="19" t="n"/>
      <c r="E517" s="19" t="n"/>
      <c r="F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c r="AA517" s="19" t="n"/>
    </row>
    <row r="518" ht="15.75" customHeight="1" s="545">
      <c r="A518" s="19" t="n"/>
      <c r="B518" s="19" t="n"/>
      <c r="C518" s="19" t="n"/>
      <c r="D518" s="19" t="n"/>
      <c r="E518" s="19" t="n"/>
      <c r="F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c r="AA518" s="19" t="n"/>
    </row>
    <row r="519" ht="15.75" customHeight="1" s="545">
      <c r="A519" s="19" t="n"/>
      <c r="B519" s="19" t="n"/>
      <c r="C519" s="19" t="n"/>
      <c r="D519" s="19" t="n"/>
      <c r="E519" s="19" t="n"/>
      <c r="F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c r="AA519" s="19" t="n"/>
    </row>
    <row r="520" ht="15.75" customHeight="1" s="545">
      <c r="A520" s="19" t="n"/>
      <c r="B520" s="19" t="n"/>
      <c r="C520" s="19" t="n"/>
      <c r="D520" s="19" t="n"/>
      <c r="E520" s="19" t="n"/>
      <c r="F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c r="AA520" s="19" t="n"/>
    </row>
    <row r="521" ht="15.75" customHeight="1" s="545">
      <c r="A521" s="19" t="n"/>
      <c r="B521" s="19" t="n"/>
      <c r="C521" s="19" t="n"/>
      <c r="D521" s="19" t="n"/>
      <c r="E521" s="19" t="n"/>
      <c r="F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c r="AA521" s="19" t="n"/>
    </row>
    <row r="522" ht="15.75" customHeight="1" s="545">
      <c r="A522" s="19" t="n"/>
      <c r="B522" s="19" t="n"/>
      <c r="C522" s="19" t="n"/>
      <c r="D522" s="19" t="n"/>
      <c r="E522" s="19" t="n"/>
      <c r="F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c r="AA522" s="19" t="n"/>
    </row>
    <row r="523" ht="15.75" customHeight="1" s="545">
      <c r="A523" s="19" t="n"/>
      <c r="B523" s="19" t="n"/>
      <c r="C523" s="19" t="n"/>
      <c r="D523" s="19" t="n"/>
      <c r="E523" s="19" t="n"/>
      <c r="F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c r="AA523" s="19" t="n"/>
    </row>
    <row r="524" ht="15.75" customHeight="1" s="545">
      <c r="A524" s="19" t="n"/>
      <c r="B524" s="19" t="n"/>
      <c r="C524" s="19" t="n"/>
      <c r="D524" s="19" t="n"/>
      <c r="E524" s="19" t="n"/>
      <c r="F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c r="AA524" s="19" t="n"/>
    </row>
    <row r="525" ht="15.75" customHeight="1" s="545">
      <c r="A525" s="19" t="n"/>
      <c r="B525" s="19" t="n"/>
      <c r="C525" s="19" t="n"/>
      <c r="D525" s="19" t="n"/>
      <c r="E525" s="19" t="n"/>
      <c r="F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c r="AA525" s="19" t="n"/>
    </row>
    <row r="526" ht="15.75" customHeight="1" s="545">
      <c r="A526" s="19" t="n"/>
      <c r="B526" s="19" t="n"/>
      <c r="C526" s="19" t="n"/>
      <c r="D526" s="19" t="n"/>
      <c r="E526" s="19" t="n"/>
      <c r="F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c r="AA526" s="19" t="n"/>
    </row>
    <row r="527" ht="15.75" customHeight="1" s="545">
      <c r="A527" s="19" t="n"/>
      <c r="B527" s="19" t="n"/>
      <c r="C527" s="19" t="n"/>
      <c r="D527" s="19" t="n"/>
      <c r="E527" s="19" t="n"/>
      <c r="F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c r="AA527" s="19" t="n"/>
    </row>
    <row r="528" ht="15.75" customHeight="1" s="545">
      <c r="A528" s="19" t="n"/>
      <c r="B528" s="19" t="n"/>
      <c r="C528" s="19" t="n"/>
      <c r="D528" s="19" t="n"/>
      <c r="E528" s="19" t="n"/>
      <c r="F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c r="AA528" s="19" t="n"/>
    </row>
    <row r="529" ht="15.75" customHeight="1" s="545">
      <c r="A529" s="19" t="n"/>
      <c r="B529" s="19" t="n"/>
      <c r="C529" s="19" t="n"/>
      <c r="D529" s="19" t="n"/>
      <c r="E529" s="19" t="n"/>
      <c r="F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c r="AA529" s="19" t="n"/>
    </row>
    <row r="530" ht="15.75" customHeight="1" s="545">
      <c r="A530" s="19" t="n"/>
      <c r="B530" s="19" t="n"/>
      <c r="C530" s="19" t="n"/>
      <c r="D530" s="19" t="n"/>
      <c r="E530" s="19" t="n"/>
      <c r="F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c r="AA530" s="19" t="n"/>
    </row>
    <row r="531" ht="15.75" customHeight="1" s="545">
      <c r="A531" s="19" t="n"/>
      <c r="B531" s="19" t="n"/>
      <c r="C531" s="19" t="n"/>
      <c r="D531" s="19" t="n"/>
      <c r="E531" s="19" t="n"/>
      <c r="F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c r="AA531" s="19" t="n"/>
    </row>
    <row r="532" ht="15.75" customHeight="1" s="545">
      <c r="A532" s="19" t="n"/>
      <c r="B532" s="19" t="n"/>
      <c r="C532" s="19" t="n"/>
      <c r="D532" s="19" t="n"/>
      <c r="E532" s="19" t="n"/>
      <c r="F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c r="AA532" s="19" t="n"/>
    </row>
    <row r="533" ht="15.75" customHeight="1" s="545">
      <c r="A533" s="19" t="n"/>
      <c r="B533" s="19" t="n"/>
      <c r="C533" s="19" t="n"/>
      <c r="D533" s="19" t="n"/>
      <c r="E533" s="19" t="n"/>
      <c r="F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c r="AA533" s="19" t="n"/>
    </row>
    <row r="534" ht="15.75" customHeight="1" s="545">
      <c r="A534" s="19" t="n"/>
      <c r="B534" s="19" t="n"/>
      <c r="C534" s="19" t="n"/>
      <c r="D534" s="19" t="n"/>
      <c r="E534" s="19" t="n"/>
      <c r="F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c r="AA534" s="19" t="n"/>
    </row>
    <row r="535" ht="15.75" customHeight="1" s="545">
      <c r="A535" s="19" t="n"/>
      <c r="B535" s="19" t="n"/>
      <c r="C535" s="19" t="n"/>
      <c r="D535" s="19" t="n"/>
      <c r="E535" s="19" t="n"/>
      <c r="F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c r="AA535" s="19" t="n"/>
    </row>
    <row r="536" ht="15.75" customHeight="1" s="545">
      <c r="A536" s="19" t="n"/>
      <c r="B536" s="19" t="n"/>
      <c r="C536" s="19" t="n"/>
      <c r="D536" s="19" t="n"/>
      <c r="E536" s="19" t="n"/>
      <c r="F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c r="AA536" s="19" t="n"/>
    </row>
    <row r="537" ht="15.75" customHeight="1" s="545">
      <c r="A537" s="19" t="n"/>
      <c r="B537" s="19" t="n"/>
      <c r="C537" s="19" t="n"/>
      <c r="D537" s="19" t="n"/>
      <c r="E537" s="19" t="n"/>
      <c r="F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c r="AA537" s="19" t="n"/>
    </row>
    <row r="538" ht="15.75" customHeight="1" s="545">
      <c r="A538" s="19" t="n"/>
      <c r="B538" s="19" t="n"/>
      <c r="C538" s="19" t="n"/>
      <c r="D538" s="19" t="n"/>
      <c r="E538" s="19" t="n"/>
      <c r="F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c r="AA538" s="19" t="n"/>
    </row>
    <row r="539" ht="15.75" customHeight="1" s="545">
      <c r="A539" s="19" t="n"/>
      <c r="B539" s="19" t="n"/>
      <c r="C539" s="19" t="n"/>
      <c r="D539" s="19" t="n"/>
      <c r="E539" s="19" t="n"/>
      <c r="F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c r="AA539" s="19" t="n"/>
    </row>
    <row r="540" ht="15.75" customHeight="1" s="545">
      <c r="A540" s="19" t="n"/>
      <c r="B540" s="19" t="n"/>
      <c r="C540" s="19" t="n"/>
      <c r="D540" s="19" t="n"/>
      <c r="E540" s="19" t="n"/>
      <c r="F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c r="AA540" s="19" t="n"/>
    </row>
    <row r="541" ht="15.75" customHeight="1" s="545">
      <c r="A541" s="19" t="n"/>
      <c r="B541" s="19" t="n"/>
      <c r="C541" s="19" t="n"/>
      <c r="D541" s="19" t="n"/>
      <c r="E541" s="19" t="n"/>
      <c r="F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c r="AA541" s="19" t="n"/>
    </row>
    <row r="542" ht="15.75" customHeight="1" s="545">
      <c r="A542" s="19" t="n"/>
      <c r="B542" s="19" t="n"/>
      <c r="C542" s="19" t="n"/>
      <c r="D542" s="19" t="n"/>
      <c r="E542" s="19" t="n"/>
      <c r="F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c r="AA542" s="19" t="n"/>
    </row>
    <row r="543" ht="15.75" customHeight="1" s="545">
      <c r="A543" s="19" t="n"/>
      <c r="B543" s="19" t="n"/>
      <c r="C543" s="19" t="n"/>
      <c r="D543" s="19" t="n"/>
      <c r="E543" s="19" t="n"/>
      <c r="F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c r="AA543" s="19" t="n"/>
    </row>
    <row r="544" ht="15.75" customHeight="1" s="545">
      <c r="A544" s="19" t="n"/>
      <c r="B544" s="19" t="n"/>
      <c r="C544" s="19" t="n"/>
      <c r="D544" s="19" t="n"/>
      <c r="E544" s="19" t="n"/>
      <c r="F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c r="AA544" s="19" t="n"/>
    </row>
    <row r="545" ht="15.75" customHeight="1" s="545">
      <c r="A545" s="19" t="n"/>
      <c r="B545" s="19" t="n"/>
      <c r="C545" s="19" t="n"/>
      <c r="D545" s="19" t="n"/>
      <c r="E545" s="19" t="n"/>
      <c r="F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c r="AA545" s="19" t="n"/>
    </row>
    <row r="546" ht="15.75" customHeight="1" s="545">
      <c r="A546" s="19" t="n"/>
      <c r="B546" s="19" t="n"/>
      <c r="C546" s="19" t="n"/>
      <c r="D546" s="19" t="n"/>
      <c r="E546" s="19" t="n"/>
      <c r="F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c r="AA546" s="19" t="n"/>
    </row>
    <row r="547" ht="15.75" customHeight="1" s="545">
      <c r="A547" s="19" t="n"/>
      <c r="B547" s="19" t="n"/>
      <c r="C547" s="19" t="n"/>
      <c r="D547" s="19" t="n"/>
      <c r="E547" s="19" t="n"/>
      <c r="F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c r="AA547" s="19" t="n"/>
    </row>
    <row r="548" ht="15.75" customHeight="1" s="545">
      <c r="A548" s="19" t="n"/>
      <c r="B548" s="19" t="n"/>
      <c r="C548" s="19" t="n"/>
      <c r="D548" s="19" t="n"/>
      <c r="E548" s="19" t="n"/>
      <c r="F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c r="AA548" s="19" t="n"/>
    </row>
    <row r="549" ht="15.75" customHeight="1" s="545">
      <c r="A549" s="19" t="n"/>
      <c r="B549" s="19" t="n"/>
      <c r="C549" s="19" t="n"/>
      <c r="D549" s="19" t="n"/>
      <c r="E549" s="19" t="n"/>
      <c r="F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c r="AA549" s="19" t="n"/>
    </row>
    <row r="550" ht="15.75" customHeight="1" s="545">
      <c r="A550" s="19" t="n"/>
      <c r="B550" s="19" t="n"/>
      <c r="C550" s="19" t="n"/>
      <c r="D550" s="19" t="n"/>
      <c r="E550" s="19" t="n"/>
      <c r="F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c r="AA550" s="19" t="n"/>
    </row>
    <row r="551" ht="15.75" customHeight="1" s="545">
      <c r="A551" s="19" t="n"/>
      <c r="B551" s="19" t="n"/>
      <c r="C551" s="19" t="n"/>
      <c r="D551" s="19" t="n"/>
      <c r="E551" s="19" t="n"/>
      <c r="F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c r="AA551" s="19" t="n"/>
    </row>
    <row r="552" ht="15.75" customHeight="1" s="545">
      <c r="A552" s="19" t="n"/>
      <c r="B552" s="19" t="n"/>
      <c r="C552" s="19" t="n"/>
      <c r="D552" s="19" t="n"/>
      <c r="E552" s="19" t="n"/>
      <c r="F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c r="AA552" s="19" t="n"/>
    </row>
    <row r="553" ht="15.75" customHeight="1" s="545">
      <c r="A553" s="19" t="n"/>
      <c r="B553" s="19" t="n"/>
      <c r="C553" s="19" t="n"/>
      <c r="D553" s="19" t="n"/>
      <c r="E553" s="19" t="n"/>
      <c r="F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c r="AA553" s="19" t="n"/>
    </row>
    <row r="554" ht="15.75" customHeight="1" s="545">
      <c r="A554" s="19" t="n"/>
      <c r="B554" s="19" t="n"/>
      <c r="C554" s="19" t="n"/>
      <c r="D554" s="19" t="n"/>
      <c r="E554" s="19" t="n"/>
      <c r="F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c r="AA554" s="19" t="n"/>
    </row>
    <row r="555" ht="15.75" customHeight="1" s="545">
      <c r="A555" s="19" t="n"/>
      <c r="B555" s="19" t="n"/>
      <c r="C555" s="19" t="n"/>
      <c r="D555" s="19" t="n"/>
      <c r="E555" s="19" t="n"/>
      <c r="F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c r="AA555" s="19" t="n"/>
    </row>
    <row r="556" ht="15.75" customHeight="1" s="545">
      <c r="A556" s="19" t="n"/>
      <c r="B556" s="19" t="n"/>
      <c r="C556" s="19" t="n"/>
      <c r="D556" s="19" t="n"/>
      <c r="E556" s="19" t="n"/>
      <c r="F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c r="AA556" s="19" t="n"/>
    </row>
    <row r="557" ht="15.75" customHeight="1" s="545">
      <c r="A557" s="19" t="n"/>
      <c r="B557" s="19" t="n"/>
      <c r="C557" s="19" t="n"/>
      <c r="D557" s="19" t="n"/>
      <c r="E557" s="19" t="n"/>
      <c r="F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c r="AA557" s="19" t="n"/>
    </row>
    <row r="558" ht="15.75" customHeight="1" s="545">
      <c r="A558" s="19" t="n"/>
      <c r="B558" s="19" t="n"/>
      <c r="C558" s="19" t="n"/>
      <c r="D558" s="19" t="n"/>
      <c r="E558" s="19" t="n"/>
      <c r="F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c r="AA558" s="19" t="n"/>
    </row>
    <row r="559" ht="15.75" customHeight="1" s="545">
      <c r="A559" s="19" t="n"/>
      <c r="B559" s="19" t="n"/>
      <c r="C559" s="19" t="n"/>
      <c r="D559" s="19" t="n"/>
      <c r="E559" s="19" t="n"/>
      <c r="F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c r="AA559" s="19" t="n"/>
    </row>
    <row r="560" ht="15.75" customHeight="1" s="545">
      <c r="A560" s="19" t="n"/>
      <c r="B560" s="19" t="n"/>
      <c r="C560" s="19" t="n"/>
      <c r="D560" s="19" t="n"/>
      <c r="E560" s="19" t="n"/>
      <c r="F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c r="AA560" s="19" t="n"/>
    </row>
    <row r="561" ht="15.75" customHeight="1" s="545">
      <c r="A561" s="19" t="n"/>
      <c r="B561" s="19" t="n"/>
      <c r="C561" s="19" t="n"/>
      <c r="D561" s="19" t="n"/>
      <c r="E561" s="19" t="n"/>
      <c r="F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c r="AA561" s="19" t="n"/>
    </row>
    <row r="562" ht="15.75" customHeight="1" s="545">
      <c r="A562" s="19" t="n"/>
      <c r="B562" s="19" t="n"/>
      <c r="C562" s="19" t="n"/>
      <c r="D562" s="19" t="n"/>
      <c r="E562" s="19" t="n"/>
      <c r="F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c r="AA562" s="19" t="n"/>
    </row>
    <row r="563" ht="15.75" customHeight="1" s="545">
      <c r="A563" s="19" t="n"/>
      <c r="B563" s="19" t="n"/>
      <c r="C563" s="19" t="n"/>
      <c r="D563" s="19" t="n"/>
      <c r="E563" s="19" t="n"/>
      <c r="F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c r="AA563" s="19" t="n"/>
    </row>
    <row r="564" ht="15.75" customHeight="1" s="545">
      <c r="A564" s="19" t="n"/>
      <c r="B564" s="19" t="n"/>
      <c r="C564" s="19" t="n"/>
      <c r="D564" s="19" t="n"/>
      <c r="E564" s="19" t="n"/>
      <c r="F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c r="AA564" s="19" t="n"/>
    </row>
    <row r="565" ht="15.75" customHeight="1" s="545">
      <c r="A565" s="19" t="n"/>
      <c r="B565" s="19" t="n"/>
      <c r="C565" s="19" t="n"/>
      <c r="D565" s="19" t="n"/>
      <c r="E565" s="19" t="n"/>
      <c r="F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c r="AA565" s="19" t="n"/>
    </row>
    <row r="566" ht="15.75" customHeight="1" s="545">
      <c r="A566" s="19" t="n"/>
      <c r="B566" s="19" t="n"/>
      <c r="C566" s="19" t="n"/>
      <c r="D566" s="19" t="n"/>
      <c r="E566" s="19" t="n"/>
      <c r="F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c r="AA566" s="19" t="n"/>
    </row>
    <row r="567" ht="15.75" customHeight="1" s="545">
      <c r="A567" s="19" t="n"/>
      <c r="B567" s="19" t="n"/>
      <c r="C567" s="19" t="n"/>
      <c r="D567" s="19" t="n"/>
      <c r="E567" s="19" t="n"/>
      <c r="F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c r="AA567" s="19" t="n"/>
    </row>
    <row r="568" ht="15.75" customHeight="1" s="545">
      <c r="A568" s="19" t="n"/>
      <c r="B568" s="19" t="n"/>
      <c r="C568" s="19" t="n"/>
      <c r="D568" s="19" t="n"/>
      <c r="E568" s="19" t="n"/>
      <c r="F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c r="AA568" s="19" t="n"/>
    </row>
    <row r="569" ht="15.75" customHeight="1" s="545">
      <c r="A569" s="19" t="n"/>
      <c r="B569" s="19" t="n"/>
      <c r="C569" s="19" t="n"/>
      <c r="D569" s="19" t="n"/>
      <c r="E569" s="19" t="n"/>
      <c r="F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c r="AA569" s="19" t="n"/>
    </row>
    <row r="570" ht="15.75" customHeight="1" s="545">
      <c r="A570" s="19" t="n"/>
      <c r="B570" s="19" t="n"/>
      <c r="C570" s="19" t="n"/>
      <c r="D570" s="19" t="n"/>
      <c r="E570" s="19" t="n"/>
      <c r="F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c r="AA570" s="19" t="n"/>
    </row>
    <row r="571" ht="15.75" customHeight="1" s="545">
      <c r="A571" s="19" t="n"/>
      <c r="B571" s="19" t="n"/>
      <c r="C571" s="19" t="n"/>
      <c r="D571" s="19" t="n"/>
      <c r="E571" s="19" t="n"/>
      <c r="F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c r="AA571" s="19" t="n"/>
    </row>
    <row r="572" ht="15.75" customHeight="1" s="545">
      <c r="A572" s="19" t="n"/>
      <c r="B572" s="19" t="n"/>
      <c r="C572" s="19" t="n"/>
      <c r="D572" s="19" t="n"/>
      <c r="E572" s="19" t="n"/>
      <c r="F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c r="AA572" s="19" t="n"/>
    </row>
    <row r="573" ht="15.75" customHeight="1" s="545">
      <c r="A573" s="19" t="n"/>
      <c r="B573" s="19" t="n"/>
      <c r="C573" s="19" t="n"/>
      <c r="D573" s="19" t="n"/>
      <c r="E573" s="19" t="n"/>
      <c r="F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c r="AA573" s="19" t="n"/>
    </row>
    <row r="574" ht="15.75" customHeight="1" s="545">
      <c r="A574" s="19" t="n"/>
      <c r="B574" s="19" t="n"/>
      <c r="C574" s="19" t="n"/>
      <c r="D574" s="19" t="n"/>
      <c r="E574" s="19" t="n"/>
      <c r="F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c r="AA574" s="19" t="n"/>
    </row>
    <row r="575" ht="15.75" customHeight="1" s="545">
      <c r="A575" s="19" t="n"/>
      <c r="B575" s="19" t="n"/>
      <c r="C575" s="19" t="n"/>
      <c r="D575" s="19" t="n"/>
      <c r="E575" s="19" t="n"/>
      <c r="F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c r="AA575" s="19" t="n"/>
    </row>
    <row r="576" ht="15.75" customHeight="1" s="545">
      <c r="A576" s="19" t="n"/>
      <c r="B576" s="19" t="n"/>
      <c r="C576" s="19" t="n"/>
      <c r="D576" s="19" t="n"/>
      <c r="E576" s="19" t="n"/>
      <c r="F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c r="AA576" s="19" t="n"/>
    </row>
    <row r="577" ht="15.75" customHeight="1" s="545">
      <c r="A577" s="19" t="n"/>
      <c r="B577" s="19" t="n"/>
      <c r="C577" s="19" t="n"/>
      <c r="D577" s="19" t="n"/>
      <c r="E577" s="19" t="n"/>
      <c r="F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c r="AA577" s="19" t="n"/>
    </row>
    <row r="578" ht="15.75" customHeight="1" s="545">
      <c r="A578" s="19" t="n"/>
      <c r="B578" s="19" t="n"/>
      <c r="C578" s="19" t="n"/>
      <c r="D578" s="19" t="n"/>
      <c r="E578" s="19" t="n"/>
      <c r="F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c r="AA578" s="19" t="n"/>
    </row>
    <row r="579" ht="15.75" customHeight="1" s="545">
      <c r="A579" s="19" t="n"/>
      <c r="B579" s="19" t="n"/>
      <c r="C579" s="19" t="n"/>
      <c r="D579" s="19" t="n"/>
      <c r="E579" s="19" t="n"/>
      <c r="F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c r="AA579" s="19" t="n"/>
    </row>
    <row r="580" ht="15.75" customHeight="1" s="545">
      <c r="A580" s="19" t="n"/>
      <c r="B580" s="19" t="n"/>
      <c r="C580" s="19" t="n"/>
      <c r="D580" s="19" t="n"/>
      <c r="E580" s="19" t="n"/>
      <c r="F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c r="AA580" s="19" t="n"/>
    </row>
    <row r="581" ht="15.75" customHeight="1" s="545">
      <c r="A581" s="19" t="n"/>
      <c r="B581" s="19" t="n"/>
      <c r="C581" s="19" t="n"/>
      <c r="D581" s="19" t="n"/>
      <c r="E581" s="19" t="n"/>
      <c r="F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c r="AA581" s="19" t="n"/>
    </row>
    <row r="582" ht="15.75" customHeight="1" s="545">
      <c r="A582" s="19" t="n"/>
      <c r="B582" s="19" t="n"/>
      <c r="C582" s="19" t="n"/>
      <c r="D582" s="19" t="n"/>
      <c r="E582" s="19" t="n"/>
      <c r="F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c r="AA582" s="19" t="n"/>
    </row>
    <row r="583" ht="15.75" customHeight="1" s="545">
      <c r="A583" s="19" t="n"/>
      <c r="B583" s="19" t="n"/>
      <c r="C583" s="19" t="n"/>
      <c r="D583" s="19" t="n"/>
      <c r="E583" s="19" t="n"/>
      <c r="F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c r="AA583" s="19" t="n"/>
    </row>
    <row r="584" ht="15.75" customHeight="1" s="545">
      <c r="A584" s="19" t="n"/>
      <c r="B584" s="19" t="n"/>
      <c r="C584" s="19" t="n"/>
      <c r="D584" s="19" t="n"/>
      <c r="E584" s="19" t="n"/>
      <c r="F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c r="AA584" s="19" t="n"/>
    </row>
    <row r="585" ht="15.75" customHeight="1" s="545">
      <c r="A585" s="19" t="n"/>
      <c r="B585" s="19" t="n"/>
      <c r="C585" s="19" t="n"/>
      <c r="D585" s="19" t="n"/>
      <c r="E585" s="19" t="n"/>
      <c r="F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c r="AA585" s="19" t="n"/>
    </row>
    <row r="586" ht="15.75" customHeight="1" s="545">
      <c r="A586" s="19" t="n"/>
      <c r="B586" s="19" t="n"/>
      <c r="C586" s="19" t="n"/>
      <c r="D586" s="19" t="n"/>
      <c r="E586" s="19" t="n"/>
      <c r="F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c r="AA586" s="19" t="n"/>
    </row>
    <row r="587" ht="15.75" customHeight="1" s="545">
      <c r="A587" s="19" t="n"/>
      <c r="B587" s="19" t="n"/>
      <c r="C587" s="19" t="n"/>
      <c r="D587" s="19" t="n"/>
      <c r="E587" s="19" t="n"/>
      <c r="F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c r="AA587" s="19" t="n"/>
    </row>
    <row r="588" ht="15.75" customHeight="1" s="545">
      <c r="A588" s="19" t="n"/>
      <c r="B588" s="19" t="n"/>
      <c r="C588" s="19" t="n"/>
      <c r="D588" s="19" t="n"/>
      <c r="E588" s="19" t="n"/>
      <c r="F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c r="AA588" s="19" t="n"/>
    </row>
    <row r="589" ht="15.75" customHeight="1" s="545">
      <c r="A589" s="19" t="n"/>
      <c r="B589" s="19" t="n"/>
      <c r="C589" s="19" t="n"/>
      <c r="D589" s="19" t="n"/>
      <c r="E589" s="19" t="n"/>
      <c r="F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c r="AA589" s="19" t="n"/>
    </row>
    <row r="590" ht="15.75" customHeight="1" s="545">
      <c r="A590" s="19" t="n"/>
      <c r="B590" s="19" t="n"/>
      <c r="C590" s="19" t="n"/>
      <c r="D590" s="19" t="n"/>
      <c r="E590" s="19" t="n"/>
      <c r="F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c r="AA590" s="19" t="n"/>
    </row>
    <row r="591" ht="15.75" customHeight="1" s="545">
      <c r="A591" s="19" t="n"/>
      <c r="B591" s="19" t="n"/>
      <c r="C591" s="19" t="n"/>
      <c r="D591" s="19" t="n"/>
      <c r="E591" s="19" t="n"/>
      <c r="F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c r="AA591" s="19" t="n"/>
    </row>
    <row r="592" ht="15.75" customHeight="1" s="545">
      <c r="A592" s="19" t="n"/>
      <c r="B592" s="19" t="n"/>
      <c r="C592" s="19" t="n"/>
      <c r="D592" s="19" t="n"/>
      <c r="E592" s="19" t="n"/>
      <c r="F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c r="AA592" s="19" t="n"/>
    </row>
    <row r="593" ht="15.75" customHeight="1" s="545">
      <c r="A593" s="19" t="n"/>
      <c r="B593" s="19" t="n"/>
      <c r="C593" s="19" t="n"/>
      <c r="D593" s="19" t="n"/>
      <c r="E593" s="19" t="n"/>
      <c r="F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c r="AA593" s="19" t="n"/>
    </row>
    <row r="594" ht="15.75" customHeight="1" s="545">
      <c r="A594" s="19" t="n"/>
      <c r="B594" s="19" t="n"/>
      <c r="C594" s="19" t="n"/>
      <c r="D594" s="19" t="n"/>
      <c r="E594" s="19" t="n"/>
      <c r="F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c r="AA594" s="19" t="n"/>
    </row>
    <row r="595" ht="15.75" customHeight="1" s="545">
      <c r="A595" s="19" t="n"/>
      <c r="B595" s="19" t="n"/>
      <c r="C595" s="19" t="n"/>
      <c r="D595" s="19" t="n"/>
      <c r="E595" s="19" t="n"/>
      <c r="F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c r="AA595" s="19" t="n"/>
    </row>
    <row r="596" ht="15.75" customHeight="1" s="545">
      <c r="A596" s="19" t="n"/>
      <c r="B596" s="19" t="n"/>
      <c r="C596" s="19" t="n"/>
      <c r="D596" s="19" t="n"/>
      <c r="E596" s="19" t="n"/>
      <c r="F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c r="AA596" s="19" t="n"/>
    </row>
    <row r="597" ht="15.75" customHeight="1" s="545">
      <c r="A597" s="19" t="n"/>
      <c r="B597" s="19" t="n"/>
      <c r="C597" s="19" t="n"/>
      <c r="D597" s="19" t="n"/>
      <c r="E597" s="19" t="n"/>
      <c r="F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c r="AA597" s="19" t="n"/>
    </row>
    <row r="598" ht="15.75" customHeight="1" s="545">
      <c r="A598" s="19" t="n"/>
      <c r="B598" s="19" t="n"/>
      <c r="C598" s="19" t="n"/>
      <c r="D598" s="19" t="n"/>
      <c r="E598" s="19" t="n"/>
      <c r="F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c r="AA598" s="19" t="n"/>
    </row>
    <row r="599" ht="15.75" customHeight="1" s="545">
      <c r="A599" s="19" t="n"/>
      <c r="B599" s="19" t="n"/>
      <c r="C599" s="19" t="n"/>
      <c r="D599" s="19" t="n"/>
      <c r="E599" s="19" t="n"/>
      <c r="F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c r="AA599" s="19" t="n"/>
    </row>
    <row r="600" ht="15.75" customHeight="1" s="545">
      <c r="A600" s="19" t="n"/>
      <c r="B600" s="19" t="n"/>
      <c r="C600" s="19" t="n"/>
      <c r="D600" s="19" t="n"/>
      <c r="E600" s="19" t="n"/>
      <c r="F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c r="AA600" s="19" t="n"/>
    </row>
    <row r="601" ht="15.75" customHeight="1" s="545">
      <c r="A601" s="19" t="n"/>
      <c r="B601" s="19" t="n"/>
      <c r="C601" s="19" t="n"/>
      <c r="D601" s="19" t="n"/>
      <c r="E601" s="19" t="n"/>
      <c r="F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c r="AA601" s="19" t="n"/>
    </row>
    <row r="602" ht="15.75" customHeight="1" s="545">
      <c r="A602" s="19" t="n"/>
      <c r="B602" s="19" t="n"/>
      <c r="C602" s="19" t="n"/>
      <c r="D602" s="19" t="n"/>
      <c r="E602" s="19" t="n"/>
      <c r="F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c r="AA602" s="19" t="n"/>
    </row>
    <row r="603" ht="15.75" customHeight="1" s="545">
      <c r="A603" s="19" t="n"/>
      <c r="B603" s="19" t="n"/>
      <c r="C603" s="19" t="n"/>
      <c r="D603" s="19" t="n"/>
      <c r="E603" s="19" t="n"/>
      <c r="F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c r="AA603" s="19" t="n"/>
    </row>
    <row r="604" ht="15.75" customHeight="1" s="545">
      <c r="A604" s="19" t="n"/>
      <c r="B604" s="19" t="n"/>
      <c r="C604" s="19" t="n"/>
      <c r="D604" s="19" t="n"/>
      <c r="E604" s="19" t="n"/>
      <c r="F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c r="AA604" s="19" t="n"/>
    </row>
    <row r="605" ht="15.75" customHeight="1" s="545">
      <c r="A605" s="19" t="n"/>
      <c r="B605" s="19" t="n"/>
      <c r="C605" s="19" t="n"/>
      <c r="D605" s="19" t="n"/>
      <c r="E605" s="19" t="n"/>
      <c r="F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c r="AA605" s="19" t="n"/>
    </row>
    <row r="606" ht="15.75" customHeight="1" s="545">
      <c r="A606" s="19" t="n"/>
      <c r="B606" s="19" t="n"/>
      <c r="C606" s="19" t="n"/>
      <c r="D606" s="19" t="n"/>
      <c r="E606" s="19" t="n"/>
      <c r="F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c r="AA606" s="19" t="n"/>
    </row>
    <row r="607" ht="15.75" customHeight="1" s="545">
      <c r="A607" s="19" t="n"/>
      <c r="B607" s="19" t="n"/>
      <c r="C607" s="19" t="n"/>
      <c r="D607" s="19" t="n"/>
      <c r="E607" s="19" t="n"/>
      <c r="F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c r="AA607" s="19" t="n"/>
    </row>
    <row r="608" ht="15.75" customHeight="1" s="545">
      <c r="A608" s="19" t="n"/>
      <c r="B608" s="19" t="n"/>
      <c r="C608" s="19" t="n"/>
      <c r="D608" s="19" t="n"/>
      <c r="E608" s="19" t="n"/>
      <c r="F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c r="AA608" s="19" t="n"/>
    </row>
    <row r="609" ht="15.75" customHeight="1" s="545">
      <c r="A609" s="19" t="n"/>
      <c r="B609" s="19" t="n"/>
      <c r="C609" s="19" t="n"/>
      <c r="D609" s="19" t="n"/>
      <c r="E609" s="19" t="n"/>
      <c r="F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c r="AA609" s="19" t="n"/>
    </row>
    <row r="610" ht="15.75" customHeight="1" s="545">
      <c r="A610" s="19" t="n"/>
      <c r="B610" s="19" t="n"/>
      <c r="C610" s="19" t="n"/>
      <c r="D610" s="19" t="n"/>
      <c r="E610" s="19" t="n"/>
      <c r="F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c r="AA610" s="19" t="n"/>
    </row>
    <row r="611" ht="15.75" customHeight="1" s="545">
      <c r="A611" s="19" t="n"/>
      <c r="B611" s="19" t="n"/>
      <c r="C611" s="19" t="n"/>
      <c r="D611" s="19" t="n"/>
      <c r="E611" s="19" t="n"/>
      <c r="F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c r="AA611" s="19" t="n"/>
    </row>
    <row r="612" ht="15.75" customHeight="1" s="545">
      <c r="A612" s="19" t="n"/>
      <c r="B612" s="19" t="n"/>
      <c r="C612" s="19" t="n"/>
      <c r="D612" s="19" t="n"/>
      <c r="E612" s="19" t="n"/>
      <c r="F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c r="AA612" s="19" t="n"/>
    </row>
    <row r="613" ht="15.75" customHeight="1" s="545">
      <c r="A613" s="19" t="n"/>
      <c r="B613" s="19" t="n"/>
      <c r="C613" s="19" t="n"/>
      <c r="D613" s="19" t="n"/>
      <c r="E613" s="19" t="n"/>
      <c r="F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c r="AA613" s="19" t="n"/>
    </row>
    <row r="614" ht="15.75" customHeight="1" s="545">
      <c r="A614" s="19" t="n"/>
      <c r="B614" s="19" t="n"/>
      <c r="C614" s="19" t="n"/>
      <c r="D614" s="19" t="n"/>
      <c r="E614" s="19" t="n"/>
      <c r="F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c r="AA614" s="19" t="n"/>
    </row>
    <row r="615" ht="15.75" customHeight="1" s="545">
      <c r="A615" s="19" t="n"/>
      <c r="B615" s="19" t="n"/>
      <c r="C615" s="19" t="n"/>
      <c r="D615" s="19" t="n"/>
      <c r="E615" s="19" t="n"/>
      <c r="F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c r="AA615" s="19" t="n"/>
    </row>
    <row r="616" ht="15.75" customHeight="1" s="545">
      <c r="A616" s="19" t="n"/>
      <c r="B616" s="19" t="n"/>
      <c r="C616" s="19" t="n"/>
      <c r="D616" s="19" t="n"/>
      <c r="E616" s="19" t="n"/>
      <c r="F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c r="AA616" s="19" t="n"/>
    </row>
    <row r="617" ht="15.75" customHeight="1" s="545">
      <c r="A617" s="19" t="n"/>
      <c r="B617" s="19" t="n"/>
      <c r="C617" s="19" t="n"/>
      <c r="D617" s="19" t="n"/>
      <c r="E617" s="19" t="n"/>
      <c r="F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c r="AA617" s="19" t="n"/>
    </row>
    <row r="618" ht="15.75" customHeight="1" s="545">
      <c r="A618" s="19" t="n"/>
      <c r="B618" s="19" t="n"/>
      <c r="C618" s="19" t="n"/>
      <c r="D618" s="19" t="n"/>
      <c r="E618" s="19" t="n"/>
      <c r="F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c r="AA618" s="19" t="n"/>
    </row>
    <row r="619" ht="15.75" customHeight="1" s="545">
      <c r="A619" s="19" t="n"/>
      <c r="B619" s="19" t="n"/>
      <c r="C619" s="19" t="n"/>
      <c r="D619" s="19" t="n"/>
      <c r="E619" s="19" t="n"/>
      <c r="F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c r="AA619" s="19" t="n"/>
    </row>
    <row r="620" ht="15.75" customHeight="1" s="545">
      <c r="A620" s="19" t="n"/>
      <c r="B620" s="19" t="n"/>
      <c r="C620" s="19" t="n"/>
      <c r="D620" s="19" t="n"/>
      <c r="E620" s="19" t="n"/>
      <c r="F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c r="AA620" s="19" t="n"/>
    </row>
    <row r="621" ht="15.75" customHeight="1" s="545">
      <c r="A621" s="19" t="n"/>
      <c r="B621" s="19" t="n"/>
      <c r="C621" s="19" t="n"/>
      <c r="D621" s="19" t="n"/>
      <c r="E621" s="19" t="n"/>
      <c r="F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c r="AA621" s="19" t="n"/>
    </row>
    <row r="622" ht="15.75" customHeight="1" s="545">
      <c r="A622" s="19" t="n"/>
      <c r="B622" s="19" t="n"/>
      <c r="C622" s="19" t="n"/>
      <c r="D622" s="19" t="n"/>
      <c r="E622" s="19" t="n"/>
      <c r="F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c r="AA622" s="19" t="n"/>
    </row>
    <row r="623" ht="15.75" customHeight="1" s="545">
      <c r="A623" s="19" t="n"/>
      <c r="B623" s="19" t="n"/>
      <c r="C623" s="19" t="n"/>
      <c r="D623" s="19" t="n"/>
      <c r="E623" s="19" t="n"/>
      <c r="F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c r="AA623" s="19" t="n"/>
    </row>
    <row r="624" ht="15.75" customHeight="1" s="545">
      <c r="A624" s="19" t="n"/>
      <c r="B624" s="19" t="n"/>
      <c r="C624" s="19" t="n"/>
      <c r="D624" s="19" t="n"/>
      <c r="E624" s="19" t="n"/>
      <c r="F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c r="AA624" s="19" t="n"/>
    </row>
    <row r="625" ht="15.75" customHeight="1" s="545">
      <c r="A625" s="19" t="n"/>
      <c r="B625" s="19" t="n"/>
      <c r="C625" s="19" t="n"/>
      <c r="D625" s="19" t="n"/>
      <c r="E625" s="19" t="n"/>
      <c r="F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c r="AA625" s="19" t="n"/>
    </row>
    <row r="626" ht="15.75" customHeight="1" s="545">
      <c r="A626" s="19" t="n"/>
      <c r="B626" s="19" t="n"/>
      <c r="C626" s="19" t="n"/>
      <c r="D626" s="19" t="n"/>
      <c r="E626" s="19" t="n"/>
      <c r="F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c r="AA626" s="19" t="n"/>
    </row>
    <row r="627" ht="15.75" customHeight="1" s="545">
      <c r="A627" s="19" t="n"/>
      <c r="B627" s="19" t="n"/>
      <c r="C627" s="19" t="n"/>
      <c r="D627" s="19" t="n"/>
      <c r="E627" s="19" t="n"/>
      <c r="F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c r="AA627" s="19" t="n"/>
    </row>
    <row r="628" ht="15.75" customHeight="1" s="545">
      <c r="A628" s="19" t="n"/>
      <c r="B628" s="19" t="n"/>
      <c r="C628" s="19" t="n"/>
      <c r="D628" s="19" t="n"/>
      <c r="E628" s="19" t="n"/>
      <c r="F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c r="AA628" s="19" t="n"/>
    </row>
    <row r="629" ht="15.75" customHeight="1" s="545">
      <c r="A629" s="19" t="n"/>
      <c r="B629" s="19" t="n"/>
      <c r="C629" s="19" t="n"/>
      <c r="D629" s="19" t="n"/>
      <c r="E629" s="19" t="n"/>
      <c r="F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c r="AA629" s="19" t="n"/>
    </row>
    <row r="630" ht="15.75" customHeight="1" s="545">
      <c r="A630" s="19" t="n"/>
      <c r="B630" s="19" t="n"/>
      <c r="C630" s="19" t="n"/>
      <c r="D630" s="19" t="n"/>
      <c r="E630" s="19" t="n"/>
      <c r="F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c r="AA630" s="19" t="n"/>
    </row>
    <row r="631" ht="15.75" customHeight="1" s="545">
      <c r="A631" s="19" t="n"/>
      <c r="B631" s="19" t="n"/>
      <c r="C631" s="19" t="n"/>
      <c r="D631" s="19" t="n"/>
      <c r="E631" s="19" t="n"/>
      <c r="F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c r="AA631" s="19" t="n"/>
    </row>
    <row r="632" ht="15.75" customHeight="1" s="545">
      <c r="A632" s="19" t="n"/>
      <c r="B632" s="19" t="n"/>
      <c r="C632" s="19" t="n"/>
      <c r="D632" s="19" t="n"/>
      <c r="E632" s="19" t="n"/>
      <c r="F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c r="AA632" s="19" t="n"/>
    </row>
    <row r="633" ht="15.75" customHeight="1" s="545">
      <c r="A633" s="19" t="n"/>
      <c r="B633" s="19" t="n"/>
      <c r="C633" s="19" t="n"/>
      <c r="D633" s="19" t="n"/>
      <c r="E633" s="19" t="n"/>
      <c r="F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c r="AA633" s="19" t="n"/>
    </row>
    <row r="634" ht="15.75" customHeight="1" s="545">
      <c r="A634" s="19" t="n"/>
      <c r="B634" s="19" t="n"/>
      <c r="C634" s="19" t="n"/>
      <c r="D634" s="19" t="n"/>
      <c r="E634" s="19" t="n"/>
      <c r="F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c r="AA634" s="19" t="n"/>
    </row>
    <row r="635" ht="15.75" customHeight="1" s="545">
      <c r="A635" s="19" t="n"/>
      <c r="B635" s="19" t="n"/>
      <c r="C635" s="19" t="n"/>
      <c r="D635" s="19" t="n"/>
      <c r="E635" s="19" t="n"/>
      <c r="F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c r="AA635" s="19" t="n"/>
    </row>
    <row r="636" ht="15.75" customHeight="1" s="545">
      <c r="A636" s="19" t="n"/>
      <c r="B636" s="19" t="n"/>
      <c r="C636" s="19" t="n"/>
      <c r="D636" s="19" t="n"/>
      <c r="E636" s="19" t="n"/>
      <c r="F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c r="AA636" s="19" t="n"/>
    </row>
    <row r="637" ht="15.75" customHeight="1" s="545">
      <c r="A637" s="19" t="n"/>
      <c r="B637" s="19" t="n"/>
      <c r="C637" s="19" t="n"/>
      <c r="D637" s="19" t="n"/>
      <c r="E637" s="19" t="n"/>
      <c r="F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c r="AA637" s="19" t="n"/>
    </row>
    <row r="638" ht="15.75" customHeight="1" s="545">
      <c r="A638" s="19" t="n"/>
      <c r="B638" s="19" t="n"/>
      <c r="C638" s="19" t="n"/>
      <c r="D638" s="19" t="n"/>
      <c r="E638" s="19" t="n"/>
      <c r="F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c r="AA638" s="19" t="n"/>
    </row>
    <row r="639" ht="15.75" customHeight="1" s="545">
      <c r="A639" s="19" t="n"/>
      <c r="B639" s="19" t="n"/>
      <c r="C639" s="19" t="n"/>
      <c r="D639" s="19" t="n"/>
      <c r="E639" s="19" t="n"/>
      <c r="F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c r="AA639" s="19" t="n"/>
    </row>
    <row r="640" ht="15.75" customHeight="1" s="545">
      <c r="A640" s="19" t="n"/>
      <c r="B640" s="19" t="n"/>
      <c r="C640" s="19" t="n"/>
      <c r="D640" s="19" t="n"/>
      <c r="E640" s="19" t="n"/>
      <c r="F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c r="AA640" s="19" t="n"/>
    </row>
    <row r="641" ht="15.75" customHeight="1" s="545">
      <c r="A641" s="19" t="n"/>
      <c r="B641" s="19" t="n"/>
      <c r="C641" s="19" t="n"/>
      <c r="D641" s="19" t="n"/>
      <c r="E641" s="19" t="n"/>
      <c r="F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c r="AA641" s="19" t="n"/>
    </row>
    <row r="642" ht="15.75" customHeight="1" s="545">
      <c r="A642" s="19" t="n"/>
      <c r="B642" s="19" t="n"/>
      <c r="C642" s="19" t="n"/>
      <c r="D642" s="19" t="n"/>
      <c r="E642" s="19" t="n"/>
      <c r="F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c r="AA642" s="19" t="n"/>
    </row>
    <row r="643" ht="15.75" customHeight="1" s="545">
      <c r="A643" s="19" t="n"/>
      <c r="B643" s="19" t="n"/>
      <c r="C643" s="19" t="n"/>
      <c r="D643" s="19" t="n"/>
      <c r="E643" s="19" t="n"/>
      <c r="F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c r="AA643" s="19" t="n"/>
    </row>
    <row r="644" ht="15.75" customHeight="1" s="545">
      <c r="A644" s="19" t="n"/>
      <c r="B644" s="19" t="n"/>
      <c r="C644" s="19" t="n"/>
      <c r="D644" s="19" t="n"/>
      <c r="E644" s="19" t="n"/>
      <c r="F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c r="AA644" s="19" t="n"/>
    </row>
    <row r="645" ht="15.75" customHeight="1" s="545">
      <c r="A645" s="19" t="n"/>
      <c r="B645" s="19" t="n"/>
      <c r="C645" s="19" t="n"/>
      <c r="D645" s="19" t="n"/>
      <c r="E645" s="19" t="n"/>
      <c r="F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c r="AA645" s="19" t="n"/>
    </row>
    <row r="646" ht="15.75" customHeight="1" s="545">
      <c r="A646" s="19" t="n"/>
      <c r="B646" s="19" t="n"/>
      <c r="C646" s="19" t="n"/>
      <c r="D646" s="19" t="n"/>
      <c r="E646" s="19" t="n"/>
      <c r="F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c r="AA646" s="19" t="n"/>
    </row>
    <row r="647" ht="15.75" customHeight="1" s="545">
      <c r="A647" s="19" t="n"/>
      <c r="B647" s="19" t="n"/>
      <c r="C647" s="19" t="n"/>
      <c r="D647" s="19" t="n"/>
      <c r="E647" s="19" t="n"/>
      <c r="F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c r="AA647" s="19" t="n"/>
    </row>
    <row r="648" ht="15.75" customHeight="1" s="545">
      <c r="A648" s="19" t="n"/>
      <c r="B648" s="19" t="n"/>
      <c r="C648" s="19" t="n"/>
      <c r="D648" s="19" t="n"/>
      <c r="E648" s="19" t="n"/>
      <c r="F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c r="AA648" s="19" t="n"/>
    </row>
    <row r="649" ht="15.75" customHeight="1" s="545">
      <c r="A649" s="19" t="n"/>
      <c r="B649" s="19" t="n"/>
      <c r="C649" s="19" t="n"/>
      <c r="D649" s="19" t="n"/>
      <c r="E649" s="19" t="n"/>
      <c r="F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c r="AA649" s="19" t="n"/>
    </row>
    <row r="650" ht="15.75" customHeight="1" s="545">
      <c r="A650" s="19" t="n"/>
      <c r="B650" s="19" t="n"/>
      <c r="C650" s="19" t="n"/>
      <c r="D650" s="19" t="n"/>
      <c r="E650" s="19" t="n"/>
      <c r="F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c r="AA650" s="19" t="n"/>
    </row>
    <row r="651" ht="15.75" customHeight="1" s="545">
      <c r="A651" s="19" t="n"/>
      <c r="B651" s="19" t="n"/>
      <c r="C651" s="19" t="n"/>
      <c r="D651" s="19" t="n"/>
      <c r="E651" s="19" t="n"/>
      <c r="F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c r="AA651" s="19" t="n"/>
    </row>
    <row r="652" ht="15.75" customHeight="1" s="545">
      <c r="A652" s="19" t="n"/>
      <c r="B652" s="19" t="n"/>
      <c r="C652" s="19" t="n"/>
      <c r="D652" s="19" t="n"/>
      <c r="E652" s="19" t="n"/>
      <c r="F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c r="AA652" s="19" t="n"/>
    </row>
    <row r="653" ht="15.75" customHeight="1" s="545">
      <c r="A653" s="19" t="n"/>
      <c r="B653" s="19" t="n"/>
      <c r="C653" s="19" t="n"/>
      <c r="D653" s="19" t="n"/>
      <c r="E653" s="19" t="n"/>
      <c r="F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c r="AA653" s="19" t="n"/>
    </row>
    <row r="654" ht="15.75" customHeight="1" s="545">
      <c r="A654" s="19" t="n"/>
      <c r="B654" s="19" t="n"/>
      <c r="C654" s="19" t="n"/>
      <c r="D654" s="19" t="n"/>
      <c r="E654" s="19" t="n"/>
      <c r="F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c r="AA654" s="19" t="n"/>
    </row>
    <row r="655" ht="15.75" customHeight="1" s="545">
      <c r="A655" s="19" t="n"/>
      <c r="B655" s="19" t="n"/>
      <c r="C655" s="19" t="n"/>
      <c r="D655" s="19" t="n"/>
      <c r="E655" s="19" t="n"/>
      <c r="F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c r="AA655" s="19" t="n"/>
    </row>
    <row r="656" ht="15.75" customHeight="1" s="545">
      <c r="A656" s="19" t="n"/>
      <c r="B656" s="19" t="n"/>
      <c r="C656" s="19" t="n"/>
      <c r="D656" s="19" t="n"/>
      <c r="E656" s="19" t="n"/>
      <c r="F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c r="AA656" s="19" t="n"/>
    </row>
    <row r="657" ht="15.75" customHeight="1" s="545">
      <c r="A657" s="19" t="n"/>
      <c r="B657" s="19" t="n"/>
      <c r="C657" s="19" t="n"/>
      <c r="D657" s="19" t="n"/>
      <c r="E657" s="19" t="n"/>
      <c r="F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c r="AA657" s="19" t="n"/>
    </row>
    <row r="658" ht="15.75" customHeight="1" s="545">
      <c r="A658" s="19" t="n"/>
      <c r="B658" s="19" t="n"/>
      <c r="C658" s="19" t="n"/>
      <c r="D658" s="19" t="n"/>
      <c r="E658" s="19" t="n"/>
      <c r="F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c r="AA658" s="19" t="n"/>
    </row>
    <row r="659" ht="15.75" customHeight="1" s="545">
      <c r="A659" s="19" t="n"/>
      <c r="B659" s="19" t="n"/>
      <c r="C659" s="19" t="n"/>
      <c r="D659" s="19" t="n"/>
      <c r="E659" s="19" t="n"/>
      <c r="F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c r="AA659" s="19" t="n"/>
    </row>
    <row r="660" ht="15.75" customHeight="1" s="545">
      <c r="A660" s="19" t="n"/>
      <c r="B660" s="19" t="n"/>
      <c r="C660" s="19" t="n"/>
      <c r="D660" s="19" t="n"/>
      <c r="E660" s="19" t="n"/>
      <c r="F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c r="AA660" s="19" t="n"/>
    </row>
    <row r="661" ht="15.75" customHeight="1" s="545">
      <c r="A661" s="19" t="n"/>
      <c r="B661" s="19" t="n"/>
      <c r="C661" s="19" t="n"/>
      <c r="D661" s="19" t="n"/>
      <c r="E661" s="19" t="n"/>
      <c r="F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c r="AA661" s="19" t="n"/>
    </row>
    <row r="662" ht="15.75" customHeight="1" s="545">
      <c r="A662" s="19" t="n"/>
      <c r="B662" s="19" t="n"/>
      <c r="C662" s="19" t="n"/>
      <c r="D662" s="19" t="n"/>
      <c r="E662" s="19" t="n"/>
      <c r="F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c r="AA662" s="19" t="n"/>
    </row>
    <row r="663" ht="15.75" customHeight="1" s="545">
      <c r="A663" s="19" t="n"/>
      <c r="B663" s="19" t="n"/>
      <c r="C663" s="19" t="n"/>
      <c r="D663" s="19" t="n"/>
      <c r="E663" s="19" t="n"/>
      <c r="F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c r="AA663" s="19" t="n"/>
    </row>
    <row r="664" ht="15.75" customHeight="1" s="545">
      <c r="A664" s="19" t="n"/>
      <c r="B664" s="19" t="n"/>
      <c r="C664" s="19" t="n"/>
      <c r="D664" s="19" t="n"/>
      <c r="E664" s="19" t="n"/>
      <c r="F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c r="AA664" s="19" t="n"/>
    </row>
    <row r="665" ht="15.75" customHeight="1" s="545">
      <c r="A665" s="19" t="n"/>
      <c r="B665" s="19" t="n"/>
      <c r="C665" s="19" t="n"/>
      <c r="D665" s="19" t="n"/>
      <c r="E665" s="19" t="n"/>
      <c r="F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c r="AA665" s="19" t="n"/>
    </row>
    <row r="666" ht="15.75" customHeight="1" s="545">
      <c r="A666" s="19" t="n"/>
      <c r="B666" s="19" t="n"/>
      <c r="C666" s="19" t="n"/>
      <c r="D666" s="19" t="n"/>
      <c r="E666" s="19" t="n"/>
      <c r="F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c r="AA666" s="19" t="n"/>
    </row>
    <row r="667" ht="15.75" customHeight="1" s="545">
      <c r="A667" s="19" t="n"/>
      <c r="B667" s="19" t="n"/>
      <c r="C667" s="19" t="n"/>
      <c r="D667" s="19" t="n"/>
      <c r="E667" s="19" t="n"/>
      <c r="F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c r="AA667" s="19" t="n"/>
    </row>
    <row r="668" ht="15.75" customHeight="1" s="545">
      <c r="A668" s="19" t="n"/>
      <c r="B668" s="19" t="n"/>
      <c r="C668" s="19" t="n"/>
      <c r="D668" s="19" t="n"/>
      <c r="E668" s="19" t="n"/>
      <c r="F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c r="AA668" s="19" t="n"/>
    </row>
    <row r="669" ht="15.75" customHeight="1" s="545">
      <c r="A669" s="19" t="n"/>
      <c r="B669" s="19" t="n"/>
      <c r="C669" s="19" t="n"/>
      <c r="D669" s="19" t="n"/>
      <c r="E669" s="19" t="n"/>
      <c r="F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c r="AA669" s="19" t="n"/>
    </row>
    <row r="670" ht="15.75" customHeight="1" s="545">
      <c r="A670" s="19" t="n"/>
      <c r="B670" s="19" t="n"/>
      <c r="C670" s="19" t="n"/>
      <c r="D670" s="19" t="n"/>
      <c r="E670" s="19" t="n"/>
      <c r="F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c r="AA670" s="19" t="n"/>
    </row>
    <row r="671" ht="15.75" customHeight="1" s="545">
      <c r="A671" s="19" t="n"/>
      <c r="B671" s="19" t="n"/>
      <c r="C671" s="19" t="n"/>
      <c r="D671" s="19" t="n"/>
      <c r="E671" s="19" t="n"/>
      <c r="F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c r="AA671" s="19" t="n"/>
    </row>
    <row r="672" ht="15.75" customHeight="1" s="545">
      <c r="A672" s="19" t="n"/>
      <c r="B672" s="19" t="n"/>
      <c r="C672" s="19" t="n"/>
      <c r="D672" s="19" t="n"/>
      <c r="E672" s="19" t="n"/>
      <c r="F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c r="AA672" s="19" t="n"/>
    </row>
    <row r="673" ht="15.75" customHeight="1" s="545">
      <c r="A673" s="19" t="n"/>
      <c r="B673" s="19" t="n"/>
      <c r="C673" s="19" t="n"/>
      <c r="D673" s="19" t="n"/>
      <c r="E673" s="19" t="n"/>
      <c r="F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c r="AA673" s="19" t="n"/>
    </row>
    <row r="674" ht="15.75" customHeight="1" s="545">
      <c r="A674" s="19" t="n"/>
      <c r="B674" s="19" t="n"/>
      <c r="C674" s="19" t="n"/>
      <c r="D674" s="19" t="n"/>
      <c r="E674" s="19" t="n"/>
      <c r="F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c r="AA674" s="19" t="n"/>
    </row>
    <row r="675" ht="15.75" customHeight="1" s="545">
      <c r="A675" s="19" t="n"/>
      <c r="B675" s="19" t="n"/>
      <c r="C675" s="19" t="n"/>
      <c r="D675" s="19" t="n"/>
      <c r="E675" s="19" t="n"/>
      <c r="F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c r="AA675" s="19" t="n"/>
    </row>
    <row r="676" ht="15.75" customHeight="1" s="545">
      <c r="A676" s="19" t="n"/>
      <c r="B676" s="19" t="n"/>
      <c r="C676" s="19" t="n"/>
      <c r="D676" s="19" t="n"/>
      <c r="E676" s="19" t="n"/>
      <c r="F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c r="AA676" s="19" t="n"/>
    </row>
    <row r="677" ht="15.75" customHeight="1" s="545">
      <c r="A677" s="19" t="n"/>
      <c r="B677" s="19" t="n"/>
      <c r="C677" s="19" t="n"/>
      <c r="D677" s="19" t="n"/>
      <c r="E677" s="19" t="n"/>
      <c r="F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c r="AA677" s="19" t="n"/>
    </row>
    <row r="678" ht="15.75" customHeight="1" s="545">
      <c r="A678" s="19" t="n"/>
      <c r="B678" s="19" t="n"/>
      <c r="C678" s="19" t="n"/>
      <c r="D678" s="19" t="n"/>
      <c r="E678" s="19" t="n"/>
      <c r="F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c r="AA678" s="19" t="n"/>
    </row>
    <row r="679" ht="15.75" customHeight="1" s="545">
      <c r="A679" s="19" t="n"/>
      <c r="B679" s="19" t="n"/>
      <c r="C679" s="19" t="n"/>
      <c r="D679" s="19" t="n"/>
      <c r="E679" s="19" t="n"/>
      <c r="F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c r="AA679" s="19" t="n"/>
    </row>
    <row r="680" ht="15.75" customHeight="1" s="545">
      <c r="A680" s="19" t="n"/>
      <c r="B680" s="19" t="n"/>
      <c r="C680" s="19" t="n"/>
      <c r="D680" s="19" t="n"/>
      <c r="E680" s="19" t="n"/>
      <c r="F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c r="AA680" s="19" t="n"/>
    </row>
    <row r="681" ht="15.75" customHeight="1" s="545">
      <c r="A681" s="19" t="n"/>
      <c r="B681" s="19" t="n"/>
      <c r="C681" s="19" t="n"/>
      <c r="D681" s="19" t="n"/>
      <c r="E681" s="19" t="n"/>
      <c r="F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c r="AA681" s="19" t="n"/>
    </row>
    <row r="682" ht="15.75" customHeight="1" s="545">
      <c r="A682" s="19" t="n"/>
      <c r="B682" s="19" t="n"/>
      <c r="C682" s="19" t="n"/>
      <c r="D682" s="19" t="n"/>
      <c r="E682" s="19" t="n"/>
      <c r="F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c r="AA682" s="19" t="n"/>
    </row>
    <row r="683" ht="15.75" customHeight="1" s="545">
      <c r="A683" s="19" t="n"/>
      <c r="B683" s="19" t="n"/>
      <c r="C683" s="19" t="n"/>
      <c r="D683" s="19" t="n"/>
      <c r="E683" s="19" t="n"/>
      <c r="F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c r="AA683" s="19" t="n"/>
    </row>
    <row r="684" ht="15.75" customHeight="1" s="545">
      <c r="A684" s="19" t="n"/>
      <c r="B684" s="19" t="n"/>
      <c r="C684" s="19" t="n"/>
      <c r="D684" s="19" t="n"/>
      <c r="E684" s="19" t="n"/>
      <c r="F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c r="AA684" s="19" t="n"/>
    </row>
    <row r="685" ht="15.75" customHeight="1" s="545">
      <c r="A685" s="19" t="n"/>
      <c r="B685" s="19" t="n"/>
      <c r="C685" s="19" t="n"/>
      <c r="D685" s="19" t="n"/>
      <c r="E685" s="19" t="n"/>
      <c r="F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c r="AA685" s="19" t="n"/>
    </row>
    <row r="686" ht="15.75" customHeight="1" s="545">
      <c r="A686" s="19" t="n"/>
      <c r="B686" s="19" t="n"/>
      <c r="C686" s="19" t="n"/>
      <c r="D686" s="19" t="n"/>
      <c r="E686" s="19" t="n"/>
      <c r="F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c r="AA686" s="19" t="n"/>
    </row>
    <row r="687" ht="15.75" customHeight="1" s="545">
      <c r="A687" s="19" t="n"/>
      <c r="B687" s="19" t="n"/>
      <c r="C687" s="19" t="n"/>
      <c r="D687" s="19" t="n"/>
      <c r="E687" s="19" t="n"/>
      <c r="F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c r="AA687" s="19" t="n"/>
    </row>
    <row r="688" ht="15.75" customHeight="1" s="545">
      <c r="A688" s="19" t="n"/>
      <c r="B688" s="19" t="n"/>
      <c r="C688" s="19" t="n"/>
      <c r="D688" s="19" t="n"/>
      <c r="E688" s="19" t="n"/>
      <c r="F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c r="AA688" s="19" t="n"/>
    </row>
    <row r="689" ht="15.75" customHeight="1" s="545">
      <c r="A689" s="19" t="n"/>
      <c r="B689" s="19" t="n"/>
      <c r="C689" s="19" t="n"/>
      <c r="D689" s="19" t="n"/>
      <c r="E689" s="19" t="n"/>
      <c r="F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c r="AA689" s="19" t="n"/>
    </row>
    <row r="690" ht="15.75" customHeight="1" s="545">
      <c r="A690" s="19" t="n"/>
      <c r="B690" s="19" t="n"/>
      <c r="C690" s="19" t="n"/>
      <c r="D690" s="19" t="n"/>
      <c r="E690" s="19" t="n"/>
      <c r="F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c r="AA690" s="19" t="n"/>
    </row>
    <row r="691" ht="15.75" customHeight="1" s="545">
      <c r="A691" s="19" t="n"/>
      <c r="B691" s="19" t="n"/>
      <c r="C691" s="19" t="n"/>
      <c r="D691" s="19" t="n"/>
      <c r="E691" s="19" t="n"/>
      <c r="F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c r="AA691" s="19" t="n"/>
    </row>
    <row r="692" ht="15.75" customHeight="1" s="545">
      <c r="A692" s="19" t="n"/>
      <c r="B692" s="19" t="n"/>
      <c r="C692" s="19" t="n"/>
      <c r="D692" s="19" t="n"/>
      <c r="E692" s="19" t="n"/>
      <c r="F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c r="AA692" s="19" t="n"/>
    </row>
    <row r="693" ht="15.75" customHeight="1" s="545">
      <c r="A693" s="19" t="n"/>
      <c r="B693" s="19" t="n"/>
      <c r="C693" s="19" t="n"/>
      <c r="D693" s="19" t="n"/>
      <c r="E693" s="19" t="n"/>
      <c r="F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c r="AA693" s="19" t="n"/>
    </row>
    <row r="694" ht="15.75" customHeight="1" s="545">
      <c r="A694" s="19" t="n"/>
      <c r="B694" s="19" t="n"/>
      <c r="C694" s="19" t="n"/>
      <c r="D694" s="19" t="n"/>
      <c r="E694" s="19" t="n"/>
      <c r="F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c r="AA694" s="19" t="n"/>
    </row>
    <row r="695" ht="15.75" customHeight="1" s="545">
      <c r="A695" s="19" t="n"/>
      <c r="B695" s="19" t="n"/>
      <c r="C695" s="19" t="n"/>
      <c r="D695" s="19" t="n"/>
      <c r="E695" s="19" t="n"/>
      <c r="F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c r="AA695" s="19" t="n"/>
    </row>
    <row r="696" ht="15.75" customHeight="1" s="545">
      <c r="A696" s="19" t="n"/>
      <c r="B696" s="19" t="n"/>
      <c r="C696" s="19" t="n"/>
      <c r="D696" s="19" t="n"/>
      <c r="E696" s="19" t="n"/>
      <c r="F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c r="AA696" s="19" t="n"/>
    </row>
    <row r="697" ht="15.75" customHeight="1" s="545">
      <c r="A697" s="19" t="n"/>
      <c r="B697" s="19" t="n"/>
      <c r="C697" s="19" t="n"/>
      <c r="D697" s="19" t="n"/>
      <c r="E697" s="19" t="n"/>
      <c r="F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c r="AA697" s="19" t="n"/>
    </row>
    <row r="698" ht="15.75" customHeight="1" s="545">
      <c r="A698" s="19" t="n"/>
      <c r="B698" s="19" t="n"/>
      <c r="C698" s="19" t="n"/>
      <c r="D698" s="19" t="n"/>
      <c r="E698" s="19" t="n"/>
      <c r="F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c r="AA698" s="19" t="n"/>
    </row>
    <row r="699" ht="15.75" customHeight="1" s="545">
      <c r="A699" s="19" t="n"/>
      <c r="B699" s="19" t="n"/>
      <c r="C699" s="19" t="n"/>
      <c r="D699" s="19" t="n"/>
      <c r="E699" s="19" t="n"/>
      <c r="F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c r="AA699" s="19" t="n"/>
    </row>
    <row r="700" ht="15.75" customHeight="1" s="545">
      <c r="A700" s="19" t="n"/>
      <c r="B700" s="19" t="n"/>
      <c r="C700" s="19" t="n"/>
      <c r="D700" s="19" t="n"/>
      <c r="E700" s="19" t="n"/>
      <c r="F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c r="AA700" s="19" t="n"/>
    </row>
    <row r="701" ht="15.75" customHeight="1" s="545">
      <c r="A701" s="19" t="n"/>
      <c r="B701" s="19" t="n"/>
      <c r="C701" s="19" t="n"/>
      <c r="D701" s="19" t="n"/>
      <c r="E701" s="19" t="n"/>
      <c r="F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c r="AA701" s="19" t="n"/>
    </row>
    <row r="702" ht="15.75" customHeight="1" s="545">
      <c r="A702" s="19" t="n"/>
      <c r="B702" s="19" t="n"/>
      <c r="C702" s="19" t="n"/>
      <c r="D702" s="19" t="n"/>
      <c r="E702" s="19" t="n"/>
      <c r="F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c r="AA702" s="19" t="n"/>
    </row>
    <row r="703" ht="15.75" customHeight="1" s="545">
      <c r="A703" s="19" t="n"/>
      <c r="B703" s="19" t="n"/>
      <c r="C703" s="19" t="n"/>
      <c r="D703" s="19" t="n"/>
      <c r="E703" s="19" t="n"/>
      <c r="F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c r="AA703" s="19" t="n"/>
    </row>
    <row r="704" ht="15.75" customHeight="1" s="545">
      <c r="A704" s="19" t="n"/>
      <c r="B704" s="19" t="n"/>
      <c r="C704" s="19" t="n"/>
      <c r="D704" s="19" t="n"/>
      <c r="E704" s="19" t="n"/>
      <c r="F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c r="AA704" s="19" t="n"/>
    </row>
    <row r="705" ht="15.75" customHeight="1" s="545">
      <c r="A705" s="19" t="n"/>
      <c r="B705" s="19" t="n"/>
      <c r="C705" s="19" t="n"/>
      <c r="D705" s="19" t="n"/>
      <c r="E705" s="19" t="n"/>
      <c r="F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c r="AA705" s="19" t="n"/>
    </row>
    <row r="706" ht="15.75" customHeight="1" s="545">
      <c r="A706" s="19" t="n"/>
      <c r="B706" s="19" t="n"/>
      <c r="C706" s="19" t="n"/>
      <c r="D706" s="19" t="n"/>
      <c r="E706" s="19" t="n"/>
      <c r="F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c r="AA706" s="19" t="n"/>
    </row>
    <row r="707" ht="15.75" customHeight="1" s="545">
      <c r="A707" s="19" t="n"/>
      <c r="B707" s="19" t="n"/>
      <c r="C707" s="19" t="n"/>
      <c r="D707" s="19" t="n"/>
      <c r="E707" s="19" t="n"/>
      <c r="F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c r="AA707" s="19" t="n"/>
    </row>
    <row r="708" ht="15.75" customHeight="1" s="545">
      <c r="A708" s="19" t="n"/>
      <c r="B708" s="19" t="n"/>
      <c r="C708" s="19" t="n"/>
      <c r="D708" s="19" t="n"/>
      <c r="E708" s="19" t="n"/>
      <c r="F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c r="AA708" s="19" t="n"/>
    </row>
    <row r="709" ht="15.75" customHeight="1" s="545">
      <c r="A709" s="19" t="n"/>
      <c r="B709" s="19" t="n"/>
      <c r="C709" s="19" t="n"/>
      <c r="D709" s="19" t="n"/>
      <c r="E709" s="19" t="n"/>
      <c r="F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c r="AA709" s="19" t="n"/>
    </row>
    <row r="710" ht="15.75" customHeight="1" s="545">
      <c r="A710" s="19" t="n"/>
      <c r="B710" s="19" t="n"/>
      <c r="C710" s="19" t="n"/>
      <c r="D710" s="19" t="n"/>
      <c r="E710" s="19" t="n"/>
      <c r="F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c r="AA710" s="19" t="n"/>
    </row>
    <row r="711" ht="15.75" customHeight="1" s="545">
      <c r="A711" s="19" t="n"/>
      <c r="B711" s="19" t="n"/>
      <c r="C711" s="19" t="n"/>
      <c r="D711" s="19" t="n"/>
      <c r="E711" s="19" t="n"/>
      <c r="F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c r="AA711" s="19" t="n"/>
    </row>
    <row r="712" ht="15.75" customHeight="1" s="545">
      <c r="A712" s="19" t="n"/>
      <c r="B712" s="19" t="n"/>
      <c r="C712" s="19" t="n"/>
      <c r="D712" s="19" t="n"/>
      <c r="E712" s="19" t="n"/>
      <c r="F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c r="AA712" s="19" t="n"/>
    </row>
    <row r="713" ht="15.75" customHeight="1" s="545">
      <c r="A713" s="19" t="n"/>
      <c r="B713" s="19" t="n"/>
      <c r="C713" s="19" t="n"/>
      <c r="D713" s="19" t="n"/>
      <c r="E713" s="19" t="n"/>
      <c r="F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c r="AA713" s="19" t="n"/>
    </row>
    <row r="714" ht="15.75" customHeight="1" s="545">
      <c r="A714" s="19" t="n"/>
      <c r="B714" s="19" t="n"/>
      <c r="C714" s="19" t="n"/>
      <c r="D714" s="19" t="n"/>
      <c r="E714" s="19" t="n"/>
      <c r="F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c r="AA714" s="19" t="n"/>
    </row>
    <row r="715" ht="15.75" customHeight="1" s="545">
      <c r="A715" s="19" t="n"/>
      <c r="B715" s="19" t="n"/>
      <c r="C715" s="19" t="n"/>
      <c r="D715" s="19" t="n"/>
      <c r="E715" s="19" t="n"/>
      <c r="F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c r="AA715" s="19" t="n"/>
    </row>
    <row r="716" ht="15.75" customHeight="1" s="545">
      <c r="A716" s="19" t="n"/>
      <c r="B716" s="19" t="n"/>
      <c r="C716" s="19" t="n"/>
      <c r="D716" s="19" t="n"/>
      <c r="E716" s="19" t="n"/>
      <c r="F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c r="AA716" s="19" t="n"/>
    </row>
    <row r="717" ht="15.75" customHeight="1" s="545">
      <c r="A717" s="19" t="n"/>
      <c r="B717" s="19" t="n"/>
      <c r="C717" s="19" t="n"/>
      <c r="D717" s="19" t="n"/>
      <c r="E717" s="19" t="n"/>
      <c r="F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c r="AA717" s="19" t="n"/>
    </row>
    <row r="718" ht="15.75" customHeight="1" s="545">
      <c r="A718" s="19" t="n"/>
      <c r="B718" s="19" t="n"/>
      <c r="C718" s="19" t="n"/>
      <c r="D718" s="19" t="n"/>
      <c r="E718" s="19" t="n"/>
      <c r="F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c r="AA718" s="19" t="n"/>
    </row>
    <row r="719" ht="15.75" customHeight="1" s="545">
      <c r="A719" s="19" t="n"/>
      <c r="B719" s="19" t="n"/>
      <c r="C719" s="19" t="n"/>
      <c r="D719" s="19" t="n"/>
      <c r="E719" s="19" t="n"/>
      <c r="F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c r="AA719" s="19" t="n"/>
    </row>
    <row r="720" ht="15.75" customHeight="1" s="545">
      <c r="A720" s="19" t="n"/>
      <c r="B720" s="19" t="n"/>
      <c r="C720" s="19" t="n"/>
      <c r="D720" s="19" t="n"/>
      <c r="E720" s="19" t="n"/>
      <c r="F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c r="AA720" s="19" t="n"/>
    </row>
    <row r="721" ht="15.75" customHeight="1" s="545">
      <c r="A721" s="19" t="n"/>
      <c r="B721" s="19" t="n"/>
      <c r="C721" s="19" t="n"/>
      <c r="D721" s="19" t="n"/>
      <c r="E721" s="19" t="n"/>
      <c r="F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c r="AA721" s="19" t="n"/>
    </row>
    <row r="722" ht="15.75" customHeight="1" s="545">
      <c r="A722" s="19" t="n"/>
      <c r="B722" s="19" t="n"/>
      <c r="C722" s="19" t="n"/>
      <c r="D722" s="19" t="n"/>
      <c r="E722" s="19" t="n"/>
      <c r="F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c r="AA722" s="19" t="n"/>
    </row>
    <row r="723" ht="15.75" customHeight="1" s="545">
      <c r="A723" s="19" t="n"/>
      <c r="B723" s="19" t="n"/>
      <c r="C723" s="19" t="n"/>
      <c r="D723" s="19" t="n"/>
      <c r="E723" s="19" t="n"/>
      <c r="F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c r="AA723" s="19" t="n"/>
    </row>
    <row r="724" ht="15.75" customHeight="1" s="545">
      <c r="A724" s="19" t="n"/>
      <c r="B724" s="19" t="n"/>
      <c r="C724" s="19" t="n"/>
      <c r="D724" s="19" t="n"/>
      <c r="E724" s="19" t="n"/>
      <c r="F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c r="AA724" s="19" t="n"/>
    </row>
    <row r="725" ht="15.75" customHeight="1" s="545">
      <c r="A725" s="19" t="n"/>
      <c r="B725" s="19" t="n"/>
      <c r="C725" s="19" t="n"/>
      <c r="D725" s="19" t="n"/>
      <c r="E725" s="19" t="n"/>
      <c r="F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c r="AA725" s="19" t="n"/>
    </row>
    <row r="726" ht="15.75" customHeight="1" s="545">
      <c r="A726" s="19" t="n"/>
      <c r="B726" s="19" t="n"/>
      <c r="C726" s="19" t="n"/>
      <c r="D726" s="19" t="n"/>
      <c r="E726" s="19" t="n"/>
      <c r="F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c r="AA726" s="19" t="n"/>
    </row>
    <row r="727" ht="15.75" customHeight="1" s="545">
      <c r="A727" s="19" t="n"/>
      <c r="B727" s="19" t="n"/>
      <c r="C727" s="19" t="n"/>
      <c r="D727" s="19" t="n"/>
      <c r="E727" s="19" t="n"/>
      <c r="F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c r="AA727" s="19" t="n"/>
    </row>
    <row r="728" ht="15.75" customHeight="1" s="545">
      <c r="A728" s="19" t="n"/>
      <c r="B728" s="19" t="n"/>
      <c r="C728" s="19" t="n"/>
      <c r="D728" s="19" t="n"/>
      <c r="E728" s="19" t="n"/>
      <c r="F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c r="AA728" s="19" t="n"/>
    </row>
    <row r="729" ht="15.75" customHeight="1" s="545">
      <c r="A729" s="19" t="n"/>
      <c r="B729" s="19" t="n"/>
      <c r="C729" s="19" t="n"/>
      <c r="D729" s="19" t="n"/>
      <c r="E729" s="19" t="n"/>
      <c r="F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c r="AA729" s="19" t="n"/>
    </row>
    <row r="730" ht="15.75" customHeight="1" s="545">
      <c r="A730" s="19" t="n"/>
      <c r="B730" s="19" t="n"/>
      <c r="C730" s="19" t="n"/>
      <c r="D730" s="19" t="n"/>
      <c r="E730" s="19" t="n"/>
      <c r="F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c r="AA730" s="19" t="n"/>
    </row>
    <row r="731" ht="15.75" customHeight="1" s="545">
      <c r="A731" s="19" t="n"/>
      <c r="B731" s="19" t="n"/>
      <c r="C731" s="19" t="n"/>
      <c r="D731" s="19" t="n"/>
      <c r="E731" s="19" t="n"/>
      <c r="F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c r="AA731" s="19" t="n"/>
    </row>
    <row r="732" ht="15.75" customHeight="1" s="545">
      <c r="A732" s="19" t="n"/>
      <c r="B732" s="19" t="n"/>
      <c r="C732" s="19" t="n"/>
      <c r="D732" s="19" t="n"/>
      <c r="E732" s="19" t="n"/>
      <c r="F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c r="AA732" s="19" t="n"/>
    </row>
    <row r="733" ht="15.75" customHeight="1" s="545">
      <c r="A733" s="19" t="n"/>
      <c r="B733" s="19" t="n"/>
      <c r="C733" s="19" t="n"/>
      <c r="D733" s="19" t="n"/>
      <c r="E733" s="19" t="n"/>
      <c r="F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c r="AA733" s="19" t="n"/>
    </row>
    <row r="734" ht="15.75" customHeight="1" s="545">
      <c r="A734" s="19" t="n"/>
      <c r="B734" s="19" t="n"/>
      <c r="C734" s="19" t="n"/>
      <c r="D734" s="19" t="n"/>
      <c r="E734" s="19" t="n"/>
      <c r="F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c r="AA734" s="19" t="n"/>
    </row>
    <row r="735" ht="15.75" customHeight="1" s="545">
      <c r="A735" s="19" t="n"/>
      <c r="B735" s="19" t="n"/>
      <c r="C735" s="19" t="n"/>
      <c r="D735" s="19" t="n"/>
      <c r="E735" s="19" t="n"/>
      <c r="F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c r="AA735" s="19" t="n"/>
    </row>
    <row r="736" ht="15.75" customHeight="1" s="545">
      <c r="A736" s="19" t="n"/>
      <c r="B736" s="19" t="n"/>
      <c r="C736" s="19" t="n"/>
      <c r="D736" s="19" t="n"/>
      <c r="E736" s="19" t="n"/>
      <c r="F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c r="AA736" s="19" t="n"/>
    </row>
    <row r="737" ht="15.75" customHeight="1" s="545">
      <c r="A737" s="19" t="n"/>
      <c r="B737" s="19" t="n"/>
      <c r="C737" s="19" t="n"/>
      <c r="D737" s="19" t="n"/>
      <c r="E737" s="19" t="n"/>
      <c r="F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c r="AA737" s="19" t="n"/>
    </row>
    <row r="738" ht="15.75" customHeight="1" s="545">
      <c r="A738" s="19" t="n"/>
      <c r="B738" s="19" t="n"/>
      <c r="C738" s="19" t="n"/>
      <c r="D738" s="19" t="n"/>
      <c r="E738" s="19" t="n"/>
      <c r="F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c r="AA738" s="19" t="n"/>
    </row>
    <row r="739" ht="15.75" customHeight="1" s="545">
      <c r="A739" s="19" t="n"/>
      <c r="B739" s="19" t="n"/>
      <c r="C739" s="19" t="n"/>
      <c r="D739" s="19" t="n"/>
      <c r="E739" s="19" t="n"/>
      <c r="F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c r="AA739" s="19" t="n"/>
    </row>
    <row r="740" ht="15.75" customHeight="1" s="545">
      <c r="A740" s="19" t="n"/>
      <c r="B740" s="19" t="n"/>
      <c r="C740" s="19" t="n"/>
      <c r="D740" s="19" t="n"/>
      <c r="E740" s="19" t="n"/>
      <c r="F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c r="AA740" s="19" t="n"/>
    </row>
    <row r="741" ht="15.75" customHeight="1" s="545">
      <c r="A741" s="19" t="n"/>
      <c r="B741" s="19" t="n"/>
      <c r="C741" s="19" t="n"/>
      <c r="D741" s="19" t="n"/>
      <c r="E741" s="19" t="n"/>
      <c r="F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c r="AA741" s="19" t="n"/>
    </row>
    <row r="742" ht="15.75" customHeight="1" s="545">
      <c r="A742" s="19" t="n"/>
      <c r="B742" s="19" t="n"/>
      <c r="C742" s="19" t="n"/>
      <c r="D742" s="19" t="n"/>
      <c r="E742" s="19" t="n"/>
      <c r="F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c r="AA742" s="19" t="n"/>
    </row>
    <row r="743" ht="15.75" customHeight="1" s="545">
      <c r="A743" s="19" t="n"/>
      <c r="B743" s="19" t="n"/>
      <c r="C743" s="19" t="n"/>
      <c r="D743" s="19" t="n"/>
      <c r="E743" s="19" t="n"/>
      <c r="F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c r="AA743" s="19" t="n"/>
    </row>
    <row r="744" ht="15.75" customHeight="1" s="545">
      <c r="A744" s="19" t="n"/>
      <c r="B744" s="19" t="n"/>
      <c r="C744" s="19" t="n"/>
      <c r="D744" s="19" t="n"/>
      <c r="E744" s="19" t="n"/>
      <c r="F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c r="AA744" s="19" t="n"/>
    </row>
    <row r="745" ht="15.75" customHeight="1" s="545">
      <c r="A745" s="19" t="n"/>
      <c r="B745" s="19" t="n"/>
      <c r="C745" s="19" t="n"/>
      <c r="D745" s="19" t="n"/>
      <c r="E745" s="19" t="n"/>
      <c r="F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c r="AA745" s="19" t="n"/>
    </row>
    <row r="746" ht="15.75" customHeight="1" s="545">
      <c r="A746" s="19" t="n"/>
      <c r="B746" s="19" t="n"/>
      <c r="C746" s="19" t="n"/>
      <c r="D746" s="19" t="n"/>
      <c r="E746" s="19" t="n"/>
      <c r="F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c r="AA746" s="19" t="n"/>
    </row>
    <row r="747" ht="15.75" customHeight="1" s="545">
      <c r="A747" s="19" t="n"/>
      <c r="B747" s="19" t="n"/>
      <c r="C747" s="19" t="n"/>
      <c r="D747" s="19" t="n"/>
      <c r="E747" s="19" t="n"/>
      <c r="F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c r="AA747" s="19" t="n"/>
    </row>
    <row r="748" ht="15.75" customHeight="1" s="545">
      <c r="A748" s="19" t="n"/>
      <c r="B748" s="19" t="n"/>
      <c r="C748" s="19" t="n"/>
      <c r="D748" s="19" t="n"/>
      <c r="E748" s="19" t="n"/>
      <c r="F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c r="AA748" s="19" t="n"/>
    </row>
    <row r="749" ht="15.75" customHeight="1" s="545">
      <c r="A749" s="19" t="n"/>
      <c r="B749" s="19" t="n"/>
      <c r="C749" s="19" t="n"/>
      <c r="D749" s="19" t="n"/>
      <c r="E749" s="19" t="n"/>
      <c r="F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c r="AA749" s="19" t="n"/>
    </row>
    <row r="750" ht="15.75" customHeight="1" s="545">
      <c r="A750" s="19" t="n"/>
      <c r="B750" s="19" t="n"/>
      <c r="C750" s="19" t="n"/>
      <c r="D750" s="19" t="n"/>
      <c r="E750" s="19" t="n"/>
      <c r="F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c r="AA750" s="19" t="n"/>
    </row>
    <row r="751" ht="15.75" customHeight="1" s="545">
      <c r="A751" s="19" t="n"/>
      <c r="B751" s="19" t="n"/>
      <c r="C751" s="19" t="n"/>
      <c r="D751" s="19" t="n"/>
      <c r="E751" s="19" t="n"/>
      <c r="F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c r="AA751" s="19" t="n"/>
    </row>
    <row r="752" ht="15.75" customHeight="1" s="545">
      <c r="A752" s="19" t="n"/>
      <c r="B752" s="19" t="n"/>
      <c r="C752" s="19" t="n"/>
      <c r="D752" s="19" t="n"/>
      <c r="E752" s="19" t="n"/>
      <c r="F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c r="AA752" s="19" t="n"/>
    </row>
    <row r="753" ht="15.75" customHeight="1" s="545">
      <c r="A753" s="19" t="n"/>
      <c r="B753" s="19" t="n"/>
      <c r="C753" s="19" t="n"/>
      <c r="D753" s="19" t="n"/>
      <c r="E753" s="19" t="n"/>
      <c r="F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c r="AA753" s="19" t="n"/>
    </row>
    <row r="754" ht="15.75" customHeight="1" s="545">
      <c r="A754" s="19" t="n"/>
      <c r="B754" s="19" t="n"/>
      <c r="C754" s="19" t="n"/>
      <c r="D754" s="19" t="n"/>
      <c r="E754" s="19" t="n"/>
      <c r="F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c r="AA754" s="19" t="n"/>
    </row>
    <row r="755" ht="15.75" customHeight="1" s="545">
      <c r="A755" s="19" t="n"/>
      <c r="B755" s="19" t="n"/>
      <c r="C755" s="19" t="n"/>
      <c r="D755" s="19" t="n"/>
      <c r="E755" s="19" t="n"/>
      <c r="F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c r="AA755" s="19" t="n"/>
    </row>
    <row r="756" ht="15.75" customHeight="1" s="545">
      <c r="A756" s="19" t="n"/>
      <c r="B756" s="19" t="n"/>
      <c r="C756" s="19" t="n"/>
      <c r="D756" s="19" t="n"/>
      <c r="E756" s="19" t="n"/>
      <c r="F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c r="AA756" s="19" t="n"/>
    </row>
    <row r="757" ht="15.75" customHeight="1" s="545">
      <c r="A757" s="19" t="n"/>
      <c r="B757" s="19" t="n"/>
      <c r="C757" s="19" t="n"/>
      <c r="D757" s="19" t="n"/>
      <c r="E757" s="19" t="n"/>
      <c r="F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c r="AA757" s="19" t="n"/>
    </row>
    <row r="758" ht="15.75" customHeight="1" s="545">
      <c r="A758" s="19" t="n"/>
      <c r="B758" s="19" t="n"/>
      <c r="C758" s="19" t="n"/>
      <c r="D758" s="19" t="n"/>
      <c r="E758" s="19" t="n"/>
      <c r="F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c r="AA758" s="19" t="n"/>
    </row>
    <row r="759" ht="15.75" customHeight="1" s="545">
      <c r="A759" s="19" t="n"/>
      <c r="B759" s="19" t="n"/>
      <c r="C759" s="19" t="n"/>
      <c r="D759" s="19" t="n"/>
      <c r="E759" s="19" t="n"/>
      <c r="F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c r="AA759" s="19" t="n"/>
    </row>
    <row r="760" ht="15.75" customHeight="1" s="545">
      <c r="A760" s="19" t="n"/>
      <c r="B760" s="19" t="n"/>
      <c r="C760" s="19" t="n"/>
      <c r="D760" s="19" t="n"/>
      <c r="E760" s="19" t="n"/>
      <c r="F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c r="AA760" s="19" t="n"/>
    </row>
    <row r="761" ht="15.75" customHeight="1" s="545">
      <c r="A761" s="19" t="n"/>
      <c r="B761" s="19" t="n"/>
      <c r="C761" s="19" t="n"/>
      <c r="D761" s="19" t="n"/>
      <c r="E761" s="19" t="n"/>
      <c r="F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c r="AA761" s="19" t="n"/>
    </row>
    <row r="762" ht="15.75" customHeight="1" s="545">
      <c r="A762" s="19" t="n"/>
      <c r="B762" s="19" t="n"/>
      <c r="C762" s="19" t="n"/>
      <c r="D762" s="19" t="n"/>
      <c r="E762" s="19" t="n"/>
      <c r="F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c r="AA762" s="19" t="n"/>
    </row>
    <row r="763" ht="15.75" customHeight="1" s="545">
      <c r="A763" s="19" t="n"/>
      <c r="B763" s="19" t="n"/>
      <c r="C763" s="19" t="n"/>
      <c r="D763" s="19" t="n"/>
      <c r="E763" s="19" t="n"/>
      <c r="F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c r="AA763" s="19" t="n"/>
    </row>
    <row r="764" ht="15.75" customHeight="1" s="545">
      <c r="A764" s="19" t="n"/>
      <c r="B764" s="19" t="n"/>
      <c r="C764" s="19" t="n"/>
      <c r="D764" s="19" t="n"/>
      <c r="E764" s="19" t="n"/>
      <c r="F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c r="AA764" s="19" t="n"/>
    </row>
    <row r="765" ht="15.75" customHeight="1" s="545">
      <c r="A765" s="19" t="n"/>
      <c r="B765" s="19" t="n"/>
      <c r="C765" s="19" t="n"/>
      <c r="D765" s="19" t="n"/>
      <c r="E765" s="19" t="n"/>
      <c r="F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c r="AA765" s="19" t="n"/>
    </row>
    <row r="766" ht="15.75" customHeight="1" s="545">
      <c r="A766" s="19" t="n"/>
      <c r="B766" s="19" t="n"/>
      <c r="C766" s="19" t="n"/>
      <c r="D766" s="19" t="n"/>
      <c r="E766" s="19" t="n"/>
      <c r="F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c r="AA766" s="19" t="n"/>
    </row>
    <row r="767" ht="15.75" customHeight="1" s="545">
      <c r="A767" s="19" t="n"/>
      <c r="B767" s="19" t="n"/>
      <c r="C767" s="19" t="n"/>
      <c r="D767" s="19" t="n"/>
      <c r="E767" s="19" t="n"/>
      <c r="F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c r="AA767" s="19" t="n"/>
    </row>
    <row r="768" ht="15.75" customHeight="1" s="545">
      <c r="A768" s="19" t="n"/>
      <c r="B768" s="19" t="n"/>
      <c r="C768" s="19" t="n"/>
      <c r="D768" s="19" t="n"/>
      <c r="E768" s="19" t="n"/>
      <c r="F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c r="AA768" s="19" t="n"/>
    </row>
    <row r="769" ht="15.75" customHeight="1" s="545">
      <c r="A769" s="19" t="n"/>
      <c r="B769" s="19" t="n"/>
      <c r="C769" s="19" t="n"/>
      <c r="D769" s="19" t="n"/>
      <c r="E769" s="19" t="n"/>
      <c r="F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c r="AA769" s="19" t="n"/>
    </row>
    <row r="770" ht="15.75" customHeight="1" s="545">
      <c r="A770" s="19" t="n"/>
      <c r="B770" s="19" t="n"/>
      <c r="C770" s="19" t="n"/>
      <c r="D770" s="19" t="n"/>
      <c r="E770" s="19" t="n"/>
      <c r="F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c r="AA770" s="19" t="n"/>
    </row>
    <row r="771" ht="15.75" customHeight="1" s="545">
      <c r="A771" s="19" t="n"/>
      <c r="B771" s="19" t="n"/>
      <c r="C771" s="19" t="n"/>
      <c r="D771" s="19" t="n"/>
      <c r="E771" s="19" t="n"/>
      <c r="F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c r="AA771" s="19" t="n"/>
    </row>
    <row r="772" ht="15.75" customHeight="1" s="545">
      <c r="A772" s="19" t="n"/>
      <c r="B772" s="19" t="n"/>
      <c r="C772" s="19" t="n"/>
      <c r="D772" s="19" t="n"/>
      <c r="E772" s="19" t="n"/>
      <c r="F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c r="AA772" s="19" t="n"/>
    </row>
    <row r="773" ht="15.75" customHeight="1" s="545">
      <c r="A773" s="19" t="n"/>
      <c r="B773" s="19" t="n"/>
      <c r="C773" s="19" t="n"/>
      <c r="D773" s="19" t="n"/>
      <c r="E773" s="19" t="n"/>
      <c r="F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c r="AA773" s="19" t="n"/>
    </row>
    <row r="774" ht="15.75" customHeight="1" s="545">
      <c r="A774" s="19" t="n"/>
      <c r="B774" s="19" t="n"/>
      <c r="C774" s="19" t="n"/>
      <c r="D774" s="19" t="n"/>
      <c r="E774" s="19" t="n"/>
      <c r="F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c r="AA774" s="19" t="n"/>
    </row>
    <row r="775" ht="15.75" customHeight="1" s="545">
      <c r="A775" s="19" t="n"/>
      <c r="B775" s="19" t="n"/>
      <c r="C775" s="19" t="n"/>
      <c r="D775" s="19" t="n"/>
      <c r="E775" s="19" t="n"/>
      <c r="F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c r="AA775" s="19" t="n"/>
    </row>
    <row r="776" ht="15.75" customHeight="1" s="545">
      <c r="A776" s="19" t="n"/>
      <c r="B776" s="19" t="n"/>
      <c r="C776" s="19" t="n"/>
      <c r="D776" s="19" t="n"/>
      <c r="E776" s="19" t="n"/>
      <c r="F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c r="AA776" s="19" t="n"/>
    </row>
    <row r="777" ht="15.75" customHeight="1" s="545">
      <c r="A777" s="19" t="n"/>
      <c r="B777" s="19" t="n"/>
      <c r="C777" s="19" t="n"/>
      <c r="D777" s="19" t="n"/>
      <c r="E777" s="19" t="n"/>
      <c r="F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c r="AA777" s="19" t="n"/>
    </row>
    <row r="778" ht="15.75" customHeight="1" s="545">
      <c r="A778" s="19" t="n"/>
      <c r="B778" s="19" t="n"/>
      <c r="C778" s="19" t="n"/>
      <c r="D778" s="19" t="n"/>
      <c r="E778" s="19" t="n"/>
      <c r="F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c r="AA778" s="19" t="n"/>
    </row>
    <row r="779" ht="15.75" customHeight="1" s="545">
      <c r="A779" s="19" t="n"/>
      <c r="B779" s="19" t="n"/>
      <c r="C779" s="19" t="n"/>
      <c r="D779" s="19" t="n"/>
      <c r="E779" s="19" t="n"/>
      <c r="F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c r="AA779" s="19" t="n"/>
    </row>
    <row r="780" ht="15.75" customHeight="1" s="545">
      <c r="A780" s="19" t="n"/>
      <c r="B780" s="19" t="n"/>
      <c r="C780" s="19" t="n"/>
      <c r="D780" s="19" t="n"/>
      <c r="E780" s="19" t="n"/>
      <c r="F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c r="AA780" s="19" t="n"/>
    </row>
    <row r="781" ht="15.75" customHeight="1" s="545">
      <c r="A781" s="19" t="n"/>
      <c r="B781" s="19" t="n"/>
      <c r="C781" s="19" t="n"/>
      <c r="D781" s="19" t="n"/>
      <c r="E781" s="19" t="n"/>
      <c r="F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c r="AA781" s="19" t="n"/>
    </row>
    <row r="782" ht="15.75" customHeight="1" s="545">
      <c r="A782" s="19" t="n"/>
      <c r="B782" s="19" t="n"/>
      <c r="C782" s="19" t="n"/>
      <c r="D782" s="19" t="n"/>
      <c r="E782" s="19" t="n"/>
      <c r="F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c r="AA782" s="19" t="n"/>
    </row>
    <row r="783" ht="15.75" customHeight="1" s="545">
      <c r="A783" s="19" t="n"/>
      <c r="B783" s="19" t="n"/>
      <c r="C783" s="19" t="n"/>
      <c r="D783" s="19" t="n"/>
      <c r="E783" s="19" t="n"/>
      <c r="F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c r="AA783" s="19" t="n"/>
    </row>
    <row r="784" ht="15.75" customHeight="1" s="545">
      <c r="A784" s="19" t="n"/>
      <c r="B784" s="19" t="n"/>
      <c r="C784" s="19" t="n"/>
      <c r="D784" s="19" t="n"/>
      <c r="E784" s="19" t="n"/>
      <c r="F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c r="AA784" s="19" t="n"/>
    </row>
    <row r="785" ht="15.75" customHeight="1" s="545">
      <c r="A785" s="19" t="n"/>
      <c r="B785" s="19" t="n"/>
      <c r="C785" s="19" t="n"/>
      <c r="D785" s="19" t="n"/>
      <c r="E785" s="19" t="n"/>
      <c r="F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c r="AA785" s="19" t="n"/>
    </row>
    <row r="786" ht="15.75" customHeight="1" s="545">
      <c r="A786" s="19" t="n"/>
      <c r="B786" s="19" t="n"/>
      <c r="C786" s="19" t="n"/>
      <c r="D786" s="19" t="n"/>
      <c r="E786" s="19" t="n"/>
      <c r="F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c r="AA786" s="19" t="n"/>
    </row>
    <row r="787" ht="15.75" customHeight="1" s="545">
      <c r="A787" s="19" t="n"/>
      <c r="B787" s="19" t="n"/>
      <c r="C787" s="19" t="n"/>
      <c r="D787" s="19" t="n"/>
      <c r="E787" s="19" t="n"/>
      <c r="F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c r="AA787" s="19" t="n"/>
    </row>
    <row r="788" ht="15.75" customHeight="1" s="545">
      <c r="A788" s="19" t="n"/>
      <c r="B788" s="19" t="n"/>
      <c r="C788" s="19" t="n"/>
      <c r="D788" s="19" t="n"/>
      <c r="E788" s="19" t="n"/>
      <c r="F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c r="AA788" s="19" t="n"/>
    </row>
    <row r="789" ht="15.75" customHeight="1" s="545">
      <c r="A789" s="19" t="n"/>
      <c r="B789" s="19" t="n"/>
      <c r="C789" s="19" t="n"/>
      <c r="D789" s="19" t="n"/>
      <c r="E789" s="19" t="n"/>
      <c r="F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c r="AA789" s="19" t="n"/>
    </row>
    <row r="790" ht="15.75" customHeight="1" s="545">
      <c r="A790" s="19" t="n"/>
      <c r="B790" s="19" t="n"/>
      <c r="C790" s="19" t="n"/>
      <c r="D790" s="19" t="n"/>
      <c r="E790" s="19" t="n"/>
      <c r="F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c r="AA790" s="19" t="n"/>
    </row>
    <row r="791" ht="15.75" customHeight="1" s="545">
      <c r="A791" s="19" t="n"/>
      <c r="B791" s="19" t="n"/>
      <c r="C791" s="19" t="n"/>
      <c r="D791" s="19" t="n"/>
      <c r="E791" s="19" t="n"/>
      <c r="F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c r="AA791" s="19" t="n"/>
    </row>
    <row r="792" ht="15.75" customHeight="1" s="545">
      <c r="A792" s="19" t="n"/>
      <c r="B792" s="19" t="n"/>
      <c r="C792" s="19" t="n"/>
      <c r="D792" s="19" t="n"/>
      <c r="E792" s="19" t="n"/>
      <c r="F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c r="AA792" s="19" t="n"/>
    </row>
    <row r="793" ht="15.75" customHeight="1" s="545">
      <c r="A793" s="19" t="n"/>
      <c r="B793" s="19" t="n"/>
      <c r="C793" s="19" t="n"/>
      <c r="D793" s="19" t="n"/>
      <c r="E793" s="19" t="n"/>
      <c r="F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c r="AA793" s="19" t="n"/>
    </row>
    <row r="794" ht="15.75" customHeight="1" s="545">
      <c r="A794" s="19" t="n"/>
      <c r="B794" s="19" t="n"/>
      <c r="C794" s="19" t="n"/>
      <c r="D794" s="19" t="n"/>
      <c r="E794" s="19" t="n"/>
      <c r="F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c r="AA794" s="19" t="n"/>
    </row>
    <row r="795" ht="15.75" customHeight="1" s="545">
      <c r="A795" s="19" t="n"/>
      <c r="B795" s="19" t="n"/>
      <c r="C795" s="19" t="n"/>
      <c r="D795" s="19" t="n"/>
      <c r="E795" s="19" t="n"/>
      <c r="F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c r="AA795" s="19" t="n"/>
    </row>
    <row r="796" ht="15.75" customHeight="1" s="545">
      <c r="A796" s="19" t="n"/>
      <c r="B796" s="19" t="n"/>
      <c r="C796" s="19" t="n"/>
      <c r="D796" s="19" t="n"/>
      <c r="E796" s="19" t="n"/>
      <c r="F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c r="AA796" s="19" t="n"/>
    </row>
    <row r="797" ht="15.75" customHeight="1" s="545">
      <c r="A797" s="19" t="n"/>
      <c r="B797" s="19" t="n"/>
      <c r="C797" s="19" t="n"/>
      <c r="D797" s="19" t="n"/>
      <c r="E797" s="19" t="n"/>
      <c r="F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c r="AA797" s="19" t="n"/>
    </row>
    <row r="798" ht="15.75" customHeight="1" s="545">
      <c r="A798" s="19" t="n"/>
      <c r="B798" s="19" t="n"/>
      <c r="C798" s="19" t="n"/>
      <c r="D798" s="19" t="n"/>
      <c r="E798" s="19" t="n"/>
      <c r="F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c r="AA798" s="19" t="n"/>
    </row>
    <row r="799" ht="15.75" customHeight="1" s="545">
      <c r="A799" s="19" t="n"/>
      <c r="B799" s="19" t="n"/>
      <c r="C799" s="19" t="n"/>
      <c r="D799" s="19" t="n"/>
      <c r="E799" s="19" t="n"/>
      <c r="F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c r="AA799" s="19" t="n"/>
    </row>
    <row r="800" ht="15.75" customHeight="1" s="545">
      <c r="A800" s="19" t="n"/>
      <c r="B800" s="19" t="n"/>
      <c r="C800" s="19" t="n"/>
      <c r="D800" s="19" t="n"/>
      <c r="E800" s="19" t="n"/>
      <c r="F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c r="AA800" s="19" t="n"/>
    </row>
    <row r="801" ht="15.75" customHeight="1" s="545">
      <c r="A801" s="19" t="n"/>
      <c r="B801" s="19" t="n"/>
      <c r="C801" s="19" t="n"/>
      <c r="D801" s="19" t="n"/>
      <c r="E801" s="19" t="n"/>
      <c r="F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c r="AA801" s="19" t="n"/>
    </row>
    <row r="802" ht="15.75" customHeight="1" s="545">
      <c r="A802" s="19" t="n"/>
      <c r="B802" s="19" t="n"/>
      <c r="C802" s="19" t="n"/>
      <c r="D802" s="19" t="n"/>
      <c r="E802" s="19" t="n"/>
      <c r="F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c r="AA802" s="19" t="n"/>
    </row>
    <row r="803" ht="15.75" customHeight="1" s="545">
      <c r="A803" s="19" t="n"/>
      <c r="B803" s="19" t="n"/>
      <c r="C803" s="19" t="n"/>
      <c r="D803" s="19" t="n"/>
      <c r="E803" s="19" t="n"/>
      <c r="F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c r="AA803" s="19" t="n"/>
    </row>
    <row r="804" ht="15.75" customHeight="1" s="545">
      <c r="A804" s="19" t="n"/>
      <c r="B804" s="19" t="n"/>
      <c r="C804" s="19" t="n"/>
      <c r="D804" s="19" t="n"/>
      <c r="E804" s="19" t="n"/>
      <c r="F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c r="AA804" s="19" t="n"/>
    </row>
    <row r="805" ht="15.75" customHeight="1" s="545">
      <c r="A805" s="19" t="n"/>
      <c r="B805" s="19" t="n"/>
      <c r="C805" s="19" t="n"/>
      <c r="D805" s="19" t="n"/>
      <c r="E805" s="19" t="n"/>
      <c r="F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c r="AA805" s="19" t="n"/>
    </row>
    <row r="806" ht="15.75" customHeight="1" s="545">
      <c r="A806" s="19" t="n"/>
      <c r="B806" s="19" t="n"/>
      <c r="C806" s="19" t="n"/>
      <c r="D806" s="19" t="n"/>
      <c r="E806" s="19" t="n"/>
      <c r="F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c r="AA806" s="19" t="n"/>
    </row>
    <row r="807" ht="15.75" customHeight="1" s="545">
      <c r="A807" s="19" t="n"/>
      <c r="B807" s="19" t="n"/>
      <c r="C807" s="19" t="n"/>
      <c r="D807" s="19" t="n"/>
      <c r="E807" s="19" t="n"/>
      <c r="F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c r="AA807" s="19" t="n"/>
    </row>
    <row r="808" ht="15.75" customHeight="1" s="545">
      <c r="A808" s="19" t="n"/>
      <c r="B808" s="19" t="n"/>
      <c r="C808" s="19" t="n"/>
      <c r="D808" s="19" t="n"/>
      <c r="E808" s="19" t="n"/>
      <c r="F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c r="AA808" s="19" t="n"/>
    </row>
    <row r="809" ht="15.75" customHeight="1" s="545">
      <c r="A809" s="19" t="n"/>
      <c r="B809" s="19" t="n"/>
      <c r="C809" s="19" t="n"/>
      <c r="D809" s="19" t="n"/>
      <c r="E809" s="19" t="n"/>
      <c r="F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c r="AA809" s="19" t="n"/>
    </row>
    <row r="810" ht="15.75" customHeight="1" s="545">
      <c r="A810" s="19" t="n"/>
      <c r="B810" s="19" t="n"/>
      <c r="C810" s="19" t="n"/>
      <c r="D810" s="19" t="n"/>
      <c r="E810" s="19" t="n"/>
      <c r="F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c r="AA810" s="19" t="n"/>
    </row>
    <row r="811" ht="15.75" customHeight="1" s="545">
      <c r="A811" s="19" t="n"/>
      <c r="B811" s="19" t="n"/>
      <c r="C811" s="19" t="n"/>
      <c r="D811" s="19" t="n"/>
      <c r="E811" s="19" t="n"/>
      <c r="F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c r="AA811" s="19" t="n"/>
    </row>
    <row r="812" ht="15.75" customHeight="1" s="545">
      <c r="A812" s="19" t="n"/>
      <c r="B812" s="19" t="n"/>
      <c r="C812" s="19" t="n"/>
      <c r="D812" s="19" t="n"/>
      <c r="E812" s="19" t="n"/>
      <c r="F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c r="AA812" s="19" t="n"/>
    </row>
    <row r="813" ht="15.75" customHeight="1" s="545">
      <c r="A813" s="19" t="n"/>
      <c r="B813" s="19" t="n"/>
      <c r="C813" s="19" t="n"/>
      <c r="D813" s="19" t="n"/>
      <c r="E813" s="19" t="n"/>
      <c r="F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c r="AA813" s="19" t="n"/>
    </row>
    <row r="814" ht="15.75" customHeight="1" s="545">
      <c r="A814" s="19" t="n"/>
      <c r="B814" s="19" t="n"/>
      <c r="C814" s="19" t="n"/>
      <c r="D814" s="19" t="n"/>
      <c r="E814" s="19" t="n"/>
      <c r="F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c r="AA814" s="19" t="n"/>
    </row>
    <row r="815" ht="15.75" customHeight="1" s="545">
      <c r="A815" s="19" t="n"/>
      <c r="B815" s="19" t="n"/>
      <c r="C815" s="19" t="n"/>
      <c r="D815" s="19" t="n"/>
      <c r="E815" s="19" t="n"/>
      <c r="F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c r="AA815" s="19" t="n"/>
    </row>
    <row r="816" ht="15.75" customHeight="1" s="545">
      <c r="A816" s="19" t="n"/>
      <c r="B816" s="19" t="n"/>
      <c r="C816" s="19" t="n"/>
      <c r="D816" s="19" t="n"/>
      <c r="E816" s="19" t="n"/>
      <c r="F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c r="AA816" s="19" t="n"/>
    </row>
    <row r="817" ht="15.75" customHeight="1" s="545">
      <c r="A817" s="19" t="n"/>
      <c r="B817" s="19" t="n"/>
      <c r="C817" s="19" t="n"/>
      <c r="D817" s="19" t="n"/>
      <c r="E817" s="19" t="n"/>
      <c r="F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c r="AA817" s="19" t="n"/>
    </row>
    <row r="818" ht="15.75" customHeight="1" s="545">
      <c r="A818" s="19" t="n"/>
      <c r="B818" s="19" t="n"/>
      <c r="C818" s="19" t="n"/>
      <c r="D818" s="19" t="n"/>
      <c r="E818" s="19" t="n"/>
      <c r="F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c r="AA818" s="19" t="n"/>
    </row>
    <row r="819" ht="15.75" customHeight="1" s="545">
      <c r="A819" s="19" t="n"/>
      <c r="B819" s="19" t="n"/>
      <c r="C819" s="19" t="n"/>
      <c r="D819" s="19" t="n"/>
      <c r="E819" s="19" t="n"/>
      <c r="F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c r="AA819" s="19" t="n"/>
    </row>
    <row r="820" ht="15.75" customHeight="1" s="545">
      <c r="A820" s="19" t="n"/>
      <c r="B820" s="19" t="n"/>
      <c r="C820" s="19" t="n"/>
      <c r="D820" s="19" t="n"/>
      <c r="E820" s="19" t="n"/>
      <c r="F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c r="AA820" s="19" t="n"/>
    </row>
    <row r="821" ht="15.75" customHeight="1" s="545">
      <c r="A821" s="19" t="n"/>
      <c r="B821" s="19" t="n"/>
      <c r="C821" s="19" t="n"/>
      <c r="D821" s="19" t="n"/>
      <c r="E821" s="19" t="n"/>
      <c r="F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c r="AA821" s="19" t="n"/>
    </row>
    <row r="822" ht="15.75" customHeight="1" s="545">
      <c r="A822" s="19" t="n"/>
      <c r="B822" s="19" t="n"/>
      <c r="C822" s="19" t="n"/>
      <c r="D822" s="19" t="n"/>
      <c r="E822" s="19" t="n"/>
      <c r="F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c r="AA822" s="19" t="n"/>
    </row>
    <row r="823" ht="15.75" customHeight="1" s="545">
      <c r="A823" s="19" t="n"/>
      <c r="B823" s="19" t="n"/>
      <c r="C823" s="19" t="n"/>
      <c r="D823" s="19" t="n"/>
      <c r="E823" s="19" t="n"/>
      <c r="F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c r="AA823" s="19" t="n"/>
    </row>
    <row r="824" ht="15.75" customHeight="1" s="545">
      <c r="A824" s="19" t="n"/>
      <c r="B824" s="19" t="n"/>
      <c r="C824" s="19" t="n"/>
      <c r="D824" s="19" t="n"/>
      <c r="E824" s="19" t="n"/>
      <c r="F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c r="AA824" s="19" t="n"/>
    </row>
    <row r="825" ht="15.75" customHeight="1" s="545">
      <c r="A825" s="19" t="n"/>
      <c r="B825" s="19" t="n"/>
      <c r="C825" s="19" t="n"/>
      <c r="D825" s="19" t="n"/>
      <c r="E825" s="19" t="n"/>
      <c r="F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c r="AA825" s="19" t="n"/>
    </row>
    <row r="826" ht="15.75" customHeight="1" s="545">
      <c r="A826" s="19" t="n"/>
      <c r="B826" s="19" t="n"/>
      <c r="C826" s="19" t="n"/>
      <c r="D826" s="19" t="n"/>
      <c r="E826" s="19" t="n"/>
      <c r="F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c r="AA826" s="19" t="n"/>
    </row>
    <row r="827" ht="15.75" customHeight="1" s="545">
      <c r="A827" s="19" t="n"/>
      <c r="B827" s="19" t="n"/>
      <c r="C827" s="19" t="n"/>
      <c r="D827" s="19" t="n"/>
      <c r="E827" s="19" t="n"/>
      <c r="F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c r="AA827" s="19" t="n"/>
    </row>
    <row r="828" ht="15.75" customHeight="1" s="545">
      <c r="A828" s="19" t="n"/>
      <c r="B828" s="19" t="n"/>
      <c r="C828" s="19" t="n"/>
      <c r="D828" s="19" t="n"/>
      <c r="E828" s="19" t="n"/>
      <c r="F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c r="AA828" s="19" t="n"/>
    </row>
    <row r="829" ht="15.75" customHeight="1" s="545">
      <c r="A829" s="19" t="n"/>
      <c r="B829" s="19" t="n"/>
      <c r="C829" s="19" t="n"/>
      <c r="D829" s="19" t="n"/>
      <c r="E829" s="19" t="n"/>
      <c r="F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c r="AA829" s="19" t="n"/>
    </row>
    <row r="830" ht="15.75" customHeight="1" s="545">
      <c r="A830" s="19" t="n"/>
      <c r="B830" s="19" t="n"/>
      <c r="C830" s="19" t="n"/>
      <c r="D830" s="19" t="n"/>
      <c r="E830" s="19" t="n"/>
      <c r="F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c r="AA830" s="19" t="n"/>
    </row>
    <row r="831" ht="15.75" customHeight="1" s="545">
      <c r="A831" s="19" t="n"/>
      <c r="B831" s="19" t="n"/>
      <c r="C831" s="19" t="n"/>
      <c r="D831" s="19" t="n"/>
      <c r="E831" s="19" t="n"/>
      <c r="F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c r="AA831" s="19" t="n"/>
    </row>
    <row r="832" ht="15.75" customHeight="1" s="545">
      <c r="A832" s="19" t="n"/>
      <c r="B832" s="19" t="n"/>
      <c r="C832" s="19" t="n"/>
      <c r="D832" s="19" t="n"/>
      <c r="E832" s="19" t="n"/>
      <c r="F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c r="AA832" s="19" t="n"/>
    </row>
    <row r="833" ht="15.75" customHeight="1" s="545">
      <c r="A833" s="19" t="n"/>
      <c r="B833" s="19" t="n"/>
      <c r="C833" s="19" t="n"/>
      <c r="D833" s="19" t="n"/>
      <c r="E833" s="19" t="n"/>
      <c r="F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c r="AA833" s="19" t="n"/>
    </row>
    <row r="834" ht="15.75" customHeight="1" s="545">
      <c r="A834" s="19" t="n"/>
      <c r="B834" s="19" t="n"/>
      <c r="C834" s="19" t="n"/>
      <c r="D834" s="19" t="n"/>
      <c r="E834" s="19" t="n"/>
      <c r="F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c r="AA834" s="19" t="n"/>
    </row>
    <row r="835" ht="15.75" customHeight="1" s="545">
      <c r="A835" s="19" t="n"/>
      <c r="B835" s="19" t="n"/>
      <c r="C835" s="19" t="n"/>
      <c r="D835" s="19" t="n"/>
      <c r="E835" s="19" t="n"/>
      <c r="F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c r="AA835" s="19" t="n"/>
    </row>
    <row r="836" ht="15.75" customHeight="1" s="545">
      <c r="A836" s="19" t="n"/>
      <c r="B836" s="19" t="n"/>
      <c r="C836" s="19" t="n"/>
      <c r="D836" s="19" t="n"/>
      <c r="E836" s="19" t="n"/>
      <c r="F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c r="AA836" s="19" t="n"/>
    </row>
    <row r="837" ht="15.75" customHeight="1" s="545">
      <c r="A837" s="19" t="n"/>
      <c r="B837" s="19" t="n"/>
      <c r="C837" s="19" t="n"/>
      <c r="D837" s="19" t="n"/>
      <c r="E837" s="19" t="n"/>
      <c r="F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c r="AA837" s="19" t="n"/>
    </row>
    <row r="838" ht="15.75" customHeight="1" s="545">
      <c r="A838" s="19" t="n"/>
      <c r="B838" s="19" t="n"/>
      <c r="C838" s="19" t="n"/>
      <c r="D838" s="19" t="n"/>
      <c r="E838" s="19" t="n"/>
      <c r="F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c r="AA838" s="19" t="n"/>
    </row>
    <row r="839" ht="15.75" customHeight="1" s="545">
      <c r="A839" s="19" t="n"/>
      <c r="B839" s="19" t="n"/>
      <c r="C839" s="19" t="n"/>
      <c r="D839" s="19" t="n"/>
      <c r="E839" s="19" t="n"/>
      <c r="F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c r="AA839" s="19" t="n"/>
    </row>
    <row r="840" ht="15.75" customHeight="1" s="545">
      <c r="A840" s="19" t="n"/>
      <c r="B840" s="19" t="n"/>
      <c r="C840" s="19" t="n"/>
      <c r="D840" s="19" t="n"/>
      <c r="E840" s="19" t="n"/>
      <c r="F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c r="AA840" s="19" t="n"/>
    </row>
    <row r="841" ht="15.75" customHeight="1" s="545">
      <c r="A841" s="19" t="n"/>
      <c r="B841" s="19" t="n"/>
      <c r="C841" s="19" t="n"/>
      <c r="D841" s="19" t="n"/>
      <c r="E841" s="19" t="n"/>
      <c r="F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c r="AA841" s="19" t="n"/>
    </row>
    <row r="842" ht="15.75" customHeight="1" s="545">
      <c r="A842" s="19" t="n"/>
      <c r="B842" s="19" t="n"/>
      <c r="C842" s="19" t="n"/>
      <c r="D842" s="19" t="n"/>
      <c r="E842" s="19" t="n"/>
      <c r="F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c r="AA842" s="19" t="n"/>
    </row>
    <row r="843" ht="15.75" customHeight="1" s="545">
      <c r="A843" s="19" t="n"/>
      <c r="B843" s="19" t="n"/>
      <c r="C843" s="19" t="n"/>
      <c r="D843" s="19" t="n"/>
      <c r="E843" s="19" t="n"/>
      <c r="F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c r="AA843" s="19" t="n"/>
    </row>
    <row r="844" ht="15.75" customHeight="1" s="545">
      <c r="A844" s="19" t="n"/>
      <c r="B844" s="19" t="n"/>
      <c r="C844" s="19" t="n"/>
      <c r="D844" s="19" t="n"/>
      <c r="E844" s="19" t="n"/>
      <c r="F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c r="AA844" s="19" t="n"/>
    </row>
    <row r="845" ht="15.75" customHeight="1" s="545">
      <c r="A845" s="19" t="n"/>
      <c r="B845" s="19" t="n"/>
      <c r="C845" s="19" t="n"/>
      <c r="D845" s="19" t="n"/>
      <c r="E845" s="19" t="n"/>
      <c r="F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c r="AA845" s="19" t="n"/>
    </row>
    <row r="846" ht="15.75" customHeight="1" s="545">
      <c r="A846" s="19" t="n"/>
      <c r="B846" s="19" t="n"/>
      <c r="C846" s="19" t="n"/>
      <c r="D846" s="19" t="n"/>
      <c r="E846" s="19" t="n"/>
      <c r="F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c r="AA846" s="19" t="n"/>
    </row>
    <row r="847" ht="15.75" customHeight="1" s="545">
      <c r="A847" s="19" t="n"/>
      <c r="B847" s="19" t="n"/>
      <c r="C847" s="19" t="n"/>
      <c r="D847" s="19" t="n"/>
      <c r="E847" s="19" t="n"/>
      <c r="F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c r="AA847" s="19" t="n"/>
    </row>
    <row r="848" ht="15.75" customHeight="1" s="545">
      <c r="A848" s="19" t="n"/>
      <c r="B848" s="19" t="n"/>
      <c r="C848" s="19" t="n"/>
      <c r="D848" s="19" t="n"/>
      <c r="E848" s="19" t="n"/>
      <c r="F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c r="AA848" s="19" t="n"/>
    </row>
    <row r="849" ht="15.75" customHeight="1" s="545">
      <c r="A849" s="19" t="n"/>
      <c r="B849" s="19" t="n"/>
      <c r="C849" s="19" t="n"/>
      <c r="D849" s="19" t="n"/>
      <c r="E849" s="19" t="n"/>
      <c r="F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c r="AA849" s="19" t="n"/>
    </row>
    <row r="850" ht="15.75" customHeight="1" s="545">
      <c r="A850" s="19" t="n"/>
      <c r="B850" s="19" t="n"/>
      <c r="C850" s="19" t="n"/>
      <c r="D850" s="19" t="n"/>
      <c r="E850" s="19" t="n"/>
      <c r="F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c r="AA850" s="19" t="n"/>
    </row>
    <row r="851" ht="15.75" customHeight="1" s="545">
      <c r="A851" s="19" t="n"/>
      <c r="B851" s="19" t="n"/>
      <c r="C851" s="19" t="n"/>
      <c r="D851" s="19" t="n"/>
      <c r="E851" s="19" t="n"/>
      <c r="F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c r="AA851" s="19" t="n"/>
    </row>
    <row r="852" ht="15.75" customHeight="1" s="545">
      <c r="A852" s="19" t="n"/>
      <c r="B852" s="19" t="n"/>
      <c r="C852" s="19" t="n"/>
      <c r="D852" s="19" t="n"/>
      <c r="E852" s="19" t="n"/>
      <c r="F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c r="AA852" s="19" t="n"/>
    </row>
    <row r="853" ht="15.75" customHeight="1" s="545">
      <c r="A853" s="19" t="n"/>
      <c r="B853" s="19" t="n"/>
      <c r="C853" s="19" t="n"/>
      <c r="D853" s="19" t="n"/>
      <c r="E853" s="19" t="n"/>
      <c r="F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c r="AA853" s="19" t="n"/>
    </row>
    <row r="854" ht="15.75" customHeight="1" s="545">
      <c r="A854" s="19" t="n"/>
      <c r="B854" s="19" t="n"/>
      <c r="C854" s="19" t="n"/>
      <c r="D854" s="19" t="n"/>
      <c r="E854" s="19" t="n"/>
      <c r="F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c r="AA854" s="19" t="n"/>
    </row>
    <row r="855" ht="15.75" customHeight="1" s="545">
      <c r="A855" s="19" t="n"/>
      <c r="B855" s="19" t="n"/>
      <c r="C855" s="19" t="n"/>
      <c r="D855" s="19" t="n"/>
      <c r="E855" s="19" t="n"/>
      <c r="F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c r="AA855" s="19" t="n"/>
    </row>
    <row r="856" ht="15.75" customHeight="1" s="545">
      <c r="A856" s="19" t="n"/>
      <c r="B856" s="19" t="n"/>
      <c r="C856" s="19" t="n"/>
      <c r="D856" s="19" t="n"/>
      <c r="E856" s="19" t="n"/>
      <c r="F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c r="AA856" s="19" t="n"/>
    </row>
    <row r="857" ht="15.75" customHeight="1" s="545">
      <c r="A857" s="19" t="n"/>
      <c r="B857" s="19" t="n"/>
      <c r="C857" s="19" t="n"/>
      <c r="D857" s="19" t="n"/>
      <c r="E857" s="19" t="n"/>
      <c r="F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c r="AA857" s="19" t="n"/>
    </row>
    <row r="858" ht="15.75" customHeight="1" s="545">
      <c r="A858" s="19" t="n"/>
      <c r="B858" s="19" t="n"/>
      <c r="C858" s="19" t="n"/>
      <c r="D858" s="19" t="n"/>
      <c r="E858" s="19" t="n"/>
      <c r="F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c r="AA858" s="19" t="n"/>
    </row>
    <row r="859" ht="15.75" customHeight="1" s="545">
      <c r="A859" s="19" t="n"/>
      <c r="B859" s="19" t="n"/>
      <c r="C859" s="19" t="n"/>
      <c r="D859" s="19" t="n"/>
      <c r="E859" s="19" t="n"/>
      <c r="F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c r="AA859" s="19" t="n"/>
    </row>
    <row r="860" ht="15.75" customHeight="1" s="545">
      <c r="A860" s="19" t="n"/>
      <c r="B860" s="19" t="n"/>
      <c r="C860" s="19" t="n"/>
      <c r="D860" s="19" t="n"/>
      <c r="E860" s="19" t="n"/>
      <c r="F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c r="AA860" s="19" t="n"/>
    </row>
    <row r="861" ht="15.75" customHeight="1" s="545">
      <c r="A861" s="19" t="n"/>
      <c r="B861" s="19" t="n"/>
      <c r="C861" s="19" t="n"/>
      <c r="D861" s="19" t="n"/>
      <c r="E861" s="19" t="n"/>
      <c r="F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c r="AA861" s="19" t="n"/>
    </row>
    <row r="862" ht="15.75" customHeight="1" s="545">
      <c r="A862" s="19" t="n"/>
      <c r="B862" s="19" t="n"/>
      <c r="C862" s="19" t="n"/>
      <c r="D862" s="19" t="n"/>
      <c r="E862" s="19" t="n"/>
      <c r="F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c r="AA862" s="19" t="n"/>
    </row>
    <row r="863" ht="15.75" customHeight="1" s="545">
      <c r="A863" s="19" t="n"/>
      <c r="B863" s="19" t="n"/>
      <c r="C863" s="19" t="n"/>
      <c r="D863" s="19" t="n"/>
      <c r="E863" s="19" t="n"/>
      <c r="F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c r="AA863" s="19" t="n"/>
    </row>
    <row r="864" ht="15.75" customHeight="1" s="545">
      <c r="A864" s="19" t="n"/>
      <c r="B864" s="19" t="n"/>
      <c r="C864" s="19" t="n"/>
      <c r="D864" s="19" t="n"/>
      <c r="E864" s="19" t="n"/>
      <c r="F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c r="AA864" s="19" t="n"/>
    </row>
    <row r="865" ht="15.75" customHeight="1" s="545">
      <c r="A865" s="19" t="n"/>
      <c r="B865" s="19" t="n"/>
      <c r="C865" s="19" t="n"/>
      <c r="D865" s="19" t="n"/>
      <c r="E865" s="19" t="n"/>
      <c r="F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c r="AA865" s="19" t="n"/>
    </row>
    <row r="866" ht="15.75" customHeight="1" s="545">
      <c r="A866" s="19" t="n"/>
      <c r="B866" s="19" t="n"/>
      <c r="C866" s="19" t="n"/>
      <c r="D866" s="19" t="n"/>
      <c r="E866" s="19" t="n"/>
      <c r="F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c r="AA866" s="19" t="n"/>
    </row>
    <row r="867" ht="15.75" customHeight="1" s="545">
      <c r="A867" s="19" t="n"/>
      <c r="B867" s="19" t="n"/>
      <c r="C867" s="19" t="n"/>
      <c r="D867" s="19" t="n"/>
      <c r="E867" s="19" t="n"/>
      <c r="F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c r="AA867" s="19" t="n"/>
    </row>
    <row r="868" ht="15.75" customHeight="1" s="545">
      <c r="A868" s="19" t="n"/>
      <c r="B868" s="19" t="n"/>
      <c r="C868" s="19" t="n"/>
      <c r="D868" s="19" t="n"/>
      <c r="E868" s="19" t="n"/>
      <c r="F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c r="AA868" s="19" t="n"/>
    </row>
    <row r="869" ht="15.75" customHeight="1" s="545">
      <c r="A869" s="19" t="n"/>
      <c r="B869" s="19" t="n"/>
      <c r="C869" s="19" t="n"/>
      <c r="D869" s="19" t="n"/>
      <c r="E869" s="19" t="n"/>
      <c r="F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c r="AA869" s="19" t="n"/>
    </row>
    <row r="870" ht="15.75" customHeight="1" s="545">
      <c r="A870" s="19" t="n"/>
      <c r="B870" s="19" t="n"/>
      <c r="C870" s="19" t="n"/>
      <c r="D870" s="19" t="n"/>
      <c r="E870" s="19" t="n"/>
      <c r="F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c r="AA870" s="19" t="n"/>
    </row>
    <row r="871" ht="15.75" customHeight="1" s="545">
      <c r="A871" s="19" t="n"/>
      <c r="B871" s="19" t="n"/>
      <c r="C871" s="19" t="n"/>
      <c r="D871" s="19" t="n"/>
      <c r="E871" s="19" t="n"/>
      <c r="F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c r="AA871" s="19" t="n"/>
    </row>
    <row r="872" ht="15.75" customHeight="1" s="545">
      <c r="A872" s="19" t="n"/>
      <c r="B872" s="19" t="n"/>
      <c r="C872" s="19" t="n"/>
      <c r="D872" s="19" t="n"/>
      <c r="E872" s="19" t="n"/>
      <c r="F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c r="AA872" s="19" t="n"/>
    </row>
    <row r="873" ht="15.75" customHeight="1" s="545">
      <c r="A873" s="19" t="n"/>
      <c r="B873" s="19" t="n"/>
      <c r="C873" s="19" t="n"/>
      <c r="D873" s="19" t="n"/>
      <c r="E873" s="19" t="n"/>
      <c r="F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c r="AA873" s="19" t="n"/>
    </row>
    <row r="874" ht="15.75" customHeight="1" s="545">
      <c r="A874" s="19" t="n"/>
      <c r="B874" s="19" t="n"/>
      <c r="C874" s="19" t="n"/>
      <c r="D874" s="19" t="n"/>
      <c r="E874" s="19" t="n"/>
      <c r="F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c r="AA874" s="19" t="n"/>
    </row>
    <row r="875" ht="15.75" customHeight="1" s="545">
      <c r="A875" s="19" t="n"/>
      <c r="B875" s="19" t="n"/>
      <c r="C875" s="19" t="n"/>
      <c r="D875" s="19" t="n"/>
      <c r="E875" s="19" t="n"/>
      <c r="F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c r="AA875" s="19" t="n"/>
    </row>
    <row r="876" ht="15.75" customHeight="1" s="545">
      <c r="A876" s="19" t="n"/>
      <c r="B876" s="19" t="n"/>
      <c r="C876" s="19" t="n"/>
      <c r="D876" s="19" t="n"/>
      <c r="E876" s="19" t="n"/>
      <c r="F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c r="AA876" s="19" t="n"/>
    </row>
    <row r="877" ht="15.75" customHeight="1" s="545">
      <c r="A877" s="19" t="n"/>
      <c r="B877" s="19" t="n"/>
      <c r="C877" s="19" t="n"/>
      <c r="D877" s="19" t="n"/>
      <c r="E877" s="19" t="n"/>
      <c r="F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c r="AA877" s="19" t="n"/>
    </row>
    <row r="878" ht="15.75" customHeight="1" s="545">
      <c r="A878" s="19" t="n"/>
      <c r="B878" s="19" t="n"/>
      <c r="C878" s="19" t="n"/>
      <c r="D878" s="19" t="n"/>
      <c r="E878" s="19" t="n"/>
      <c r="F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c r="AA878" s="19" t="n"/>
    </row>
    <row r="879" ht="15.75" customHeight="1" s="545">
      <c r="A879" s="19" t="n"/>
      <c r="B879" s="19" t="n"/>
      <c r="C879" s="19" t="n"/>
      <c r="D879" s="19" t="n"/>
      <c r="E879" s="19" t="n"/>
      <c r="F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c r="AA879" s="19" t="n"/>
    </row>
    <row r="880" ht="15.75" customHeight="1" s="545">
      <c r="A880" s="19" t="n"/>
      <c r="B880" s="19" t="n"/>
      <c r="C880" s="19" t="n"/>
      <c r="D880" s="19" t="n"/>
      <c r="E880" s="19" t="n"/>
      <c r="F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c r="AA880" s="19" t="n"/>
    </row>
    <row r="881" ht="15.75" customHeight="1" s="545">
      <c r="A881" s="19" t="n"/>
      <c r="B881" s="19" t="n"/>
      <c r="C881" s="19" t="n"/>
      <c r="D881" s="19" t="n"/>
      <c r="E881" s="19" t="n"/>
      <c r="F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c r="AA881" s="19" t="n"/>
    </row>
    <row r="882" ht="15.75" customHeight="1" s="545">
      <c r="A882" s="19" t="n"/>
      <c r="B882" s="19" t="n"/>
      <c r="C882" s="19" t="n"/>
      <c r="D882" s="19" t="n"/>
      <c r="E882" s="19" t="n"/>
      <c r="F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c r="AA882" s="19" t="n"/>
    </row>
    <row r="883" ht="15.75" customHeight="1" s="545">
      <c r="A883" s="19" t="n"/>
      <c r="B883" s="19" t="n"/>
      <c r="C883" s="19" t="n"/>
      <c r="D883" s="19" t="n"/>
      <c r="E883" s="19" t="n"/>
      <c r="F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c r="AA883" s="19" t="n"/>
    </row>
    <row r="884" ht="15.75" customHeight="1" s="545">
      <c r="A884" s="19" t="n"/>
      <c r="B884" s="19" t="n"/>
      <c r="C884" s="19" t="n"/>
      <c r="D884" s="19" t="n"/>
      <c r="E884" s="19" t="n"/>
      <c r="F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c r="AA884" s="19" t="n"/>
    </row>
    <row r="885" ht="15.75" customHeight="1" s="545">
      <c r="A885" s="19" t="n"/>
      <c r="B885" s="19" t="n"/>
      <c r="C885" s="19" t="n"/>
      <c r="D885" s="19" t="n"/>
      <c r="E885" s="19" t="n"/>
      <c r="F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c r="AA885" s="19" t="n"/>
    </row>
    <row r="886" ht="15.75" customHeight="1" s="545">
      <c r="A886" s="19" t="n"/>
      <c r="B886" s="19" t="n"/>
      <c r="C886" s="19" t="n"/>
      <c r="D886" s="19" t="n"/>
      <c r="E886" s="19" t="n"/>
      <c r="F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c r="AA886" s="19" t="n"/>
    </row>
    <row r="887" ht="15.75" customHeight="1" s="545">
      <c r="A887" s="19" t="n"/>
      <c r="B887" s="19" t="n"/>
      <c r="C887" s="19" t="n"/>
      <c r="D887" s="19" t="n"/>
      <c r="E887" s="19" t="n"/>
      <c r="F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c r="AA887" s="19" t="n"/>
    </row>
    <row r="888" ht="15.75" customHeight="1" s="545">
      <c r="A888" s="19" t="n"/>
      <c r="B888" s="19" t="n"/>
      <c r="C888" s="19" t="n"/>
      <c r="D888" s="19" t="n"/>
      <c r="E888" s="19" t="n"/>
      <c r="F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c r="AA888" s="19" t="n"/>
    </row>
    <row r="889" ht="15.75" customHeight="1" s="545">
      <c r="A889" s="19" t="n"/>
      <c r="B889" s="19" t="n"/>
      <c r="C889" s="19" t="n"/>
      <c r="D889" s="19" t="n"/>
      <c r="E889" s="19" t="n"/>
      <c r="F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c r="AA889" s="19" t="n"/>
    </row>
    <row r="890" ht="15.75" customHeight="1" s="545">
      <c r="A890" s="19" t="n"/>
      <c r="B890" s="19" t="n"/>
      <c r="C890" s="19" t="n"/>
      <c r="D890" s="19" t="n"/>
      <c r="E890" s="19" t="n"/>
      <c r="F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c r="AA890" s="19" t="n"/>
    </row>
    <row r="891" ht="15.75" customHeight="1" s="545">
      <c r="A891" s="19" t="n"/>
      <c r="B891" s="19" t="n"/>
      <c r="C891" s="19" t="n"/>
      <c r="D891" s="19" t="n"/>
      <c r="E891" s="19" t="n"/>
      <c r="F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c r="AA891" s="19" t="n"/>
    </row>
    <row r="892" ht="15.75" customHeight="1" s="545">
      <c r="A892" s="19" t="n"/>
      <c r="B892" s="19" t="n"/>
      <c r="C892" s="19" t="n"/>
      <c r="D892" s="19" t="n"/>
      <c r="E892" s="19" t="n"/>
      <c r="F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c r="AA892" s="19" t="n"/>
    </row>
    <row r="893" ht="15.75" customHeight="1" s="545">
      <c r="A893" s="19" t="n"/>
      <c r="B893" s="19" t="n"/>
      <c r="C893" s="19" t="n"/>
      <c r="D893" s="19" t="n"/>
      <c r="E893" s="19" t="n"/>
      <c r="F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c r="AA893" s="19" t="n"/>
    </row>
    <row r="894" ht="15.75" customHeight="1" s="545">
      <c r="A894" s="19" t="n"/>
      <c r="B894" s="19" t="n"/>
      <c r="C894" s="19" t="n"/>
      <c r="D894" s="19" t="n"/>
      <c r="E894" s="19" t="n"/>
      <c r="F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c r="AA894" s="19" t="n"/>
    </row>
    <row r="895" ht="15.75" customHeight="1" s="545">
      <c r="A895" s="19" t="n"/>
      <c r="B895" s="19" t="n"/>
      <c r="C895" s="19" t="n"/>
      <c r="D895" s="19" t="n"/>
      <c r="E895" s="19" t="n"/>
      <c r="F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c r="AA895" s="19" t="n"/>
    </row>
    <row r="896" ht="15.75" customHeight="1" s="545">
      <c r="A896" s="19" t="n"/>
      <c r="B896" s="19" t="n"/>
      <c r="C896" s="19" t="n"/>
      <c r="D896" s="19" t="n"/>
      <c r="E896" s="19" t="n"/>
      <c r="F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c r="AA896" s="19" t="n"/>
    </row>
    <row r="897" ht="15.75" customHeight="1" s="545">
      <c r="A897" s="19" t="n"/>
      <c r="B897" s="19" t="n"/>
      <c r="C897" s="19" t="n"/>
      <c r="D897" s="19" t="n"/>
      <c r="E897" s="19" t="n"/>
      <c r="F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c r="AA897" s="19" t="n"/>
    </row>
    <row r="898" ht="15.75" customHeight="1" s="545">
      <c r="A898" s="19" t="n"/>
      <c r="B898" s="19" t="n"/>
      <c r="C898" s="19" t="n"/>
      <c r="D898" s="19" t="n"/>
      <c r="E898" s="19" t="n"/>
      <c r="F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c r="AA898" s="19" t="n"/>
    </row>
    <row r="899" ht="15.75" customHeight="1" s="545">
      <c r="A899" s="19" t="n"/>
      <c r="B899" s="19" t="n"/>
      <c r="C899" s="19" t="n"/>
      <c r="D899" s="19" t="n"/>
      <c r="E899" s="19" t="n"/>
      <c r="F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c r="AA899" s="19" t="n"/>
    </row>
    <row r="900" ht="15.75" customHeight="1" s="545">
      <c r="A900" s="19" t="n"/>
      <c r="B900" s="19" t="n"/>
      <c r="C900" s="19" t="n"/>
      <c r="D900" s="19" t="n"/>
      <c r="E900" s="19" t="n"/>
      <c r="F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c r="AA900" s="19" t="n"/>
    </row>
    <row r="901" ht="15.75" customHeight="1" s="545">
      <c r="A901" s="19" t="n"/>
      <c r="B901" s="19" t="n"/>
      <c r="C901" s="19" t="n"/>
      <c r="D901" s="19" t="n"/>
      <c r="E901" s="19" t="n"/>
      <c r="F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c r="AA901" s="19" t="n"/>
    </row>
    <row r="902" ht="15.75" customHeight="1" s="545">
      <c r="A902" s="19" t="n"/>
      <c r="B902" s="19" t="n"/>
      <c r="C902" s="19" t="n"/>
      <c r="D902" s="19" t="n"/>
      <c r="E902" s="19" t="n"/>
      <c r="F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c r="AA902" s="19" t="n"/>
    </row>
    <row r="903" ht="15.75" customHeight="1" s="545">
      <c r="A903" s="19" t="n"/>
      <c r="B903" s="19" t="n"/>
      <c r="C903" s="19" t="n"/>
      <c r="D903" s="19" t="n"/>
      <c r="E903" s="19" t="n"/>
      <c r="F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c r="AA903" s="19" t="n"/>
    </row>
    <row r="904" ht="15.75" customHeight="1" s="545">
      <c r="A904" s="19" t="n"/>
      <c r="B904" s="19" t="n"/>
      <c r="C904" s="19" t="n"/>
      <c r="D904" s="19" t="n"/>
      <c r="E904" s="19" t="n"/>
      <c r="F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c r="AA904" s="19" t="n"/>
    </row>
    <row r="905" ht="15.75" customHeight="1" s="545">
      <c r="A905" s="19" t="n"/>
      <c r="B905" s="19" t="n"/>
      <c r="C905" s="19" t="n"/>
      <c r="D905" s="19" t="n"/>
      <c r="E905" s="19" t="n"/>
      <c r="F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c r="AA905" s="19" t="n"/>
    </row>
    <row r="906" ht="15.75" customHeight="1" s="545">
      <c r="A906" s="19" t="n"/>
      <c r="B906" s="19" t="n"/>
      <c r="C906" s="19" t="n"/>
      <c r="D906" s="19" t="n"/>
      <c r="E906" s="19" t="n"/>
      <c r="F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c r="AA906" s="19" t="n"/>
    </row>
    <row r="907" ht="15.75" customHeight="1" s="545">
      <c r="A907" s="19" t="n"/>
      <c r="B907" s="19" t="n"/>
      <c r="C907" s="19" t="n"/>
      <c r="D907" s="19" t="n"/>
      <c r="E907" s="19" t="n"/>
      <c r="F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c r="AA907" s="19" t="n"/>
    </row>
    <row r="908" ht="15.75" customHeight="1" s="545">
      <c r="A908" s="19" t="n"/>
      <c r="B908" s="19" t="n"/>
      <c r="C908" s="19" t="n"/>
      <c r="D908" s="19" t="n"/>
      <c r="E908" s="19" t="n"/>
      <c r="F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c r="AA908" s="19" t="n"/>
    </row>
    <row r="909" ht="15.75" customHeight="1" s="545">
      <c r="A909" s="19" t="n"/>
      <c r="B909" s="19" t="n"/>
      <c r="C909" s="19" t="n"/>
      <c r="D909" s="19" t="n"/>
      <c r="E909" s="19" t="n"/>
      <c r="F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c r="AA909" s="19" t="n"/>
    </row>
    <row r="910" ht="15.75" customHeight="1" s="545">
      <c r="A910" s="19" t="n"/>
      <c r="B910" s="19" t="n"/>
      <c r="C910" s="19" t="n"/>
      <c r="D910" s="19" t="n"/>
      <c r="E910" s="19" t="n"/>
      <c r="F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c r="AA910" s="19" t="n"/>
    </row>
    <row r="911" ht="15.75" customHeight="1" s="545">
      <c r="A911" s="19" t="n"/>
      <c r="B911" s="19" t="n"/>
      <c r="C911" s="19" t="n"/>
      <c r="D911" s="19" t="n"/>
      <c r="E911" s="19" t="n"/>
      <c r="F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c r="AA911" s="19" t="n"/>
    </row>
    <row r="912" ht="15.75" customHeight="1" s="545">
      <c r="A912" s="19" t="n"/>
      <c r="B912" s="19" t="n"/>
      <c r="C912" s="19" t="n"/>
      <c r="D912" s="19" t="n"/>
      <c r="E912" s="19" t="n"/>
      <c r="F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c r="AA912" s="19" t="n"/>
    </row>
    <row r="913" ht="15.75" customHeight="1" s="545">
      <c r="A913" s="19" t="n"/>
      <c r="B913" s="19" t="n"/>
      <c r="C913" s="19" t="n"/>
      <c r="D913" s="19" t="n"/>
      <c r="E913" s="19" t="n"/>
      <c r="F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c r="AA913" s="19" t="n"/>
    </row>
    <row r="914" ht="15.75" customHeight="1" s="545">
      <c r="A914" s="19" t="n"/>
      <c r="B914" s="19" t="n"/>
      <c r="C914" s="19" t="n"/>
      <c r="D914" s="19" t="n"/>
      <c r="E914" s="19" t="n"/>
      <c r="F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c r="AA914" s="19" t="n"/>
    </row>
    <row r="915" ht="15.75" customHeight="1" s="545">
      <c r="A915" s="19" t="n"/>
      <c r="B915" s="19" t="n"/>
      <c r="C915" s="19" t="n"/>
      <c r="D915" s="19" t="n"/>
      <c r="E915" s="19" t="n"/>
      <c r="F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c r="AA915" s="19" t="n"/>
    </row>
    <row r="916" ht="15.75" customHeight="1" s="545">
      <c r="A916" s="19" t="n"/>
      <c r="B916" s="19" t="n"/>
      <c r="C916" s="19" t="n"/>
      <c r="D916" s="19" t="n"/>
      <c r="E916" s="19" t="n"/>
      <c r="F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c r="AA916" s="19" t="n"/>
    </row>
    <row r="917" ht="15.75" customHeight="1" s="545">
      <c r="A917" s="19" t="n"/>
      <c r="B917" s="19" t="n"/>
      <c r="C917" s="19" t="n"/>
      <c r="D917" s="19" t="n"/>
      <c r="E917" s="19" t="n"/>
      <c r="F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c r="AA917" s="19" t="n"/>
    </row>
    <row r="918" ht="15.75" customHeight="1" s="545">
      <c r="A918" s="19" t="n"/>
      <c r="B918" s="19" t="n"/>
      <c r="C918" s="19" t="n"/>
      <c r="D918" s="19" t="n"/>
      <c r="E918" s="19" t="n"/>
      <c r="F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c r="AA918" s="19" t="n"/>
    </row>
    <row r="919" ht="15.75" customHeight="1" s="545">
      <c r="A919" s="19" t="n"/>
      <c r="B919" s="19" t="n"/>
      <c r="C919" s="19" t="n"/>
      <c r="D919" s="19" t="n"/>
      <c r="E919" s="19" t="n"/>
      <c r="F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c r="AA919" s="19" t="n"/>
    </row>
    <row r="920" ht="15.75" customHeight="1" s="545">
      <c r="A920" s="19" t="n"/>
      <c r="B920" s="19" t="n"/>
      <c r="C920" s="19" t="n"/>
      <c r="D920" s="19" t="n"/>
      <c r="E920" s="19" t="n"/>
      <c r="F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c r="AA920" s="19" t="n"/>
    </row>
    <row r="921" ht="15.75" customHeight="1" s="545">
      <c r="A921" s="19" t="n"/>
      <c r="B921" s="19" t="n"/>
      <c r="C921" s="19" t="n"/>
      <c r="D921" s="19" t="n"/>
      <c r="E921" s="19" t="n"/>
      <c r="F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c r="AA921" s="19" t="n"/>
    </row>
    <row r="922" ht="15.75" customHeight="1" s="545">
      <c r="A922" s="19" t="n"/>
      <c r="B922" s="19" t="n"/>
      <c r="C922" s="19" t="n"/>
      <c r="D922" s="19" t="n"/>
      <c r="E922" s="19" t="n"/>
      <c r="F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c r="AA922" s="19" t="n"/>
    </row>
    <row r="923" ht="15.75" customHeight="1" s="545">
      <c r="A923" s="19" t="n"/>
      <c r="B923" s="19" t="n"/>
      <c r="C923" s="19" t="n"/>
      <c r="D923" s="19" t="n"/>
      <c r="E923" s="19" t="n"/>
      <c r="F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c r="AA923" s="19" t="n"/>
    </row>
    <row r="924" ht="15.75" customHeight="1" s="545">
      <c r="A924" s="19" t="n"/>
      <c r="B924" s="19" t="n"/>
      <c r="C924" s="19" t="n"/>
      <c r="D924" s="19" t="n"/>
      <c r="E924" s="19" t="n"/>
      <c r="F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c r="AA924" s="19" t="n"/>
    </row>
    <row r="925" ht="15.75" customHeight="1" s="545">
      <c r="A925" s="19" t="n"/>
      <c r="B925" s="19" t="n"/>
      <c r="C925" s="19" t="n"/>
      <c r="D925" s="19" t="n"/>
      <c r="E925" s="19" t="n"/>
      <c r="F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c r="AA925" s="19" t="n"/>
    </row>
    <row r="926" ht="15.75" customHeight="1" s="545">
      <c r="A926" s="19" t="n"/>
      <c r="B926" s="19" t="n"/>
      <c r="C926" s="19" t="n"/>
      <c r="D926" s="19" t="n"/>
      <c r="E926" s="19" t="n"/>
      <c r="F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c r="AA926" s="19" t="n"/>
    </row>
    <row r="927" ht="15.75" customHeight="1" s="545">
      <c r="A927" s="19" t="n"/>
      <c r="B927" s="19" t="n"/>
      <c r="C927" s="19" t="n"/>
      <c r="D927" s="19" t="n"/>
      <c r="E927" s="19" t="n"/>
      <c r="F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c r="AA927" s="19" t="n"/>
    </row>
    <row r="928" ht="15.75" customHeight="1" s="545">
      <c r="A928" s="19" t="n"/>
      <c r="B928" s="19" t="n"/>
      <c r="C928" s="19" t="n"/>
      <c r="D928" s="19" t="n"/>
      <c r="E928" s="19" t="n"/>
      <c r="F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c r="AA928" s="19" t="n"/>
    </row>
    <row r="929" ht="15.75" customHeight="1" s="545">
      <c r="A929" s="19" t="n"/>
      <c r="B929" s="19" t="n"/>
      <c r="C929" s="19" t="n"/>
      <c r="D929" s="19" t="n"/>
      <c r="E929" s="19" t="n"/>
      <c r="F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c r="AA929" s="19" t="n"/>
    </row>
    <row r="930" ht="15.75" customHeight="1" s="545">
      <c r="A930" s="19" t="n"/>
      <c r="B930" s="19" t="n"/>
      <c r="C930" s="19" t="n"/>
      <c r="D930" s="19" t="n"/>
      <c r="E930" s="19" t="n"/>
      <c r="F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c r="AA930" s="19" t="n"/>
    </row>
    <row r="931" ht="15.75" customHeight="1" s="545">
      <c r="A931" s="19" t="n"/>
      <c r="B931" s="19" t="n"/>
      <c r="C931" s="19" t="n"/>
      <c r="D931" s="19" t="n"/>
      <c r="E931" s="19" t="n"/>
      <c r="F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c r="AA931" s="19" t="n"/>
    </row>
    <row r="932" ht="15.75" customHeight="1" s="545">
      <c r="A932" s="19" t="n"/>
      <c r="B932" s="19" t="n"/>
      <c r="C932" s="19" t="n"/>
      <c r="D932" s="19" t="n"/>
      <c r="E932" s="19" t="n"/>
      <c r="F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c r="AA932" s="19" t="n"/>
    </row>
    <row r="933" ht="15.75" customHeight="1" s="545">
      <c r="A933" s="19" t="n"/>
      <c r="B933" s="19" t="n"/>
      <c r="C933" s="19" t="n"/>
      <c r="D933" s="19" t="n"/>
      <c r="E933" s="19" t="n"/>
      <c r="F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c r="AA933" s="19" t="n"/>
    </row>
    <row r="934" ht="15.75" customHeight="1" s="545">
      <c r="A934" s="19" t="n"/>
      <c r="B934" s="19" t="n"/>
      <c r="C934" s="19" t="n"/>
      <c r="D934" s="19" t="n"/>
      <c r="E934" s="19" t="n"/>
      <c r="F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c r="AA934" s="19" t="n"/>
    </row>
    <row r="935" ht="15.75" customHeight="1" s="545">
      <c r="A935" s="19" t="n"/>
      <c r="B935" s="19" t="n"/>
      <c r="C935" s="19" t="n"/>
      <c r="D935" s="19" t="n"/>
      <c r="E935" s="19" t="n"/>
      <c r="F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c r="AA935" s="19" t="n"/>
    </row>
    <row r="936" ht="15.75" customHeight="1" s="545">
      <c r="A936" s="19" t="n"/>
      <c r="B936" s="19" t="n"/>
      <c r="C936" s="19" t="n"/>
      <c r="D936" s="19" t="n"/>
      <c r="E936" s="19" t="n"/>
      <c r="F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c r="AA936" s="19" t="n"/>
    </row>
    <row r="937" ht="15.75" customHeight="1" s="545">
      <c r="A937" s="19" t="n"/>
      <c r="B937" s="19" t="n"/>
      <c r="C937" s="19" t="n"/>
      <c r="D937" s="19" t="n"/>
      <c r="E937" s="19" t="n"/>
      <c r="F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c r="AA937" s="19" t="n"/>
    </row>
    <row r="938" ht="15.75" customHeight="1" s="545">
      <c r="A938" s="19" t="n"/>
      <c r="B938" s="19" t="n"/>
      <c r="C938" s="19" t="n"/>
      <c r="D938" s="19" t="n"/>
      <c r="E938" s="19" t="n"/>
      <c r="F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c r="AA938" s="19" t="n"/>
    </row>
    <row r="939" ht="15.75" customHeight="1" s="545">
      <c r="A939" s="19" t="n"/>
      <c r="B939" s="19" t="n"/>
      <c r="C939" s="19" t="n"/>
      <c r="D939" s="19" t="n"/>
      <c r="E939" s="19" t="n"/>
      <c r="F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c r="AA939" s="19" t="n"/>
    </row>
    <row r="940" ht="15.75" customHeight="1" s="545">
      <c r="A940" s="19" t="n"/>
      <c r="B940" s="19" t="n"/>
      <c r="C940" s="19" t="n"/>
      <c r="D940" s="19" t="n"/>
      <c r="E940" s="19" t="n"/>
      <c r="F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c r="AA940" s="19" t="n"/>
    </row>
    <row r="941" ht="15.75" customHeight="1" s="545">
      <c r="A941" s="19" t="n"/>
      <c r="B941" s="19" t="n"/>
      <c r="C941" s="19" t="n"/>
      <c r="D941" s="19" t="n"/>
      <c r="E941" s="19" t="n"/>
      <c r="F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c r="AA941" s="19" t="n"/>
    </row>
    <row r="942" ht="15.75" customHeight="1" s="545">
      <c r="A942" s="19" t="n"/>
      <c r="B942" s="19" t="n"/>
      <c r="C942" s="19" t="n"/>
      <c r="D942" s="19" t="n"/>
      <c r="E942" s="19" t="n"/>
      <c r="F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c r="AA942" s="19" t="n"/>
    </row>
    <row r="943" ht="15.75" customHeight="1" s="545">
      <c r="A943" s="19" t="n"/>
      <c r="B943" s="19" t="n"/>
      <c r="C943" s="19" t="n"/>
      <c r="D943" s="19" t="n"/>
      <c r="E943" s="19" t="n"/>
      <c r="F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c r="AA943" s="19" t="n"/>
    </row>
    <row r="944" ht="15.75" customHeight="1" s="545">
      <c r="A944" s="19" t="n"/>
      <c r="B944" s="19" t="n"/>
      <c r="C944" s="19" t="n"/>
      <c r="D944" s="19" t="n"/>
      <c r="E944" s="19" t="n"/>
      <c r="F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c r="AA944" s="19" t="n"/>
    </row>
    <row r="945" ht="15.75" customHeight="1" s="545">
      <c r="A945" s="19" t="n"/>
      <c r="B945" s="19" t="n"/>
      <c r="C945" s="19" t="n"/>
      <c r="D945" s="19" t="n"/>
      <c r="E945" s="19" t="n"/>
      <c r="F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c r="AA945" s="19" t="n"/>
    </row>
    <row r="946" ht="15.75" customHeight="1" s="545">
      <c r="A946" s="19" t="n"/>
      <c r="B946" s="19" t="n"/>
      <c r="C946" s="19" t="n"/>
      <c r="D946" s="19" t="n"/>
      <c r="E946" s="19" t="n"/>
      <c r="F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c r="AA946" s="19" t="n"/>
    </row>
    <row r="947" ht="15.75" customHeight="1" s="545">
      <c r="A947" s="19" t="n"/>
      <c r="B947" s="19" t="n"/>
      <c r="C947" s="19" t="n"/>
      <c r="D947" s="19" t="n"/>
      <c r="E947" s="19" t="n"/>
      <c r="F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c r="AA947" s="19" t="n"/>
    </row>
    <row r="948" ht="15.75" customHeight="1" s="545">
      <c r="A948" s="19" t="n"/>
      <c r="B948" s="19" t="n"/>
      <c r="C948" s="19" t="n"/>
      <c r="D948" s="19" t="n"/>
      <c r="E948" s="19" t="n"/>
      <c r="F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c r="AA948" s="19" t="n"/>
    </row>
    <row r="949" ht="15.75" customHeight="1" s="545">
      <c r="A949" s="19" t="n"/>
      <c r="B949" s="19" t="n"/>
      <c r="C949" s="19" t="n"/>
      <c r="D949" s="19" t="n"/>
      <c r="E949" s="19" t="n"/>
      <c r="F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c r="AA949" s="19" t="n"/>
    </row>
    <row r="950" ht="15.75" customHeight="1" s="545">
      <c r="A950" s="19" t="n"/>
      <c r="B950" s="19" t="n"/>
      <c r="C950" s="19" t="n"/>
      <c r="D950" s="19" t="n"/>
      <c r="E950" s="19" t="n"/>
      <c r="F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c r="AA950" s="19" t="n"/>
    </row>
    <row r="951" ht="15.75" customHeight="1" s="545">
      <c r="A951" s="19" t="n"/>
      <c r="B951" s="19" t="n"/>
      <c r="C951" s="19" t="n"/>
      <c r="D951" s="19" t="n"/>
      <c r="E951" s="19" t="n"/>
      <c r="F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c r="AA951" s="19" t="n"/>
    </row>
    <row r="952" ht="15.75" customHeight="1" s="545">
      <c r="A952" s="19" t="n"/>
      <c r="B952" s="19" t="n"/>
      <c r="C952" s="19" t="n"/>
      <c r="D952" s="19" t="n"/>
      <c r="E952" s="19" t="n"/>
      <c r="F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c r="AA952" s="19" t="n"/>
    </row>
    <row r="953" ht="15.75" customHeight="1" s="545">
      <c r="A953" s="19" t="n"/>
      <c r="B953" s="19" t="n"/>
      <c r="C953" s="19" t="n"/>
      <c r="D953" s="19" t="n"/>
      <c r="E953" s="19" t="n"/>
      <c r="F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c r="AA953" s="19" t="n"/>
    </row>
    <row r="954" ht="15.75" customHeight="1" s="545">
      <c r="A954" s="19" t="n"/>
      <c r="B954" s="19" t="n"/>
      <c r="C954" s="19" t="n"/>
      <c r="D954" s="19" t="n"/>
      <c r="E954" s="19" t="n"/>
      <c r="F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c r="AA954" s="19" t="n"/>
    </row>
    <row r="955" ht="15.75" customHeight="1" s="545">
      <c r="A955" s="19" t="n"/>
      <c r="B955" s="19" t="n"/>
      <c r="C955" s="19" t="n"/>
      <c r="D955" s="19" t="n"/>
      <c r="E955" s="19" t="n"/>
      <c r="F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c r="AA955" s="19" t="n"/>
    </row>
    <row r="956" ht="15.75" customHeight="1" s="545">
      <c r="A956" s="19" t="n"/>
      <c r="B956" s="19" t="n"/>
      <c r="C956" s="19" t="n"/>
      <c r="D956" s="19" t="n"/>
      <c r="E956" s="19" t="n"/>
      <c r="F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c r="AA956" s="19" t="n"/>
    </row>
    <row r="957" ht="15.75" customHeight="1" s="545">
      <c r="A957" s="19" t="n"/>
      <c r="B957" s="19" t="n"/>
      <c r="C957" s="19" t="n"/>
      <c r="D957" s="19" t="n"/>
      <c r="E957" s="19" t="n"/>
      <c r="F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c r="AA957" s="19" t="n"/>
    </row>
    <row r="958" ht="15.75" customHeight="1" s="545">
      <c r="A958" s="19" t="n"/>
      <c r="B958" s="19" t="n"/>
      <c r="C958" s="19" t="n"/>
      <c r="D958" s="19" t="n"/>
      <c r="E958" s="19" t="n"/>
      <c r="F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c r="AA958" s="19" t="n"/>
    </row>
    <row r="959" ht="15.75" customHeight="1" s="545">
      <c r="A959" s="19" t="n"/>
      <c r="B959" s="19" t="n"/>
      <c r="C959" s="19" t="n"/>
      <c r="D959" s="19" t="n"/>
      <c r="E959" s="19" t="n"/>
      <c r="F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c r="AA959" s="19" t="n"/>
    </row>
    <row r="960" ht="15.75" customHeight="1" s="545">
      <c r="A960" s="19" t="n"/>
      <c r="B960" s="19" t="n"/>
      <c r="C960" s="19" t="n"/>
      <c r="D960" s="19" t="n"/>
      <c r="E960" s="19" t="n"/>
      <c r="F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c r="AA960" s="19" t="n"/>
    </row>
    <row r="961" ht="15.75" customHeight="1" s="545">
      <c r="A961" s="19" t="n"/>
      <c r="B961" s="19" t="n"/>
      <c r="C961" s="19" t="n"/>
      <c r="D961" s="19" t="n"/>
      <c r="E961" s="19" t="n"/>
      <c r="F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c r="AA961" s="19" t="n"/>
    </row>
    <row r="962" ht="15.75" customHeight="1" s="545">
      <c r="A962" s="19" t="n"/>
      <c r="B962" s="19" t="n"/>
      <c r="C962" s="19" t="n"/>
      <c r="D962" s="19" t="n"/>
      <c r="E962" s="19" t="n"/>
      <c r="F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c r="AA962" s="19" t="n"/>
    </row>
    <row r="963" ht="15.75" customHeight="1" s="545">
      <c r="A963" s="19" t="n"/>
      <c r="B963" s="19" t="n"/>
      <c r="C963" s="19" t="n"/>
      <c r="D963" s="19" t="n"/>
      <c r="E963" s="19" t="n"/>
      <c r="F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c r="AA963" s="19" t="n"/>
    </row>
    <row r="964" ht="15.75" customHeight="1" s="545">
      <c r="A964" s="19" t="n"/>
      <c r="B964" s="19" t="n"/>
      <c r="C964" s="19" t="n"/>
      <c r="D964" s="19" t="n"/>
      <c r="E964" s="19" t="n"/>
      <c r="F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c r="AA964" s="19" t="n"/>
    </row>
    <row r="965" ht="15.75" customHeight="1" s="545">
      <c r="A965" s="19" t="n"/>
      <c r="B965" s="19" t="n"/>
      <c r="C965" s="19" t="n"/>
      <c r="D965" s="19" t="n"/>
      <c r="E965" s="19" t="n"/>
      <c r="F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c r="AA965" s="19" t="n"/>
    </row>
    <row r="966" ht="15.75" customHeight="1" s="545">
      <c r="A966" s="19" t="n"/>
      <c r="B966" s="19" t="n"/>
      <c r="C966" s="19" t="n"/>
      <c r="D966" s="19" t="n"/>
      <c r="E966" s="19" t="n"/>
      <c r="F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c r="AA966" s="19" t="n"/>
    </row>
    <row r="967" ht="15.75" customHeight="1" s="545">
      <c r="A967" s="19" t="n"/>
      <c r="B967" s="19" t="n"/>
      <c r="C967" s="19" t="n"/>
      <c r="D967" s="19" t="n"/>
      <c r="E967" s="19" t="n"/>
      <c r="F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c r="AA967" s="19" t="n"/>
    </row>
    <row r="968" ht="15.75" customHeight="1" s="545">
      <c r="A968" s="19" t="n"/>
      <c r="B968" s="19" t="n"/>
      <c r="C968" s="19" t="n"/>
      <c r="D968" s="19" t="n"/>
      <c r="E968" s="19" t="n"/>
      <c r="F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c r="AA968" s="19" t="n"/>
    </row>
    <row r="969" ht="15.75" customHeight="1" s="545">
      <c r="A969" s="19" t="n"/>
      <c r="B969" s="19" t="n"/>
      <c r="C969" s="19" t="n"/>
      <c r="D969" s="19" t="n"/>
      <c r="E969" s="19" t="n"/>
      <c r="F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c r="AA969" s="19" t="n"/>
    </row>
    <row r="970" ht="15.75" customHeight="1" s="545">
      <c r="A970" s="19" t="n"/>
      <c r="B970" s="19" t="n"/>
      <c r="C970" s="19" t="n"/>
      <c r="D970" s="19" t="n"/>
      <c r="E970" s="19" t="n"/>
      <c r="F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c r="AA970" s="19" t="n"/>
    </row>
    <row r="971" ht="15.75" customHeight="1" s="545">
      <c r="A971" s="19" t="n"/>
      <c r="B971" s="19" t="n"/>
      <c r="C971" s="19" t="n"/>
      <c r="D971" s="19" t="n"/>
      <c r="E971" s="19" t="n"/>
      <c r="F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c r="AA971" s="19" t="n"/>
    </row>
    <row r="972" ht="15.75" customHeight="1" s="545">
      <c r="A972" s="19" t="n"/>
      <c r="B972" s="19" t="n"/>
      <c r="C972" s="19" t="n"/>
      <c r="D972" s="19" t="n"/>
      <c r="E972" s="19" t="n"/>
      <c r="F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c r="AA972" s="19" t="n"/>
    </row>
    <row r="973" ht="15.75" customHeight="1" s="545">
      <c r="A973" s="19" t="n"/>
      <c r="B973" s="19" t="n"/>
      <c r="C973" s="19" t="n"/>
      <c r="D973" s="19" t="n"/>
      <c r="E973" s="19" t="n"/>
      <c r="F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c r="AA973" s="19" t="n"/>
    </row>
    <row r="974" ht="15.75" customHeight="1" s="545">
      <c r="A974" s="19" t="n"/>
      <c r="B974" s="19" t="n"/>
      <c r="C974" s="19" t="n"/>
      <c r="D974" s="19" t="n"/>
      <c r="E974" s="19" t="n"/>
      <c r="F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c r="AA974" s="19" t="n"/>
    </row>
    <row r="975" ht="15.75" customHeight="1" s="545">
      <c r="A975" s="19" t="n"/>
      <c r="B975" s="19" t="n"/>
      <c r="C975" s="19" t="n"/>
      <c r="D975" s="19" t="n"/>
      <c r="E975" s="19" t="n"/>
      <c r="F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c r="AA975" s="19" t="n"/>
    </row>
    <row r="976" ht="15.75" customHeight="1" s="545">
      <c r="A976" s="19" t="n"/>
      <c r="B976" s="19" t="n"/>
      <c r="C976" s="19" t="n"/>
      <c r="D976" s="19" t="n"/>
      <c r="E976" s="19" t="n"/>
      <c r="F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c r="AA976" s="19" t="n"/>
    </row>
    <row r="977" ht="15.75" customHeight="1" s="545">
      <c r="A977" s="19" t="n"/>
      <c r="B977" s="19" t="n"/>
      <c r="C977" s="19" t="n"/>
      <c r="D977" s="19" t="n"/>
      <c r="E977" s="19" t="n"/>
      <c r="F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c r="AA977" s="19" t="n"/>
    </row>
    <row r="978" ht="15.75" customHeight="1" s="545">
      <c r="A978" s="19" t="n"/>
      <c r="B978" s="19" t="n"/>
      <c r="C978" s="19" t="n"/>
      <c r="D978" s="19" t="n"/>
      <c r="E978" s="19" t="n"/>
      <c r="F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c r="AA978" s="19" t="n"/>
    </row>
    <row r="979" ht="15.75" customHeight="1" s="545">
      <c r="A979" s="19" t="n"/>
      <c r="B979" s="19" t="n"/>
      <c r="C979" s="19" t="n"/>
      <c r="D979" s="19" t="n"/>
      <c r="E979" s="19" t="n"/>
      <c r="F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c r="AA979" s="19" t="n"/>
    </row>
    <row r="980" ht="15.75" customHeight="1" s="545">
      <c r="A980" s="19" t="n"/>
      <c r="B980" s="19" t="n"/>
      <c r="C980" s="19" t="n"/>
      <c r="D980" s="19" t="n"/>
      <c r="E980" s="19" t="n"/>
      <c r="F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c r="AA980" s="19" t="n"/>
    </row>
    <row r="981" ht="15.75" customHeight="1" s="545">
      <c r="A981" s="19" t="n"/>
      <c r="B981" s="19" t="n"/>
      <c r="C981" s="19" t="n"/>
      <c r="D981" s="19" t="n"/>
      <c r="E981" s="19" t="n"/>
      <c r="F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c r="AA981" s="19" t="n"/>
    </row>
    <row r="982" ht="15.75" customHeight="1" s="545">
      <c r="A982" s="19" t="n"/>
      <c r="B982" s="19" t="n"/>
      <c r="C982" s="19" t="n"/>
      <c r="D982" s="19" t="n"/>
      <c r="E982" s="19" t="n"/>
      <c r="F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c r="AA982" s="19" t="n"/>
    </row>
    <row r="983" ht="15.75" customHeight="1" s="545">
      <c r="A983" s="19" t="n"/>
      <c r="B983" s="19" t="n"/>
      <c r="C983" s="19" t="n"/>
      <c r="D983" s="19" t="n"/>
      <c r="E983" s="19" t="n"/>
      <c r="F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c r="AA983" s="19" t="n"/>
    </row>
    <row r="984" ht="15.75" customHeight="1" s="545">
      <c r="A984" s="19" t="n"/>
      <c r="B984" s="19" t="n"/>
      <c r="C984" s="19" t="n"/>
      <c r="D984" s="19" t="n"/>
      <c r="E984" s="19" t="n"/>
      <c r="F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c r="AA984" s="19" t="n"/>
    </row>
    <row r="985" ht="15.75" customHeight="1" s="545">
      <c r="A985" s="19" t="n"/>
      <c r="B985" s="19" t="n"/>
      <c r="C985" s="19" t="n"/>
      <c r="D985" s="19" t="n"/>
      <c r="E985" s="19" t="n"/>
      <c r="F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c r="AA985" s="19" t="n"/>
    </row>
    <row r="986" ht="15.75" customHeight="1" s="545">
      <c r="A986" s="19" t="n"/>
      <c r="B986" s="19" t="n"/>
      <c r="C986" s="19" t="n"/>
      <c r="D986" s="19" t="n"/>
      <c r="E986" s="19" t="n"/>
      <c r="F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c r="AA986" s="19" t="n"/>
    </row>
    <row r="987" ht="15.75" customHeight="1" s="545">
      <c r="A987" s="19" t="n"/>
      <c r="B987" s="19" t="n"/>
      <c r="C987" s="19" t="n"/>
      <c r="D987" s="19" t="n"/>
      <c r="E987" s="19" t="n"/>
      <c r="F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c r="AA987" s="19" t="n"/>
    </row>
    <row r="988" ht="15.75" customHeight="1" s="545">
      <c r="A988" s="19" t="n"/>
      <c r="B988" s="19" t="n"/>
      <c r="C988" s="19" t="n"/>
      <c r="D988" s="19" t="n"/>
      <c r="E988" s="19" t="n"/>
      <c r="F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c r="AA988" s="19" t="n"/>
    </row>
    <row r="989" ht="15.75" customHeight="1" s="545">
      <c r="A989" s="19" t="n"/>
      <c r="B989" s="19" t="n"/>
      <c r="C989" s="19" t="n"/>
      <c r="D989" s="19" t="n"/>
      <c r="E989" s="19" t="n"/>
      <c r="F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c r="AA989" s="19" t="n"/>
    </row>
    <row r="990" ht="15.75" customHeight="1" s="545">
      <c r="A990" s="19" t="n"/>
      <c r="B990" s="19" t="n"/>
      <c r="C990" s="19" t="n"/>
      <c r="D990" s="19" t="n"/>
      <c r="E990" s="19" t="n"/>
      <c r="F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c r="AA990" s="19" t="n"/>
    </row>
    <row r="991" ht="15.75" customHeight="1" s="545">
      <c r="A991" s="19" t="n"/>
      <c r="B991" s="19" t="n"/>
      <c r="C991" s="19" t="n"/>
      <c r="D991" s="19" t="n"/>
      <c r="E991" s="19" t="n"/>
      <c r="F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c r="AA991" s="19" t="n"/>
    </row>
    <row r="992" ht="15.75" customHeight="1" s="545">
      <c r="A992" s="19" t="n"/>
      <c r="B992" s="19" t="n"/>
      <c r="C992" s="19" t="n"/>
      <c r="D992" s="19" t="n"/>
      <c r="E992" s="19" t="n"/>
      <c r="F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c r="AA992" s="19" t="n"/>
    </row>
    <row r="993" ht="15.75" customHeight="1" s="545">
      <c r="A993" s="19" t="n"/>
      <c r="B993" s="19" t="n"/>
      <c r="C993" s="19" t="n"/>
      <c r="D993" s="19" t="n"/>
      <c r="E993" s="19" t="n"/>
      <c r="F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c r="AA993" s="19" t="n"/>
    </row>
    <row r="994" ht="15.75" customHeight="1" s="545">
      <c r="A994" s="19" t="n"/>
      <c r="B994" s="19" t="n"/>
      <c r="C994" s="19" t="n"/>
      <c r="D994" s="19" t="n"/>
      <c r="E994" s="19" t="n"/>
      <c r="F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c r="AA994" s="19" t="n"/>
    </row>
    <row r="995" ht="15.75" customHeight="1" s="545">
      <c r="A995" s="19" t="n"/>
      <c r="B995" s="19" t="n"/>
      <c r="C995" s="19" t="n"/>
      <c r="D995" s="19" t="n"/>
      <c r="E995" s="19" t="n"/>
      <c r="F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c r="AA995" s="19" t="n"/>
    </row>
    <row r="996" ht="15.75" customHeight="1" s="545">
      <c r="A996" s="19" t="n"/>
      <c r="B996" s="19" t="n"/>
      <c r="C996" s="19" t="n"/>
      <c r="D996" s="19" t="n"/>
      <c r="E996" s="19" t="n"/>
      <c r="F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c r="AA996" s="19" t="n"/>
    </row>
    <row r="997" ht="15.75" customHeight="1" s="545">
      <c r="A997" s="19" t="n"/>
      <c r="B997" s="19" t="n"/>
      <c r="C997" s="19" t="n"/>
      <c r="D997" s="19" t="n"/>
      <c r="E997" s="19" t="n"/>
      <c r="F997" s="19" t="n"/>
      <c r="H997" s="19" t="n"/>
      <c r="I997" s="19" t="n"/>
      <c r="J997" s="19" t="n"/>
      <c r="K997" s="19" t="n"/>
      <c r="L997" s="19" t="n"/>
      <c r="M997" s="19" t="n"/>
      <c r="N997" s="19" t="n"/>
      <c r="O997" s="19" t="n"/>
      <c r="P997" s="19" t="n"/>
      <c r="Q997" s="19" t="n"/>
      <c r="R997" s="19" t="n"/>
      <c r="S997" s="19" t="n"/>
      <c r="T997" s="19" t="n"/>
      <c r="U997" s="19" t="n"/>
      <c r="V997" s="19" t="n"/>
      <c r="W997" s="19" t="n"/>
      <c r="X997" s="19" t="n"/>
      <c r="Y997" s="19" t="n"/>
      <c r="Z997" s="19" t="n"/>
      <c r="AA997" s="19" t="n"/>
    </row>
    <row r="998" ht="15.75" customHeight="1" s="545">
      <c r="A998" s="19" t="n"/>
      <c r="B998" s="19" t="n"/>
      <c r="C998" s="19" t="n"/>
      <c r="D998" s="19" t="n"/>
      <c r="E998" s="19" t="n"/>
      <c r="F998" s="19" t="n"/>
      <c r="H998" s="19" t="n"/>
      <c r="I998" s="19" t="n"/>
      <c r="J998" s="19" t="n"/>
      <c r="K998" s="19" t="n"/>
      <c r="L998" s="19" t="n"/>
      <c r="M998" s="19" t="n"/>
      <c r="N998" s="19" t="n"/>
      <c r="O998" s="19" t="n"/>
      <c r="P998" s="19" t="n"/>
      <c r="Q998" s="19" t="n"/>
      <c r="R998" s="19" t="n"/>
      <c r="S998" s="19" t="n"/>
      <c r="T998" s="19" t="n"/>
      <c r="U998" s="19" t="n"/>
      <c r="V998" s="19" t="n"/>
      <c r="W998" s="19" t="n"/>
      <c r="X998" s="19" t="n"/>
      <c r="Y998" s="19" t="n"/>
      <c r="Z998" s="19" t="n"/>
      <c r="AA998" s="19" t="n"/>
    </row>
    <row r="999" ht="15.75" customHeight="1" s="545">
      <c r="A999" s="19" t="n"/>
      <c r="B999" s="19" t="n"/>
      <c r="C999" s="19" t="n"/>
      <c r="D999" s="19" t="n"/>
      <c r="E999" s="19" t="n"/>
      <c r="F999" s="19" t="n"/>
      <c r="H999" s="19" t="n"/>
      <c r="I999" s="19" t="n"/>
      <c r="J999" s="19" t="n"/>
      <c r="K999" s="19" t="n"/>
      <c r="L999" s="19" t="n"/>
      <c r="M999" s="19" t="n"/>
      <c r="N999" s="19" t="n"/>
      <c r="O999" s="19" t="n"/>
      <c r="P999" s="19" t="n"/>
      <c r="Q999" s="19" t="n"/>
      <c r="R999" s="19" t="n"/>
      <c r="S999" s="19" t="n"/>
      <c r="T999" s="19" t="n"/>
      <c r="U999" s="19" t="n"/>
      <c r="V999" s="19" t="n"/>
      <c r="W999" s="19" t="n"/>
      <c r="X999" s="19" t="n"/>
      <c r="Y999" s="19" t="n"/>
      <c r="Z999" s="19" t="n"/>
      <c r="AA999" s="19" t="n"/>
    </row>
    <row r="1000" ht="15.75" customHeight="1" s="545">
      <c r="A1000" s="19" t="n"/>
      <c r="B1000" s="19" t="n"/>
      <c r="C1000" s="19" t="n"/>
      <c r="D1000" s="19" t="n"/>
      <c r="E1000" s="19" t="n"/>
      <c r="F1000" s="19" t="n"/>
      <c r="H1000" s="19" t="n"/>
      <c r="I1000" s="19" t="n"/>
      <c r="J1000" s="19" t="n"/>
      <c r="K1000" s="19" t="n"/>
      <c r="L1000" s="19" t="n"/>
      <c r="M1000" s="19" t="n"/>
      <c r="N1000" s="19" t="n"/>
      <c r="O1000" s="19" t="n"/>
      <c r="P1000" s="19" t="n"/>
      <c r="Q1000" s="19" t="n"/>
      <c r="R1000" s="19" t="n"/>
      <c r="S1000" s="19" t="n"/>
      <c r="T1000" s="19" t="n"/>
      <c r="U1000" s="19" t="n"/>
      <c r="V1000" s="19" t="n"/>
      <c r="W1000" s="19" t="n"/>
      <c r="X1000" s="19" t="n"/>
      <c r="Y1000" s="19" t="n"/>
      <c r="Z1000" s="19" t="n"/>
      <c r="AA1000" s="19" t="n"/>
    </row>
    <row r="1001" ht="14.6" customHeight="1" s="545">
      <c r="A1001" s="19" t="n"/>
      <c r="B1001" s="19" t="n"/>
      <c r="C1001" s="19" t="n"/>
      <c r="D1001" s="19" t="n"/>
      <c r="E1001" s="19" t="n"/>
      <c r="F1001" s="19" t="n"/>
      <c r="H1001" s="19" t="n"/>
      <c r="I1001" s="19" t="n"/>
      <c r="J1001" s="19" t="n"/>
      <c r="K1001" s="19" t="n"/>
      <c r="L1001" s="19" t="n"/>
      <c r="M1001" s="19" t="n"/>
      <c r="N1001" s="19" t="n"/>
      <c r="O1001" s="19" t="n"/>
      <c r="P1001" s="19" t="n"/>
      <c r="Q1001" s="19" t="n"/>
      <c r="R1001" s="19" t="n"/>
      <c r="S1001" s="19" t="n"/>
      <c r="T1001" s="19" t="n"/>
      <c r="U1001" s="19" t="n"/>
      <c r="V1001" s="19" t="n"/>
      <c r="W1001" s="19" t="n"/>
      <c r="X1001" s="19" t="n"/>
      <c r="Y1001" s="19" t="n"/>
      <c r="Z1001" s="19" t="n"/>
      <c r="AA1001" s="19" t="n"/>
    </row>
    <row r="1002" ht="14.6" customHeight="1" s="545">
      <c r="A1002" s="19" t="n"/>
      <c r="B1002" s="19" t="n"/>
      <c r="C1002" s="19" t="n"/>
      <c r="D1002" s="19" t="n"/>
      <c r="E1002" s="19" t="n"/>
      <c r="F1002" s="19" t="n"/>
      <c r="H1002" s="19" t="n"/>
      <c r="I1002" s="19" t="n"/>
      <c r="J1002" s="19" t="n"/>
      <c r="K1002" s="19" t="n"/>
      <c r="L1002" s="19" t="n"/>
      <c r="M1002" s="19" t="n"/>
      <c r="N1002" s="19" t="n"/>
      <c r="O1002" s="19" t="n"/>
      <c r="P1002" s="19" t="n"/>
      <c r="Q1002" s="19" t="n"/>
      <c r="R1002" s="19" t="n"/>
      <c r="S1002" s="19" t="n"/>
      <c r="T1002" s="19" t="n"/>
      <c r="U1002" s="19" t="n"/>
      <c r="V1002" s="19" t="n"/>
      <c r="W1002" s="19" t="n"/>
      <c r="X1002" s="19" t="n"/>
      <c r="Y1002" s="19" t="n"/>
      <c r="Z1002" s="19" t="n"/>
      <c r="AA1002" s="19" t="n"/>
    </row>
  </sheetData>
  <dataValidations count="3">
    <dataValidation sqref="Q6:Q25" showDropDown="0" showInputMessage="0" showErrorMessage="1" allowBlank="1" type="list">
      <formula1>"renoviert,teilweise renoviert,unrenoviert"</formula1>
    </dataValidation>
    <dataValidation sqref="I6:I25" showDropDown="0" showInputMessage="0" showErrorMessage="1" allowBlank="1" type="list">
      <formula1>"vermietet,leerstehend"</formula1>
    </dataValidation>
    <dataValidation sqref="M6:M25" showDropDown="0" showInputMessage="0" showErrorMessage="1" allowBlank="1" type="list">
      <formula1>"Balkon,Kein Balkon"</formula1>
    </dataValidation>
  </dataValidations>
  <pageMargins left="0.75" right="0.75" top="1" bottom="1" header="0" footer="0"/>
  <pageSetup orientation="portrait" paperSize="9"/>
  <legacyDrawing xmlns:r="http://schemas.openxmlformats.org/officeDocument/2006/relationships" r:id="anysvml"/>
</worksheet>
</file>

<file path=xl/worksheets/sheet6.xml><?xml version="1.0" encoding="utf-8"?>
<worksheet xmlns="http://schemas.openxmlformats.org/spreadsheetml/2006/main">
  <sheetPr>
    <outlinePr summaryBelow="1" summaryRight="0"/>
    <pageSetUpPr/>
  </sheetPr>
  <dimension ref="A1:CH1000"/>
  <sheetViews>
    <sheetView showGridLines="0" tabSelected="1" workbookViewId="0">
      <pane xSplit="6" ySplit="2" topLeftCell="G3" activePane="bottomRight" state="frozen"/>
      <selection pane="topRight"/>
      <selection pane="bottomLeft"/>
      <selection pane="bottomRight" activeCell="A1" sqref="A1"/>
      <selection pane="bottomLeft" activeCell="A1" sqref="A1"/>
      <selection pane="bottomRight" activeCell="C13" sqref="C13"/>
    </sheetView>
  </sheetViews>
  <sheetFormatPr outlineLevelCol="1" baseColWidth="10" defaultColWidth="14.4609375" defaultRowHeight="15" customHeight="1"/>
  <cols>
    <col width="28" customWidth="1" style="545" min="1" max="1"/>
    <col width="6" customWidth="1" style="545" min="2" max="2"/>
    <col width="10" customWidth="1" style="545" min="3" max="3"/>
    <col width="8" customWidth="1" style="545" min="4" max="4"/>
    <col width="9" customWidth="1" style="545" min="5" max="5"/>
    <col width="10" customWidth="1" style="545" min="6" max="6"/>
    <col width="8" customWidth="1" style="545" min="7" max="7"/>
    <col width="12" customWidth="1" style="545" min="8" max="8"/>
    <col width="6" customWidth="1" style="545" min="9" max="9"/>
    <col width="8" customWidth="1" style="545" min="10" max="10"/>
    <col hidden="1" outlineLevel="1" width="9" customWidth="1" style="545" min="11" max="12"/>
    <col width="12" customWidth="1" style="545" min="12" max="12"/>
    <col width="12" customWidth="1" style="545" min="13" max="14"/>
    <col width="9" customWidth="1" style="545" min="14" max="14"/>
    <col width="11" customWidth="1" style="545" min="15" max="26"/>
    <col width="13" customWidth="1" style="545" min="16" max="16"/>
    <col width="12" customWidth="1" style="545" min="17" max="17"/>
    <col width="12" customWidth="1" style="545" min="18" max="18"/>
    <col width="13" customWidth="1" style="545" min="19" max="19"/>
    <col width="9" customWidth="1" style="545" min="20" max="20"/>
    <col width="9" customWidth="1" style="545" min="21" max="21"/>
    <col width="12" customWidth="1" style="545" min="22" max="22"/>
    <col width="13" customWidth="1" style="545" min="23" max="23"/>
    <col width="13" customWidth="1" style="545" min="24" max="24"/>
    <col hidden="1" outlineLevel="1" width="11" customWidth="1" style="545" min="25" max="25"/>
    <col hidden="1" outlineLevel="1" width="11" customWidth="1" style="545" min="26" max="26"/>
    <col hidden="1" outlineLevel="1" width="13" customWidth="1" style="545" min="27" max="27"/>
    <col width="12" customWidth="1" style="545" min="28" max="28"/>
    <col width="13" customWidth="1" style="545" min="29" max="29"/>
    <col width="13" customWidth="1" style="545" min="30" max="30"/>
    <col width="12" customWidth="1" style="545" min="31" max="31"/>
    <col width="12" customWidth="1" style="545" min="32" max="32"/>
    <col width="12" customWidth="1" style="545" min="33" max="33"/>
    <col width="12" customWidth="1" style="545" min="34" max="34"/>
    <col width="12" customWidth="1" style="545" min="35" max="35"/>
    <col width="11" customWidth="1" style="545" min="36" max="36"/>
    <col width="12" customWidth="1" style="545" min="37" max="37"/>
    <col width="10" customWidth="1" style="545" min="38" max="38"/>
    <col width="10" customWidth="1" style="545" min="39" max="39"/>
    <col width="12" customWidth="1" style="545" min="40" max="40"/>
    <col width="12" customWidth="1" style="545" min="41" max="41"/>
    <col hidden="1" outlineLevel="1" width="10" customWidth="1" style="545" min="42" max="42"/>
    <col width="11" customWidth="1" style="545" min="43" max="43"/>
    <col width="11" customWidth="1" style="545" min="44" max="44"/>
    <col width="9" customWidth="1" style="545" min="45" max="45"/>
    <col width="8" customWidth="1" style="545" min="46" max="46"/>
    <col width="12" customWidth="1" style="545" min="47" max="47"/>
    <col hidden="1" outlineLevel="1" width="11" customWidth="1" style="545" min="48" max="48"/>
    <col width="10" customWidth="1" style="545" min="49" max="49"/>
    <col width="12" customWidth="1" style="545" min="50" max="50"/>
    <col width="12" customWidth="1" style="545" min="51" max="51"/>
    <col width="11" customWidth="1" style="545" min="52" max="52"/>
    <col width="11" customWidth="1" style="545" min="53" max="53"/>
    <col hidden="1" outlineLevel="1" width="9" customWidth="1" style="545" min="54" max="54"/>
    <col hidden="1" outlineLevel="1" width="10" customWidth="1" style="545" min="55" max="55"/>
    <col hidden="1" outlineLevel="1" width="12" customWidth="1" style="545" min="56" max="56"/>
    <col width="12" customWidth="1" style="545" min="57" max="57"/>
    <col width="11" customWidth="1" style="545" min="58" max="58"/>
    <col hidden="1" outlineLevel="1" width="11" customWidth="1" style="545" min="59" max="59"/>
    <col width="11" customWidth="1" style="545" min="60" max="60"/>
    <col hidden="1" outlineLevel="1" width="9" customWidth="1" style="545" min="61" max="61"/>
    <col width="9" customWidth="1" style="545" min="62" max="62"/>
    <col hidden="1" outlineLevel="1" width="8" customWidth="1" style="545" min="63" max="63"/>
    <col width="13" customWidth="1" style="545" min="64" max="64"/>
    <col width="11" customWidth="1" style="545" min="65" max="65"/>
    <col width="11" customWidth="1" style="545" min="66" max="66"/>
    <col width="11" customWidth="1" style="545" min="67" max="67"/>
    <col width="12" customWidth="1" style="545" min="68" max="68"/>
    <col width="11" customWidth="1" style="545" min="69" max="69"/>
    <col hidden="1" outlineLevel="1" width="12" customWidth="1" style="545" min="70" max="70"/>
    <col width="12" customWidth="1" style="545" min="71" max="71"/>
    <col width="12" customWidth="1" style="545" min="72" max="72"/>
    <col width="12" customWidth="1" style="545" min="73" max="73"/>
    <col hidden="1" outlineLevel="1" width="13" customWidth="1" style="545" min="74" max="74"/>
    <col hidden="1" outlineLevel="1" width="13" customWidth="1" style="545" min="75" max="75"/>
    <col hidden="1" outlineLevel="1" width="10" customWidth="1" style="545" min="76" max="76"/>
    <col hidden="1" outlineLevel="1" width="10" customWidth="1" style="545" min="77" max="77"/>
    <col width="13" customWidth="1" style="545" min="78" max="78"/>
    <col width="13" customWidth="1" style="545" min="79" max="79"/>
    <col width="14" customWidth="1" style="545" min="80" max="80"/>
    <col width="12" customWidth="1" style="545" min="81" max="81"/>
    <col width="12" customWidth="1" style="545" min="82" max="82"/>
    <col width="8" customWidth="1" style="545" min="83" max="83"/>
    <col width="9" customWidth="1" style="545" min="84" max="84"/>
    <col width="36" customWidth="1" style="545" min="85" max="85"/>
    <col width="36" customWidth="1" style="545" min="86" max="86"/>
  </cols>
  <sheetData>
    <row r="1" ht="20" customHeight="1" s="545">
      <c r="A1" s="946" t="inlineStr">
        <is>
          <t>STAMM</t>
        </is>
      </c>
      <c r="B1" s="947" t="n"/>
      <c r="C1" s="947" t="n"/>
      <c r="D1" s="947" t="n"/>
      <c r="E1" s="947" t="n"/>
      <c r="F1" s="947" t="n"/>
      <c r="G1" s="947" t="n"/>
      <c r="H1" s="947" t="n"/>
      <c r="I1" s="947" t="n"/>
      <c r="J1" s="947" t="n"/>
      <c r="K1" s="947" t="n"/>
      <c r="L1" s="948" t="inlineStr">
        <is>
          <t>PREIS</t>
        </is>
      </c>
      <c r="M1" s="947" t="n"/>
      <c r="N1" s="947" t="n"/>
      <c r="O1" s="947" t="n"/>
      <c r="P1" s="947" t="n"/>
      <c r="Q1" s="947" t="n"/>
      <c r="R1" s="947" t="n"/>
      <c r="S1" s="947" t="n"/>
      <c r="T1" s="947" t="n"/>
      <c r="U1" s="947" t="n"/>
      <c r="V1" s="947" t="n"/>
      <c r="W1" s="947" t="n"/>
      <c r="X1" s="947" t="n"/>
      <c r="Y1" s="947" t="n"/>
      <c r="Z1" s="947" t="n"/>
      <c r="AA1" s="947" t="n"/>
      <c r="AB1" s="947" t="n"/>
      <c r="AC1" s="947" t="n"/>
      <c r="AD1" s="947" t="n"/>
      <c r="AE1" s="947" t="n"/>
      <c r="AF1" s="947" t="n"/>
      <c r="AG1" s="949" t="inlineStr">
        <is>
          <t>MIETE</t>
        </is>
      </c>
      <c r="AH1" s="947" t="n"/>
      <c r="AI1" s="947" t="n"/>
      <c r="AJ1" s="947" t="n"/>
      <c r="AK1" s="947" t="n"/>
      <c r="AL1" s="947" t="n"/>
      <c r="AM1" s="947" t="n"/>
      <c r="AN1" s="947" t="n"/>
      <c r="AO1" s="947" t="n"/>
      <c r="AP1" s="947" t="n"/>
      <c r="AQ1" s="947" t="n"/>
      <c r="AR1" s="947" t="n"/>
      <c r="AS1" s="947" t="n"/>
      <c r="AT1" s="947" t="n"/>
      <c r="AU1" s="947" t="n"/>
      <c r="AV1" s="947" t="n"/>
      <c r="AW1" s="950" t="inlineStr">
        <is>
          <t>BEWIRTSCHAFTUNG</t>
        </is>
      </c>
      <c r="AX1" s="947" t="n"/>
      <c r="AY1" s="947" t="n"/>
      <c r="AZ1" s="947" t="n"/>
      <c r="BA1" s="947" t="n"/>
      <c r="BB1" s="947" t="n"/>
      <c r="BC1" s="947" t="n"/>
      <c r="BD1" s="947" t="n"/>
      <c r="BE1" s="951" t="inlineStr">
        <is>
          <t>STEUER</t>
        </is>
      </c>
      <c r="BF1" s="947" t="n"/>
      <c r="BG1" s="947" t="n"/>
      <c r="BH1" s="947" t="n"/>
      <c r="BI1" s="947" t="n"/>
      <c r="BJ1" s="947" t="n"/>
      <c r="BK1" s="947" t="n"/>
      <c r="BL1" s="947" t="n"/>
      <c r="BM1" s="947" t="n"/>
      <c r="BN1" s="947" t="n"/>
      <c r="BO1" s="947" t="n"/>
      <c r="BP1" s="947" t="n"/>
      <c r="BQ1" s="947" t="n"/>
      <c r="BR1" s="947" t="n"/>
      <c r="BS1" s="952" t="inlineStr">
        <is>
          <t>ERGEBNIS</t>
        </is>
      </c>
      <c r="BT1" s="947" t="n"/>
      <c r="BU1" s="947" t="n"/>
      <c r="BV1" s="947" t="n"/>
      <c r="BW1" s="947" t="n"/>
      <c r="BX1" s="947" t="n"/>
      <c r="BY1" s="947" t="n"/>
      <c r="BZ1" s="947" t="n"/>
      <c r="CA1" s="947" t="n"/>
      <c r="CB1" s="947" t="n"/>
      <c r="CC1" s="947" t="n"/>
      <c r="CD1" s="947" t="n"/>
      <c r="CE1" s="947" t="n"/>
      <c r="CF1" s="947" t="n"/>
      <c r="CG1" s="947" t="n"/>
      <c r="CH1" s="947" t="n"/>
    </row>
    <row r="2" ht="44" customHeight="1" s="545">
      <c r="A2" s="953" t="inlineStr">
        <is>
          <t>WE</t>
        </is>
      </c>
      <c r="B2" s="953" t="inlineStr">
        <is>
          <t>Haus</t>
        </is>
      </c>
      <c r="C2" s="953" t="inlineStr">
        <is>
          <t>WHG</t>
        </is>
      </c>
      <c r="D2" s="953" t="inlineStr">
        <is>
          <t>Etage</t>
        </is>
      </c>
      <c r="E2" s="953" t="inlineStr">
        <is>
          <t>Lage</t>
        </is>
      </c>
      <c r="F2" s="953" t="inlineStr">
        <is>
          <t>Wohnfläche
m2</t>
        </is>
      </c>
      <c r="G2" s="953" t="inlineStr">
        <is>
          <t>Leer-
stand</t>
        </is>
      </c>
      <c r="H2" s="953" t="inlineStr">
        <is>
          <t>Gar.
Anz.</t>
        </is>
      </c>
      <c r="I2" s="953" t="inlineStr">
        <is>
          <t>Stpl.
Anz.</t>
        </is>
      </c>
      <c r="J2" s="953" t="inlineStr">
        <is>
          <t>MEA
Zähler</t>
        </is>
      </c>
      <c r="K2" s="953" t="inlineStr">
        <is>
          <t>MEA-
Anteil</t>
        </is>
      </c>
      <c r="L2" s="954" t="inlineStr">
        <is>
          <t>REGLER
Abgabe €/m²</t>
        </is>
      </c>
      <c r="M2" s="954" t="inlineStr">
        <is>
          <t>Markt
€/m²</t>
        </is>
      </c>
      <c r="N2" s="954" t="inlineStr">
        <is>
          <t>Delta
zu Markt</t>
        </is>
      </c>
      <c r="O2" s="954" t="inlineStr">
        <is>
          <t>Indiv. Auf-/
Abschlag €</t>
        </is>
      </c>
      <c r="P2" s="954" t="inlineStr">
        <is>
          <t>Abgabepreis
Wohnung</t>
        </is>
      </c>
      <c r="Q2" s="954" t="inlineStr">
        <is>
          <t>Abgabepreis
Garage</t>
        </is>
      </c>
      <c r="R2" s="954" t="inlineStr">
        <is>
          <t>Abgabepreis
Stellplatz</t>
        </is>
      </c>
      <c r="S2" s="954" t="inlineStr">
        <is>
          <t>Abgabepreis
gesamt</t>
        </is>
      </c>
      <c r="T2" s="954" t="inlineStr">
        <is>
          <t>Provision %
(leer=Std.)</t>
        </is>
      </c>
      <c r="U2" s="954" t="inlineStr">
        <is>
          <t>Provision
effektiv</t>
        </is>
      </c>
      <c r="V2" s="954" t="inlineStr">
        <is>
          <t>Provision
EUR</t>
        </is>
      </c>
      <c r="W2" s="954" t="inlineStr">
        <is>
          <t>Kaufpreis
gesamt</t>
        </is>
      </c>
      <c r="X2" s="954" t="inlineStr">
        <is>
          <t>Kaufpreis
Wohnung</t>
        </is>
      </c>
      <c r="Y2" s="954" t="inlineStr">
        <is>
          <t>Abgabe ges.
€/m² (CRM)</t>
        </is>
      </c>
      <c r="Z2" s="954" t="inlineStr">
        <is>
          <t>Kaufpreis Whg
€/m²</t>
        </is>
      </c>
      <c r="AA2" s="954" t="inlineStr">
        <is>
          <t>Beurkundeter
KP Wohnung</t>
        </is>
      </c>
      <c r="AB2" s="954" t="inlineStr">
        <is>
          <t>Kauf-
nebenkosten</t>
        </is>
      </c>
      <c r="AC2" s="954" t="inlineStr">
        <is>
          <t>Kapital-
bedarf</t>
        </is>
      </c>
      <c r="AD2" s="954" t="inlineStr">
        <is>
          <t>Darlehen
(Annahme C12)</t>
        </is>
      </c>
      <c r="AE2" s="954" t="inlineStr">
        <is>
          <t>Eigen-
kapital</t>
        </is>
      </c>
      <c r="AF2" s="954" t="inlineStr">
        <is>
          <t>Aufschlag
Beurkundung</t>
        </is>
      </c>
      <c r="AG2" s="955" t="inlineStr">
        <is>
          <t>Kaltmiete
manuell €/Mo</t>
        </is>
      </c>
      <c r="AH2" s="955" t="inlineStr">
        <is>
          <t>Kaltmiete IST
€/Mo</t>
        </is>
      </c>
      <c r="AI2" s="955" t="inlineStr">
        <is>
          <t>Soll-/Zielmiete
€/Mo</t>
        </is>
      </c>
      <c r="AJ2" s="955" t="inlineStr">
        <is>
          <t>Subvention
Tag 1 €/Mo</t>
        </is>
      </c>
      <c r="AK2" s="955" t="inlineStr">
        <is>
          <t>Subvention Ø
Modul 5 €/Mo</t>
        </is>
      </c>
      <c r="AL2" s="955" t="inlineStr">
        <is>
          <t>Miete
Garage</t>
        </is>
      </c>
      <c r="AM2" s="955" t="inlineStr">
        <is>
          <t>Miete
Stellplatz</t>
        </is>
      </c>
      <c r="AN2" s="955" t="inlineStr">
        <is>
          <t>Miete gesamt
ohne Subv.</t>
        </is>
      </c>
      <c r="AO2" s="955" t="inlineStr">
        <is>
          <t>Einnahmen CF
(inkl. Subv.)</t>
        </is>
      </c>
      <c r="AP2" s="955" t="inlineStr">
        <is>
          <t>Kaltmiete
€/m²</t>
        </is>
      </c>
      <c r="AQ2" s="955" t="inlineStr">
        <is>
          <t>letzte
Erhöhung</t>
        </is>
      </c>
      <c r="AR2" s="955" t="inlineStr">
        <is>
          <t>nächste
Erhöhung ab</t>
        </is>
      </c>
      <c r="AS2" s="955" t="inlineStr">
        <is>
          <t>Reach-Time
Mo (Modul 5)</t>
        </is>
      </c>
      <c r="AT2" s="955" t="inlineStr">
        <is>
          <t>Rest-
monate</t>
        </is>
      </c>
      <c r="AU2" s="955" t="inlineStr">
        <is>
          <t>Subvention
gesamt €</t>
        </is>
      </c>
      <c r="AV2" s="955" t="inlineStr">
        <is>
          <t>Soll-Vorschlag
2 Kappungen</t>
        </is>
      </c>
      <c r="AW2" s="956" t="inlineStr">
        <is>
          <t>Bewirt. %
(Schaetzung)</t>
        </is>
      </c>
      <c r="AX2" s="956" t="inlineStr">
        <is>
          <t>Hausgeld n.u.
(leer=Std.)</t>
        </is>
      </c>
      <c r="AY2" s="956" t="inlineStr">
        <is>
          <t>Hausgeld n.u.
€/Mo</t>
        </is>
      </c>
      <c r="AZ2" s="956" t="inlineStr">
        <is>
          <t>davon Rücklage
(leer=Std.)</t>
        </is>
      </c>
      <c r="BA2" s="956" t="inlineStr">
        <is>
          <t>davon Rücklage
€/Mo</t>
        </is>
      </c>
      <c r="BB2" s="956" t="inlineStr">
        <is>
          <t>Bewirt.quote
% v. NKM IST</t>
        </is>
      </c>
      <c r="BC2" s="956" t="inlineStr">
        <is>
          <t>1 % Bewirt.
€/Mo v. NKM</t>
        </is>
      </c>
      <c r="BD2" s="956" t="inlineStr">
        <is>
          <t>1 %-Pkt Bewirt.
= € Kaufpreis</t>
        </is>
      </c>
      <c r="BE2" s="957" t="inlineStr">
        <is>
          <t>Bodenwert
WE €</t>
        </is>
      </c>
      <c r="BF2" s="957" t="inlineStr">
        <is>
          <t>Gebäudeanteil
lt. Vertrag</t>
        </is>
      </c>
      <c r="BG2" s="957" t="inlineStr">
        <is>
          <t>Gebäudeanteil
aus BRW (100 %)</t>
        </is>
      </c>
      <c r="BH2" s="957" t="inlineStr">
        <is>
          <t>Gebäudeanteil
effektiv (Quote)</t>
        </is>
      </c>
      <c r="BI2" s="957" t="inlineStr">
        <is>
          <t>Anteil-
Quelle</t>
        </is>
      </c>
      <c r="BJ2" s="957" t="inlineStr">
        <is>
          <t>AfA-Satz WE
(leer=C9)</t>
        </is>
      </c>
      <c r="BK2" s="957" t="inlineStr">
        <is>
          <t>AfA-Satz
effektiv</t>
        </is>
      </c>
      <c r="BL2" s="957" t="inlineStr">
        <is>
          <t>AfA-Basis
Wohnung</t>
        </is>
      </c>
      <c r="BM2" s="957" t="inlineStr">
        <is>
          <t>AfA
€/Mo</t>
        </is>
      </c>
      <c r="BN2" s="957" t="inlineStr">
        <is>
          <t>Zinsen
€/Mo</t>
        </is>
      </c>
      <c r="BO2" s="957" t="inlineStr">
        <is>
          <t>Annuitaet
€/Mo</t>
        </is>
      </c>
      <c r="BP2" s="957" t="inlineStr">
        <is>
          <t>Steuerbasis
€/Mo</t>
        </is>
      </c>
      <c r="BQ2" s="957" t="inlineStr">
        <is>
          <t>Erstattung (+)
Steuer (-)</t>
        </is>
      </c>
      <c r="BR2" s="957" t="inlineStr">
        <is>
          <t>Rücklage spaeter
abziehbar €/Mo</t>
        </is>
      </c>
      <c r="BS2" s="958" t="inlineStr">
        <is>
          <t>CF vor Steuern
€/Mo</t>
        </is>
      </c>
      <c r="BT2" s="958" t="inlineStr">
        <is>
          <t>CF nach Steuern
€/Mo</t>
        </is>
      </c>
      <c r="BU2" s="958" t="inlineStr">
        <is>
          <t>CF n.St. ohne
Subvention</t>
        </is>
      </c>
      <c r="BV2" s="958" t="inlineStr">
        <is>
          <t>Rechenhilfe:
Ertrag n.St. o. Fin.</t>
        </is>
      </c>
      <c r="BW2" s="958" t="inlineStr">
        <is>
          <t>Rechenhilfe:
Garage/Stpl. netto 100 %</t>
        </is>
      </c>
      <c r="BX2" s="958" t="inlineStr">
        <is>
          <t>Rechenhilfe:
k bei 100 %</t>
        </is>
      </c>
      <c r="BY2" s="958" t="inlineStr">
        <is>
          <t>Rechenhilfe:
k bei 109,3 %</t>
        </is>
      </c>
      <c r="BZ2" s="958" t="inlineStr">
        <is>
          <t>max. tragbar KP
Wohnung 100 %</t>
        </is>
      </c>
      <c r="CA2" s="958" t="inlineStr">
        <is>
          <t>max. tragbar KP
Wohnung 109,3 %</t>
        </is>
      </c>
      <c r="CB2" s="958" t="inlineStr">
        <is>
          <t>max. tragbar 109,3 %
OHNE Subvention</t>
        </is>
      </c>
      <c r="CC2" s="958" t="inlineStr">
        <is>
          <t>max. tragbar
Regler €/m²</t>
        </is>
      </c>
      <c r="CD2" s="958" t="inlineStr">
        <is>
          <t>Delta Regler zu
max. tragbar</t>
        </is>
      </c>
      <c r="CE2" s="958" t="inlineStr">
        <is>
          <t>Faktor</t>
        </is>
      </c>
      <c r="CF2" s="958" t="inlineStr">
        <is>
          <t>Brutto-
mietrendite</t>
        </is>
      </c>
      <c r="CG2" s="958" t="inlineStr">
        <is>
          <t>Ampel
Fall 100 % KP</t>
        </is>
      </c>
      <c r="CH2" s="958" t="inlineStr">
        <is>
          <t>Ampel
Fall 109,3 %</t>
        </is>
      </c>
    </row>
    <row r="3" s="545">
      <c r="A3" s="959">
        <f>IF(NOT(ISNUMBER(MIETER!F8)),"",ROW()-2)</f>
        <v/>
      </c>
      <c r="B3" s="960">
        <f>IF(NOT(ISNUMBER(MIETER!F8)),"",IF(MIETER!A8="","",MIETER!A8))</f>
        <v/>
      </c>
      <c r="C3" s="960">
        <f>IF(NOT(ISNUMBER(MIETER!F8)),"",IF(MIETER!B8="","",MIETER!B8))</f>
        <v/>
      </c>
      <c r="D3" s="960">
        <f>IF(NOT(ISNUMBER(MIETER!F8)),"",IF(MIETER!C8="","",MIETER!C8))</f>
        <v/>
      </c>
      <c r="E3" s="960">
        <f>IF(NOT(ISNUMBER(MIETER!F8)),"",IF(MIETER!D8="","",MIETER!D8))</f>
        <v/>
      </c>
      <c r="F3" s="961">
        <f>IF(NOT(ISNUMBER(MIETER!F8)),"",MIETER!F8)</f>
        <v/>
      </c>
      <c r="G3" s="962" t="n"/>
      <c r="H3" s="963" t="n"/>
      <c r="I3" s="963" t="n"/>
      <c r="J3" s="963" t="n"/>
      <c r="K3" s="964">
        <f>IF(OR(NOT(ISNUMBER(F3)),NOT(ISNUMBER(J3)),NOT(ISNUMBER($H$29)),$H$29=0),"",J3/$H$29)</f>
        <v/>
      </c>
      <c r="L3" s="965" t="n"/>
      <c r="M3" s="966">
        <f>IF(OR(NOT(ISNUMBER(F3)),F3=0,NOT(ISNUMBER(VERKAUFSMATRIX!U6))),"",VERKAUFSMATRIX!U6/F3)</f>
        <v/>
      </c>
      <c r="N3" s="967">
        <f>IF(OR(NOT(ISNUMBER(L3)),NOT(ISNUMBER(M3)),M3=0),"",L3/M3-1)</f>
        <v/>
      </c>
      <c r="O3" s="968" t="n"/>
      <c r="P3" s="969">
        <f>IF(OR(NOT(ISNUMBER(F3)),NOT(ISNUMBER(L3))),"",F3*L3+N(O3))</f>
        <v/>
      </c>
      <c r="Q3" s="970" t="n"/>
      <c r="R3" s="970" t="n"/>
      <c r="S3" s="969">
        <f>IF(NOT(ISNUMBER(P3)),"",P3+N(Q3)+N(R3))</f>
        <v/>
      </c>
      <c r="T3" s="971" t="n"/>
      <c r="U3" s="964">
        <f>IF(NOT(ISNUMBER(F3)),"",IF(ISNUMBER(T3),T3,IF(NOT(ISNUMBER($H$26)),"",$H$26)))</f>
        <v/>
      </c>
      <c r="V3" s="969">
        <f>IF(OR(NOT(ISNUMBER(S3)),NOT(ISNUMBER(U3))),"",S3*U3)</f>
        <v/>
      </c>
      <c r="W3" s="969">
        <f>IF(OR(NOT(ISNUMBER(S3)),NOT(ISNUMBER(U3))),"",S3*(1+U3))</f>
        <v/>
      </c>
      <c r="X3" s="969">
        <f>IF(NOT(ISNUMBER(W3)),"",W3-N(Q3)-N(R3))</f>
        <v/>
      </c>
      <c r="Y3" s="966">
        <f>IF(OR(NOT(ISNUMBER(S3)),NOT(ISNUMBER(F3)),F3=0),"",S3/F3)</f>
        <v/>
      </c>
      <c r="Z3" s="966">
        <f>IF(OR(NOT(ISNUMBER(X3)),NOT(ISNUMBER(F3)),F3=0),"",X3/F3)</f>
        <v/>
      </c>
      <c r="AA3" s="969">
        <f>IF(OR(NOT(ISNUMBER(X3)),NOT(ISNUMBER($H$34))),"",X3*MAX(1,$H$34))</f>
        <v/>
      </c>
      <c r="AB3" s="969">
        <f>IF(OR(NOT(ISNUMBER(W3)),NOT(ISNUMBER($H$34)),NOT(ISNUMBER($C$36))),"",W3*MAX(1,$H$34)*$C$36)</f>
        <v/>
      </c>
      <c r="AC3" s="969">
        <f>IF(OR(NOT(ISNUMBER(W3)),NOT(ISNUMBER(AB3))),"",W3+AB3)</f>
        <v/>
      </c>
      <c r="AD3" s="969">
        <f>IF(OR(NOT(ISNUMBER(W3)),NOT(ISNUMBER($H$34))),"",W3*$H$34)</f>
        <v/>
      </c>
      <c r="AE3" s="969">
        <f>IF(OR(NOT(ISNUMBER(AC3)),NOT(ISNUMBER(AD3))),"",MAX(0,AC3-AD3))</f>
        <v/>
      </c>
      <c r="AF3" s="969">
        <f>IF(OR(NOT(ISNUMBER(AD3)),NOT(ISNUMBER(W3))),"",AD3-W3)</f>
        <v/>
      </c>
      <c r="AG3" s="972" t="n"/>
      <c r="AH3" s="973">
        <f>IF(OR(NOT(ISNUMBER(MIETER!F8)),$G3="ja"),"",IF(NOT(ISNUMBER(MIETER!J8)),"",IF(ISNUMBER(AG3),MAX(MIETER!J8,AG3),MIETER!J8)))</f>
        <v/>
      </c>
      <c r="AI3" s="972" t="n"/>
      <c r="AJ3" s="973">
        <f>IF(OR(NOT(ISNUMBER(AH3)),NOT(ISNUMBER(AI3))),"",MAX(0,AI3-AH3))</f>
        <v/>
      </c>
      <c r="AK3" s="972" t="n"/>
      <c r="AL3" s="972" t="n"/>
      <c r="AM3" s="972" t="n"/>
      <c r="AN3" s="973">
        <f>IF(NOT(ISNUMBER(F3)),"",IF(AND(NOT(ISNUMBER(AH3)),NOT(ISNUMBER(AL3)),NOT(ISNUMBER(AM3))),"",N(AH3)+N(AL3)+N(AM3)))</f>
        <v/>
      </c>
      <c r="AO3" s="973">
        <f>IF(OR($G3="ja",NOT(ISNUMBER(AH3)),NOT(ISNUMBER(AN3))),"",AN3+N(AJ3))</f>
        <v/>
      </c>
      <c r="AP3" s="974">
        <f>IF(OR(NOT(ISNUMBER(AH3)),NOT(ISNUMBER(F3)),F3=0),"",AH3/F3)</f>
        <v/>
      </c>
      <c r="AQ3" s="975">
        <f>IF(OR(NOT(ISNUMBER(MIETER!F8)),NOT(ISNUMBER(MIETER!I8))),"",MIETER!I8)</f>
        <v/>
      </c>
      <c r="AR3" s="975">
        <f>IF(OR(NOT(ISNUMBER(AQ3)),$G3="ja",NOT(ISNUMBER($H$35))),"",EDATE(AQ3,$H$35))</f>
        <v/>
      </c>
      <c r="AS3" s="963" t="n"/>
      <c r="AT3" s="959">
        <f>IF(NOT(ISNUMBER(F3)),"",IF(ISNUMBER(AS3),AS3,IF(NOT(ISNUMBER(AR3)),"",MAX(0,(YEAR(AR3)-YEAR(TODAY()))*12+MONTH(AR3)-MONTH(TODAY())))))</f>
        <v/>
      </c>
      <c r="AU3" s="969">
        <f>IF(NOT(ISNUMBER(AT3)),"",IF(ISNUMBER(AK3),AK3*AT3,IF(NOT(ISNUMBER(AJ3)),"",AJ3*AT3)))</f>
        <v/>
      </c>
      <c r="AV3" s="969">
        <f>IF(OR(NOT(ISNUMBER(AH3)),NOT(ISNUMBER(MIETER!$P$6))),"",ROUND(AH3*(1+MIETER!$P$6)^2,0))</f>
        <v/>
      </c>
      <c r="AW3" s="976" t="n"/>
      <c r="AX3" s="972" t="n"/>
      <c r="AY3" s="973">
        <f>IF(NOT(ISNUMBER(F3)),"",IF(ISNUMBER(AX3),AX3,IF(AND(ISNUMBER(AW3),ISNUMBER(AH3),AH3&gt;0),AH3*AW3,IF(OR(NOT(ISNUMBER($C$62)),NOT(ISNUMBER($C$64))),"",$C$62+$C$64*F3/12))))</f>
        <v/>
      </c>
      <c r="AZ3" s="972" t="n"/>
      <c r="BA3" s="973">
        <f>IF(NOT(ISNUMBER(AY3)),"",IF(ISNUMBER(AZ3),MIN(AY3,AZ3),IF(OR(NOT(ISNUMBER(F3)),NOT(ISNUMBER($C$64))),0,MIN(AY3,$C$64*F3/12))))</f>
        <v/>
      </c>
      <c r="BB3" s="967">
        <f>IF(OR(NOT(ISNUMBER(AY3)),NOT(ISNUMBER(AH3)),AH3=0),"",AY3/AH3)</f>
        <v/>
      </c>
      <c r="BC3" s="973">
        <f>IF(NOT(ISNUMBER(AH3)),"",AH3*0.01)</f>
        <v/>
      </c>
      <c r="BD3" s="969">
        <f>IF(OR(NOT(ISNUMBER(AH3)),NOT(ISNUMBER($C$28)),NOT(ISNUMBER(BY3)),BY3&lt;=0),"",AH3*0.01*(1-$C$28)/BY3)</f>
        <v/>
      </c>
      <c r="BE3" s="969">
        <f>IF(OR(NOT(ISNUMBER(K3)),NOT(ISNUMBER($H$30))),"",$H$30*K3)</f>
        <v/>
      </c>
      <c r="BF3" s="971" t="n"/>
      <c r="BG3" s="964">
        <f>IF(OR(NOT(ISNUMBER(BE3)),NOT(ISNUMBER(X3)),X3&lt;=0),"",1-BE3/X3)</f>
        <v/>
      </c>
      <c r="BH3" s="964">
        <f>IF(NOT(ISNUMBER(X3)),"",IF(ISNUMBER(BF3),BF3,IF(AND(ISNUMBER(BE3),ISNUMBER(AA3),AA3&gt;0),1-BE3/AA3,IF(NOT(ISNUMBER($C$31)),"",$C$31))))</f>
        <v/>
      </c>
      <c r="BI3" s="960">
        <f>IF(NOT(ISNUMBER(F3)),"",IF(ISNUMBER(BF3),"vertrag",IF(ISNUMBER(BE3),"berechnet","standard")))</f>
        <v/>
      </c>
      <c r="BJ3" s="971" t="n"/>
      <c r="BK3" s="964">
        <f>IF(NOT(ISNUMBER(F3)),"",IF(ISNUMBER(BJ3),BJ3,IF(NOT(ISNUMBER($C$30)),"",$C$30)))</f>
        <v/>
      </c>
      <c r="BL3" s="969">
        <f>IF(OR(NOT(ISNUMBER(AA3)),NOT(ISNUMBER(BH3)),NOT(ISNUMBER($C$36))),"",AA3*(1+$C$36)*BH3)</f>
        <v/>
      </c>
      <c r="BM3" s="973">
        <f>IF(OR(NOT(ISNUMBER(BL3)),NOT(ISNUMBER(BK3)),NOT(ISNUMBER($C$36)),NOT(ISNUMBER($H$34))),"",(BL3*BK3+N(Q3)*MAX(1,$H$34)*(1+$C$36)*N($H$31)+N(R3)*MAX(1,$H$34)*(1+$C$36)*N($H$32))/12)</f>
        <v/>
      </c>
      <c r="BN3" s="973">
        <f>IF(OR(NOT(ISNUMBER(AD3)),NOT(ISNUMBER($C$26))),"",AD3*$C$26/12)</f>
        <v/>
      </c>
      <c r="BO3" s="969">
        <f>IF(OR(NOT(ISNUMBER(AD3)),NOT(ISNUMBER($C$26)),NOT(ISNUMBER($C$27))),"",ROUND(AD3*($C$26+$C$27)/12,0))</f>
        <v/>
      </c>
      <c r="BP3" s="977">
        <f>IF(OR(NOT(ISNUMBER(AO3)),NOT(ISNUMBER(BM3)),NOT(ISNUMBER(BN3)),NOT(ISNUMBER(AY3))),"",AO3-BN3-BM3-(AY3-N(BA3)))</f>
        <v/>
      </c>
      <c r="BQ3" s="978">
        <f>IF(OR(NOT(ISNUMBER(BP3)),NOT(ISNUMBER($C$28))),"",ROUND(-BP3*$C$28,0))</f>
        <v/>
      </c>
      <c r="BR3" s="973">
        <f>IF(OR(NOT(ISNUMBER(BA3)),NOT(ISNUMBER($C$28))),"",BA3*$C$28)</f>
        <v/>
      </c>
      <c r="BS3" s="978">
        <f>IF(OR(NOT(ISNUMBER(AO3)),NOT(ISNUMBER(BO3)),NOT(ISNUMBER(AY3))),"",ROUND(AO3,0)-BO3-ROUND(AY3,0))</f>
        <v/>
      </c>
      <c r="BT3" s="978">
        <f>IF(OR(NOT(ISNUMBER(BS3)),NOT(ISNUMBER(BQ3))),"",BS3+BQ3)</f>
        <v/>
      </c>
      <c r="BU3" s="978">
        <f>IF(OR(NOT(ISNUMBER(AN3)),NOT(ISNUMBER(BO3)),NOT(ISNUMBER(AY3)),NOT(ISNUMBER(BP3)),NOT(ISNUMBER($C$28))),"",ROUND(AN3,0)-BO3-ROUND(AY3,0)+ROUND(-(BP3-N(AJ3))*$C$28,0))</f>
        <v/>
      </c>
      <c r="BV3" s="977">
        <f>IF(OR(NOT(ISNUMBER(AO3)),NOT(ISNUMBER(AY3)),NOT(ISNUMBER(BK3)),NOT(ISNUMBER($C$28)),NOT(ISNUMBER($C$36))),"",(AO3-AY3)*(1-$C$28)-$C$28*N(BA3)-IF(BI3="berechnet",$C$28*(1+$C$36)*BK3*N(BE3)/12,0))</f>
        <v/>
      </c>
      <c r="BW3" s="977">
        <f>IF(OR(NOT(ISNUMBER(F3)),NOT(ISNUMBER($C$26)),NOT(ISNUMBER($C$27)),NOT(ISNUMBER($C$28)),NOT(ISNUMBER($C$36))),"",($C$28*(1+$C$36)*(N(Q3)*N($H$31)+N(R3)*N($H$32))-(N(Q3)+N(R3))*(($C$26+$C$27)-$C$28*$C$26))/12)</f>
        <v/>
      </c>
      <c r="BX3" s="979">
        <f>IF(OR(NOT(ISNUMBER(BK3)),NOT(ISNUMBER($C$26)),NOT(ISNUMBER($C$27)),NOT(ISNUMBER($C$28)),NOT(ISNUMBER($C$36)),BI3=""),"",(($C$26+$C$27)-$C$28*$C$26-$C$28*(1+$C$36)*BK3*IF(BI3="berechnet",1,IF(BI3="vertrag",BF3,$C$31)))/12)</f>
        <v/>
      </c>
      <c r="BY3" s="979">
        <f>IF(OR(NOT(ISNUMBER(BX3)),NOT(ISNUMBER($C$34))),"",$C$34*BX3)</f>
        <v/>
      </c>
      <c r="BZ3" s="969">
        <f>IF(OR($G3="ja",NOT(ISNUMBER(AH3)),NOT(ISNUMBER(BV3)),NOT(ISNUMBER(BW3)),NOT(ISNUMBER(BX3)),BX3&lt;=0),"",(BV3-N($C$32)+BW3)/BX3)</f>
        <v/>
      </c>
      <c r="CA3" s="969">
        <f>IF(OR($G3="ja",NOT(ISNUMBER(AH3)),NOT(ISNUMBER(BV3)),NOT(ISNUMBER(BW3)),NOT(ISNUMBER(BY3)),BY3&lt;=0,NOT(ISNUMBER($C$34))),"",(BV3-N($C$32)+BW3*$C$34)/BY3)</f>
        <v/>
      </c>
      <c r="CB3" s="969">
        <f>IF(OR(NOT(ISNUMBER(CA3)),NOT(ISNUMBER($C$28))),"",CA3-N(AJ3)*(1-$C$28)/BY3)</f>
        <v/>
      </c>
      <c r="CC3" s="966">
        <f>IF(OR(NOT(ISNUMBER(CA3)),NOT(ISNUMBER(U3)),U3&lt;=-1,NOT(ISNUMBER(F3)),F3=0),"",((CA3+N(Q3)+N(R3))/(1+U3)-N(Q3)-N(R3)-N(O3))/F3)</f>
        <v/>
      </c>
      <c r="CD3" s="980">
        <f>IF(OR(NOT(ISNUMBER(L3)),NOT(ISNUMBER(CC3))),"",L3-CC3)</f>
        <v/>
      </c>
      <c r="CE3" s="981">
        <f>IF(OR(NOT(ISNUMBER(W3)),NOT(ISNUMBER(AN3)),AN3=0),"",W3/(AN3*12))</f>
        <v/>
      </c>
      <c r="CF3" s="964">
        <f>IF(OR(NOT(ISNUMBER(W3)),NOT(ISNUMBER(AN3)),W3=0),"",AN3*12/W3)</f>
        <v/>
      </c>
      <c r="CG3" s="960">
        <f>IF(NOT(ISNUMBER(F3)),"",IF($G3="ja","GRAU: Leerstand - keine Mietbasis",IF(AND(ISNUMBER(AH3),AH3=0),"GRAU: Ist-Miete 0 - Leerstand pruefen",IF(NOT(ISNUMBER(AH3)),"GRAU: Wohnungsmiete fehlt",IF(NOT(ISNUMBER(AJ3)),"GRAU: keine Sollmiete/Mietspiegel",IF(AND(ISNUMBER(AW3),ISNUMBER(AX3)),"GRAU: zwei Hausgeld-Quellen gesetzt",IF(AND(OR(ISNUMBER(AX3),ISNUMBER(AW3)),NOT(ISNUMBER(AZ3))),"GRAU: Ruecklagenanteil fehlt",IF(AND(AJ3&gt;0,NOT(ISNUMBER(AT3))),"GRAU: Subventionsdauer unbekannt",IF(AND(ISNUMBER(BH3),BH3&lt;=0),"ROT: Bodenwert uebersteigt Kaufpreis - Daten pruefen",IF(NOT(ISNUMBER(BT3)),"GRAU: Cashflow nicht rechenbar",IF(NOT(ISNUMBER(BZ3)),"GRAU: max. tragbar nicht rechenbar",IF(BZ3&lt;=0,"ROT: kein tragbarer Preis bei diesem Ziel-Cashflow",IF(AND(BI3="berechnet",BZ3&lt;BE3),"ROT: max. tragbar unter Bodenwert - Modell nicht gueltig",IF(X3&lt;=BZ3-N(AJ3)*(1-$C$28)/BX3,"GRUEN: Preis unter max. tragbar (auch ohne Subvention)",IF(X3&lt;=BZ3,"GELB: nur mit Subvention tragbar",IF(X3&lt;=BZ3*(1+N($H$33)),"GELB: bis Toleranz darueber","ROT: deutlich ueber max. tragbar"))))))))))))))))</f>
        <v/>
      </c>
      <c r="CH3" s="960">
        <f>IF(NOT(ISNUMBER(F3)),"",IF($G3="ja","GRAU: Leerstand - keine Mietbasis",IF(AND(ISNUMBER(AH3),AH3=0),"GRAU: Ist-Miete 0 - Leerstand pruefen",IF(NOT(ISNUMBER(AH3)),"GRAU: Wohnungsmiete fehlt",IF(NOT(ISNUMBER(AJ3)),"GRAU: keine Sollmiete/Mietspiegel",IF(AND(ISNUMBER(AW3),ISNUMBER(AX3)),"GRAU: zwei Hausgeld-Quellen gesetzt",IF(AND(OR(ISNUMBER(AX3),ISNUMBER(AW3)),NOT(ISNUMBER(AZ3))),"GRAU: Ruecklagenanteil fehlt",IF(AND(AJ3&gt;0,NOT(ISNUMBER(AT3))),"GRAU: Subventionsdauer unbekannt",IF(AND(ISNUMBER(BH3),BH3&lt;=0),"ROT: Bodenwert uebersteigt Kaufpreis - Daten pruefen",IF(NOT(ISNUMBER(BT3)),"GRAU: Cashflow nicht rechenbar",IF(NOT(ISNUMBER(CA3)),"GRAU: max. tragbar nicht rechenbar",IF(CA3&lt;=0,"ROT: kein tragbarer Preis bei diesem Ziel-Cashflow",IF(AND(BI3="berechnet",CA3&lt;BE3),"ROT: max. tragbar unter Bodenwert - Modell nicht gueltig",IF(X3&lt;=CB3,"GRUEN: Preis unter max. tragbar (auch ohne Subvention)",IF(X3&lt;=CA3,"GELB: nur mit Subvention tragbar",IF(X3&lt;=CA3*(1+N($H$33)),"GELB: bis Toleranz darueber","ROT: deutlich ueber max. tragbar"))))))))))))))))</f>
        <v/>
      </c>
    </row>
    <row r="4" s="545">
      <c r="A4" s="982">
        <f>IF(NOT(ISNUMBER(MIETER!F9)),"",ROW()-2)</f>
        <v/>
      </c>
      <c r="B4" s="983">
        <f>IF(NOT(ISNUMBER(MIETER!F9)),"",IF(MIETER!A9="","",MIETER!A9))</f>
        <v/>
      </c>
      <c r="C4" s="983">
        <f>IF(NOT(ISNUMBER(MIETER!F9)),"",IF(MIETER!B9="","",MIETER!B9))</f>
        <v/>
      </c>
      <c r="D4" s="983">
        <f>IF(NOT(ISNUMBER(MIETER!F9)),"",IF(MIETER!C9="","",MIETER!C9))</f>
        <v/>
      </c>
      <c r="E4" s="983">
        <f>IF(NOT(ISNUMBER(MIETER!F9)),"",IF(MIETER!D9="","",MIETER!D9))</f>
        <v/>
      </c>
      <c r="F4" s="984">
        <f>IF(NOT(ISNUMBER(MIETER!F9)),"",MIETER!F9)</f>
        <v/>
      </c>
      <c r="G4" s="962" t="n"/>
      <c r="H4" s="963" t="n"/>
      <c r="I4" s="963" t="n"/>
      <c r="J4" s="963" t="n"/>
      <c r="K4" s="985">
        <f>IF(OR(NOT(ISNUMBER(F4)),NOT(ISNUMBER(J4)),NOT(ISNUMBER($H$29)),$H$29=0),"",J4/$H$29)</f>
        <v/>
      </c>
      <c r="L4" s="965" t="n"/>
      <c r="M4" s="986">
        <f>IF(OR(NOT(ISNUMBER(F4)),F4=0,NOT(ISNUMBER(VERKAUFSMATRIX!U7))),"",VERKAUFSMATRIX!U7/F4)</f>
        <v/>
      </c>
      <c r="N4" s="987">
        <f>IF(OR(NOT(ISNUMBER(L4)),NOT(ISNUMBER(M4)),M4=0),"",L4/M4-1)</f>
        <v/>
      </c>
      <c r="O4" s="968" t="n"/>
      <c r="P4" s="988">
        <f>IF(OR(NOT(ISNUMBER(F4)),NOT(ISNUMBER(L4))),"",F4*L4+N(O4))</f>
        <v/>
      </c>
      <c r="Q4" s="970" t="n"/>
      <c r="R4" s="970" t="n"/>
      <c r="S4" s="988">
        <f>IF(NOT(ISNUMBER(P4)),"",P4+N(Q4)+N(R4))</f>
        <v/>
      </c>
      <c r="T4" s="971" t="n"/>
      <c r="U4" s="985">
        <f>IF(NOT(ISNUMBER(F4)),"",IF(ISNUMBER(T4),T4,IF(NOT(ISNUMBER($H$26)),"",$H$26)))</f>
        <v/>
      </c>
      <c r="V4" s="988">
        <f>IF(OR(NOT(ISNUMBER(S4)),NOT(ISNUMBER(U4))),"",S4*U4)</f>
        <v/>
      </c>
      <c r="W4" s="988">
        <f>IF(OR(NOT(ISNUMBER(S4)),NOT(ISNUMBER(U4))),"",S4*(1+U4))</f>
        <v/>
      </c>
      <c r="X4" s="988">
        <f>IF(NOT(ISNUMBER(W4)),"",W4-N(Q4)-N(R4))</f>
        <v/>
      </c>
      <c r="Y4" s="986">
        <f>IF(OR(NOT(ISNUMBER(S4)),NOT(ISNUMBER(F4)),F4=0),"",S4/F4)</f>
        <v/>
      </c>
      <c r="Z4" s="986">
        <f>IF(OR(NOT(ISNUMBER(X4)),NOT(ISNUMBER(F4)),F4=0),"",X4/F4)</f>
        <v/>
      </c>
      <c r="AA4" s="988">
        <f>IF(OR(NOT(ISNUMBER(X4)),NOT(ISNUMBER($H$34))),"",X4*MAX(1,$H$34))</f>
        <v/>
      </c>
      <c r="AB4" s="988">
        <f>IF(OR(NOT(ISNUMBER(W4)),NOT(ISNUMBER($H$34)),NOT(ISNUMBER($C$36))),"",W4*MAX(1,$H$34)*$C$36)</f>
        <v/>
      </c>
      <c r="AC4" s="988">
        <f>IF(OR(NOT(ISNUMBER(W4)),NOT(ISNUMBER(AB4))),"",W4+AB4)</f>
        <v/>
      </c>
      <c r="AD4" s="988">
        <f>IF(OR(NOT(ISNUMBER(W4)),NOT(ISNUMBER($H$34))),"",W4*$H$34)</f>
        <v/>
      </c>
      <c r="AE4" s="988">
        <f>IF(OR(NOT(ISNUMBER(AC4)),NOT(ISNUMBER(AD4))),"",MAX(0,AC4-AD4))</f>
        <v/>
      </c>
      <c r="AF4" s="988">
        <f>IF(OR(NOT(ISNUMBER(AD4)),NOT(ISNUMBER(W4))),"",AD4-W4)</f>
        <v/>
      </c>
      <c r="AG4" s="972" t="n"/>
      <c r="AH4" s="989">
        <f>IF(OR(NOT(ISNUMBER(MIETER!F9)),$G4="ja"),"",IF(NOT(ISNUMBER(MIETER!J9)),"",IF(ISNUMBER(AG4),MAX(MIETER!J9,AG4),MIETER!J9)))</f>
        <v/>
      </c>
      <c r="AI4" s="972" t="n"/>
      <c r="AJ4" s="989">
        <f>IF(OR(NOT(ISNUMBER(AH4)),NOT(ISNUMBER(AI4))),"",MAX(0,AI4-AH4))</f>
        <v/>
      </c>
      <c r="AK4" s="972" t="n"/>
      <c r="AL4" s="972" t="n"/>
      <c r="AM4" s="972" t="n"/>
      <c r="AN4" s="989">
        <f>IF(NOT(ISNUMBER(F4)),"",IF(AND(NOT(ISNUMBER(AH4)),NOT(ISNUMBER(AL4)),NOT(ISNUMBER(AM4))),"",N(AH4)+N(AL4)+N(AM4)))</f>
        <v/>
      </c>
      <c r="AO4" s="989">
        <f>IF(OR($G4="ja",NOT(ISNUMBER(AH4)),NOT(ISNUMBER(AN4))),"",AN4+N(AJ4))</f>
        <v/>
      </c>
      <c r="AP4" s="990">
        <f>IF(OR(NOT(ISNUMBER(AH4)),NOT(ISNUMBER(F4)),F4=0),"",AH4/F4)</f>
        <v/>
      </c>
      <c r="AQ4" s="991">
        <f>IF(OR(NOT(ISNUMBER(MIETER!F9)),NOT(ISNUMBER(MIETER!I9))),"",MIETER!I9)</f>
        <v/>
      </c>
      <c r="AR4" s="991">
        <f>IF(OR(NOT(ISNUMBER(AQ4)),$G4="ja",NOT(ISNUMBER($H$35))),"",EDATE(AQ4,$H$35))</f>
        <v/>
      </c>
      <c r="AS4" s="963" t="n"/>
      <c r="AT4" s="982">
        <f>IF(NOT(ISNUMBER(F4)),"",IF(ISNUMBER(AS4),AS4,IF(NOT(ISNUMBER(AR4)),"",MAX(0,(YEAR(AR4)-YEAR(TODAY()))*12+MONTH(AR4)-MONTH(TODAY())))))</f>
        <v/>
      </c>
      <c r="AU4" s="988">
        <f>IF(NOT(ISNUMBER(AT4)),"",IF(ISNUMBER(AK4),AK4*AT4,IF(NOT(ISNUMBER(AJ4)),"",AJ4*AT4)))</f>
        <v/>
      </c>
      <c r="AV4" s="988">
        <f>IF(OR(NOT(ISNUMBER(AH4)),NOT(ISNUMBER(MIETER!$P$6))),"",ROUND(AH4*(1+MIETER!$P$6)^2,0))</f>
        <v/>
      </c>
      <c r="AW4" s="976" t="n"/>
      <c r="AX4" s="972" t="n"/>
      <c r="AY4" s="989">
        <f>IF(NOT(ISNUMBER(F4)),"",IF(ISNUMBER(AX4),AX4,IF(AND(ISNUMBER(AW4),ISNUMBER(AH4),AH4&gt;0),AH4*AW4,IF(OR(NOT(ISNUMBER($C$62)),NOT(ISNUMBER($C$64))),"",$C$62+$C$64*F4/12))))</f>
        <v/>
      </c>
      <c r="AZ4" s="972" t="n"/>
      <c r="BA4" s="989">
        <f>IF(NOT(ISNUMBER(AY4)),"",IF(ISNUMBER(AZ4),MIN(AY4,AZ4),IF(OR(NOT(ISNUMBER(F4)),NOT(ISNUMBER($C$64))),0,MIN(AY4,$C$64*F4/12))))</f>
        <v/>
      </c>
      <c r="BB4" s="987">
        <f>IF(OR(NOT(ISNUMBER(AY4)),NOT(ISNUMBER(AH4)),AH4=0),"",AY4/AH4)</f>
        <v/>
      </c>
      <c r="BC4" s="989">
        <f>IF(NOT(ISNUMBER(AH4)),"",AH4*0.01)</f>
        <v/>
      </c>
      <c r="BD4" s="988">
        <f>IF(OR(NOT(ISNUMBER(AH4)),NOT(ISNUMBER($C$28)),NOT(ISNUMBER(BY4)),BY4&lt;=0),"",AH4*0.01*(1-$C$28)/BY4)</f>
        <v/>
      </c>
      <c r="BE4" s="988">
        <f>IF(OR(NOT(ISNUMBER(K4)),NOT(ISNUMBER($H$30))),"",$H$30*K4)</f>
        <v/>
      </c>
      <c r="BF4" s="971" t="n"/>
      <c r="BG4" s="985">
        <f>IF(OR(NOT(ISNUMBER(BE4)),NOT(ISNUMBER(X4)),X4&lt;=0),"",1-BE4/X4)</f>
        <v/>
      </c>
      <c r="BH4" s="985">
        <f>IF(NOT(ISNUMBER(X4)),"",IF(ISNUMBER(BF4),BF4,IF(AND(ISNUMBER(BE4),ISNUMBER(AA4),AA4&gt;0),1-BE4/AA4,IF(NOT(ISNUMBER($C$31)),"",$C$31))))</f>
        <v/>
      </c>
      <c r="BI4" s="983">
        <f>IF(NOT(ISNUMBER(F4)),"",IF(ISNUMBER(BF4),"vertrag",IF(ISNUMBER(BE4),"berechnet","standard")))</f>
        <v/>
      </c>
      <c r="BJ4" s="971" t="n"/>
      <c r="BK4" s="985">
        <f>IF(NOT(ISNUMBER(F4)),"",IF(ISNUMBER(BJ4),BJ4,IF(NOT(ISNUMBER($C$30)),"",$C$30)))</f>
        <v/>
      </c>
      <c r="BL4" s="988">
        <f>IF(OR(NOT(ISNUMBER(AA4)),NOT(ISNUMBER(BH4)),NOT(ISNUMBER($C$36))),"",AA4*(1+$C$36)*BH4)</f>
        <v/>
      </c>
      <c r="BM4" s="989">
        <f>IF(OR(NOT(ISNUMBER(BL4)),NOT(ISNUMBER(BK4)),NOT(ISNUMBER($C$36)),NOT(ISNUMBER($H$34))),"",(BL4*BK4+N(Q4)*MAX(1,$H$34)*(1+$C$36)*N($H$31)+N(R4)*MAX(1,$H$34)*(1+$C$36)*N($H$32))/12)</f>
        <v/>
      </c>
      <c r="BN4" s="989">
        <f>IF(OR(NOT(ISNUMBER(AD4)),NOT(ISNUMBER($C$26))),"",AD4*$C$26/12)</f>
        <v/>
      </c>
      <c r="BO4" s="988">
        <f>IF(OR(NOT(ISNUMBER(AD4)),NOT(ISNUMBER($C$26)),NOT(ISNUMBER($C$27))),"",ROUND(AD4*($C$26+$C$27)/12,0))</f>
        <v/>
      </c>
      <c r="BP4" s="992">
        <f>IF(OR(NOT(ISNUMBER(AO4)),NOT(ISNUMBER(BM4)),NOT(ISNUMBER(BN4)),NOT(ISNUMBER(AY4))),"",AO4-BN4-BM4-(AY4-N(BA4)))</f>
        <v/>
      </c>
      <c r="BQ4" s="993">
        <f>IF(OR(NOT(ISNUMBER(BP4)),NOT(ISNUMBER($C$28))),"",ROUND(-BP4*$C$28,0))</f>
        <v/>
      </c>
      <c r="BR4" s="989">
        <f>IF(OR(NOT(ISNUMBER(BA4)),NOT(ISNUMBER($C$28))),"",BA4*$C$28)</f>
        <v/>
      </c>
      <c r="BS4" s="993">
        <f>IF(OR(NOT(ISNUMBER(AO4)),NOT(ISNUMBER(BO4)),NOT(ISNUMBER(AY4))),"",ROUND(AO4,0)-BO4-ROUND(AY4,0))</f>
        <v/>
      </c>
      <c r="BT4" s="993">
        <f>IF(OR(NOT(ISNUMBER(BS4)),NOT(ISNUMBER(BQ4))),"",BS4+BQ4)</f>
        <v/>
      </c>
      <c r="BU4" s="993">
        <f>IF(OR(NOT(ISNUMBER(AN4)),NOT(ISNUMBER(BO4)),NOT(ISNUMBER(AY4)),NOT(ISNUMBER(BP4)),NOT(ISNUMBER($C$28))),"",ROUND(AN4,0)-BO4-ROUND(AY4,0)+ROUND(-(BP4-N(AJ4))*$C$28,0))</f>
        <v/>
      </c>
      <c r="BV4" s="992">
        <f>IF(OR(NOT(ISNUMBER(AO4)),NOT(ISNUMBER(AY4)),NOT(ISNUMBER(BK4)),NOT(ISNUMBER($C$28)),NOT(ISNUMBER($C$36))),"",(AO4-AY4)*(1-$C$28)-$C$28*N(BA4)-IF(BI4="berechnet",$C$28*(1+$C$36)*BK4*N(BE4)/12,0))</f>
        <v/>
      </c>
      <c r="BW4" s="992">
        <f>IF(OR(NOT(ISNUMBER(F4)),NOT(ISNUMBER($C$26)),NOT(ISNUMBER($C$27)),NOT(ISNUMBER($C$28)),NOT(ISNUMBER($C$36))),"",($C$28*(1+$C$36)*(N(Q4)*N($H$31)+N(R4)*N($H$32))-(N(Q4)+N(R4))*(($C$26+$C$27)-$C$28*$C$26))/12)</f>
        <v/>
      </c>
      <c r="BX4" s="994">
        <f>IF(OR(NOT(ISNUMBER(BK4)),NOT(ISNUMBER($C$26)),NOT(ISNUMBER($C$27)),NOT(ISNUMBER($C$28)),NOT(ISNUMBER($C$36)),BI4=""),"",(($C$26+$C$27)-$C$28*$C$26-$C$28*(1+$C$36)*BK4*IF(BI4="berechnet",1,IF(BI4="vertrag",BF4,$C$31)))/12)</f>
        <v/>
      </c>
      <c r="BY4" s="994">
        <f>IF(OR(NOT(ISNUMBER(BX4)),NOT(ISNUMBER($C$34))),"",$C$34*BX4)</f>
        <v/>
      </c>
      <c r="BZ4" s="988">
        <f>IF(OR($G4="ja",NOT(ISNUMBER(AH4)),NOT(ISNUMBER(BV4)),NOT(ISNUMBER(BW4)),NOT(ISNUMBER(BX4)),BX4&lt;=0),"",(BV4-N($C$32)+BW4)/BX4)</f>
        <v/>
      </c>
      <c r="CA4" s="988">
        <f>IF(OR($G4="ja",NOT(ISNUMBER(AH4)),NOT(ISNUMBER(BV4)),NOT(ISNUMBER(BW4)),NOT(ISNUMBER(BY4)),BY4&lt;=0,NOT(ISNUMBER($C$34))),"",(BV4-N($C$32)+BW4*$C$34)/BY4)</f>
        <v/>
      </c>
      <c r="CB4" s="988">
        <f>IF(OR(NOT(ISNUMBER(CA4)),NOT(ISNUMBER($C$28))),"",CA4-N(AJ4)*(1-$C$28)/BY4)</f>
        <v/>
      </c>
      <c r="CC4" s="986">
        <f>IF(OR(NOT(ISNUMBER(CA4)),NOT(ISNUMBER(U4)),U4&lt;=-1,NOT(ISNUMBER(F4)),F4=0),"",((CA4+N(Q4)+N(R4))/(1+U4)-N(Q4)-N(R4)-N(O4))/F4)</f>
        <v/>
      </c>
      <c r="CD4" s="995">
        <f>IF(OR(NOT(ISNUMBER(L4)),NOT(ISNUMBER(CC4))),"",L4-CC4)</f>
        <v/>
      </c>
      <c r="CE4" s="996">
        <f>IF(OR(NOT(ISNUMBER(W4)),NOT(ISNUMBER(AN4)),AN4=0),"",W4/(AN4*12))</f>
        <v/>
      </c>
      <c r="CF4" s="985">
        <f>IF(OR(NOT(ISNUMBER(W4)),NOT(ISNUMBER(AN4)),W4=0),"",AN4*12/W4)</f>
        <v/>
      </c>
      <c r="CG4" s="983">
        <f>IF(NOT(ISNUMBER(F4)),"",IF($G4="ja","GRAU: Leerstand - keine Mietbasis",IF(AND(ISNUMBER(AH4),AH4=0),"GRAU: Ist-Miete 0 - Leerstand pruefen",IF(NOT(ISNUMBER(AH4)),"GRAU: Wohnungsmiete fehlt",IF(NOT(ISNUMBER(AJ4)),"GRAU: keine Sollmiete/Mietspiegel",IF(AND(ISNUMBER(AW4),ISNUMBER(AX4)),"GRAU: zwei Hausgeld-Quellen gesetzt",IF(AND(OR(ISNUMBER(AX4),ISNUMBER(AW4)),NOT(ISNUMBER(AZ4))),"GRAU: Ruecklagenanteil fehlt",IF(AND(AJ4&gt;0,NOT(ISNUMBER(AT4))),"GRAU: Subventionsdauer unbekannt",IF(AND(ISNUMBER(BH4),BH4&lt;=0),"ROT: Bodenwert uebersteigt Kaufpreis - Daten pruefen",IF(NOT(ISNUMBER(BT4)),"GRAU: Cashflow nicht rechenbar",IF(NOT(ISNUMBER(BZ4)),"GRAU: max. tragbar nicht rechenbar",IF(BZ4&lt;=0,"ROT: kein tragbarer Preis bei diesem Ziel-Cashflow",IF(AND(BI4="berechnet",BZ4&lt;BE4),"ROT: max. tragbar unter Bodenwert - Modell nicht gueltig",IF(X4&lt;=BZ4-N(AJ4)*(1-$C$28)/BX4,"GRUEN: Preis unter max. tragbar (auch ohne Subvention)",IF(X4&lt;=BZ4,"GELB: nur mit Subvention tragbar",IF(X4&lt;=BZ4*(1+N($H$33)),"GELB: bis Toleranz darueber","ROT: deutlich ueber max. tragbar"))))))))))))))))</f>
        <v/>
      </c>
      <c r="CH4" s="983">
        <f>IF(NOT(ISNUMBER(F4)),"",IF($G4="ja","GRAU: Leerstand - keine Mietbasis",IF(AND(ISNUMBER(AH4),AH4=0),"GRAU: Ist-Miete 0 - Leerstand pruefen",IF(NOT(ISNUMBER(AH4)),"GRAU: Wohnungsmiete fehlt",IF(NOT(ISNUMBER(AJ4)),"GRAU: keine Sollmiete/Mietspiegel",IF(AND(ISNUMBER(AW4),ISNUMBER(AX4)),"GRAU: zwei Hausgeld-Quellen gesetzt",IF(AND(OR(ISNUMBER(AX4),ISNUMBER(AW4)),NOT(ISNUMBER(AZ4))),"GRAU: Ruecklagenanteil fehlt",IF(AND(AJ4&gt;0,NOT(ISNUMBER(AT4))),"GRAU: Subventionsdauer unbekannt",IF(AND(ISNUMBER(BH4),BH4&lt;=0),"ROT: Bodenwert uebersteigt Kaufpreis - Daten pruefen",IF(NOT(ISNUMBER(BT4)),"GRAU: Cashflow nicht rechenbar",IF(NOT(ISNUMBER(CA4)),"GRAU: max. tragbar nicht rechenbar",IF(CA4&lt;=0,"ROT: kein tragbarer Preis bei diesem Ziel-Cashflow",IF(AND(BI4="berechnet",CA4&lt;BE4),"ROT: max. tragbar unter Bodenwert - Modell nicht gueltig",IF(X4&lt;=CB4,"GRUEN: Preis unter max. tragbar (auch ohne Subvention)",IF(X4&lt;=CA4,"GELB: nur mit Subvention tragbar",IF(X4&lt;=CA4*(1+N($H$33)),"GELB: bis Toleranz darueber","ROT: deutlich ueber max. tragbar"))))))))))))))))</f>
        <v/>
      </c>
    </row>
    <row r="5" s="545">
      <c r="A5" s="959">
        <f>IF(NOT(ISNUMBER(MIETER!F10)),"",ROW()-2)</f>
        <v/>
      </c>
      <c r="B5" s="960">
        <f>IF(NOT(ISNUMBER(MIETER!F10)),"",IF(MIETER!A10="","",MIETER!A10))</f>
        <v/>
      </c>
      <c r="C5" s="960">
        <f>IF(NOT(ISNUMBER(MIETER!F10)),"",IF(MIETER!B10="","",MIETER!B10))</f>
        <v/>
      </c>
      <c r="D5" s="960">
        <f>IF(NOT(ISNUMBER(MIETER!F10)),"",IF(MIETER!C10="","",MIETER!C10))</f>
        <v/>
      </c>
      <c r="E5" s="960">
        <f>IF(NOT(ISNUMBER(MIETER!F10)),"",IF(MIETER!D10="","",MIETER!D10))</f>
        <v/>
      </c>
      <c r="F5" s="961">
        <f>IF(NOT(ISNUMBER(MIETER!F10)),"",MIETER!F10)</f>
        <v/>
      </c>
      <c r="G5" s="962" t="n"/>
      <c r="H5" s="963" t="n"/>
      <c r="I5" s="963" t="n"/>
      <c r="J5" s="963" t="n"/>
      <c r="K5" s="964">
        <f>IF(OR(NOT(ISNUMBER(F5)),NOT(ISNUMBER(J5)),NOT(ISNUMBER($H$29)),$H$29=0),"",J5/$H$29)</f>
        <v/>
      </c>
      <c r="L5" s="965" t="n"/>
      <c r="M5" s="966">
        <f>IF(OR(NOT(ISNUMBER(F5)),F5=0,NOT(ISNUMBER(VERKAUFSMATRIX!U8))),"",VERKAUFSMATRIX!U8/F5)</f>
        <v/>
      </c>
      <c r="N5" s="967">
        <f>IF(OR(NOT(ISNUMBER(L5)),NOT(ISNUMBER(M5)),M5=0),"",L5/M5-1)</f>
        <v/>
      </c>
      <c r="O5" s="968" t="n"/>
      <c r="P5" s="969">
        <f>IF(OR(NOT(ISNUMBER(F5)),NOT(ISNUMBER(L5))),"",F5*L5+N(O5))</f>
        <v/>
      </c>
      <c r="Q5" s="970" t="n"/>
      <c r="R5" s="970" t="n"/>
      <c r="S5" s="969">
        <f>IF(NOT(ISNUMBER(P5)),"",P5+N(Q5)+N(R5))</f>
        <v/>
      </c>
      <c r="T5" s="971" t="n"/>
      <c r="U5" s="964">
        <f>IF(NOT(ISNUMBER(F5)),"",IF(ISNUMBER(T5),T5,IF(NOT(ISNUMBER($H$26)),"",$H$26)))</f>
        <v/>
      </c>
      <c r="V5" s="969">
        <f>IF(OR(NOT(ISNUMBER(S5)),NOT(ISNUMBER(U5))),"",S5*U5)</f>
        <v/>
      </c>
      <c r="W5" s="969">
        <f>IF(OR(NOT(ISNUMBER(S5)),NOT(ISNUMBER(U5))),"",S5*(1+U5))</f>
        <v/>
      </c>
      <c r="X5" s="969">
        <f>IF(NOT(ISNUMBER(W5)),"",W5-N(Q5)-N(R5))</f>
        <v/>
      </c>
      <c r="Y5" s="966">
        <f>IF(OR(NOT(ISNUMBER(S5)),NOT(ISNUMBER(F5)),F5=0),"",S5/F5)</f>
        <v/>
      </c>
      <c r="Z5" s="966">
        <f>IF(OR(NOT(ISNUMBER(X5)),NOT(ISNUMBER(F5)),F5=0),"",X5/F5)</f>
        <v/>
      </c>
      <c r="AA5" s="969">
        <f>IF(OR(NOT(ISNUMBER(X5)),NOT(ISNUMBER($H$34))),"",X5*MAX(1,$H$34))</f>
        <v/>
      </c>
      <c r="AB5" s="969">
        <f>IF(OR(NOT(ISNUMBER(W5)),NOT(ISNUMBER($H$34)),NOT(ISNUMBER($C$36))),"",W5*MAX(1,$H$34)*$C$36)</f>
        <v/>
      </c>
      <c r="AC5" s="969">
        <f>IF(OR(NOT(ISNUMBER(W5)),NOT(ISNUMBER(AB5))),"",W5+AB5)</f>
        <v/>
      </c>
      <c r="AD5" s="969">
        <f>IF(OR(NOT(ISNUMBER(W5)),NOT(ISNUMBER($H$34))),"",W5*$H$34)</f>
        <v/>
      </c>
      <c r="AE5" s="969">
        <f>IF(OR(NOT(ISNUMBER(AC5)),NOT(ISNUMBER(AD5))),"",MAX(0,AC5-AD5))</f>
        <v/>
      </c>
      <c r="AF5" s="969">
        <f>IF(OR(NOT(ISNUMBER(AD5)),NOT(ISNUMBER(W5))),"",AD5-W5)</f>
        <v/>
      </c>
      <c r="AG5" s="972" t="n"/>
      <c r="AH5" s="973">
        <f>IF(OR(NOT(ISNUMBER(MIETER!F10)),$G5="ja"),"",IF(NOT(ISNUMBER(MIETER!J10)),"",IF(ISNUMBER(AG5),MAX(MIETER!J10,AG5),MIETER!J10)))</f>
        <v/>
      </c>
      <c r="AI5" s="972" t="n"/>
      <c r="AJ5" s="973">
        <f>IF(OR(NOT(ISNUMBER(AH5)),NOT(ISNUMBER(AI5))),"",MAX(0,AI5-AH5))</f>
        <v/>
      </c>
      <c r="AK5" s="972" t="n"/>
      <c r="AL5" s="972" t="n"/>
      <c r="AM5" s="972" t="n"/>
      <c r="AN5" s="973">
        <f>IF(NOT(ISNUMBER(F5)),"",IF(AND(NOT(ISNUMBER(AH5)),NOT(ISNUMBER(AL5)),NOT(ISNUMBER(AM5))),"",N(AH5)+N(AL5)+N(AM5)))</f>
        <v/>
      </c>
      <c r="AO5" s="973">
        <f>IF(OR($G5="ja",NOT(ISNUMBER(AH5)),NOT(ISNUMBER(AN5))),"",AN5+N(AJ5))</f>
        <v/>
      </c>
      <c r="AP5" s="974">
        <f>IF(OR(NOT(ISNUMBER(AH5)),NOT(ISNUMBER(F5)),F5=0),"",AH5/F5)</f>
        <v/>
      </c>
      <c r="AQ5" s="975">
        <f>IF(OR(NOT(ISNUMBER(MIETER!F10)),NOT(ISNUMBER(MIETER!I10))),"",MIETER!I10)</f>
        <v/>
      </c>
      <c r="AR5" s="975">
        <f>IF(OR(NOT(ISNUMBER(AQ5)),$G5="ja",NOT(ISNUMBER($H$35))),"",EDATE(AQ5,$H$35))</f>
        <v/>
      </c>
      <c r="AS5" s="963" t="n"/>
      <c r="AT5" s="959">
        <f>IF(NOT(ISNUMBER(F5)),"",IF(ISNUMBER(AS5),AS5,IF(NOT(ISNUMBER(AR5)),"",MAX(0,(YEAR(AR5)-YEAR(TODAY()))*12+MONTH(AR5)-MONTH(TODAY())))))</f>
        <v/>
      </c>
      <c r="AU5" s="969">
        <f>IF(NOT(ISNUMBER(AT5)),"",IF(ISNUMBER(AK5),AK5*AT5,IF(NOT(ISNUMBER(AJ5)),"",AJ5*AT5)))</f>
        <v/>
      </c>
      <c r="AV5" s="969">
        <f>IF(OR(NOT(ISNUMBER(AH5)),NOT(ISNUMBER(MIETER!$P$6))),"",ROUND(AH5*(1+MIETER!$P$6)^2,0))</f>
        <v/>
      </c>
      <c r="AW5" s="976" t="n"/>
      <c r="AX5" s="972" t="n"/>
      <c r="AY5" s="973">
        <f>IF(NOT(ISNUMBER(F5)),"",IF(ISNUMBER(AX5),AX5,IF(AND(ISNUMBER(AW5),ISNUMBER(AH5),AH5&gt;0),AH5*AW5,IF(OR(NOT(ISNUMBER($C$62)),NOT(ISNUMBER($C$64))),"",$C$62+$C$64*F5/12))))</f>
        <v/>
      </c>
      <c r="AZ5" s="972" t="n"/>
      <c r="BA5" s="973">
        <f>IF(NOT(ISNUMBER(AY5)),"",IF(ISNUMBER(AZ5),MIN(AY5,AZ5),IF(OR(NOT(ISNUMBER(F5)),NOT(ISNUMBER($C$64))),0,MIN(AY5,$C$64*F5/12))))</f>
        <v/>
      </c>
      <c r="BB5" s="967">
        <f>IF(OR(NOT(ISNUMBER(AY5)),NOT(ISNUMBER(AH5)),AH5=0),"",AY5/AH5)</f>
        <v/>
      </c>
      <c r="BC5" s="973">
        <f>IF(NOT(ISNUMBER(AH5)),"",AH5*0.01)</f>
        <v/>
      </c>
      <c r="BD5" s="969">
        <f>IF(OR(NOT(ISNUMBER(AH5)),NOT(ISNUMBER($C$28)),NOT(ISNUMBER(BY5)),BY5&lt;=0),"",AH5*0.01*(1-$C$28)/BY5)</f>
        <v/>
      </c>
      <c r="BE5" s="969">
        <f>IF(OR(NOT(ISNUMBER(K5)),NOT(ISNUMBER($H$30))),"",$H$30*K5)</f>
        <v/>
      </c>
      <c r="BF5" s="971" t="n"/>
      <c r="BG5" s="964">
        <f>IF(OR(NOT(ISNUMBER(BE5)),NOT(ISNUMBER(X5)),X5&lt;=0),"",1-BE5/X5)</f>
        <v/>
      </c>
      <c r="BH5" s="964">
        <f>IF(NOT(ISNUMBER(X5)),"",IF(ISNUMBER(BF5),BF5,IF(AND(ISNUMBER(BE5),ISNUMBER(AA5),AA5&gt;0),1-BE5/AA5,IF(NOT(ISNUMBER($C$31)),"",$C$31))))</f>
        <v/>
      </c>
      <c r="BI5" s="960">
        <f>IF(NOT(ISNUMBER(F5)),"",IF(ISNUMBER(BF5),"vertrag",IF(ISNUMBER(BE5),"berechnet","standard")))</f>
        <v/>
      </c>
      <c r="BJ5" s="971" t="n"/>
      <c r="BK5" s="964">
        <f>IF(NOT(ISNUMBER(F5)),"",IF(ISNUMBER(BJ5),BJ5,IF(NOT(ISNUMBER($C$30)),"",$C$30)))</f>
        <v/>
      </c>
      <c r="BL5" s="969">
        <f>IF(OR(NOT(ISNUMBER(AA5)),NOT(ISNUMBER(BH5)),NOT(ISNUMBER($C$36))),"",AA5*(1+$C$36)*BH5)</f>
        <v/>
      </c>
      <c r="BM5" s="973">
        <f>IF(OR(NOT(ISNUMBER(BL5)),NOT(ISNUMBER(BK5)),NOT(ISNUMBER($C$36)),NOT(ISNUMBER($H$34))),"",(BL5*BK5+N(Q5)*MAX(1,$H$34)*(1+$C$36)*N($H$31)+N(R5)*MAX(1,$H$34)*(1+$C$36)*N($H$32))/12)</f>
        <v/>
      </c>
      <c r="BN5" s="973">
        <f>IF(OR(NOT(ISNUMBER(AD5)),NOT(ISNUMBER($C$26))),"",AD5*$C$26/12)</f>
        <v/>
      </c>
      <c r="BO5" s="969">
        <f>IF(OR(NOT(ISNUMBER(AD5)),NOT(ISNUMBER($C$26)),NOT(ISNUMBER($C$27))),"",ROUND(AD5*($C$26+$C$27)/12,0))</f>
        <v/>
      </c>
      <c r="BP5" s="977">
        <f>IF(OR(NOT(ISNUMBER(AO5)),NOT(ISNUMBER(BM5)),NOT(ISNUMBER(BN5)),NOT(ISNUMBER(AY5))),"",AO5-BN5-BM5-(AY5-N(BA5)))</f>
        <v/>
      </c>
      <c r="BQ5" s="978">
        <f>IF(OR(NOT(ISNUMBER(BP5)),NOT(ISNUMBER($C$28))),"",ROUND(-BP5*$C$28,0))</f>
        <v/>
      </c>
      <c r="BR5" s="973">
        <f>IF(OR(NOT(ISNUMBER(BA5)),NOT(ISNUMBER($C$28))),"",BA5*$C$28)</f>
        <v/>
      </c>
      <c r="BS5" s="978">
        <f>IF(OR(NOT(ISNUMBER(AO5)),NOT(ISNUMBER(BO5)),NOT(ISNUMBER(AY5))),"",ROUND(AO5,0)-BO5-ROUND(AY5,0))</f>
        <v/>
      </c>
      <c r="BT5" s="978">
        <f>IF(OR(NOT(ISNUMBER(BS5)),NOT(ISNUMBER(BQ5))),"",BS5+BQ5)</f>
        <v/>
      </c>
      <c r="BU5" s="978">
        <f>IF(OR(NOT(ISNUMBER(AN5)),NOT(ISNUMBER(BO5)),NOT(ISNUMBER(AY5)),NOT(ISNUMBER(BP5)),NOT(ISNUMBER($C$28))),"",ROUND(AN5,0)-BO5-ROUND(AY5,0)+ROUND(-(BP5-N(AJ5))*$C$28,0))</f>
        <v/>
      </c>
      <c r="BV5" s="977">
        <f>IF(OR(NOT(ISNUMBER(AO5)),NOT(ISNUMBER(AY5)),NOT(ISNUMBER(BK5)),NOT(ISNUMBER($C$28)),NOT(ISNUMBER($C$36))),"",(AO5-AY5)*(1-$C$28)-$C$28*N(BA5)-IF(BI5="berechnet",$C$28*(1+$C$36)*BK5*N(BE5)/12,0))</f>
        <v/>
      </c>
      <c r="BW5" s="977">
        <f>IF(OR(NOT(ISNUMBER(F5)),NOT(ISNUMBER($C$26)),NOT(ISNUMBER($C$27)),NOT(ISNUMBER($C$28)),NOT(ISNUMBER($C$36))),"",($C$28*(1+$C$36)*(N(Q5)*N($H$31)+N(R5)*N($H$32))-(N(Q5)+N(R5))*(($C$26+$C$27)-$C$28*$C$26))/12)</f>
        <v/>
      </c>
      <c r="BX5" s="979">
        <f>IF(OR(NOT(ISNUMBER(BK5)),NOT(ISNUMBER($C$26)),NOT(ISNUMBER($C$27)),NOT(ISNUMBER($C$28)),NOT(ISNUMBER($C$36)),BI5=""),"",(($C$26+$C$27)-$C$28*$C$26-$C$28*(1+$C$36)*BK5*IF(BI5="berechnet",1,IF(BI5="vertrag",BF5,$C$31)))/12)</f>
        <v/>
      </c>
      <c r="BY5" s="979">
        <f>IF(OR(NOT(ISNUMBER(BX5)),NOT(ISNUMBER($C$34))),"",$C$34*BX5)</f>
        <v/>
      </c>
      <c r="BZ5" s="969">
        <f>IF(OR($G5="ja",NOT(ISNUMBER(AH5)),NOT(ISNUMBER(BV5)),NOT(ISNUMBER(BW5)),NOT(ISNUMBER(BX5)),BX5&lt;=0),"",(BV5-N($C$32)+BW5)/BX5)</f>
        <v/>
      </c>
      <c r="CA5" s="969">
        <f>IF(OR($G5="ja",NOT(ISNUMBER(AH5)),NOT(ISNUMBER(BV5)),NOT(ISNUMBER(BW5)),NOT(ISNUMBER(BY5)),BY5&lt;=0,NOT(ISNUMBER($C$34))),"",(BV5-N($C$32)+BW5*$C$34)/BY5)</f>
        <v/>
      </c>
      <c r="CB5" s="969">
        <f>IF(OR(NOT(ISNUMBER(CA5)),NOT(ISNUMBER($C$28))),"",CA5-N(AJ5)*(1-$C$28)/BY5)</f>
        <v/>
      </c>
      <c r="CC5" s="966">
        <f>IF(OR(NOT(ISNUMBER(CA5)),NOT(ISNUMBER(U5)),U5&lt;=-1,NOT(ISNUMBER(F5)),F5=0),"",((CA5+N(Q5)+N(R5))/(1+U5)-N(Q5)-N(R5)-N(O5))/F5)</f>
        <v/>
      </c>
      <c r="CD5" s="980">
        <f>IF(OR(NOT(ISNUMBER(L5)),NOT(ISNUMBER(CC5))),"",L5-CC5)</f>
        <v/>
      </c>
      <c r="CE5" s="981">
        <f>IF(OR(NOT(ISNUMBER(W5)),NOT(ISNUMBER(AN5)),AN5=0),"",W5/(AN5*12))</f>
        <v/>
      </c>
      <c r="CF5" s="964">
        <f>IF(OR(NOT(ISNUMBER(W5)),NOT(ISNUMBER(AN5)),W5=0),"",AN5*12/W5)</f>
        <v/>
      </c>
      <c r="CG5" s="960">
        <f>IF(NOT(ISNUMBER(F5)),"",IF($G5="ja","GRAU: Leerstand - keine Mietbasis",IF(AND(ISNUMBER(AH5),AH5=0),"GRAU: Ist-Miete 0 - Leerstand pruefen",IF(NOT(ISNUMBER(AH5)),"GRAU: Wohnungsmiete fehlt",IF(NOT(ISNUMBER(AJ5)),"GRAU: keine Sollmiete/Mietspiegel",IF(AND(ISNUMBER(AW5),ISNUMBER(AX5)),"GRAU: zwei Hausgeld-Quellen gesetzt",IF(AND(OR(ISNUMBER(AX5),ISNUMBER(AW5)),NOT(ISNUMBER(AZ5))),"GRAU: Ruecklagenanteil fehlt",IF(AND(AJ5&gt;0,NOT(ISNUMBER(AT5))),"GRAU: Subventionsdauer unbekannt",IF(AND(ISNUMBER(BH5),BH5&lt;=0),"ROT: Bodenwert uebersteigt Kaufpreis - Daten pruefen",IF(NOT(ISNUMBER(BT5)),"GRAU: Cashflow nicht rechenbar",IF(NOT(ISNUMBER(BZ5)),"GRAU: max. tragbar nicht rechenbar",IF(BZ5&lt;=0,"ROT: kein tragbarer Preis bei diesem Ziel-Cashflow",IF(AND(BI5="berechnet",BZ5&lt;BE5),"ROT: max. tragbar unter Bodenwert - Modell nicht gueltig",IF(X5&lt;=BZ5-N(AJ5)*(1-$C$28)/BX5,"GRUEN: Preis unter max. tragbar (auch ohne Subvention)",IF(X5&lt;=BZ5,"GELB: nur mit Subvention tragbar",IF(X5&lt;=BZ5*(1+N($H$33)),"GELB: bis Toleranz darueber","ROT: deutlich ueber max. tragbar"))))))))))))))))</f>
        <v/>
      </c>
      <c r="CH5" s="960">
        <f>IF(NOT(ISNUMBER(F5)),"",IF($G5="ja","GRAU: Leerstand - keine Mietbasis",IF(AND(ISNUMBER(AH5),AH5=0),"GRAU: Ist-Miete 0 - Leerstand pruefen",IF(NOT(ISNUMBER(AH5)),"GRAU: Wohnungsmiete fehlt",IF(NOT(ISNUMBER(AJ5)),"GRAU: keine Sollmiete/Mietspiegel",IF(AND(ISNUMBER(AW5),ISNUMBER(AX5)),"GRAU: zwei Hausgeld-Quellen gesetzt",IF(AND(OR(ISNUMBER(AX5),ISNUMBER(AW5)),NOT(ISNUMBER(AZ5))),"GRAU: Ruecklagenanteil fehlt",IF(AND(AJ5&gt;0,NOT(ISNUMBER(AT5))),"GRAU: Subventionsdauer unbekannt",IF(AND(ISNUMBER(BH5),BH5&lt;=0),"ROT: Bodenwert uebersteigt Kaufpreis - Daten pruefen",IF(NOT(ISNUMBER(BT5)),"GRAU: Cashflow nicht rechenbar",IF(NOT(ISNUMBER(CA5)),"GRAU: max. tragbar nicht rechenbar",IF(CA5&lt;=0,"ROT: kein tragbarer Preis bei diesem Ziel-Cashflow",IF(AND(BI5="berechnet",CA5&lt;BE5),"ROT: max. tragbar unter Bodenwert - Modell nicht gueltig",IF(X5&lt;=CB5,"GRUEN: Preis unter max. tragbar (auch ohne Subvention)",IF(X5&lt;=CA5,"GELB: nur mit Subvention tragbar",IF(X5&lt;=CA5*(1+N($H$33)),"GELB: bis Toleranz darueber","ROT: deutlich ueber max. tragbar"))))))))))))))))</f>
        <v/>
      </c>
    </row>
    <row r="6" s="545">
      <c r="A6" s="982">
        <f>IF(NOT(ISNUMBER(MIETER!F11)),"",ROW()-2)</f>
        <v/>
      </c>
      <c r="B6" s="983">
        <f>IF(NOT(ISNUMBER(MIETER!F11)),"",IF(MIETER!A11="","",MIETER!A11))</f>
        <v/>
      </c>
      <c r="C6" s="983">
        <f>IF(NOT(ISNUMBER(MIETER!F11)),"",IF(MIETER!B11="","",MIETER!B11))</f>
        <v/>
      </c>
      <c r="D6" s="983">
        <f>IF(NOT(ISNUMBER(MIETER!F11)),"",IF(MIETER!C11="","",MIETER!C11))</f>
        <v/>
      </c>
      <c r="E6" s="983">
        <f>IF(NOT(ISNUMBER(MIETER!F11)),"",IF(MIETER!D11="","",MIETER!D11))</f>
        <v/>
      </c>
      <c r="F6" s="984">
        <f>IF(NOT(ISNUMBER(MIETER!F11)),"",MIETER!F11)</f>
        <v/>
      </c>
      <c r="G6" s="962" t="n"/>
      <c r="H6" s="963" t="n"/>
      <c r="I6" s="963" t="n"/>
      <c r="J6" s="963" t="n"/>
      <c r="K6" s="985">
        <f>IF(OR(NOT(ISNUMBER(F6)),NOT(ISNUMBER(J6)),NOT(ISNUMBER($H$29)),$H$29=0),"",J6/$H$29)</f>
        <v/>
      </c>
      <c r="L6" s="965" t="n"/>
      <c r="M6" s="986">
        <f>IF(OR(NOT(ISNUMBER(F6)),F6=0,NOT(ISNUMBER(VERKAUFSMATRIX!U9))),"",VERKAUFSMATRIX!U9/F6)</f>
        <v/>
      </c>
      <c r="N6" s="987">
        <f>IF(OR(NOT(ISNUMBER(L6)),NOT(ISNUMBER(M6)),M6=0),"",L6/M6-1)</f>
        <v/>
      </c>
      <c r="O6" s="968" t="n"/>
      <c r="P6" s="988">
        <f>IF(OR(NOT(ISNUMBER(F6)),NOT(ISNUMBER(L6))),"",F6*L6+N(O6))</f>
        <v/>
      </c>
      <c r="Q6" s="970" t="n"/>
      <c r="R6" s="970" t="n"/>
      <c r="S6" s="988">
        <f>IF(NOT(ISNUMBER(P6)),"",P6+N(Q6)+N(R6))</f>
        <v/>
      </c>
      <c r="T6" s="971" t="n"/>
      <c r="U6" s="985">
        <f>IF(NOT(ISNUMBER(F6)),"",IF(ISNUMBER(T6),T6,IF(NOT(ISNUMBER($H$26)),"",$H$26)))</f>
        <v/>
      </c>
      <c r="V6" s="988">
        <f>IF(OR(NOT(ISNUMBER(S6)),NOT(ISNUMBER(U6))),"",S6*U6)</f>
        <v/>
      </c>
      <c r="W6" s="988">
        <f>IF(OR(NOT(ISNUMBER(S6)),NOT(ISNUMBER(U6))),"",S6*(1+U6))</f>
        <v/>
      </c>
      <c r="X6" s="988">
        <f>IF(NOT(ISNUMBER(W6)),"",W6-N(Q6)-N(R6))</f>
        <v/>
      </c>
      <c r="Y6" s="986">
        <f>IF(OR(NOT(ISNUMBER(S6)),NOT(ISNUMBER(F6)),F6=0),"",S6/F6)</f>
        <v/>
      </c>
      <c r="Z6" s="986">
        <f>IF(OR(NOT(ISNUMBER(X6)),NOT(ISNUMBER(F6)),F6=0),"",X6/F6)</f>
        <v/>
      </c>
      <c r="AA6" s="988">
        <f>IF(OR(NOT(ISNUMBER(X6)),NOT(ISNUMBER($H$34))),"",X6*MAX(1,$H$34))</f>
        <v/>
      </c>
      <c r="AB6" s="988">
        <f>IF(OR(NOT(ISNUMBER(W6)),NOT(ISNUMBER($H$34)),NOT(ISNUMBER($C$36))),"",W6*MAX(1,$H$34)*$C$36)</f>
        <v/>
      </c>
      <c r="AC6" s="988">
        <f>IF(OR(NOT(ISNUMBER(W6)),NOT(ISNUMBER(AB6))),"",W6+AB6)</f>
        <v/>
      </c>
      <c r="AD6" s="988">
        <f>IF(OR(NOT(ISNUMBER(W6)),NOT(ISNUMBER($H$34))),"",W6*$H$34)</f>
        <v/>
      </c>
      <c r="AE6" s="988">
        <f>IF(OR(NOT(ISNUMBER(AC6)),NOT(ISNUMBER(AD6))),"",MAX(0,AC6-AD6))</f>
        <v/>
      </c>
      <c r="AF6" s="988">
        <f>IF(OR(NOT(ISNUMBER(AD6)),NOT(ISNUMBER(W6))),"",AD6-W6)</f>
        <v/>
      </c>
      <c r="AG6" s="972" t="n"/>
      <c r="AH6" s="989">
        <f>IF(OR(NOT(ISNUMBER(MIETER!F11)),$G6="ja"),"",IF(NOT(ISNUMBER(MIETER!J11)),"",IF(ISNUMBER(AG6),MAX(MIETER!J11,AG6),MIETER!J11)))</f>
        <v/>
      </c>
      <c r="AI6" s="972" t="n"/>
      <c r="AJ6" s="989">
        <f>IF(OR(NOT(ISNUMBER(AH6)),NOT(ISNUMBER(AI6))),"",MAX(0,AI6-AH6))</f>
        <v/>
      </c>
      <c r="AK6" s="972" t="n"/>
      <c r="AL6" s="972" t="n"/>
      <c r="AM6" s="972" t="n"/>
      <c r="AN6" s="989">
        <f>IF(NOT(ISNUMBER(F6)),"",IF(AND(NOT(ISNUMBER(AH6)),NOT(ISNUMBER(AL6)),NOT(ISNUMBER(AM6))),"",N(AH6)+N(AL6)+N(AM6)))</f>
        <v/>
      </c>
      <c r="AO6" s="989">
        <f>IF(OR($G6="ja",NOT(ISNUMBER(AH6)),NOT(ISNUMBER(AN6))),"",AN6+N(AJ6))</f>
        <v/>
      </c>
      <c r="AP6" s="990">
        <f>IF(OR(NOT(ISNUMBER(AH6)),NOT(ISNUMBER(F6)),F6=0),"",AH6/F6)</f>
        <v/>
      </c>
      <c r="AQ6" s="991">
        <f>IF(OR(NOT(ISNUMBER(MIETER!F11)),NOT(ISNUMBER(MIETER!I11))),"",MIETER!I11)</f>
        <v/>
      </c>
      <c r="AR6" s="991">
        <f>IF(OR(NOT(ISNUMBER(AQ6)),$G6="ja",NOT(ISNUMBER($H$35))),"",EDATE(AQ6,$H$35))</f>
        <v/>
      </c>
      <c r="AS6" s="963" t="n"/>
      <c r="AT6" s="982">
        <f>IF(NOT(ISNUMBER(F6)),"",IF(ISNUMBER(AS6),AS6,IF(NOT(ISNUMBER(AR6)),"",MAX(0,(YEAR(AR6)-YEAR(TODAY()))*12+MONTH(AR6)-MONTH(TODAY())))))</f>
        <v/>
      </c>
      <c r="AU6" s="988">
        <f>IF(NOT(ISNUMBER(AT6)),"",IF(ISNUMBER(AK6),AK6*AT6,IF(NOT(ISNUMBER(AJ6)),"",AJ6*AT6)))</f>
        <v/>
      </c>
      <c r="AV6" s="988">
        <f>IF(OR(NOT(ISNUMBER(AH6)),NOT(ISNUMBER(MIETER!$P$6))),"",ROUND(AH6*(1+MIETER!$P$6)^2,0))</f>
        <v/>
      </c>
      <c r="AW6" s="976" t="n"/>
      <c r="AX6" s="972" t="n"/>
      <c r="AY6" s="989">
        <f>IF(NOT(ISNUMBER(F6)),"",IF(ISNUMBER(AX6),AX6,IF(AND(ISNUMBER(AW6),ISNUMBER(AH6),AH6&gt;0),AH6*AW6,IF(OR(NOT(ISNUMBER($C$62)),NOT(ISNUMBER($C$64))),"",$C$62+$C$64*F6/12))))</f>
        <v/>
      </c>
      <c r="AZ6" s="972" t="n"/>
      <c r="BA6" s="989">
        <f>IF(NOT(ISNUMBER(AY6)),"",IF(ISNUMBER(AZ6),MIN(AY6,AZ6),IF(OR(NOT(ISNUMBER(F6)),NOT(ISNUMBER($C$64))),0,MIN(AY6,$C$64*F6/12))))</f>
        <v/>
      </c>
      <c r="BB6" s="987">
        <f>IF(OR(NOT(ISNUMBER(AY6)),NOT(ISNUMBER(AH6)),AH6=0),"",AY6/AH6)</f>
        <v/>
      </c>
      <c r="BC6" s="989">
        <f>IF(NOT(ISNUMBER(AH6)),"",AH6*0.01)</f>
        <v/>
      </c>
      <c r="BD6" s="988">
        <f>IF(OR(NOT(ISNUMBER(AH6)),NOT(ISNUMBER($C$28)),NOT(ISNUMBER(BY6)),BY6&lt;=0),"",AH6*0.01*(1-$C$28)/BY6)</f>
        <v/>
      </c>
      <c r="BE6" s="988">
        <f>IF(OR(NOT(ISNUMBER(K6)),NOT(ISNUMBER($H$30))),"",$H$30*K6)</f>
        <v/>
      </c>
      <c r="BF6" s="971" t="n"/>
      <c r="BG6" s="985">
        <f>IF(OR(NOT(ISNUMBER(BE6)),NOT(ISNUMBER(X6)),X6&lt;=0),"",1-BE6/X6)</f>
        <v/>
      </c>
      <c r="BH6" s="985">
        <f>IF(NOT(ISNUMBER(X6)),"",IF(ISNUMBER(BF6),BF6,IF(AND(ISNUMBER(BE6),ISNUMBER(AA6),AA6&gt;0),1-BE6/AA6,IF(NOT(ISNUMBER($C$31)),"",$C$31))))</f>
        <v/>
      </c>
      <c r="BI6" s="983">
        <f>IF(NOT(ISNUMBER(F6)),"",IF(ISNUMBER(BF6),"vertrag",IF(ISNUMBER(BE6),"berechnet","standard")))</f>
        <v/>
      </c>
      <c r="BJ6" s="971" t="n"/>
      <c r="BK6" s="985">
        <f>IF(NOT(ISNUMBER(F6)),"",IF(ISNUMBER(BJ6),BJ6,IF(NOT(ISNUMBER($C$30)),"",$C$30)))</f>
        <v/>
      </c>
      <c r="BL6" s="988">
        <f>IF(OR(NOT(ISNUMBER(AA6)),NOT(ISNUMBER(BH6)),NOT(ISNUMBER($C$36))),"",AA6*(1+$C$36)*BH6)</f>
        <v/>
      </c>
      <c r="BM6" s="989">
        <f>IF(OR(NOT(ISNUMBER(BL6)),NOT(ISNUMBER(BK6)),NOT(ISNUMBER($C$36)),NOT(ISNUMBER($H$34))),"",(BL6*BK6+N(Q6)*MAX(1,$H$34)*(1+$C$36)*N($H$31)+N(R6)*MAX(1,$H$34)*(1+$C$36)*N($H$32))/12)</f>
        <v/>
      </c>
      <c r="BN6" s="989">
        <f>IF(OR(NOT(ISNUMBER(AD6)),NOT(ISNUMBER($C$26))),"",AD6*$C$26/12)</f>
        <v/>
      </c>
      <c r="BO6" s="988">
        <f>IF(OR(NOT(ISNUMBER(AD6)),NOT(ISNUMBER($C$26)),NOT(ISNUMBER($C$27))),"",ROUND(AD6*($C$26+$C$27)/12,0))</f>
        <v/>
      </c>
      <c r="BP6" s="992">
        <f>IF(OR(NOT(ISNUMBER(AO6)),NOT(ISNUMBER(BM6)),NOT(ISNUMBER(BN6)),NOT(ISNUMBER(AY6))),"",AO6-BN6-BM6-(AY6-N(BA6)))</f>
        <v/>
      </c>
      <c r="BQ6" s="993">
        <f>IF(OR(NOT(ISNUMBER(BP6)),NOT(ISNUMBER($C$28))),"",ROUND(-BP6*$C$28,0))</f>
        <v/>
      </c>
      <c r="BR6" s="989">
        <f>IF(OR(NOT(ISNUMBER(BA6)),NOT(ISNUMBER($C$28))),"",BA6*$C$28)</f>
        <v/>
      </c>
      <c r="BS6" s="993">
        <f>IF(OR(NOT(ISNUMBER(AO6)),NOT(ISNUMBER(BO6)),NOT(ISNUMBER(AY6))),"",ROUND(AO6,0)-BO6-ROUND(AY6,0))</f>
        <v/>
      </c>
      <c r="BT6" s="993">
        <f>IF(OR(NOT(ISNUMBER(BS6)),NOT(ISNUMBER(BQ6))),"",BS6+BQ6)</f>
        <v/>
      </c>
      <c r="BU6" s="993">
        <f>IF(OR(NOT(ISNUMBER(AN6)),NOT(ISNUMBER(BO6)),NOT(ISNUMBER(AY6)),NOT(ISNUMBER(BP6)),NOT(ISNUMBER($C$28))),"",ROUND(AN6,0)-BO6-ROUND(AY6,0)+ROUND(-(BP6-N(AJ6))*$C$28,0))</f>
        <v/>
      </c>
      <c r="BV6" s="992">
        <f>IF(OR(NOT(ISNUMBER(AO6)),NOT(ISNUMBER(AY6)),NOT(ISNUMBER(BK6)),NOT(ISNUMBER($C$28)),NOT(ISNUMBER($C$36))),"",(AO6-AY6)*(1-$C$28)-$C$28*N(BA6)-IF(BI6="berechnet",$C$28*(1+$C$36)*BK6*N(BE6)/12,0))</f>
        <v/>
      </c>
      <c r="BW6" s="992">
        <f>IF(OR(NOT(ISNUMBER(F6)),NOT(ISNUMBER($C$26)),NOT(ISNUMBER($C$27)),NOT(ISNUMBER($C$28)),NOT(ISNUMBER($C$36))),"",($C$28*(1+$C$36)*(N(Q6)*N($H$31)+N(R6)*N($H$32))-(N(Q6)+N(R6))*(($C$26+$C$27)-$C$28*$C$26))/12)</f>
        <v/>
      </c>
      <c r="BX6" s="994">
        <f>IF(OR(NOT(ISNUMBER(BK6)),NOT(ISNUMBER($C$26)),NOT(ISNUMBER($C$27)),NOT(ISNUMBER($C$28)),NOT(ISNUMBER($C$36)),BI6=""),"",(($C$26+$C$27)-$C$28*$C$26-$C$28*(1+$C$36)*BK6*IF(BI6="berechnet",1,IF(BI6="vertrag",BF6,$C$31)))/12)</f>
        <v/>
      </c>
      <c r="BY6" s="994">
        <f>IF(OR(NOT(ISNUMBER(BX6)),NOT(ISNUMBER($C$34))),"",$C$34*BX6)</f>
        <v/>
      </c>
      <c r="BZ6" s="988">
        <f>IF(OR($G6="ja",NOT(ISNUMBER(AH6)),NOT(ISNUMBER(BV6)),NOT(ISNUMBER(BW6)),NOT(ISNUMBER(BX6)),BX6&lt;=0),"",(BV6-N($C$32)+BW6)/BX6)</f>
        <v/>
      </c>
      <c r="CA6" s="988">
        <f>IF(OR($G6="ja",NOT(ISNUMBER(AH6)),NOT(ISNUMBER(BV6)),NOT(ISNUMBER(BW6)),NOT(ISNUMBER(BY6)),BY6&lt;=0,NOT(ISNUMBER($C$34))),"",(BV6-N($C$32)+BW6*$C$34)/BY6)</f>
        <v/>
      </c>
      <c r="CB6" s="988">
        <f>IF(OR(NOT(ISNUMBER(CA6)),NOT(ISNUMBER($C$28))),"",CA6-N(AJ6)*(1-$C$28)/BY6)</f>
        <v/>
      </c>
      <c r="CC6" s="986">
        <f>IF(OR(NOT(ISNUMBER(CA6)),NOT(ISNUMBER(U6)),U6&lt;=-1,NOT(ISNUMBER(F6)),F6=0),"",((CA6+N(Q6)+N(R6))/(1+U6)-N(Q6)-N(R6)-N(O6))/F6)</f>
        <v/>
      </c>
      <c r="CD6" s="995">
        <f>IF(OR(NOT(ISNUMBER(L6)),NOT(ISNUMBER(CC6))),"",L6-CC6)</f>
        <v/>
      </c>
      <c r="CE6" s="996">
        <f>IF(OR(NOT(ISNUMBER(W6)),NOT(ISNUMBER(AN6)),AN6=0),"",W6/(AN6*12))</f>
        <v/>
      </c>
      <c r="CF6" s="985">
        <f>IF(OR(NOT(ISNUMBER(W6)),NOT(ISNUMBER(AN6)),W6=0),"",AN6*12/W6)</f>
        <v/>
      </c>
      <c r="CG6" s="983">
        <f>IF(NOT(ISNUMBER(F6)),"",IF($G6="ja","GRAU: Leerstand - keine Mietbasis",IF(AND(ISNUMBER(AH6),AH6=0),"GRAU: Ist-Miete 0 - Leerstand pruefen",IF(NOT(ISNUMBER(AH6)),"GRAU: Wohnungsmiete fehlt",IF(NOT(ISNUMBER(AJ6)),"GRAU: keine Sollmiete/Mietspiegel",IF(AND(ISNUMBER(AW6),ISNUMBER(AX6)),"GRAU: zwei Hausgeld-Quellen gesetzt",IF(AND(OR(ISNUMBER(AX6),ISNUMBER(AW6)),NOT(ISNUMBER(AZ6))),"GRAU: Ruecklagenanteil fehlt",IF(AND(AJ6&gt;0,NOT(ISNUMBER(AT6))),"GRAU: Subventionsdauer unbekannt",IF(AND(ISNUMBER(BH6),BH6&lt;=0),"ROT: Bodenwert uebersteigt Kaufpreis - Daten pruefen",IF(NOT(ISNUMBER(BT6)),"GRAU: Cashflow nicht rechenbar",IF(NOT(ISNUMBER(BZ6)),"GRAU: max. tragbar nicht rechenbar",IF(BZ6&lt;=0,"ROT: kein tragbarer Preis bei diesem Ziel-Cashflow",IF(AND(BI6="berechnet",BZ6&lt;BE6),"ROT: max. tragbar unter Bodenwert - Modell nicht gueltig",IF(X6&lt;=BZ6-N(AJ6)*(1-$C$28)/BX6,"GRUEN: Preis unter max. tragbar (auch ohne Subvention)",IF(X6&lt;=BZ6,"GELB: nur mit Subvention tragbar",IF(X6&lt;=BZ6*(1+N($H$33)),"GELB: bis Toleranz darueber","ROT: deutlich ueber max. tragbar"))))))))))))))))</f>
        <v/>
      </c>
      <c r="CH6" s="983">
        <f>IF(NOT(ISNUMBER(F6)),"",IF($G6="ja","GRAU: Leerstand - keine Mietbasis",IF(AND(ISNUMBER(AH6),AH6=0),"GRAU: Ist-Miete 0 - Leerstand pruefen",IF(NOT(ISNUMBER(AH6)),"GRAU: Wohnungsmiete fehlt",IF(NOT(ISNUMBER(AJ6)),"GRAU: keine Sollmiete/Mietspiegel",IF(AND(ISNUMBER(AW6),ISNUMBER(AX6)),"GRAU: zwei Hausgeld-Quellen gesetzt",IF(AND(OR(ISNUMBER(AX6),ISNUMBER(AW6)),NOT(ISNUMBER(AZ6))),"GRAU: Ruecklagenanteil fehlt",IF(AND(AJ6&gt;0,NOT(ISNUMBER(AT6))),"GRAU: Subventionsdauer unbekannt",IF(AND(ISNUMBER(BH6),BH6&lt;=0),"ROT: Bodenwert uebersteigt Kaufpreis - Daten pruefen",IF(NOT(ISNUMBER(BT6)),"GRAU: Cashflow nicht rechenbar",IF(NOT(ISNUMBER(CA6)),"GRAU: max. tragbar nicht rechenbar",IF(CA6&lt;=0,"ROT: kein tragbarer Preis bei diesem Ziel-Cashflow",IF(AND(BI6="berechnet",CA6&lt;BE6),"ROT: max. tragbar unter Bodenwert - Modell nicht gueltig",IF(X6&lt;=CB6,"GRUEN: Preis unter max. tragbar (auch ohne Subvention)",IF(X6&lt;=CA6,"GELB: nur mit Subvention tragbar",IF(X6&lt;=CA6*(1+N($H$33)),"GELB: bis Toleranz darueber","ROT: deutlich ueber max. tragbar"))))))))))))))))</f>
        <v/>
      </c>
    </row>
    <row r="7" s="545">
      <c r="A7" s="959">
        <f>IF(NOT(ISNUMBER(MIETER!F12)),"",ROW()-2)</f>
        <v/>
      </c>
      <c r="B7" s="960">
        <f>IF(NOT(ISNUMBER(MIETER!F12)),"",IF(MIETER!A12="","",MIETER!A12))</f>
        <v/>
      </c>
      <c r="C7" s="960">
        <f>IF(NOT(ISNUMBER(MIETER!F12)),"",IF(MIETER!B12="","",MIETER!B12))</f>
        <v/>
      </c>
      <c r="D7" s="960">
        <f>IF(NOT(ISNUMBER(MIETER!F12)),"",IF(MIETER!C12="","",MIETER!C12))</f>
        <v/>
      </c>
      <c r="E7" s="960">
        <f>IF(NOT(ISNUMBER(MIETER!F12)),"",IF(MIETER!D12="","",MIETER!D12))</f>
        <v/>
      </c>
      <c r="F7" s="961">
        <f>IF(NOT(ISNUMBER(MIETER!F12)),"",MIETER!F12)</f>
        <v/>
      </c>
      <c r="G7" s="962" t="n"/>
      <c r="H7" s="963" t="n"/>
      <c r="I7" s="963" t="n"/>
      <c r="J7" s="963" t="n"/>
      <c r="K7" s="964">
        <f>IF(OR(NOT(ISNUMBER(F7)),NOT(ISNUMBER(J7)),NOT(ISNUMBER($H$29)),$H$29=0),"",J7/$H$29)</f>
        <v/>
      </c>
      <c r="L7" s="965" t="n"/>
      <c r="M7" s="966">
        <f>IF(OR(NOT(ISNUMBER(F7)),F7=0,NOT(ISNUMBER(VERKAUFSMATRIX!U10))),"",VERKAUFSMATRIX!U10/F7)</f>
        <v/>
      </c>
      <c r="N7" s="967">
        <f>IF(OR(NOT(ISNUMBER(L7)),NOT(ISNUMBER(M7)),M7=0),"",L7/M7-1)</f>
        <v/>
      </c>
      <c r="O7" s="968" t="n"/>
      <c r="P7" s="969">
        <f>IF(OR(NOT(ISNUMBER(F7)),NOT(ISNUMBER(L7))),"",F7*L7+N(O7))</f>
        <v/>
      </c>
      <c r="Q7" s="970" t="n"/>
      <c r="R7" s="970" t="n"/>
      <c r="S7" s="969">
        <f>IF(NOT(ISNUMBER(P7)),"",P7+N(Q7)+N(R7))</f>
        <v/>
      </c>
      <c r="T7" s="971" t="n"/>
      <c r="U7" s="964">
        <f>IF(NOT(ISNUMBER(F7)),"",IF(ISNUMBER(T7),T7,IF(NOT(ISNUMBER($H$26)),"",$H$26)))</f>
        <v/>
      </c>
      <c r="V7" s="969">
        <f>IF(OR(NOT(ISNUMBER(S7)),NOT(ISNUMBER(U7))),"",S7*U7)</f>
        <v/>
      </c>
      <c r="W7" s="969">
        <f>IF(OR(NOT(ISNUMBER(S7)),NOT(ISNUMBER(U7))),"",S7*(1+U7))</f>
        <v/>
      </c>
      <c r="X7" s="969">
        <f>IF(NOT(ISNUMBER(W7)),"",W7-N(Q7)-N(R7))</f>
        <v/>
      </c>
      <c r="Y7" s="966">
        <f>IF(OR(NOT(ISNUMBER(S7)),NOT(ISNUMBER(F7)),F7=0),"",S7/F7)</f>
        <v/>
      </c>
      <c r="Z7" s="966">
        <f>IF(OR(NOT(ISNUMBER(X7)),NOT(ISNUMBER(F7)),F7=0),"",X7/F7)</f>
        <v/>
      </c>
      <c r="AA7" s="969">
        <f>IF(OR(NOT(ISNUMBER(X7)),NOT(ISNUMBER($H$34))),"",X7*MAX(1,$H$34))</f>
        <v/>
      </c>
      <c r="AB7" s="969">
        <f>IF(OR(NOT(ISNUMBER(W7)),NOT(ISNUMBER($H$34)),NOT(ISNUMBER($C$36))),"",W7*MAX(1,$H$34)*$C$36)</f>
        <v/>
      </c>
      <c r="AC7" s="969">
        <f>IF(OR(NOT(ISNUMBER(W7)),NOT(ISNUMBER(AB7))),"",W7+AB7)</f>
        <v/>
      </c>
      <c r="AD7" s="969">
        <f>IF(OR(NOT(ISNUMBER(W7)),NOT(ISNUMBER($H$34))),"",W7*$H$34)</f>
        <v/>
      </c>
      <c r="AE7" s="969">
        <f>IF(OR(NOT(ISNUMBER(AC7)),NOT(ISNUMBER(AD7))),"",MAX(0,AC7-AD7))</f>
        <v/>
      </c>
      <c r="AF7" s="969">
        <f>IF(OR(NOT(ISNUMBER(AD7)),NOT(ISNUMBER(W7))),"",AD7-W7)</f>
        <v/>
      </c>
      <c r="AG7" s="972" t="n"/>
      <c r="AH7" s="973">
        <f>IF(OR(NOT(ISNUMBER(MIETER!F12)),$G7="ja"),"",IF(NOT(ISNUMBER(MIETER!J12)),"",IF(ISNUMBER(AG7),MAX(MIETER!J12,AG7),MIETER!J12)))</f>
        <v/>
      </c>
      <c r="AI7" s="972" t="n"/>
      <c r="AJ7" s="973">
        <f>IF(OR(NOT(ISNUMBER(AH7)),NOT(ISNUMBER(AI7))),"",MAX(0,AI7-AH7))</f>
        <v/>
      </c>
      <c r="AK7" s="972" t="n"/>
      <c r="AL7" s="972" t="n"/>
      <c r="AM7" s="972" t="n"/>
      <c r="AN7" s="973">
        <f>IF(NOT(ISNUMBER(F7)),"",IF(AND(NOT(ISNUMBER(AH7)),NOT(ISNUMBER(AL7)),NOT(ISNUMBER(AM7))),"",N(AH7)+N(AL7)+N(AM7)))</f>
        <v/>
      </c>
      <c r="AO7" s="973">
        <f>IF(OR($G7="ja",NOT(ISNUMBER(AH7)),NOT(ISNUMBER(AN7))),"",AN7+N(AJ7))</f>
        <v/>
      </c>
      <c r="AP7" s="974">
        <f>IF(OR(NOT(ISNUMBER(AH7)),NOT(ISNUMBER(F7)),F7=0),"",AH7/F7)</f>
        <v/>
      </c>
      <c r="AQ7" s="975">
        <f>IF(OR(NOT(ISNUMBER(MIETER!F12)),NOT(ISNUMBER(MIETER!I12))),"",MIETER!I12)</f>
        <v/>
      </c>
      <c r="AR7" s="975">
        <f>IF(OR(NOT(ISNUMBER(AQ7)),$G7="ja",NOT(ISNUMBER($H$35))),"",EDATE(AQ7,$H$35))</f>
        <v/>
      </c>
      <c r="AS7" s="963" t="n"/>
      <c r="AT7" s="959">
        <f>IF(NOT(ISNUMBER(F7)),"",IF(ISNUMBER(AS7),AS7,IF(NOT(ISNUMBER(AR7)),"",MAX(0,(YEAR(AR7)-YEAR(TODAY()))*12+MONTH(AR7)-MONTH(TODAY())))))</f>
        <v/>
      </c>
      <c r="AU7" s="969">
        <f>IF(NOT(ISNUMBER(AT7)),"",IF(ISNUMBER(AK7),AK7*AT7,IF(NOT(ISNUMBER(AJ7)),"",AJ7*AT7)))</f>
        <v/>
      </c>
      <c r="AV7" s="969">
        <f>IF(OR(NOT(ISNUMBER(AH7)),NOT(ISNUMBER(MIETER!$P$6))),"",ROUND(AH7*(1+MIETER!$P$6)^2,0))</f>
        <v/>
      </c>
      <c r="AW7" s="976" t="n"/>
      <c r="AX7" s="972" t="n"/>
      <c r="AY7" s="973">
        <f>IF(NOT(ISNUMBER(F7)),"",IF(ISNUMBER(AX7),AX7,IF(AND(ISNUMBER(AW7),ISNUMBER(AH7),AH7&gt;0),AH7*AW7,IF(OR(NOT(ISNUMBER($C$62)),NOT(ISNUMBER($C$64))),"",$C$62+$C$64*F7/12))))</f>
        <v/>
      </c>
      <c r="AZ7" s="972" t="n"/>
      <c r="BA7" s="973">
        <f>IF(NOT(ISNUMBER(AY7)),"",IF(ISNUMBER(AZ7),MIN(AY7,AZ7),IF(OR(NOT(ISNUMBER(F7)),NOT(ISNUMBER($C$64))),0,MIN(AY7,$C$64*F7/12))))</f>
        <v/>
      </c>
      <c r="BB7" s="967">
        <f>IF(OR(NOT(ISNUMBER(AY7)),NOT(ISNUMBER(AH7)),AH7=0),"",AY7/AH7)</f>
        <v/>
      </c>
      <c r="BC7" s="973">
        <f>IF(NOT(ISNUMBER(AH7)),"",AH7*0.01)</f>
        <v/>
      </c>
      <c r="BD7" s="969">
        <f>IF(OR(NOT(ISNUMBER(AH7)),NOT(ISNUMBER($C$28)),NOT(ISNUMBER(BY7)),BY7&lt;=0),"",AH7*0.01*(1-$C$28)/BY7)</f>
        <v/>
      </c>
      <c r="BE7" s="969">
        <f>IF(OR(NOT(ISNUMBER(K7)),NOT(ISNUMBER($H$30))),"",$H$30*K7)</f>
        <v/>
      </c>
      <c r="BF7" s="971" t="n"/>
      <c r="BG7" s="964">
        <f>IF(OR(NOT(ISNUMBER(BE7)),NOT(ISNUMBER(X7)),X7&lt;=0),"",1-BE7/X7)</f>
        <v/>
      </c>
      <c r="BH7" s="964">
        <f>IF(NOT(ISNUMBER(X7)),"",IF(ISNUMBER(BF7),BF7,IF(AND(ISNUMBER(BE7),ISNUMBER(AA7),AA7&gt;0),1-BE7/AA7,IF(NOT(ISNUMBER($C$31)),"",$C$31))))</f>
        <v/>
      </c>
      <c r="BI7" s="960">
        <f>IF(NOT(ISNUMBER(F7)),"",IF(ISNUMBER(BF7),"vertrag",IF(ISNUMBER(BE7),"berechnet","standard")))</f>
        <v/>
      </c>
      <c r="BJ7" s="971" t="n"/>
      <c r="BK7" s="964">
        <f>IF(NOT(ISNUMBER(F7)),"",IF(ISNUMBER(BJ7),BJ7,IF(NOT(ISNUMBER($C$30)),"",$C$30)))</f>
        <v/>
      </c>
      <c r="BL7" s="969">
        <f>IF(OR(NOT(ISNUMBER(AA7)),NOT(ISNUMBER(BH7)),NOT(ISNUMBER($C$36))),"",AA7*(1+$C$36)*BH7)</f>
        <v/>
      </c>
      <c r="BM7" s="973">
        <f>IF(OR(NOT(ISNUMBER(BL7)),NOT(ISNUMBER(BK7)),NOT(ISNUMBER($C$36)),NOT(ISNUMBER($H$34))),"",(BL7*BK7+N(Q7)*MAX(1,$H$34)*(1+$C$36)*N($H$31)+N(R7)*MAX(1,$H$34)*(1+$C$36)*N($H$32))/12)</f>
        <v/>
      </c>
      <c r="BN7" s="973">
        <f>IF(OR(NOT(ISNUMBER(AD7)),NOT(ISNUMBER($C$26))),"",AD7*$C$26/12)</f>
        <v/>
      </c>
      <c r="BO7" s="969">
        <f>IF(OR(NOT(ISNUMBER(AD7)),NOT(ISNUMBER($C$26)),NOT(ISNUMBER($C$27))),"",ROUND(AD7*($C$26+$C$27)/12,0))</f>
        <v/>
      </c>
      <c r="BP7" s="977">
        <f>IF(OR(NOT(ISNUMBER(AO7)),NOT(ISNUMBER(BM7)),NOT(ISNUMBER(BN7)),NOT(ISNUMBER(AY7))),"",AO7-BN7-BM7-(AY7-N(BA7)))</f>
        <v/>
      </c>
      <c r="BQ7" s="978">
        <f>IF(OR(NOT(ISNUMBER(BP7)),NOT(ISNUMBER($C$28))),"",ROUND(-BP7*$C$28,0))</f>
        <v/>
      </c>
      <c r="BR7" s="973">
        <f>IF(OR(NOT(ISNUMBER(BA7)),NOT(ISNUMBER($C$28))),"",BA7*$C$28)</f>
        <v/>
      </c>
      <c r="BS7" s="978">
        <f>IF(OR(NOT(ISNUMBER(AO7)),NOT(ISNUMBER(BO7)),NOT(ISNUMBER(AY7))),"",ROUND(AO7,0)-BO7-ROUND(AY7,0))</f>
        <v/>
      </c>
      <c r="BT7" s="978">
        <f>IF(OR(NOT(ISNUMBER(BS7)),NOT(ISNUMBER(BQ7))),"",BS7+BQ7)</f>
        <v/>
      </c>
      <c r="BU7" s="978">
        <f>IF(OR(NOT(ISNUMBER(AN7)),NOT(ISNUMBER(BO7)),NOT(ISNUMBER(AY7)),NOT(ISNUMBER(BP7)),NOT(ISNUMBER($C$28))),"",ROUND(AN7,0)-BO7-ROUND(AY7,0)+ROUND(-(BP7-N(AJ7))*$C$28,0))</f>
        <v/>
      </c>
      <c r="BV7" s="977">
        <f>IF(OR(NOT(ISNUMBER(AO7)),NOT(ISNUMBER(AY7)),NOT(ISNUMBER(BK7)),NOT(ISNUMBER($C$28)),NOT(ISNUMBER($C$36))),"",(AO7-AY7)*(1-$C$28)-$C$28*N(BA7)-IF(BI7="berechnet",$C$28*(1+$C$36)*BK7*N(BE7)/12,0))</f>
        <v/>
      </c>
      <c r="BW7" s="977">
        <f>IF(OR(NOT(ISNUMBER(F7)),NOT(ISNUMBER($C$26)),NOT(ISNUMBER($C$27)),NOT(ISNUMBER($C$28)),NOT(ISNUMBER($C$36))),"",($C$28*(1+$C$36)*(N(Q7)*N($H$31)+N(R7)*N($H$32))-(N(Q7)+N(R7))*(($C$26+$C$27)-$C$28*$C$26))/12)</f>
        <v/>
      </c>
      <c r="BX7" s="979">
        <f>IF(OR(NOT(ISNUMBER(BK7)),NOT(ISNUMBER($C$26)),NOT(ISNUMBER($C$27)),NOT(ISNUMBER($C$28)),NOT(ISNUMBER($C$36)),BI7=""),"",(($C$26+$C$27)-$C$28*$C$26-$C$28*(1+$C$36)*BK7*IF(BI7="berechnet",1,IF(BI7="vertrag",BF7,$C$31)))/12)</f>
        <v/>
      </c>
      <c r="BY7" s="979">
        <f>IF(OR(NOT(ISNUMBER(BX7)),NOT(ISNUMBER($C$34))),"",$C$34*BX7)</f>
        <v/>
      </c>
      <c r="BZ7" s="969">
        <f>IF(OR($G7="ja",NOT(ISNUMBER(AH7)),NOT(ISNUMBER(BV7)),NOT(ISNUMBER(BW7)),NOT(ISNUMBER(BX7)),BX7&lt;=0),"",(BV7-N($C$32)+BW7)/BX7)</f>
        <v/>
      </c>
      <c r="CA7" s="969">
        <f>IF(OR($G7="ja",NOT(ISNUMBER(AH7)),NOT(ISNUMBER(BV7)),NOT(ISNUMBER(BW7)),NOT(ISNUMBER(BY7)),BY7&lt;=0,NOT(ISNUMBER($C$34))),"",(BV7-N($C$32)+BW7*$C$34)/BY7)</f>
        <v/>
      </c>
      <c r="CB7" s="969">
        <f>IF(OR(NOT(ISNUMBER(CA7)),NOT(ISNUMBER($C$28))),"",CA7-N(AJ7)*(1-$C$28)/BY7)</f>
        <v/>
      </c>
      <c r="CC7" s="966">
        <f>IF(OR(NOT(ISNUMBER(CA7)),NOT(ISNUMBER(U7)),U7&lt;=-1,NOT(ISNUMBER(F7)),F7=0),"",((CA7+N(Q7)+N(R7))/(1+U7)-N(Q7)-N(R7)-N(O7))/F7)</f>
        <v/>
      </c>
      <c r="CD7" s="980">
        <f>IF(OR(NOT(ISNUMBER(L7)),NOT(ISNUMBER(CC7))),"",L7-CC7)</f>
        <v/>
      </c>
      <c r="CE7" s="981">
        <f>IF(OR(NOT(ISNUMBER(W7)),NOT(ISNUMBER(AN7)),AN7=0),"",W7/(AN7*12))</f>
        <v/>
      </c>
      <c r="CF7" s="964">
        <f>IF(OR(NOT(ISNUMBER(W7)),NOT(ISNUMBER(AN7)),W7=0),"",AN7*12/W7)</f>
        <v/>
      </c>
      <c r="CG7" s="960">
        <f>IF(NOT(ISNUMBER(F7)),"",IF($G7="ja","GRAU: Leerstand - keine Mietbasis",IF(AND(ISNUMBER(AH7),AH7=0),"GRAU: Ist-Miete 0 - Leerstand pruefen",IF(NOT(ISNUMBER(AH7)),"GRAU: Wohnungsmiete fehlt",IF(NOT(ISNUMBER(AJ7)),"GRAU: keine Sollmiete/Mietspiegel",IF(AND(ISNUMBER(AW7),ISNUMBER(AX7)),"GRAU: zwei Hausgeld-Quellen gesetzt",IF(AND(OR(ISNUMBER(AX7),ISNUMBER(AW7)),NOT(ISNUMBER(AZ7))),"GRAU: Ruecklagenanteil fehlt",IF(AND(AJ7&gt;0,NOT(ISNUMBER(AT7))),"GRAU: Subventionsdauer unbekannt",IF(AND(ISNUMBER(BH7),BH7&lt;=0),"ROT: Bodenwert uebersteigt Kaufpreis - Daten pruefen",IF(NOT(ISNUMBER(BT7)),"GRAU: Cashflow nicht rechenbar",IF(NOT(ISNUMBER(BZ7)),"GRAU: max. tragbar nicht rechenbar",IF(BZ7&lt;=0,"ROT: kein tragbarer Preis bei diesem Ziel-Cashflow",IF(AND(BI7="berechnet",BZ7&lt;BE7),"ROT: max. tragbar unter Bodenwert - Modell nicht gueltig",IF(X7&lt;=BZ7-N(AJ7)*(1-$C$28)/BX7,"GRUEN: Preis unter max. tragbar (auch ohne Subvention)",IF(X7&lt;=BZ7,"GELB: nur mit Subvention tragbar",IF(X7&lt;=BZ7*(1+N($H$33)),"GELB: bis Toleranz darueber","ROT: deutlich ueber max. tragbar"))))))))))))))))</f>
        <v/>
      </c>
      <c r="CH7" s="960">
        <f>IF(NOT(ISNUMBER(F7)),"",IF($G7="ja","GRAU: Leerstand - keine Mietbasis",IF(AND(ISNUMBER(AH7),AH7=0),"GRAU: Ist-Miete 0 - Leerstand pruefen",IF(NOT(ISNUMBER(AH7)),"GRAU: Wohnungsmiete fehlt",IF(NOT(ISNUMBER(AJ7)),"GRAU: keine Sollmiete/Mietspiegel",IF(AND(ISNUMBER(AW7),ISNUMBER(AX7)),"GRAU: zwei Hausgeld-Quellen gesetzt",IF(AND(OR(ISNUMBER(AX7),ISNUMBER(AW7)),NOT(ISNUMBER(AZ7))),"GRAU: Ruecklagenanteil fehlt",IF(AND(AJ7&gt;0,NOT(ISNUMBER(AT7))),"GRAU: Subventionsdauer unbekannt",IF(AND(ISNUMBER(BH7),BH7&lt;=0),"ROT: Bodenwert uebersteigt Kaufpreis - Daten pruefen",IF(NOT(ISNUMBER(BT7)),"GRAU: Cashflow nicht rechenbar",IF(NOT(ISNUMBER(CA7)),"GRAU: max. tragbar nicht rechenbar",IF(CA7&lt;=0,"ROT: kein tragbarer Preis bei diesem Ziel-Cashflow",IF(AND(BI7="berechnet",CA7&lt;BE7),"ROT: max. tragbar unter Bodenwert - Modell nicht gueltig",IF(X7&lt;=CB7,"GRUEN: Preis unter max. tragbar (auch ohne Subvention)",IF(X7&lt;=CA7,"GELB: nur mit Subvention tragbar",IF(X7&lt;=CA7*(1+N($H$33)),"GELB: bis Toleranz darueber","ROT: deutlich ueber max. tragbar"))))))))))))))))</f>
        <v/>
      </c>
    </row>
    <row r="8" s="545">
      <c r="A8" s="982">
        <f>IF(NOT(ISNUMBER(MIETER!F13)),"",ROW()-2)</f>
        <v/>
      </c>
      <c r="B8" s="983">
        <f>IF(NOT(ISNUMBER(MIETER!F13)),"",IF(MIETER!A13="","",MIETER!A13))</f>
        <v/>
      </c>
      <c r="C8" s="983">
        <f>IF(NOT(ISNUMBER(MIETER!F13)),"",IF(MIETER!B13="","",MIETER!B13))</f>
        <v/>
      </c>
      <c r="D8" s="983">
        <f>IF(NOT(ISNUMBER(MIETER!F13)),"",IF(MIETER!C13="","",MIETER!C13))</f>
        <v/>
      </c>
      <c r="E8" s="983">
        <f>IF(NOT(ISNUMBER(MIETER!F13)),"",IF(MIETER!D13="","",MIETER!D13))</f>
        <v/>
      </c>
      <c r="F8" s="984">
        <f>IF(NOT(ISNUMBER(MIETER!F13)),"",MIETER!F13)</f>
        <v/>
      </c>
      <c r="G8" s="962" t="n"/>
      <c r="H8" s="963" t="n"/>
      <c r="I8" s="963" t="n"/>
      <c r="J8" s="963" t="n"/>
      <c r="K8" s="985">
        <f>IF(OR(NOT(ISNUMBER(F8)),NOT(ISNUMBER(J8)),NOT(ISNUMBER($H$29)),$H$29=0),"",J8/$H$29)</f>
        <v/>
      </c>
      <c r="L8" s="965" t="n"/>
      <c r="M8" s="986">
        <f>IF(OR(NOT(ISNUMBER(F8)),F8=0,NOT(ISNUMBER(VERKAUFSMATRIX!U11))),"",VERKAUFSMATRIX!U11/F8)</f>
        <v/>
      </c>
      <c r="N8" s="987">
        <f>IF(OR(NOT(ISNUMBER(L8)),NOT(ISNUMBER(M8)),M8=0),"",L8/M8-1)</f>
        <v/>
      </c>
      <c r="O8" s="968" t="n"/>
      <c r="P8" s="988">
        <f>IF(OR(NOT(ISNUMBER(F8)),NOT(ISNUMBER(L8))),"",F8*L8+N(O8))</f>
        <v/>
      </c>
      <c r="Q8" s="970" t="n"/>
      <c r="R8" s="970" t="n"/>
      <c r="S8" s="988">
        <f>IF(NOT(ISNUMBER(P8)),"",P8+N(Q8)+N(R8))</f>
        <v/>
      </c>
      <c r="T8" s="971" t="n"/>
      <c r="U8" s="985">
        <f>IF(NOT(ISNUMBER(F8)),"",IF(ISNUMBER(T8),T8,IF(NOT(ISNUMBER($H$26)),"",$H$26)))</f>
        <v/>
      </c>
      <c r="V8" s="988">
        <f>IF(OR(NOT(ISNUMBER(S8)),NOT(ISNUMBER(U8))),"",S8*U8)</f>
        <v/>
      </c>
      <c r="W8" s="988">
        <f>IF(OR(NOT(ISNUMBER(S8)),NOT(ISNUMBER(U8))),"",S8*(1+U8))</f>
        <v/>
      </c>
      <c r="X8" s="988">
        <f>IF(NOT(ISNUMBER(W8)),"",W8-N(Q8)-N(R8))</f>
        <v/>
      </c>
      <c r="Y8" s="986">
        <f>IF(OR(NOT(ISNUMBER(S8)),NOT(ISNUMBER(F8)),F8=0),"",S8/F8)</f>
        <v/>
      </c>
      <c r="Z8" s="986">
        <f>IF(OR(NOT(ISNUMBER(X8)),NOT(ISNUMBER(F8)),F8=0),"",X8/F8)</f>
        <v/>
      </c>
      <c r="AA8" s="988">
        <f>IF(OR(NOT(ISNUMBER(X8)),NOT(ISNUMBER($H$34))),"",X8*MAX(1,$H$34))</f>
        <v/>
      </c>
      <c r="AB8" s="988">
        <f>IF(OR(NOT(ISNUMBER(W8)),NOT(ISNUMBER($H$34)),NOT(ISNUMBER($C$36))),"",W8*MAX(1,$H$34)*$C$36)</f>
        <v/>
      </c>
      <c r="AC8" s="988">
        <f>IF(OR(NOT(ISNUMBER(W8)),NOT(ISNUMBER(AB8))),"",W8+AB8)</f>
        <v/>
      </c>
      <c r="AD8" s="988">
        <f>IF(OR(NOT(ISNUMBER(W8)),NOT(ISNUMBER($H$34))),"",W8*$H$34)</f>
        <v/>
      </c>
      <c r="AE8" s="988">
        <f>IF(OR(NOT(ISNUMBER(AC8)),NOT(ISNUMBER(AD8))),"",MAX(0,AC8-AD8))</f>
        <v/>
      </c>
      <c r="AF8" s="988">
        <f>IF(OR(NOT(ISNUMBER(AD8)),NOT(ISNUMBER(W8))),"",AD8-W8)</f>
        <v/>
      </c>
      <c r="AG8" s="972" t="n"/>
      <c r="AH8" s="989">
        <f>IF(OR(NOT(ISNUMBER(MIETER!F13)),$G8="ja"),"",IF(NOT(ISNUMBER(MIETER!J13)),"",IF(ISNUMBER(AG8),MAX(MIETER!J13,AG8),MIETER!J13)))</f>
        <v/>
      </c>
      <c r="AI8" s="972" t="n"/>
      <c r="AJ8" s="989">
        <f>IF(OR(NOT(ISNUMBER(AH8)),NOT(ISNUMBER(AI8))),"",MAX(0,AI8-AH8))</f>
        <v/>
      </c>
      <c r="AK8" s="972" t="n"/>
      <c r="AL8" s="972" t="n"/>
      <c r="AM8" s="972" t="n"/>
      <c r="AN8" s="989">
        <f>IF(NOT(ISNUMBER(F8)),"",IF(AND(NOT(ISNUMBER(AH8)),NOT(ISNUMBER(AL8)),NOT(ISNUMBER(AM8))),"",N(AH8)+N(AL8)+N(AM8)))</f>
        <v/>
      </c>
      <c r="AO8" s="989">
        <f>IF(OR($G8="ja",NOT(ISNUMBER(AH8)),NOT(ISNUMBER(AN8))),"",AN8+N(AJ8))</f>
        <v/>
      </c>
      <c r="AP8" s="990">
        <f>IF(OR(NOT(ISNUMBER(AH8)),NOT(ISNUMBER(F8)),F8=0),"",AH8/F8)</f>
        <v/>
      </c>
      <c r="AQ8" s="991">
        <f>IF(OR(NOT(ISNUMBER(MIETER!F13)),NOT(ISNUMBER(MIETER!I13))),"",MIETER!I13)</f>
        <v/>
      </c>
      <c r="AR8" s="991">
        <f>IF(OR(NOT(ISNUMBER(AQ8)),$G8="ja",NOT(ISNUMBER($H$35))),"",EDATE(AQ8,$H$35))</f>
        <v/>
      </c>
      <c r="AS8" s="963" t="n"/>
      <c r="AT8" s="982">
        <f>IF(NOT(ISNUMBER(F8)),"",IF(ISNUMBER(AS8),AS8,IF(NOT(ISNUMBER(AR8)),"",MAX(0,(YEAR(AR8)-YEAR(TODAY()))*12+MONTH(AR8)-MONTH(TODAY())))))</f>
        <v/>
      </c>
      <c r="AU8" s="988">
        <f>IF(NOT(ISNUMBER(AT8)),"",IF(ISNUMBER(AK8),AK8*AT8,IF(NOT(ISNUMBER(AJ8)),"",AJ8*AT8)))</f>
        <v/>
      </c>
      <c r="AV8" s="988">
        <f>IF(OR(NOT(ISNUMBER(AH8)),NOT(ISNUMBER(MIETER!$P$6))),"",ROUND(AH8*(1+MIETER!$P$6)^2,0))</f>
        <v/>
      </c>
      <c r="AW8" s="976" t="n"/>
      <c r="AX8" s="972" t="n"/>
      <c r="AY8" s="989">
        <f>IF(NOT(ISNUMBER(F8)),"",IF(ISNUMBER(AX8),AX8,IF(AND(ISNUMBER(AW8),ISNUMBER(AH8),AH8&gt;0),AH8*AW8,IF(OR(NOT(ISNUMBER($C$62)),NOT(ISNUMBER($C$64))),"",$C$62+$C$64*F8/12))))</f>
        <v/>
      </c>
      <c r="AZ8" s="972" t="n"/>
      <c r="BA8" s="989">
        <f>IF(NOT(ISNUMBER(AY8)),"",IF(ISNUMBER(AZ8),MIN(AY8,AZ8),IF(OR(NOT(ISNUMBER(F8)),NOT(ISNUMBER($C$64))),0,MIN(AY8,$C$64*F8/12))))</f>
        <v/>
      </c>
      <c r="BB8" s="987">
        <f>IF(OR(NOT(ISNUMBER(AY8)),NOT(ISNUMBER(AH8)),AH8=0),"",AY8/AH8)</f>
        <v/>
      </c>
      <c r="BC8" s="989">
        <f>IF(NOT(ISNUMBER(AH8)),"",AH8*0.01)</f>
        <v/>
      </c>
      <c r="BD8" s="988">
        <f>IF(OR(NOT(ISNUMBER(AH8)),NOT(ISNUMBER($C$28)),NOT(ISNUMBER(BY8)),BY8&lt;=0),"",AH8*0.01*(1-$C$28)/BY8)</f>
        <v/>
      </c>
      <c r="BE8" s="988">
        <f>IF(OR(NOT(ISNUMBER(K8)),NOT(ISNUMBER($H$30))),"",$H$30*K8)</f>
        <v/>
      </c>
      <c r="BF8" s="971" t="n"/>
      <c r="BG8" s="985">
        <f>IF(OR(NOT(ISNUMBER(BE8)),NOT(ISNUMBER(X8)),X8&lt;=0),"",1-BE8/X8)</f>
        <v/>
      </c>
      <c r="BH8" s="985">
        <f>IF(NOT(ISNUMBER(X8)),"",IF(ISNUMBER(BF8),BF8,IF(AND(ISNUMBER(BE8),ISNUMBER(AA8),AA8&gt;0),1-BE8/AA8,IF(NOT(ISNUMBER($C$31)),"",$C$31))))</f>
        <v/>
      </c>
      <c r="BI8" s="983">
        <f>IF(NOT(ISNUMBER(F8)),"",IF(ISNUMBER(BF8),"vertrag",IF(ISNUMBER(BE8),"berechnet","standard")))</f>
        <v/>
      </c>
      <c r="BJ8" s="971" t="n"/>
      <c r="BK8" s="985">
        <f>IF(NOT(ISNUMBER(F8)),"",IF(ISNUMBER(BJ8),BJ8,IF(NOT(ISNUMBER($C$30)),"",$C$30)))</f>
        <v/>
      </c>
      <c r="BL8" s="988">
        <f>IF(OR(NOT(ISNUMBER(AA8)),NOT(ISNUMBER(BH8)),NOT(ISNUMBER($C$36))),"",AA8*(1+$C$36)*BH8)</f>
        <v/>
      </c>
      <c r="BM8" s="989">
        <f>IF(OR(NOT(ISNUMBER(BL8)),NOT(ISNUMBER(BK8)),NOT(ISNUMBER($C$36)),NOT(ISNUMBER($H$34))),"",(BL8*BK8+N(Q8)*MAX(1,$H$34)*(1+$C$36)*N($H$31)+N(R8)*MAX(1,$H$34)*(1+$C$36)*N($H$32))/12)</f>
        <v/>
      </c>
      <c r="BN8" s="989">
        <f>IF(OR(NOT(ISNUMBER(AD8)),NOT(ISNUMBER($C$26))),"",AD8*$C$26/12)</f>
        <v/>
      </c>
      <c r="BO8" s="988">
        <f>IF(OR(NOT(ISNUMBER(AD8)),NOT(ISNUMBER($C$26)),NOT(ISNUMBER($C$27))),"",ROUND(AD8*($C$26+$C$27)/12,0))</f>
        <v/>
      </c>
      <c r="BP8" s="992">
        <f>IF(OR(NOT(ISNUMBER(AO8)),NOT(ISNUMBER(BM8)),NOT(ISNUMBER(BN8)),NOT(ISNUMBER(AY8))),"",AO8-BN8-BM8-(AY8-N(BA8)))</f>
        <v/>
      </c>
      <c r="BQ8" s="993">
        <f>IF(OR(NOT(ISNUMBER(BP8)),NOT(ISNUMBER($C$28))),"",ROUND(-BP8*$C$28,0))</f>
        <v/>
      </c>
      <c r="BR8" s="989">
        <f>IF(OR(NOT(ISNUMBER(BA8)),NOT(ISNUMBER($C$28))),"",BA8*$C$28)</f>
        <v/>
      </c>
      <c r="BS8" s="993">
        <f>IF(OR(NOT(ISNUMBER(AO8)),NOT(ISNUMBER(BO8)),NOT(ISNUMBER(AY8))),"",ROUND(AO8,0)-BO8-ROUND(AY8,0))</f>
        <v/>
      </c>
      <c r="BT8" s="993">
        <f>IF(OR(NOT(ISNUMBER(BS8)),NOT(ISNUMBER(BQ8))),"",BS8+BQ8)</f>
        <v/>
      </c>
      <c r="BU8" s="993">
        <f>IF(OR(NOT(ISNUMBER(AN8)),NOT(ISNUMBER(BO8)),NOT(ISNUMBER(AY8)),NOT(ISNUMBER(BP8)),NOT(ISNUMBER($C$28))),"",ROUND(AN8,0)-BO8-ROUND(AY8,0)+ROUND(-(BP8-N(AJ8))*$C$28,0))</f>
        <v/>
      </c>
      <c r="BV8" s="992">
        <f>IF(OR(NOT(ISNUMBER(AO8)),NOT(ISNUMBER(AY8)),NOT(ISNUMBER(BK8)),NOT(ISNUMBER($C$28)),NOT(ISNUMBER($C$36))),"",(AO8-AY8)*(1-$C$28)-$C$28*N(BA8)-IF(BI8="berechnet",$C$28*(1+$C$36)*BK8*N(BE8)/12,0))</f>
        <v/>
      </c>
      <c r="BW8" s="992">
        <f>IF(OR(NOT(ISNUMBER(F8)),NOT(ISNUMBER($C$26)),NOT(ISNUMBER($C$27)),NOT(ISNUMBER($C$28)),NOT(ISNUMBER($C$36))),"",($C$28*(1+$C$36)*(N(Q8)*N($H$31)+N(R8)*N($H$32))-(N(Q8)+N(R8))*(($C$26+$C$27)-$C$28*$C$26))/12)</f>
        <v/>
      </c>
      <c r="BX8" s="994">
        <f>IF(OR(NOT(ISNUMBER(BK8)),NOT(ISNUMBER($C$26)),NOT(ISNUMBER($C$27)),NOT(ISNUMBER($C$28)),NOT(ISNUMBER($C$36)),BI8=""),"",(($C$26+$C$27)-$C$28*$C$26-$C$28*(1+$C$36)*BK8*IF(BI8="berechnet",1,IF(BI8="vertrag",BF8,$C$31)))/12)</f>
        <v/>
      </c>
      <c r="BY8" s="994">
        <f>IF(OR(NOT(ISNUMBER(BX8)),NOT(ISNUMBER($C$34))),"",$C$34*BX8)</f>
        <v/>
      </c>
      <c r="BZ8" s="988">
        <f>IF(OR($G8="ja",NOT(ISNUMBER(AH8)),NOT(ISNUMBER(BV8)),NOT(ISNUMBER(BW8)),NOT(ISNUMBER(BX8)),BX8&lt;=0),"",(BV8-N($C$32)+BW8)/BX8)</f>
        <v/>
      </c>
      <c r="CA8" s="988">
        <f>IF(OR($G8="ja",NOT(ISNUMBER(AH8)),NOT(ISNUMBER(BV8)),NOT(ISNUMBER(BW8)),NOT(ISNUMBER(BY8)),BY8&lt;=0,NOT(ISNUMBER($C$34))),"",(BV8-N($C$32)+BW8*$C$34)/BY8)</f>
        <v/>
      </c>
      <c r="CB8" s="988">
        <f>IF(OR(NOT(ISNUMBER(CA8)),NOT(ISNUMBER($C$28))),"",CA8-N(AJ8)*(1-$C$28)/BY8)</f>
        <v/>
      </c>
      <c r="CC8" s="986">
        <f>IF(OR(NOT(ISNUMBER(CA8)),NOT(ISNUMBER(U8)),U8&lt;=-1,NOT(ISNUMBER(F8)),F8=0),"",((CA8+N(Q8)+N(R8))/(1+U8)-N(Q8)-N(R8)-N(O8))/F8)</f>
        <v/>
      </c>
      <c r="CD8" s="995">
        <f>IF(OR(NOT(ISNUMBER(L8)),NOT(ISNUMBER(CC8))),"",L8-CC8)</f>
        <v/>
      </c>
      <c r="CE8" s="996">
        <f>IF(OR(NOT(ISNUMBER(W8)),NOT(ISNUMBER(AN8)),AN8=0),"",W8/(AN8*12))</f>
        <v/>
      </c>
      <c r="CF8" s="985">
        <f>IF(OR(NOT(ISNUMBER(W8)),NOT(ISNUMBER(AN8)),W8=0),"",AN8*12/W8)</f>
        <v/>
      </c>
      <c r="CG8" s="983">
        <f>IF(NOT(ISNUMBER(F8)),"",IF($G8="ja","GRAU: Leerstand - keine Mietbasis",IF(AND(ISNUMBER(AH8),AH8=0),"GRAU: Ist-Miete 0 - Leerstand pruefen",IF(NOT(ISNUMBER(AH8)),"GRAU: Wohnungsmiete fehlt",IF(NOT(ISNUMBER(AJ8)),"GRAU: keine Sollmiete/Mietspiegel",IF(AND(ISNUMBER(AW8),ISNUMBER(AX8)),"GRAU: zwei Hausgeld-Quellen gesetzt",IF(AND(OR(ISNUMBER(AX8),ISNUMBER(AW8)),NOT(ISNUMBER(AZ8))),"GRAU: Ruecklagenanteil fehlt",IF(AND(AJ8&gt;0,NOT(ISNUMBER(AT8))),"GRAU: Subventionsdauer unbekannt",IF(AND(ISNUMBER(BH8),BH8&lt;=0),"ROT: Bodenwert uebersteigt Kaufpreis - Daten pruefen",IF(NOT(ISNUMBER(BT8)),"GRAU: Cashflow nicht rechenbar",IF(NOT(ISNUMBER(BZ8)),"GRAU: max. tragbar nicht rechenbar",IF(BZ8&lt;=0,"ROT: kein tragbarer Preis bei diesem Ziel-Cashflow",IF(AND(BI8="berechnet",BZ8&lt;BE8),"ROT: max. tragbar unter Bodenwert - Modell nicht gueltig",IF(X8&lt;=BZ8-N(AJ8)*(1-$C$28)/BX8,"GRUEN: Preis unter max. tragbar (auch ohne Subvention)",IF(X8&lt;=BZ8,"GELB: nur mit Subvention tragbar",IF(X8&lt;=BZ8*(1+N($H$33)),"GELB: bis Toleranz darueber","ROT: deutlich ueber max. tragbar"))))))))))))))))</f>
        <v/>
      </c>
      <c r="CH8" s="983">
        <f>IF(NOT(ISNUMBER(F8)),"",IF($G8="ja","GRAU: Leerstand - keine Mietbasis",IF(AND(ISNUMBER(AH8),AH8=0),"GRAU: Ist-Miete 0 - Leerstand pruefen",IF(NOT(ISNUMBER(AH8)),"GRAU: Wohnungsmiete fehlt",IF(NOT(ISNUMBER(AJ8)),"GRAU: keine Sollmiete/Mietspiegel",IF(AND(ISNUMBER(AW8),ISNUMBER(AX8)),"GRAU: zwei Hausgeld-Quellen gesetzt",IF(AND(OR(ISNUMBER(AX8),ISNUMBER(AW8)),NOT(ISNUMBER(AZ8))),"GRAU: Ruecklagenanteil fehlt",IF(AND(AJ8&gt;0,NOT(ISNUMBER(AT8))),"GRAU: Subventionsdauer unbekannt",IF(AND(ISNUMBER(BH8),BH8&lt;=0),"ROT: Bodenwert uebersteigt Kaufpreis - Daten pruefen",IF(NOT(ISNUMBER(BT8)),"GRAU: Cashflow nicht rechenbar",IF(NOT(ISNUMBER(CA8)),"GRAU: max. tragbar nicht rechenbar",IF(CA8&lt;=0,"ROT: kein tragbarer Preis bei diesem Ziel-Cashflow",IF(AND(BI8="berechnet",CA8&lt;BE8),"ROT: max. tragbar unter Bodenwert - Modell nicht gueltig",IF(X8&lt;=CB8,"GRUEN: Preis unter max. tragbar (auch ohne Subvention)",IF(X8&lt;=CA8,"GELB: nur mit Subvention tragbar",IF(X8&lt;=CA8*(1+N($H$33)),"GELB: bis Toleranz darueber","ROT: deutlich ueber max. tragbar"))))))))))))))))</f>
        <v/>
      </c>
    </row>
    <row r="9" s="545">
      <c r="A9" s="959">
        <f>IF(NOT(ISNUMBER(MIETER!F14)),"",ROW()-2)</f>
        <v/>
      </c>
      <c r="B9" s="960">
        <f>IF(NOT(ISNUMBER(MIETER!F14)),"",IF(MIETER!A14="","",MIETER!A14))</f>
        <v/>
      </c>
      <c r="C9" s="960">
        <f>IF(NOT(ISNUMBER(MIETER!F14)),"",IF(MIETER!B14="","",MIETER!B14))</f>
        <v/>
      </c>
      <c r="D9" s="960">
        <f>IF(NOT(ISNUMBER(MIETER!F14)),"",IF(MIETER!C14="","",MIETER!C14))</f>
        <v/>
      </c>
      <c r="E9" s="960">
        <f>IF(NOT(ISNUMBER(MIETER!F14)),"",IF(MIETER!D14="","",MIETER!D14))</f>
        <v/>
      </c>
      <c r="F9" s="961">
        <f>IF(NOT(ISNUMBER(MIETER!F14)),"",MIETER!F14)</f>
        <v/>
      </c>
      <c r="G9" s="962" t="n"/>
      <c r="H9" s="963" t="n"/>
      <c r="I9" s="963" t="n"/>
      <c r="J9" s="963" t="n"/>
      <c r="K9" s="964">
        <f>IF(OR(NOT(ISNUMBER(F9)),NOT(ISNUMBER(J9)),NOT(ISNUMBER($H$29)),$H$29=0),"",J9/$H$29)</f>
        <v/>
      </c>
      <c r="L9" s="965" t="n"/>
      <c r="M9" s="966">
        <f>IF(OR(NOT(ISNUMBER(F9)),F9=0,NOT(ISNUMBER(VERKAUFSMATRIX!U12))),"",VERKAUFSMATRIX!U12/F9)</f>
        <v/>
      </c>
      <c r="N9" s="967">
        <f>IF(OR(NOT(ISNUMBER(L9)),NOT(ISNUMBER(M9)),M9=0),"",L9/M9-1)</f>
        <v/>
      </c>
      <c r="O9" s="968" t="n"/>
      <c r="P9" s="969">
        <f>IF(OR(NOT(ISNUMBER(F9)),NOT(ISNUMBER(L9))),"",F9*L9+N(O9))</f>
        <v/>
      </c>
      <c r="Q9" s="970" t="n"/>
      <c r="R9" s="970" t="n"/>
      <c r="S9" s="969">
        <f>IF(NOT(ISNUMBER(P9)),"",P9+N(Q9)+N(R9))</f>
        <v/>
      </c>
      <c r="T9" s="971" t="n"/>
      <c r="U9" s="964">
        <f>IF(NOT(ISNUMBER(F9)),"",IF(ISNUMBER(T9),T9,IF(NOT(ISNUMBER($H$26)),"",$H$26)))</f>
        <v/>
      </c>
      <c r="V9" s="969">
        <f>IF(OR(NOT(ISNUMBER(S9)),NOT(ISNUMBER(U9))),"",S9*U9)</f>
        <v/>
      </c>
      <c r="W9" s="969">
        <f>IF(OR(NOT(ISNUMBER(S9)),NOT(ISNUMBER(U9))),"",S9*(1+U9))</f>
        <v/>
      </c>
      <c r="X9" s="969">
        <f>IF(NOT(ISNUMBER(W9)),"",W9-N(Q9)-N(R9))</f>
        <v/>
      </c>
      <c r="Y9" s="966">
        <f>IF(OR(NOT(ISNUMBER(S9)),NOT(ISNUMBER(F9)),F9=0),"",S9/F9)</f>
        <v/>
      </c>
      <c r="Z9" s="966">
        <f>IF(OR(NOT(ISNUMBER(X9)),NOT(ISNUMBER(F9)),F9=0),"",X9/F9)</f>
        <v/>
      </c>
      <c r="AA9" s="969">
        <f>IF(OR(NOT(ISNUMBER(X9)),NOT(ISNUMBER($H$34))),"",X9*MAX(1,$H$34))</f>
        <v/>
      </c>
      <c r="AB9" s="969">
        <f>IF(OR(NOT(ISNUMBER(W9)),NOT(ISNUMBER($H$34)),NOT(ISNUMBER($C$36))),"",W9*MAX(1,$H$34)*$C$36)</f>
        <v/>
      </c>
      <c r="AC9" s="969">
        <f>IF(OR(NOT(ISNUMBER(W9)),NOT(ISNUMBER(AB9))),"",W9+AB9)</f>
        <v/>
      </c>
      <c r="AD9" s="969">
        <f>IF(OR(NOT(ISNUMBER(W9)),NOT(ISNUMBER($H$34))),"",W9*$H$34)</f>
        <v/>
      </c>
      <c r="AE9" s="969">
        <f>IF(OR(NOT(ISNUMBER(AC9)),NOT(ISNUMBER(AD9))),"",MAX(0,AC9-AD9))</f>
        <v/>
      </c>
      <c r="AF9" s="969">
        <f>IF(OR(NOT(ISNUMBER(AD9)),NOT(ISNUMBER(W9))),"",AD9-W9)</f>
        <v/>
      </c>
      <c r="AG9" s="972" t="n"/>
      <c r="AH9" s="973">
        <f>IF(OR(NOT(ISNUMBER(MIETER!F14)),$G9="ja"),"",IF(NOT(ISNUMBER(MIETER!J14)),"",IF(ISNUMBER(AG9),MAX(MIETER!J14,AG9),MIETER!J14)))</f>
        <v/>
      </c>
      <c r="AI9" s="972" t="n"/>
      <c r="AJ9" s="973">
        <f>IF(OR(NOT(ISNUMBER(AH9)),NOT(ISNUMBER(AI9))),"",MAX(0,AI9-AH9))</f>
        <v/>
      </c>
      <c r="AK9" s="972" t="n"/>
      <c r="AL9" s="972" t="n"/>
      <c r="AM9" s="972" t="n"/>
      <c r="AN9" s="973">
        <f>IF(NOT(ISNUMBER(F9)),"",IF(AND(NOT(ISNUMBER(AH9)),NOT(ISNUMBER(AL9)),NOT(ISNUMBER(AM9))),"",N(AH9)+N(AL9)+N(AM9)))</f>
        <v/>
      </c>
      <c r="AO9" s="973">
        <f>IF(OR($G9="ja",NOT(ISNUMBER(AH9)),NOT(ISNUMBER(AN9))),"",AN9+N(AJ9))</f>
        <v/>
      </c>
      <c r="AP9" s="974">
        <f>IF(OR(NOT(ISNUMBER(AH9)),NOT(ISNUMBER(F9)),F9=0),"",AH9/F9)</f>
        <v/>
      </c>
      <c r="AQ9" s="975">
        <f>IF(OR(NOT(ISNUMBER(MIETER!F14)),NOT(ISNUMBER(MIETER!I14))),"",MIETER!I14)</f>
        <v/>
      </c>
      <c r="AR9" s="975">
        <f>IF(OR(NOT(ISNUMBER(AQ9)),$G9="ja",NOT(ISNUMBER($H$35))),"",EDATE(AQ9,$H$35))</f>
        <v/>
      </c>
      <c r="AS9" s="963" t="n"/>
      <c r="AT9" s="959">
        <f>IF(NOT(ISNUMBER(F9)),"",IF(ISNUMBER(AS9),AS9,IF(NOT(ISNUMBER(AR9)),"",MAX(0,(YEAR(AR9)-YEAR(TODAY()))*12+MONTH(AR9)-MONTH(TODAY())))))</f>
        <v/>
      </c>
      <c r="AU9" s="969">
        <f>IF(NOT(ISNUMBER(AT9)),"",IF(ISNUMBER(AK9),AK9*AT9,IF(NOT(ISNUMBER(AJ9)),"",AJ9*AT9)))</f>
        <v/>
      </c>
      <c r="AV9" s="969">
        <f>IF(OR(NOT(ISNUMBER(AH9)),NOT(ISNUMBER(MIETER!$P$6))),"",ROUND(AH9*(1+MIETER!$P$6)^2,0))</f>
        <v/>
      </c>
      <c r="AW9" s="976" t="n"/>
      <c r="AX9" s="972" t="n"/>
      <c r="AY9" s="973">
        <f>IF(NOT(ISNUMBER(F9)),"",IF(ISNUMBER(AX9),AX9,IF(AND(ISNUMBER(AW9),ISNUMBER(AH9),AH9&gt;0),AH9*AW9,IF(OR(NOT(ISNUMBER($C$62)),NOT(ISNUMBER($C$64))),"",$C$62+$C$64*F9/12))))</f>
        <v/>
      </c>
      <c r="AZ9" s="972" t="n"/>
      <c r="BA9" s="973">
        <f>IF(NOT(ISNUMBER(AY9)),"",IF(ISNUMBER(AZ9),MIN(AY9,AZ9),IF(OR(NOT(ISNUMBER(F9)),NOT(ISNUMBER($C$64))),0,MIN(AY9,$C$64*F9/12))))</f>
        <v/>
      </c>
      <c r="BB9" s="967">
        <f>IF(OR(NOT(ISNUMBER(AY9)),NOT(ISNUMBER(AH9)),AH9=0),"",AY9/AH9)</f>
        <v/>
      </c>
      <c r="BC9" s="973">
        <f>IF(NOT(ISNUMBER(AH9)),"",AH9*0.01)</f>
        <v/>
      </c>
      <c r="BD9" s="969">
        <f>IF(OR(NOT(ISNUMBER(AH9)),NOT(ISNUMBER($C$28)),NOT(ISNUMBER(BY9)),BY9&lt;=0),"",AH9*0.01*(1-$C$28)/BY9)</f>
        <v/>
      </c>
      <c r="BE9" s="969">
        <f>IF(OR(NOT(ISNUMBER(K9)),NOT(ISNUMBER($H$30))),"",$H$30*K9)</f>
        <v/>
      </c>
      <c r="BF9" s="971" t="n"/>
      <c r="BG9" s="964">
        <f>IF(OR(NOT(ISNUMBER(BE9)),NOT(ISNUMBER(X9)),X9&lt;=0),"",1-BE9/X9)</f>
        <v/>
      </c>
      <c r="BH9" s="964">
        <f>IF(NOT(ISNUMBER(X9)),"",IF(ISNUMBER(BF9),BF9,IF(AND(ISNUMBER(BE9),ISNUMBER(AA9),AA9&gt;0),1-BE9/AA9,IF(NOT(ISNUMBER($C$31)),"",$C$31))))</f>
        <v/>
      </c>
      <c r="BI9" s="960">
        <f>IF(NOT(ISNUMBER(F9)),"",IF(ISNUMBER(BF9),"vertrag",IF(ISNUMBER(BE9),"berechnet","standard")))</f>
        <v/>
      </c>
      <c r="BJ9" s="971" t="n"/>
      <c r="BK9" s="964">
        <f>IF(NOT(ISNUMBER(F9)),"",IF(ISNUMBER(BJ9),BJ9,IF(NOT(ISNUMBER($C$30)),"",$C$30)))</f>
        <v/>
      </c>
      <c r="BL9" s="969">
        <f>IF(OR(NOT(ISNUMBER(AA9)),NOT(ISNUMBER(BH9)),NOT(ISNUMBER($C$36))),"",AA9*(1+$C$36)*BH9)</f>
        <v/>
      </c>
      <c r="BM9" s="973">
        <f>IF(OR(NOT(ISNUMBER(BL9)),NOT(ISNUMBER(BK9)),NOT(ISNUMBER($C$36)),NOT(ISNUMBER($H$34))),"",(BL9*BK9+N(Q9)*MAX(1,$H$34)*(1+$C$36)*N($H$31)+N(R9)*MAX(1,$H$34)*(1+$C$36)*N($H$32))/12)</f>
        <v/>
      </c>
      <c r="BN9" s="973">
        <f>IF(OR(NOT(ISNUMBER(AD9)),NOT(ISNUMBER($C$26))),"",AD9*$C$26/12)</f>
        <v/>
      </c>
      <c r="BO9" s="969">
        <f>IF(OR(NOT(ISNUMBER(AD9)),NOT(ISNUMBER($C$26)),NOT(ISNUMBER($C$27))),"",ROUND(AD9*($C$26+$C$27)/12,0))</f>
        <v/>
      </c>
      <c r="BP9" s="977">
        <f>IF(OR(NOT(ISNUMBER(AO9)),NOT(ISNUMBER(BM9)),NOT(ISNUMBER(BN9)),NOT(ISNUMBER(AY9))),"",AO9-BN9-BM9-(AY9-N(BA9)))</f>
        <v/>
      </c>
      <c r="BQ9" s="978">
        <f>IF(OR(NOT(ISNUMBER(BP9)),NOT(ISNUMBER($C$28))),"",ROUND(-BP9*$C$28,0))</f>
        <v/>
      </c>
      <c r="BR9" s="973">
        <f>IF(OR(NOT(ISNUMBER(BA9)),NOT(ISNUMBER($C$28))),"",BA9*$C$28)</f>
        <v/>
      </c>
      <c r="BS9" s="978">
        <f>IF(OR(NOT(ISNUMBER(AO9)),NOT(ISNUMBER(BO9)),NOT(ISNUMBER(AY9))),"",ROUND(AO9,0)-BO9-ROUND(AY9,0))</f>
        <v/>
      </c>
      <c r="BT9" s="978">
        <f>IF(OR(NOT(ISNUMBER(BS9)),NOT(ISNUMBER(BQ9))),"",BS9+BQ9)</f>
        <v/>
      </c>
      <c r="BU9" s="978">
        <f>IF(OR(NOT(ISNUMBER(AN9)),NOT(ISNUMBER(BO9)),NOT(ISNUMBER(AY9)),NOT(ISNUMBER(BP9)),NOT(ISNUMBER($C$28))),"",ROUND(AN9,0)-BO9-ROUND(AY9,0)+ROUND(-(BP9-N(AJ9))*$C$28,0))</f>
        <v/>
      </c>
      <c r="BV9" s="977">
        <f>IF(OR(NOT(ISNUMBER(AO9)),NOT(ISNUMBER(AY9)),NOT(ISNUMBER(BK9)),NOT(ISNUMBER($C$28)),NOT(ISNUMBER($C$36))),"",(AO9-AY9)*(1-$C$28)-$C$28*N(BA9)-IF(BI9="berechnet",$C$28*(1+$C$36)*BK9*N(BE9)/12,0))</f>
        <v/>
      </c>
      <c r="BW9" s="977">
        <f>IF(OR(NOT(ISNUMBER(F9)),NOT(ISNUMBER($C$26)),NOT(ISNUMBER($C$27)),NOT(ISNUMBER($C$28)),NOT(ISNUMBER($C$36))),"",($C$28*(1+$C$36)*(N(Q9)*N($H$31)+N(R9)*N($H$32))-(N(Q9)+N(R9))*(($C$26+$C$27)-$C$28*$C$26))/12)</f>
        <v/>
      </c>
      <c r="BX9" s="979">
        <f>IF(OR(NOT(ISNUMBER(BK9)),NOT(ISNUMBER($C$26)),NOT(ISNUMBER($C$27)),NOT(ISNUMBER($C$28)),NOT(ISNUMBER($C$36)),BI9=""),"",(($C$26+$C$27)-$C$28*$C$26-$C$28*(1+$C$36)*BK9*IF(BI9="berechnet",1,IF(BI9="vertrag",BF9,$C$31)))/12)</f>
        <v/>
      </c>
      <c r="BY9" s="979">
        <f>IF(OR(NOT(ISNUMBER(BX9)),NOT(ISNUMBER($C$34))),"",$C$34*BX9)</f>
        <v/>
      </c>
      <c r="BZ9" s="969">
        <f>IF(OR($G9="ja",NOT(ISNUMBER(AH9)),NOT(ISNUMBER(BV9)),NOT(ISNUMBER(BW9)),NOT(ISNUMBER(BX9)),BX9&lt;=0),"",(BV9-N($C$32)+BW9)/BX9)</f>
        <v/>
      </c>
      <c r="CA9" s="969">
        <f>IF(OR($G9="ja",NOT(ISNUMBER(AH9)),NOT(ISNUMBER(BV9)),NOT(ISNUMBER(BW9)),NOT(ISNUMBER(BY9)),BY9&lt;=0,NOT(ISNUMBER($C$34))),"",(BV9-N($C$32)+BW9*$C$34)/BY9)</f>
        <v/>
      </c>
      <c r="CB9" s="969">
        <f>IF(OR(NOT(ISNUMBER(CA9)),NOT(ISNUMBER($C$28))),"",CA9-N(AJ9)*(1-$C$28)/BY9)</f>
        <v/>
      </c>
      <c r="CC9" s="966">
        <f>IF(OR(NOT(ISNUMBER(CA9)),NOT(ISNUMBER(U9)),U9&lt;=-1,NOT(ISNUMBER(F9)),F9=0),"",((CA9+N(Q9)+N(R9))/(1+U9)-N(Q9)-N(R9)-N(O9))/F9)</f>
        <v/>
      </c>
      <c r="CD9" s="980">
        <f>IF(OR(NOT(ISNUMBER(L9)),NOT(ISNUMBER(CC9))),"",L9-CC9)</f>
        <v/>
      </c>
      <c r="CE9" s="981">
        <f>IF(OR(NOT(ISNUMBER(W9)),NOT(ISNUMBER(AN9)),AN9=0),"",W9/(AN9*12))</f>
        <v/>
      </c>
      <c r="CF9" s="964">
        <f>IF(OR(NOT(ISNUMBER(W9)),NOT(ISNUMBER(AN9)),W9=0),"",AN9*12/W9)</f>
        <v/>
      </c>
      <c r="CG9" s="960">
        <f>IF(NOT(ISNUMBER(F9)),"",IF($G9="ja","GRAU: Leerstand - keine Mietbasis",IF(AND(ISNUMBER(AH9),AH9=0),"GRAU: Ist-Miete 0 - Leerstand pruefen",IF(NOT(ISNUMBER(AH9)),"GRAU: Wohnungsmiete fehlt",IF(NOT(ISNUMBER(AJ9)),"GRAU: keine Sollmiete/Mietspiegel",IF(AND(ISNUMBER(AW9),ISNUMBER(AX9)),"GRAU: zwei Hausgeld-Quellen gesetzt",IF(AND(OR(ISNUMBER(AX9),ISNUMBER(AW9)),NOT(ISNUMBER(AZ9))),"GRAU: Ruecklagenanteil fehlt",IF(AND(AJ9&gt;0,NOT(ISNUMBER(AT9))),"GRAU: Subventionsdauer unbekannt",IF(AND(ISNUMBER(BH9),BH9&lt;=0),"ROT: Bodenwert uebersteigt Kaufpreis - Daten pruefen",IF(NOT(ISNUMBER(BT9)),"GRAU: Cashflow nicht rechenbar",IF(NOT(ISNUMBER(BZ9)),"GRAU: max. tragbar nicht rechenbar",IF(BZ9&lt;=0,"ROT: kein tragbarer Preis bei diesem Ziel-Cashflow",IF(AND(BI9="berechnet",BZ9&lt;BE9),"ROT: max. tragbar unter Bodenwert - Modell nicht gueltig",IF(X9&lt;=BZ9-N(AJ9)*(1-$C$28)/BX9,"GRUEN: Preis unter max. tragbar (auch ohne Subvention)",IF(X9&lt;=BZ9,"GELB: nur mit Subvention tragbar",IF(X9&lt;=BZ9*(1+N($H$33)),"GELB: bis Toleranz darueber","ROT: deutlich ueber max. tragbar"))))))))))))))))</f>
        <v/>
      </c>
      <c r="CH9" s="960">
        <f>IF(NOT(ISNUMBER(F9)),"",IF($G9="ja","GRAU: Leerstand - keine Mietbasis",IF(AND(ISNUMBER(AH9),AH9=0),"GRAU: Ist-Miete 0 - Leerstand pruefen",IF(NOT(ISNUMBER(AH9)),"GRAU: Wohnungsmiete fehlt",IF(NOT(ISNUMBER(AJ9)),"GRAU: keine Sollmiete/Mietspiegel",IF(AND(ISNUMBER(AW9),ISNUMBER(AX9)),"GRAU: zwei Hausgeld-Quellen gesetzt",IF(AND(OR(ISNUMBER(AX9),ISNUMBER(AW9)),NOT(ISNUMBER(AZ9))),"GRAU: Ruecklagenanteil fehlt",IF(AND(AJ9&gt;0,NOT(ISNUMBER(AT9))),"GRAU: Subventionsdauer unbekannt",IF(AND(ISNUMBER(BH9),BH9&lt;=0),"ROT: Bodenwert uebersteigt Kaufpreis - Daten pruefen",IF(NOT(ISNUMBER(BT9)),"GRAU: Cashflow nicht rechenbar",IF(NOT(ISNUMBER(CA9)),"GRAU: max. tragbar nicht rechenbar",IF(CA9&lt;=0,"ROT: kein tragbarer Preis bei diesem Ziel-Cashflow",IF(AND(BI9="berechnet",CA9&lt;BE9),"ROT: max. tragbar unter Bodenwert - Modell nicht gueltig",IF(X9&lt;=CB9,"GRUEN: Preis unter max. tragbar (auch ohne Subvention)",IF(X9&lt;=CA9,"GELB: nur mit Subvention tragbar",IF(X9&lt;=CA9*(1+N($H$33)),"GELB: bis Toleranz darueber","ROT: deutlich ueber max. tragbar"))))))))))))))))</f>
        <v/>
      </c>
    </row>
    <row r="10" s="545">
      <c r="A10" s="982">
        <f>IF(NOT(ISNUMBER(MIETER!F15)),"",ROW()-2)</f>
        <v/>
      </c>
      <c r="B10" s="983">
        <f>IF(NOT(ISNUMBER(MIETER!F15)),"",IF(MIETER!A15="","",MIETER!A15))</f>
        <v/>
      </c>
      <c r="C10" s="983">
        <f>IF(NOT(ISNUMBER(MIETER!F15)),"",IF(MIETER!B15="","",MIETER!B15))</f>
        <v/>
      </c>
      <c r="D10" s="983">
        <f>IF(NOT(ISNUMBER(MIETER!F15)),"",IF(MIETER!C15="","",MIETER!C15))</f>
        <v/>
      </c>
      <c r="E10" s="983">
        <f>IF(NOT(ISNUMBER(MIETER!F15)),"",IF(MIETER!D15="","",MIETER!D15))</f>
        <v/>
      </c>
      <c r="F10" s="984">
        <f>IF(NOT(ISNUMBER(MIETER!F15)),"",MIETER!F15)</f>
        <v/>
      </c>
      <c r="G10" s="962" t="n"/>
      <c r="H10" s="963" t="n"/>
      <c r="I10" s="963" t="n"/>
      <c r="J10" s="963" t="n"/>
      <c r="K10" s="985">
        <f>IF(OR(NOT(ISNUMBER(F10)),NOT(ISNUMBER(J10)),NOT(ISNUMBER($H$29)),$H$29=0),"",J10/$H$29)</f>
        <v/>
      </c>
      <c r="L10" s="965" t="n"/>
      <c r="M10" s="986">
        <f>IF(OR(NOT(ISNUMBER(F10)),F10=0,NOT(ISNUMBER(VERKAUFSMATRIX!U13))),"",VERKAUFSMATRIX!U13/F10)</f>
        <v/>
      </c>
      <c r="N10" s="987">
        <f>IF(OR(NOT(ISNUMBER(L10)),NOT(ISNUMBER(M10)),M10=0),"",L10/M10-1)</f>
        <v/>
      </c>
      <c r="O10" s="968" t="n"/>
      <c r="P10" s="988">
        <f>IF(OR(NOT(ISNUMBER(F10)),NOT(ISNUMBER(L10))),"",F10*L10+N(O10))</f>
        <v/>
      </c>
      <c r="Q10" s="970" t="n"/>
      <c r="R10" s="970" t="n"/>
      <c r="S10" s="988">
        <f>IF(NOT(ISNUMBER(P10)),"",P10+N(Q10)+N(R10))</f>
        <v/>
      </c>
      <c r="T10" s="971" t="n"/>
      <c r="U10" s="985">
        <f>IF(NOT(ISNUMBER(F10)),"",IF(ISNUMBER(T10),T10,IF(NOT(ISNUMBER($H$26)),"",$H$26)))</f>
        <v/>
      </c>
      <c r="V10" s="988">
        <f>IF(OR(NOT(ISNUMBER(S10)),NOT(ISNUMBER(U10))),"",S10*U10)</f>
        <v/>
      </c>
      <c r="W10" s="988">
        <f>IF(OR(NOT(ISNUMBER(S10)),NOT(ISNUMBER(U10))),"",S10*(1+U10))</f>
        <v/>
      </c>
      <c r="X10" s="988">
        <f>IF(NOT(ISNUMBER(W10)),"",W10-N(Q10)-N(R10))</f>
        <v/>
      </c>
      <c r="Y10" s="986">
        <f>IF(OR(NOT(ISNUMBER(S10)),NOT(ISNUMBER(F10)),F10=0),"",S10/F10)</f>
        <v/>
      </c>
      <c r="Z10" s="986">
        <f>IF(OR(NOT(ISNUMBER(X10)),NOT(ISNUMBER(F10)),F10=0),"",X10/F10)</f>
        <v/>
      </c>
      <c r="AA10" s="988">
        <f>IF(OR(NOT(ISNUMBER(X10)),NOT(ISNUMBER($H$34))),"",X10*MAX(1,$H$34))</f>
        <v/>
      </c>
      <c r="AB10" s="988">
        <f>IF(OR(NOT(ISNUMBER(W10)),NOT(ISNUMBER($H$34)),NOT(ISNUMBER($C$36))),"",W10*MAX(1,$H$34)*$C$36)</f>
        <v/>
      </c>
      <c r="AC10" s="988">
        <f>IF(OR(NOT(ISNUMBER(W10)),NOT(ISNUMBER(AB10))),"",W10+AB10)</f>
        <v/>
      </c>
      <c r="AD10" s="988">
        <f>IF(OR(NOT(ISNUMBER(W10)),NOT(ISNUMBER($H$34))),"",W10*$H$34)</f>
        <v/>
      </c>
      <c r="AE10" s="988">
        <f>IF(OR(NOT(ISNUMBER(AC10)),NOT(ISNUMBER(AD10))),"",MAX(0,AC10-AD10))</f>
        <v/>
      </c>
      <c r="AF10" s="988">
        <f>IF(OR(NOT(ISNUMBER(AD10)),NOT(ISNUMBER(W10))),"",AD10-W10)</f>
        <v/>
      </c>
      <c r="AG10" s="972" t="n"/>
      <c r="AH10" s="989">
        <f>IF(OR(NOT(ISNUMBER(MIETER!F15)),$G10="ja"),"",IF(NOT(ISNUMBER(MIETER!J15)),"",IF(ISNUMBER(AG10),MAX(MIETER!J15,AG10),MIETER!J15)))</f>
        <v/>
      </c>
      <c r="AI10" s="972" t="n"/>
      <c r="AJ10" s="989">
        <f>IF(OR(NOT(ISNUMBER(AH10)),NOT(ISNUMBER(AI10))),"",MAX(0,AI10-AH10))</f>
        <v/>
      </c>
      <c r="AK10" s="972" t="n"/>
      <c r="AL10" s="972" t="n"/>
      <c r="AM10" s="972" t="n"/>
      <c r="AN10" s="989">
        <f>IF(NOT(ISNUMBER(F10)),"",IF(AND(NOT(ISNUMBER(AH10)),NOT(ISNUMBER(AL10)),NOT(ISNUMBER(AM10))),"",N(AH10)+N(AL10)+N(AM10)))</f>
        <v/>
      </c>
      <c r="AO10" s="989">
        <f>IF(OR($G10="ja",NOT(ISNUMBER(AH10)),NOT(ISNUMBER(AN10))),"",AN10+N(AJ10))</f>
        <v/>
      </c>
      <c r="AP10" s="990">
        <f>IF(OR(NOT(ISNUMBER(AH10)),NOT(ISNUMBER(F10)),F10=0),"",AH10/F10)</f>
        <v/>
      </c>
      <c r="AQ10" s="991">
        <f>IF(OR(NOT(ISNUMBER(MIETER!F15)),NOT(ISNUMBER(MIETER!I15))),"",MIETER!I15)</f>
        <v/>
      </c>
      <c r="AR10" s="991">
        <f>IF(OR(NOT(ISNUMBER(AQ10)),$G10="ja",NOT(ISNUMBER($H$35))),"",EDATE(AQ10,$H$35))</f>
        <v/>
      </c>
      <c r="AS10" s="963" t="n"/>
      <c r="AT10" s="982">
        <f>IF(NOT(ISNUMBER(F10)),"",IF(ISNUMBER(AS10),AS10,IF(NOT(ISNUMBER(AR10)),"",MAX(0,(YEAR(AR10)-YEAR(TODAY()))*12+MONTH(AR10)-MONTH(TODAY())))))</f>
        <v/>
      </c>
      <c r="AU10" s="988">
        <f>IF(NOT(ISNUMBER(AT10)),"",IF(ISNUMBER(AK10),AK10*AT10,IF(NOT(ISNUMBER(AJ10)),"",AJ10*AT10)))</f>
        <v/>
      </c>
      <c r="AV10" s="988">
        <f>IF(OR(NOT(ISNUMBER(AH10)),NOT(ISNUMBER(MIETER!$P$6))),"",ROUND(AH10*(1+MIETER!$P$6)^2,0))</f>
        <v/>
      </c>
      <c r="AW10" s="976" t="n"/>
      <c r="AX10" s="972" t="n"/>
      <c r="AY10" s="989">
        <f>IF(NOT(ISNUMBER(F10)),"",IF(ISNUMBER(AX10),AX10,IF(AND(ISNUMBER(AW10),ISNUMBER(AH10),AH10&gt;0),AH10*AW10,IF(OR(NOT(ISNUMBER($C$62)),NOT(ISNUMBER($C$64))),"",$C$62+$C$64*F10/12))))</f>
        <v/>
      </c>
      <c r="AZ10" s="972" t="n"/>
      <c r="BA10" s="989">
        <f>IF(NOT(ISNUMBER(AY10)),"",IF(ISNUMBER(AZ10),MIN(AY10,AZ10),IF(OR(NOT(ISNUMBER(F10)),NOT(ISNUMBER($C$64))),0,MIN(AY10,$C$64*F10/12))))</f>
        <v/>
      </c>
      <c r="BB10" s="987">
        <f>IF(OR(NOT(ISNUMBER(AY10)),NOT(ISNUMBER(AH10)),AH10=0),"",AY10/AH10)</f>
        <v/>
      </c>
      <c r="BC10" s="989">
        <f>IF(NOT(ISNUMBER(AH10)),"",AH10*0.01)</f>
        <v/>
      </c>
      <c r="BD10" s="988">
        <f>IF(OR(NOT(ISNUMBER(AH10)),NOT(ISNUMBER($C$28)),NOT(ISNUMBER(BY10)),BY10&lt;=0),"",AH10*0.01*(1-$C$28)/BY10)</f>
        <v/>
      </c>
      <c r="BE10" s="988">
        <f>IF(OR(NOT(ISNUMBER(K10)),NOT(ISNUMBER($H$30))),"",$H$30*K10)</f>
        <v/>
      </c>
      <c r="BF10" s="971" t="n"/>
      <c r="BG10" s="985">
        <f>IF(OR(NOT(ISNUMBER(BE10)),NOT(ISNUMBER(X10)),X10&lt;=0),"",1-BE10/X10)</f>
        <v/>
      </c>
      <c r="BH10" s="985">
        <f>IF(NOT(ISNUMBER(X10)),"",IF(ISNUMBER(BF10),BF10,IF(AND(ISNUMBER(BE10),ISNUMBER(AA10),AA10&gt;0),1-BE10/AA10,IF(NOT(ISNUMBER($C$31)),"",$C$31))))</f>
        <v/>
      </c>
      <c r="BI10" s="983">
        <f>IF(NOT(ISNUMBER(F10)),"",IF(ISNUMBER(BF10),"vertrag",IF(ISNUMBER(BE10),"berechnet","standard")))</f>
        <v/>
      </c>
      <c r="BJ10" s="971" t="n"/>
      <c r="BK10" s="985">
        <f>IF(NOT(ISNUMBER(F10)),"",IF(ISNUMBER(BJ10),BJ10,IF(NOT(ISNUMBER($C$30)),"",$C$30)))</f>
        <v/>
      </c>
      <c r="BL10" s="988">
        <f>IF(OR(NOT(ISNUMBER(AA10)),NOT(ISNUMBER(BH10)),NOT(ISNUMBER($C$36))),"",AA10*(1+$C$36)*BH10)</f>
        <v/>
      </c>
      <c r="BM10" s="989">
        <f>IF(OR(NOT(ISNUMBER(BL10)),NOT(ISNUMBER(BK10)),NOT(ISNUMBER($C$36)),NOT(ISNUMBER($H$34))),"",(BL10*BK10+N(Q10)*MAX(1,$H$34)*(1+$C$36)*N($H$31)+N(R10)*MAX(1,$H$34)*(1+$C$36)*N($H$32))/12)</f>
        <v/>
      </c>
      <c r="BN10" s="989">
        <f>IF(OR(NOT(ISNUMBER(AD10)),NOT(ISNUMBER($C$26))),"",AD10*$C$26/12)</f>
        <v/>
      </c>
      <c r="BO10" s="988">
        <f>IF(OR(NOT(ISNUMBER(AD10)),NOT(ISNUMBER($C$26)),NOT(ISNUMBER($C$27))),"",ROUND(AD10*($C$26+$C$27)/12,0))</f>
        <v/>
      </c>
      <c r="BP10" s="992">
        <f>IF(OR(NOT(ISNUMBER(AO10)),NOT(ISNUMBER(BM10)),NOT(ISNUMBER(BN10)),NOT(ISNUMBER(AY10))),"",AO10-BN10-BM10-(AY10-N(BA10)))</f>
        <v/>
      </c>
      <c r="BQ10" s="993">
        <f>IF(OR(NOT(ISNUMBER(BP10)),NOT(ISNUMBER($C$28))),"",ROUND(-BP10*$C$28,0))</f>
        <v/>
      </c>
      <c r="BR10" s="989">
        <f>IF(OR(NOT(ISNUMBER(BA10)),NOT(ISNUMBER($C$28))),"",BA10*$C$28)</f>
        <v/>
      </c>
      <c r="BS10" s="993">
        <f>IF(OR(NOT(ISNUMBER(AO10)),NOT(ISNUMBER(BO10)),NOT(ISNUMBER(AY10))),"",ROUND(AO10,0)-BO10-ROUND(AY10,0))</f>
        <v/>
      </c>
      <c r="BT10" s="993">
        <f>IF(OR(NOT(ISNUMBER(BS10)),NOT(ISNUMBER(BQ10))),"",BS10+BQ10)</f>
        <v/>
      </c>
      <c r="BU10" s="993">
        <f>IF(OR(NOT(ISNUMBER(AN10)),NOT(ISNUMBER(BO10)),NOT(ISNUMBER(AY10)),NOT(ISNUMBER(BP10)),NOT(ISNUMBER($C$28))),"",ROUND(AN10,0)-BO10-ROUND(AY10,0)+ROUND(-(BP10-N(AJ10))*$C$28,0))</f>
        <v/>
      </c>
      <c r="BV10" s="992">
        <f>IF(OR(NOT(ISNUMBER(AO10)),NOT(ISNUMBER(AY10)),NOT(ISNUMBER(BK10)),NOT(ISNUMBER($C$28)),NOT(ISNUMBER($C$36))),"",(AO10-AY10)*(1-$C$28)-$C$28*N(BA10)-IF(BI10="berechnet",$C$28*(1+$C$36)*BK10*N(BE10)/12,0))</f>
        <v/>
      </c>
      <c r="BW10" s="992">
        <f>IF(OR(NOT(ISNUMBER(F10)),NOT(ISNUMBER($C$26)),NOT(ISNUMBER($C$27)),NOT(ISNUMBER($C$28)),NOT(ISNUMBER($C$36))),"",($C$28*(1+$C$36)*(N(Q10)*N($H$31)+N(R10)*N($H$32))-(N(Q10)+N(R10))*(($C$26+$C$27)-$C$28*$C$26))/12)</f>
        <v/>
      </c>
      <c r="BX10" s="994">
        <f>IF(OR(NOT(ISNUMBER(BK10)),NOT(ISNUMBER($C$26)),NOT(ISNUMBER($C$27)),NOT(ISNUMBER($C$28)),NOT(ISNUMBER($C$36)),BI10=""),"",(($C$26+$C$27)-$C$28*$C$26-$C$28*(1+$C$36)*BK10*IF(BI10="berechnet",1,IF(BI10="vertrag",BF10,$C$31)))/12)</f>
        <v/>
      </c>
      <c r="BY10" s="994">
        <f>IF(OR(NOT(ISNUMBER(BX10)),NOT(ISNUMBER($C$34))),"",$C$34*BX10)</f>
        <v/>
      </c>
      <c r="BZ10" s="988">
        <f>IF(OR($G10="ja",NOT(ISNUMBER(AH10)),NOT(ISNUMBER(BV10)),NOT(ISNUMBER(BW10)),NOT(ISNUMBER(BX10)),BX10&lt;=0),"",(BV10-N($C$32)+BW10)/BX10)</f>
        <v/>
      </c>
      <c r="CA10" s="988">
        <f>IF(OR($G10="ja",NOT(ISNUMBER(AH10)),NOT(ISNUMBER(BV10)),NOT(ISNUMBER(BW10)),NOT(ISNUMBER(BY10)),BY10&lt;=0,NOT(ISNUMBER($C$34))),"",(BV10-N($C$32)+BW10*$C$34)/BY10)</f>
        <v/>
      </c>
      <c r="CB10" s="988">
        <f>IF(OR(NOT(ISNUMBER(CA10)),NOT(ISNUMBER($C$28))),"",CA10-N(AJ10)*(1-$C$28)/BY10)</f>
        <v/>
      </c>
      <c r="CC10" s="986">
        <f>IF(OR(NOT(ISNUMBER(CA10)),NOT(ISNUMBER(U10)),U10&lt;=-1,NOT(ISNUMBER(F10)),F10=0),"",((CA10+N(Q10)+N(R10))/(1+U10)-N(Q10)-N(R10)-N(O10))/F10)</f>
        <v/>
      </c>
      <c r="CD10" s="995">
        <f>IF(OR(NOT(ISNUMBER(L10)),NOT(ISNUMBER(CC10))),"",L10-CC10)</f>
        <v/>
      </c>
      <c r="CE10" s="996">
        <f>IF(OR(NOT(ISNUMBER(W10)),NOT(ISNUMBER(AN10)),AN10=0),"",W10/(AN10*12))</f>
        <v/>
      </c>
      <c r="CF10" s="985">
        <f>IF(OR(NOT(ISNUMBER(W10)),NOT(ISNUMBER(AN10)),W10=0),"",AN10*12/W10)</f>
        <v/>
      </c>
      <c r="CG10" s="983">
        <f>IF(NOT(ISNUMBER(F10)),"",IF($G10="ja","GRAU: Leerstand - keine Mietbasis",IF(AND(ISNUMBER(AH10),AH10=0),"GRAU: Ist-Miete 0 - Leerstand pruefen",IF(NOT(ISNUMBER(AH10)),"GRAU: Wohnungsmiete fehlt",IF(NOT(ISNUMBER(AJ10)),"GRAU: keine Sollmiete/Mietspiegel",IF(AND(ISNUMBER(AW10),ISNUMBER(AX10)),"GRAU: zwei Hausgeld-Quellen gesetzt",IF(AND(OR(ISNUMBER(AX10),ISNUMBER(AW10)),NOT(ISNUMBER(AZ10))),"GRAU: Ruecklagenanteil fehlt",IF(AND(AJ10&gt;0,NOT(ISNUMBER(AT10))),"GRAU: Subventionsdauer unbekannt",IF(AND(ISNUMBER(BH10),BH10&lt;=0),"ROT: Bodenwert uebersteigt Kaufpreis - Daten pruefen",IF(NOT(ISNUMBER(BT10)),"GRAU: Cashflow nicht rechenbar",IF(NOT(ISNUMBER(BZ10)),"GRAU: max. tragbar nicht rechenbar",IF(BZ10&lt;=0,"ROT: kein tragbarer Preis bei diesem Ziel-Cashflow",IF(AND(BI10="berechnet",BZ10&lt;BE10),"ROT: max. tragbar unter Bodenwert - Modell nicht gueltig",IF(X10&lt;=BZ10-N(AJ10)*(1-$C$28)/BX10,"GRUEN: Preis unter max. tragbar (auch ohne Subvention)",IF(X10&lt;=BZ10,"GELB: nur mit Subvention tragbar",IF(X10&lt;=BZ10*(1+N($H$33)),"GELB: bis Toleranz darueber","ROT: deutlich ueber max. tragbar"))))))))))))))))</f>
        <v/>
      </c>
      <c r="CH10" s="983">
        <f>IF(NOT(ISNUMBER(F10)),"",IF($G10="ja","GRAU: Leerstand - keine Mietbasis",IF(AND(ISNUMBER(AH10),AH10=0),"GRAU: Ist-Miete 0 - Leerstand pruefen",IF(NOT(ISNUMBER(AH10)),"GRAU: Wohnungsmiete fehlt",IF(NOT(ISNUMBER(AJ10)),"GRAU: keine Sollmiete/Mietspiegel",IF(AND(ISNUMBER(AW10),ISNUMBER(AX10)),"GRAU: zwei Hausgeld-Quellen gesetzt",IF(AND(OR(ISNUMBER(AX10),ISNUMBER(AW10)),NOT(ISNUMBER(AZ10))),"GRAU: Ruecklagenanteil fehlt",IF(AND(AJ10&gt;0,NOT(ISNUMBER(AT10))),"GRAU: Subventionsdauer unbekannt",IF(AND(ISNUMBER(BH10),BH10&lt;=0),"ROT: Bodenwert uebersteigt Kaufpreis - Daten pruefen",IF(NOT(ISNUMBER(BT10)),"GRAU: Cashflow nicht rechenbar",IF(NOT(ISNUMBER(CA10)),"GRAU: max. tragbar nicht rechenbar",IF(CA10&lt;=0,"ROT: kein tragbarer Preis bei diesem Ziel-Cashflow",IF(AND(BI10="berechnet",CA10&lt;BE10),"ROT: max. tragbar unter Bodenwert - Modell nicht gueltig",IF(X10&lt;=CB10,"GRUEN: Preis unter max. tragbar (auch ohne Subvention)",IF(X10&lt;=CA10,"GELB: nur mit Subvention tragbar",IF(X10&lt;=CA10*(1+N($H$33)),"GELB: bis Toleranz darueber","ROT: deutlich ueber max. tragbar"))))))))))))))))</f>
        <v/>
      </c>
    </row>
    <row r="11" s="545">
      <c r="A11" s="959">
        <f>IF(NOT(ISNUMBER(MIETER!F16)),"",ROW()-2)</f>
        <v/>
      </c>
      <c r="B11" s="960">
        <f>IF(NOT(ISNUMBER(MIETER!F16)),"",IF(MIETER!A16="","",MIETER!A16))</f>
        <v/>
      </c>
      <c r="C11" s="960">
        <f>IF(NOT(ISNUMBER(MIETER!F16)),"",IF(MIETER!B16="","",MIETER!B16))</f>
        <v/>
      </c>
      <c r="D11" s="960">
        <f>IF(NOT(ISNUMBER(MIETER!F16)),"",IF(MIETER!C16="","",MIETER!C16))</f>
        <v/>
      </c>
      <c r="E11" s="960">
        <f>IF(NOT(ISNUMBER(MIETER!F16)),"",IF(MIETER!D16="","",MIETER!D16))</f>
        <v/>
      </c>
      <c r="F11" s="961">
        <f>IF(NOT(ISNUMBER(MIETER!F16)),"",MIETER!F16)</f>
        <v/>
      </c>
      <c r="G11" s="962" t="n"/>
      <c r="H11" s="963" t="n"/>
      <c r="I11" s="963" t="n"/>
      <c r="J11" s="963" t="n"/>
      <c r="K11" s="964">
        <f>IF(OR(NOT(ISNUMBER(F11)),NOT(ISNUMBER(J11)),NOT(ISNUMBER($H$29)),$H$29=0),"",J11/$H$29)</f>
        <v/>
      </c>
      <c r="L11" s="965" t="n"/>
      <c r="M11" s="966">
        <f>IF(OR(NOT(ISNUMBER(F11)),F11=0,NOT(ISNUMBER(VERKAUFSMATRIX!U14))),"",VERKAUFSMATRIX!U14/F11)</f>
        <v/>
      </c>
      <c r="N11" s="967">
        <f>IF(OR(NOT(ISNUMBER(L11)),NOT(ISNUMBER(M11)),M11=0),"",L11/M11-1)</f>
        <v/>
      </c>
      <c r="O11" s="968" t="n"/>
      <c r="P11" s="969">
        <f>IF(OR(NOT(ISNUMBER(F11)),NOT(ISNUMBER(L11))),"",F11*L11+N(O11))</f>
        <v/>
      </c>
      <c r="Q11" s="970" t="n"/>
      <c r="R11" s="970" t="n"/>
      <c r="S11" s="969">
        <f>IF(NOT(ISNUMBER(P11)),"",P11+N(Q11)+N(R11))</f>
        <v/>
      </c>
      <c r="T11" s="971" t="n"/>
      <c r="U11" s="964">
        <f>IF(NOT(ISNUMBER(F11)),"",IF(ISNUMBER(T11),T11,IF(NOT(ISNUMBER($H$26)),"",$H$26)))</f>
        <v/>
      </c>
      <c r="V11" s="969">
        <f>IF(OR(NOT(ISNUMBER(S11)),NOT(ISNUMBER(U11))),"",S11*U11)</f>
        <v/>
      </c>
      <c r="W11" s="969">
        <f>IF(OR(NOT(ISNUMBER(S11)),NOT(ISNUMBER(U11))),"",S11*(1+U11))</f>
        <v/>
      </c>
      <c r="X11" s="969">
        <f>IF(NOT(ISNUMBER(W11)),"",W11-N(Q11)-N(R11))</f>
        <v/>
      </c>
      <c r="Y11" s="966">
        <f>IF(OR(NOT(ISNUMBER(S11)),NOT(ISNUMBER(F11)),F11=0),"",S11/F11)</f>
        <v/>
      </c>
      <c r="Z11" s="966">
        <f>IF(OR(NOT(ISNUMBER(X11)),NOT(ISNUMBER(F11)),F11=0),"",X11/F11)</f>
        <v/>
      </c>
      <c r="AA11" s="969">
        <f>IF(OR(NOT(ISNUMBER(X11)),NOT(ISNUMBER($H$34))),"",X11*MAX(1,$H$34))</f>
        <v/>
      </c>
      <c r="AB11" s="969">
        <f>IF(OR(NOT(ISNUMBER(W11)),NOT(ISNUMBER($H$34)),NOT(ISNUMBER($C$36))),"",W11*MAX(1,$H$34)*$C$36)</f>
        <v/>
      </c>
      <c r="AC11" s="969">
        <f>IF(OR(NOT(ISNUMBER(W11)),NOT(ISNUMBER(AB11))),"",W11+AB11)</f>
        <v/>
      </c>
      <c r="AD11" s="969">
        <f>IF(OR(NOT(ISNUMBER(W11)),NOT(ISNUMBER($H$34))),"",W11*$H$34)</f>
        <v/>
      </c>
      <c r="AE11" s="969">
        <f>IF(OR(NOT(ISNUMBER(AC11)),NOT(ISNUMBER(AD11))),"",MAX(0,AC11-AD11))</f>
        <v/>
      </c>
      <c r="AF11" s="969">
        <f>IF(OR(NOT(ISNUMBER(AD11)),NOT(ISNUMBER(W11))),"",AD11-W11)</f>
        <v/>
      </c>
      <c r="AG11" s="972" t="n"/>
      <c r="AH11" s="973">
        <f>IF(OR(NOT(ISNUMBER(MIETER!F16)),$G11="ja"),"",IF(NOT(ISNUMBER(MIETER!J16)),"",IF(ISNUMBER(AG11),MAX(MIETER!J16,AG11),MIETER!J16)))</f>
        <v/>
      </c>
      <c r="AI11" s="972" t="n"/>
      <c r="AJ11" s="973">
        <f>IF(OR(NOT(ISNUMBER(AH11)),NOT(ISNUMBER(AI11))),"",MAX(0,AI11-AH11))</f>
        <v/>
      </c>
      <c r="AK11" s="972" t="n"/>
      <c r="AL11" s="972" t="n"/>
      <c r="AM11" s="972" t="n"/>
      <c r="AN11" s="973">
        <f>IF(NOT(ISNUMBER(F11)),"",IF(AND(NOT(ISNUMBER(AH11)),NOT(ISNUMBER(AL11)),NOT(ISNUMBER(AM11))),"",N(AH11)+N(AL11)+N(AM11)))</f>
        <v/>
      </c>
      <c r="AO11" s="973">
        <f>IF(OR($G11="ja",NOT(ISNUMBER(AH11)),NOT(ISNUMBER(AN11))),"",AN11+N(AJ11))</f>
        <v/>
      </c>
      <c r="AP11" s="974">
        <f>IF(OR(NOT(ISNUMBER(AH11)),NOT(ISNUMBER(F11)),F11=0),"",AH11/F11)</f>
        <v/>
      </c>
      <c r="AQ11" s="975">
        <f>IF(OR(NOT(ISNUMBER(MIETER!F16)),NOT(ISNUMBER(MIETER!I16))),"",MIETER!I16)</f>
        <v/>
      </c>
      <c r="AR11" s="975">
        <f>IF(OR(NOT(ISNUMBER(AQ11)),$G11="ja",NOT(ISNUMBER($H$35))),"",EDATE(AQ11,$H$35))</f>
        <v/>
      </c>
      <c r="AS11" s="963" t="n"/>
      <c r="AT11" s="959">
        <f>IF(NOT(ISNUMBER(F11)),"",IF(ISNUMBER(AS11),AS11,IF(NOT(ISNUMBER(AR11)),"",MAX(0,(YEAR(AR11)-YEAR(TODAY()))*12+MONTH(AR11)-MONTH(TODAY())))))</f>
        <v/>
      </c>
      <c r="AU11" s="969">
        <f>IF(NOT(ISNUMBER(AT11)),"",IF(ISNUMBER(AK11),AK11*AT11,IF(NOT(ISNUMBER(AJ11)),"",AJ11*AT11)))</f>
        <v/>
      </c>
      <c r="AV11" s="969">
        <f>IF(OR(NOT(ISNUMBER(AH11)),NOT(ISNUMBER(MIETER!$P$6))),"",ROUND(AH11*(1+MIETER!$P$6)^2,0))</f>
        <v/>
      </c>
      <c r="AW11" s="976" t="n"/>
      <c r="AX11" s="972" t="n"/>
      <c r="AY11" s="973">
        <f>IF(NOT(ISNUMBER(F11)),"",IF(ISNUMBER(AX11),AX11,IF(AND(ISNUMBER(AW11),ISNUMBER(AH11),AH11&gt;0),AH11*AW11,IF(OR(NOT(ISNUMBER($C$62)),NOT(ISNUMBER($C$64))),"",$C$62+$C$64*F11/12))))</f>
        <v/>
      </c>
      <c r="AZ11" s="972" t="n"/>
      <c r="BA11" s="973">
        <f>IF(NOT(ISNUMBER(AY11)),"",IF(ISNUMBER(AZ11),MIN(AY11,AZ11),IF(OR(NOT(ISNUMBER(F11)),NOT(ISNUMBER($C$64))),0,MIN(AY11,$C$64*F11/12))))</f>
        <v/>
      </c>
      <c r="BB11" s="967">
        <f>IF(OR(NOT(ISNUMBER(AY11)),NOT(ISNUMBER(AH11)),AH11=0),"",AY11/AH11)</f>
        <v/>
      </c>
      <c r="BC11" s="973">
        <f>IF(NOT(ISNUMBER(AH11)),"",AH11*0.01)</f>
        <v/>
      </c>
      <c r="BD11" s="969">
        <f>IF(OR(NOT(ISNUMBER(AH11)),NOT(ISNUMBER($C$28)),NOT(ISNUMBER(BY11)),BY11&lt;=0),"",AH11*0.01*(1-$C$28)/BY11)</f>
        <v/>
      </c>
      <c r="BE11" s="969">
        <f>IF(OR(NOT(ISNUMBER(K11)),NOT(ISNUMBER($H$30))),"",$H$30*K11)</f>
        <v/>
      </c>
      <c r="BF11" s="971" t="n"/>
      <c r="BG11" s="964">
        <f>IF(OR(NOT(ISNUMBER(BE11)),NOT(ISNUMBER(X11)),X11&lt;=0),"",1-BE11/X11)</f>
        <v/>
      </c>
      <c r="BH11" s="964">
        <f>IF(NOT(ISNUMBER(X11)),"",IF(ISNUMBER(BF11),BF11,IF(AND(ISNUMBER(BE11),ISNUMBER(AA11),AA11&gt;0),1-BE11/AA11,IF(NOT(ISNUMBER($C$31)),"",$C$31))))</f>
        <v/>
      </c>
      <c r="BI11" s="960">
        <f>IF(NOT(ISNUMBER(F11)),"",IF(ISNUMBER(BF11),"vertrag",IF(ISNUMBER(BE11),"berechnet","standard")))</f>
        <v/>
      </c>
      <c r="BJ11" s="971" t="n"/>
      <c r="BK11" s="964">
        <f>IF(NOT(ISNUMBER(F11)),"",IF(ISNUMBER(BJ11),BJ11,IF(NOT(ISNUMBER($C$30)),"",$C$30)))</f>
        <v/>
      </c>
      <c r="BL11" s="969">
        <f>IF(OR(NOT(ISNUMBER(AA11)),NOT(ISNUMBER(BH11)),NOT(ISNUMBER($C$36))),"",AA11*(1+$C$36)*BH11)</f>
        <v/>
      </c>
      <c r="BM11" s="973">
        <f>IF(OR(NOT(ISNUMBER(BL11)),NOT(ISNUMBER(BK11)),NOT(ISNUMBER($C$36)),NOT(ISNUMBER($H$34))),"",(BL11*BK11+N(Q11)*MAX(1,$H$34)*(1+$C$36)*N($H$31)+N(R11)*MAX(1,$H$34)*(1+$C$36)*N($H$32))/12)</f>
        <v/>
      </c>
      <c r="BN11" s="973">
        <f>IF(OR(NOT(ISNUMBER(AD11)),NOT(ISNUMBER($C$26))),"",AD11*$C$26/12)</f>
        <v/>
      </c>
      <c r="BO11" s="969">
        <f>IF(OR(NOT(ISNUMBER(AD11)),NOT(ISNUMBER($C$26)),NOT(ISNUMBER($C$27))),"",ROUND(AD11*($C$26+$C$27)/12,0))</f>
        <v/>
      </c>
      <c r="BP11" s="977">
        <f>IF(OR(NOT(ISNUMBER(AO11)),NOT(ISNUMBER(BM11)),NOT(ISNUMBER(BN11)),NOT(ISNUMBER(AY11))),"",AO11-BN11-BM11-(AY11-N(BA11)))</f>
        <v/>
      </c>
      <c r="BQ11" s="978">
        <f>IF(OR(NOT(ISNUMBER(BP11)),NOT(ISNUMBER($C$28))),"",ROUND(-BP11*$C$28,0))</f>
        <v/>
      </c>
      <c r="BR11" s="973">
        <f>IF(OR(NOT(ISNUMBER(BA11)),NOT(ISNUMBER($C$28))),"",BA11*$C$28)</f>
        <v/>
      </c>
      <c r="BS11" s="978">
        <f>IF(OR(NOT(ISNUMBER(AO11)),NOT(ISNUMBER(BO11)),NOT(ISNUMBER(AY11))),"",ROUND(AO11,0)-BO11-ROUND(AY11,0))</f>
        <v/>
      </c>
      <c r="BT11" s="978">
        <f>IF(OR(NOT(ISNUMBER(BS11)),NOT(ISNUMBER(BQ11))),"",BS11+BQ11)</f>
        <v/>
      </c>
      <c r="BU11" s="978">
        <f>IF(OR(NOT(ISNUMBER(AN11)),NOT(ISNUMBER(BO11)),NOT(ISNUMBER(AY11)),NOT(ISNUMBER(BP11)),NOT(ISNUMBER($C$28))),"",ROUND(AN11,0)-BO11-ROUND(AY11,0)+ROUND(-(BP11-N(AJ11))*$C$28,0))</f>
        <v/>
      </c>
      <c r="BV11" s="977">
        <f>IF(OR(NOT(ISNUMBER(AO11)),NOT(ISNUMBER(AY11)),NOT(ISNUMBER(BK11)),NOT(ISNUMBER($C$28)),NOT(ISNUMBER($C$36))),"",(AO11-AY11)*(1-$C$28)-$C$28*N(BA11)-IF(BI11="berechnet",$C$28*(1+$C$36)*BK11*N(BE11)/12,0))</f>
        <v/>
      </c>
      <c r="BW11" s="977">
        <f>IF(OR(NOT(ISNUMBER(F11)),NOT(ISNUMBER($C$26)),NOT(ISNUMBER($C$27)),NOT(ISNUMBER($C$28)),NOT(ISNUMBER($C$36))),"",($C$28*(1+$C$36)*(N(Q11)*N($H$31)+N(R11)*N($H$32))-(N(Q11)+N(R11))*(($C$26+$C$27)-$C$28*$C$26))/12)</f>
        <v/>
      </c>
      <c r="BX11" s="979">
        <f>IF(OR(NOT(ISNUMBER(BK11)),NOT(ISNUMBER($C$26)),NOT(ISNUMBER($C$27)),NOT(ISNUMBER($C$28)),NOT(ISNUMBER($C$36)),BI11=""),"",(($C$26+$C$27)-$C$28*$C$26-$C$28*(1+$C$36)*BK11*IF(BI11="berechnet",1,IF(BI11="vertrag",BF11,$C$31)))/12)</f>
        <v/>
      </c>
      <c r="BY11" s="979">
        <f>IF(OR(NOT(ISNUMBER(BX11)),NOT(ISNUMBER($C$34))),"",$C$34*BX11)</f>
        <v/>
      </c>
      <c r="BZ11" s="969">
        <f>IF(OR($G11="ja",NOT(ISNUMBER(AH11)),NOT(ISNUMBER(BV11)),NOT(ISNUMBER(BW11)),NOT(ISNUMBER(BX11)),BX11&lt;=0),"",(BV11-N($C$32)+BW11)/BX11)</f>
        <v/>
      </c>
      <c r="CA11" s="969">
        <f>IF(OR($G11="ja",NOT(ISNUMBER(AH11)),NOT(ISNUMBER(BV11)),NOT(ISNUMBER(BW11)),NOT(ISNUMBER(BY11)),BY11&lt;=0,NOT(ISNUMBER($C$34))),"",(BV11-N($C$32)+BW11*$C$34)/BY11)</f>
        <v/>
      </c>
      <c r="CB11" s="969">
        <f>IF(OR(NOT(ISNUMBER(CA11)),NOT(ISNUMBER($C$28))),"",CA11-N(AJ11)*(1-$C$28)/BY11)</f>
        <v/>
      </c>
      <c r="CC11" s="966">
        <f>IF(OR(NOT(ISNUMBER(CA11)),NOT(ISNUMBER(U11)),U11&lt;=-1,NOT(ISNUMBER(F11)),F11=0),"",((CA11+N(Q11)+N(R11))/(1+U11)-N(Q11)-N(R11)-N(O11))/F11)</f>
        <v/>
      </c>
      <c r="CD11" s="980">
        <f>IF(OR(NOT(ISNUMBER(L11)),NOT(ISNUMBER(CC11))),"",L11-CC11)</f>
        <v/>
      </c>
      <c r="CE11" s="981">
        <f>IF(OR(NOT(ISNUMBER(W11)),NOT(ISNUMBER(AN11)),AN11=0),"",W11/(AN11*12))</f>
        <v/>
      </c>
      <c r="CF11" s="964">
        <f>IF(OR(NOT(ISNUMBER(W11)),NOT(ISNUMBER(AN11)),W11=0),"",AN11*12/W11)</f>
        <v/>
      </c>
      <c r="CG11" s="960">
        <f>IF(NOT(ISNUMBER(F11)),"",IF($G11="ja","GRAU: Leerstand - keine Mietbasis",IF(AND(ISNUMBER(AH11),AH11=0),"GRAU: Ist-Miete 0 - Leerstand pruefen",IF(NOT(ISNUMBER(AH11)),"GRAU: Wohnungsmiete fehlt",IF(NOT(ISNUMBER(AJ11)),"GRAU: keine Sollmiete/Mietspiegel",IF(AND(ISNUMBER(AW11),ISNUMBER(AX11)),"GRAU: zwei Hausgeld-Quellen gesetzt",IF(AND(OR(ISNUMBER(AX11),ISNUMBER(AW11)),NOT(ISNUMBER(AZ11))),"GRAU: Ruecklagenanteil fehlt",IF(AND(AJ11&gt;0,NOT(ISNUMBER(AT11))),"GRAU: Subventionsdauer unbekannt",IF(AND(ISNUMBER(BH11),BH11&lt;=0),"ROT: Bodenwert uebersteigt Kaufpreis - Daten pruefen",IF(NOT(ISNUMBER(BT11)),"GRAU: Cashflow nicht rechenbar",IF(NOT(ISNUMBER(BZ11)),"GRAU: max. tragbar nicht rechenbar",IF(BZ11&lt;=0,"ROT: kein tragbarer Preis bei diesem Ziel-Cashflow",IF(AND(BI11="berechnet",BZ11&lt;BE11),"ROT: max. tragbar unter Bodenwert - Modell nicht gueltig",IF(X11&lt;=BZ11-N(AJ11)*(1-$C$28)/BX11,"GRUEN: Preis unter max. tragbar (auch ohne Subvention)",IF(X11&lt;=BZ11,"GELB: nur mit Subvention tragbar",IF(X11&lt;=BZ11*(1+N($H$33)),"GELB: bis Toleranz darueber","ROT: deutlich ueber max. tragbar"))))))))))))))))</f>
        <v/>
      </c>
      <c r="CH11" s="960">
        <f>IF(NOT(ISNUMBER(F11)),"",IF($G11="ja","GRAU: Leerstand - keine Mietbasis",IF(AND(ISNUMBER(AH11),AH11=0),"GRAU: Ist-Miete 0 - Leerstand pruefen",IF(NOT(ISNUMBER(AH11)),"GRAU: Wohnungsmiete fehlt",IF(NOT(ISNUMBER(AJ11)),"GRAU: keine Sollmiete/Mietspiegel",IF(AND(ISNUMBER(AW11),ISNUMBER(AX11)),"GRAU: zwei Hausgeld-Quellen gesetzt",IF(AND(OR(ISNUMBER(AX11),ISNUMBER(AW11)),NOT(ISNUMBER(AZ11))),"GRAU: Ruecklagenanteil fehlt",IF(AND(AJ11&gt;0,NOT(ISNUMBER(AT11))),"GRAU: Subventionsdauer unbekannt",IF(AND(ISNUMBER(BH11),BH11&lt;=0),"ROT: Bodenwert uebersteigt Kaufpreis - Daten pruefen",IF(NOT(ISNUMBER(BT11)),"GRAU: Cashflow nicht rechenbar",IF(NOT(ISNUMBER(CA11)),"GRAU: max. tragbar nicht rechenbar",IF(CA11&lt;=0,"ROT: kein tragbarer Preis bei diesem Ziel-Cashflow",IF(AND(BI11="berechnet",CA11&lt;BE11),"ROT: max. tragbar unter Bodenwert - Modell nicht gueltig",IF(X11&lt;=CB11,"GRUEN: Preis unter max. tragbar (auch ohne Subvention)",IF(X11&lt;=CA11,"GELB: nur mit Subvention tragbar",IF(X11&lt;=CA11*(1+N($H$33)),"GELB: bis Toleranz darueber","ROT: deutlich ueber max. tragbar"))))))))))))))))</f>
        <v/>
      </c>
    </row>
    <row r="12" s="545">
      <c r="A12" s="982">
        <f>IF(NOT(ISNUMBER(MIETER!F17)),"",ROW()-2)</f>
        <v/>
      </c>
      <c r="B12" s="983">
        <f>IF(NOT(ISNUMBER(MIETER!F17)),"",IF(MIETER!A17="","",MIETER!A17))</f>
        <v/>
      </c>
      <c r="C12" s="983">
        <f>IF(NOT(ISNUMBER(MIETER!F17)),"",IF(MIETER!B17="","",MIETER!B17))</f>
        <v/>
      </c>
      <c r="D12" s="983">
        <f>IF(NOT(ISNUMBER(MIETER!F17)),"",IF(MIETER!C17="","",MIETER!C17))</f>
        <v/>
      </c>
      <c r="E12" s="983">
        <f>IF(NOT(ISNUMBER(MIETER!F17)),"",IF(MIETER!D17="","",MIETER!D17))</f>
        <v/>
      </c>
      <c r="F12" s="984">
        <f>IF(NOT(ISNUMBER(MIETER!F17)),"",MIETER!F17)</f>
        <v/>
      </c>
      <c r="G12" s="962" t="n"/>
      <c r="H12" s="963" t="n"/>
      <c r="I12" s="963" t="n"/>
      <c r="J12" s="963" t="n"/>
      <c r="K12" s="985">
        <f>IF(OR(NOT(ISNUMBER(F12)),NOT(ISNUMBER(J12)),NOT(ISNUMBER($H$29)),$H$29=0),"",J12/$H$29)</f>
        <v/>
      </c>
      <c r="L12" s="965" t="n"/>
      <c r="M12" s="986">
        <f>IF(OR(NOT(ISNUMBER(F12)),F12=0,NOT(ISNUMBER(VERKAUFSMATRIX!U15))),"",VERKAUFSMATRIX!U15/F12)</f>
        <v/>
      </c>
      <c r="N12" s="987">
        <f>IF(OR(NOT(ISNUMBER(L12)),NOT(ISNUMBER(M12)),M12=0),"",L12/M12-1)</f>
        <v/>
      </c>
      <c r="O12" s="968" t="n"/>
      <c r="P12" s="988">
        <f>IF(OR(NOT(ISNUMBER(F12)),NOT(ISNUMBER(L12))),"",F12*L12+N(O12))</f>
        <v/>
      </c>
      <c r="Q12" s="970" t="n"/>
      <c r="R12" s="970" t="n"/>
      <c r="S12" s="988">
        <f>IF(NOT(ISNUMBER(P12)),"",P12+N(Q12)+N(R12))</f>
        <v/>
      </c>
      <c r="T12" s="971" t="n"/>
      <c r="U12" s="985">
        <f>IF(NOT(ISNUMBER(F12)),"",IF(ISNUMBER(T12),T12,IF(NOT(ISNUMBER($H$26)),"",$H$26)))</f>
        <v/>
      </c>
      <c r="V12" s="988">
        <f>IF(OR(NOT(ISNUMBER(S12)),NOT(ISNUMBER(U12))),"",S12*U12)</f>
        <v/>
      </c>
      <c r="W12" s="988">
        <f>IF(OR(NOT(ISNUMBER(S12)),NOT(ISNUMBER(U12))),"",S12*(1+U12))</f>
        <v/>
      </c>
      <c r="X12" s="988">
        <f>IF(NOT(ISNUMBER(W12)),"",W12-N(Q12)-N(R12))</f>
        <v/>
      </c>
      <c r="Y12" s="986">
        <f>IF(OR(NOT(ISNUMBER(S12)),NOT(ISNUMBER(F12)),F12=0),"",S12/F12)</f>
        <v/>
      </c>
      <c r="Z12" s="986">
        <f>IF(OR(NOT(ISNUMBER(X12)),NOT(ISNUMBER(F12)),F12=0),"",X12/F12)</f>
        <v/>
      </c>
      <c r="AA12" s="988">
        <f>IF(OR(NOT(ISNUMBER(X12)),NOT(ISNUMBER($H$34))),"",X12*MAX(1,$H$34))</f>
        <v/>
      </c>
      <c r="AB12" s="988">
        <f>IF(OR(NOT(ISNUMBER(W12)),NOT(ISNUMBER($H$34)),NOT(ISNUMBER($C$36))),"",W12*MAX(1,$H$34)*$C$36)</f>
        <v/>
      </c>
      <c r="AC12" s="988">
        <f>IF(OR(NOT(ISNUMBER(W12)),NOT(ISNUMBER(AB12))),"",W12+AB12)</f>
        <v/>
      </c>
      <c r="AD12" s="988">
        <f>IF(OR(NOT(ISNUMBER(W12)),NOT(ISNUMBER($H$34))),"",W12*$H$34)</f>
        <v/>
      </c>
      <c r="AE12" s="988">
        <f>IF(OR(NOT(ISNUMBER(AC12)),NOT(ISNUMBER(AD12))),"",MAX(0,AC12-AD12))</f>
        <v/>
      </c>
      <c r="AF12" s="988">
        <f>IF(OR(NOT(ISNUMBER(AD12)),NOT(ISNUMBER(W12))),"",AD12-W12)</f>
        <v/>
      </c>
      <c r="AG12" s="972" t="n"/>
      <c r="AH12" s="989">
        <f>IF(OR(NOT(ISNUMBER(MIETER!F17)),$G12="ja"),"",IF(NOT(ISNUMBER(MIETER!J17)),"",IF(ISNUMBER(AG12),MAX(MIETER!J17,AG12),MIETER!J17)))</f>
        <v/>
      </c>
      <c r="AI12" s="972" t="n"/>
      <c r="AJ12" s="989">
        <f>IF(OR(NOT(ISNUMBER(AH12)),NOT(ISNUMBER(AI12))),"",MAX(0,AI12-AH12))</f>
        <v/>
      </c>
      <c r="AK12" s="972" t="n"/>
      <c r="AL12" s="972" t="n"/>
      <c r="AM12" s="972" t="n"/>
      <c r="AN12" s="989">
        <f>IF(NOT(ISNUMBER(F12)),"",IF(AND(NOT(ISNUMBER(AH12)),NOT(ISNUMBER(AL12)),NOT(ISNUMBER(AM12))),"",N(AH12)+N(AL12)+N(AM12)))</f>
        <v/>
      </c>
      <c r="AO12" s="989">
        <f>IF(OR($G12="ja",NOT(ISNUMBER(AH12)),NOT(ISNUMBER(AN12))),"",AN12+N(AJ12))</f>
        <v/>
      </c>
      <c r="AP12" s="990">
        <f>IF(OR(NOT(ISNUMBER(AH12)),NOT(ISNUMBER(F12)),F12=0),"",AH12/F12)</f>
        <v/>
      </c>
      <c r="AQ12" s="991">
        <f>IF(OR(NOT(ISNUMBER(MIETER!F17)),NOT(ISNUMBER(MIETER!I17))),"",MIETER!I17)</f>
        <v/>
      </c>
      <c r="AR12" s="991">
        <f>IF(OR(NOT(ISNUMBER(AQ12)),$G12="ja",NOT(ISNUMBER($H$35))),"",EDATE(AQ12,$H$35))</f>
        <v/>
      </c>
      <c r="AS12" s="963" t="n"/>
      <c r="AT12" s="982">
        <f>IF(NOT(ISNUMBER(F12)),"",IF(ISNUMBER(AS12),AS12,IF(NOT(ISNUMBER(AR12)),"",MAX(0,(YEAR(AR12)-YEAR(TODAY()))*12+MONTH(AR12)-MONTH(TODAY())))))</f>
        <v/>
      </c>
      <c r="AU12" s="988">
        <f>IF(NOT(ISNUMBER(AT12)),"",IF(ISNUMBER(AK12),AK12*AT12,IF(NOT(ISNUMBER(AJ12)),"",AJ12*AT12)))</f>
        <v/>
      </c>
      <c r="AV12" s="988">
        <f>IF(OR(NOT(ISNUMBER(AH12)),NOT(ISNUMBER(MIETER!$P$6))),"",ROUND(AH12*(1+MIETER!$P$6)^2,0))</f>
        <v/>
      </c>
      <c r="AW12" s="976" t="n"/>
      <c r="AX12" s="972" t="n"/>
      <c r="AY12" s="989">
        <f>IF(NOT(ISNUMBER(F12)),"",IF(ISNUMBER(AX12),AX12,IF(AND(ISNUMBER(AW12),ISNUMBER(AH12),AH12&gt;0),AH12*AW12,IF(OR(NOT(ISNUMBER($C$62)),NOT(ISNUMBER($C$64))),"",$C$62+$C$64*F12/12))))</f>
        <v/>
      </c>
      <c r="AZ12" s="972" t="n"/>
      <c r="BA12" s="989">
        <f>IF(NOT(ISNUMBER(AY12)),"",IF(ISNUMBER(AZ12),MIN(AY12,AZ12),IF(OR(NOT(ISNUMBER(F12)),NOT(ISNUMBER($C$64))),0,MIN(AY12,$C$64*F12/12))))</f>
        <v/>
      </c>
      <c r="BB12" s="987">
        <f>IF(OR(NOT(ISNUMBER(AY12)),NOT(ISNUMBER(AH12)),AH12=0),"",AY12/AH12)</f>
        <v/>
      </c>
      <c r="BC12" s="989">
        <f>IF(NOT(ISNUMBER(AH12)),"",AH12*0.01)</f>
        <v/>
      </c>
      <c r="BD12" s="988">
        <f>IF(OR(NOT(ISNUMBER(AH12)),NOT(ISNUMBER($C$28)),NOT(ISNUMBER(BY12)),BY12&lt;=0),"",AH12*0.01*(1-$C$28)/BY12)</f>
        <v/>
      </c>
      <c r="BE12" s="988">
        <f>IF(OR(NOT(ISNUMBER(K12)),NOT(ISNUMBER($H$30))),"",$H$30*K12)</f>
        <v/>
      </c>
      <c r="BF12" s="971" t="n"/>
      <c r="BG12" s="985">
        <f>IF(OR(NOT(ISNUMBER(BE12)),NOT(ISNUMBER(X12)),X12&lt;=0),"",1-BE12/X12)</f>
        <v/>
      </c>
      <c r="BH12" s="985">
        <f>IF(NOT(ISNUMBER(X12)),"",IF(ISNUMBER(BF12),BF12,IF(AND(ISNUMBER(BE12),ISNUMBER(AA12),AA12&gt;0),1-BE12/AA12,IF(NOT(ISNUMBER($C$31)),"",$C$31))))</f>
        <v/>
      </c>
      <c r="BI12" s="983">
        <f>IF(NOT(ISNUMBER(F12)),"",IF(ISNUMBER(BF12),"vertrag",IF(ISNUMBER(BE12),"berechnet","standard")))</f>
        <v/>
      </c>
      <c r="BJ12" s="971" t="n"/>
      <c r="BK12" s="985">
        <f>IF(NOT(ISNUMBER(F12)),"",IF(ISNUMBER(BJ12),BJ12,IF(NOT(ISNUMBER($C$30)),"",$C$30)))</f>
        <v/>
      </c>
      <c r="BL12" s="988">
        <f>IF(OR(NOT(ISNUMBER(AA12)),NOT(ISNUMBER(BH12)),NOT(ISNUMBER($C$36))),"",AA12*(1+$C$36)*BH12)</f>
        <v/>
      </c>
      <c r="BM12" s="989">
        <f>IF(OR(NOT(ISNUMBER(BL12)),NOT(ISNUMBER(BK12)),NOT(ISNUMBER($C$36)),NOT(ISNUMBER($H$34))),"",(BL12*BK12+N(Q12)*MAX(1,$H$34)*(1+$C$36)*N($H$31)+N(R12)*MAX(1,$H$34)*(1+$C$36)*N($H$32))/12)</f>
        <v/>
      </c>
      <c r="BN12" s="989">
        <f>IF(OR(NOT(ISNUMBER(AD12)),NOT(ISNUMBER($C$26))),"",AD12*$C$26/12)</f>
        <v/>
      </c>
      <c r="BO12" s="988">
        <f>IF(OR(NOT(ISNUMBER(AD12)),NOT(ISNUMBER($C$26)),NOT(ISNUMBER($C$27))),"",ROUND(AD12*($C$26+$C$27)/12,0))</f>
        <v/>
      </c>
      <c r="BP12" s="992">
        <f>IF(OR(NOT(ISNUMBER(AO12)),NOT(ISNUMBER(BM12)),NOT(ISNUMBER(BN12)),NOT(ISNUMBER(AY12))),"",AO12-BN12-BM12-(AY12-N(BA12)))</f>
        <v/>
      </c>
      <c r="BQ12" s="993">
        <f>IF(OR(NOT(ISNUMBER(BP12)),NOT(ISNUMBER($C$28))),"",ROUND(-BP12*$C$28,0))</f>
        <v/>
      </c>
      <c r="BR12" s="989">
        <f>IF(OR(NOT(ISNUMBER(BA12)),NOT(ISNUMBER($C$28))),"",BA12*$C$28)</f>
        <v/>
      </c>
      <c r="BS12" s="993">
        <f>IF(OR(NOT(ISNUMBER(AO12)),NOT(ISNUMBER(BO12)),NOT(ISNUMBER(AY12))),"",ROUND(AO12,0)-BO12-ROUND(AY12,0))</f>
        <v/>
      </c>
      <c r="BT12" s="993">
        <f>IF(OR(NOT(ISNUMBER(BS12)),NOT(ISNUMBER(BQ12))),"",BS12+BQ12)</f>
        <v/>
      </c>
      <c r="BU12" s="993">
        <f>IF(OR(NOT(ISNUMBER(AN12)),NOT(ISNUMBER(BO12)),NOT(ISNUMBER(AY12)),NOT(ISNUMBER(BP12)),NOT(ISNUMBER($C$28))),"",ROUND(AN12,0)-BO12-ROUND(AY12,0)+ROUND(-(BP12-N(AJ12))*$C$28,0))</f>
        <v/>
      </c>
      <c r="BV12" s="992">
        <f>IF(OR(NOT(ISNUMBER(AO12)),NOT(ISNUMBER(AY12)),NOT(ISNUMBER(BK12)),NOT(ISNUMBER($C$28)),NOT(ISNUMBER($C$36))),"",(AO12-AY12)*(1-$C$28)-$C$28*N(BA12)-IF(BI12="berechnet",$C$28*(1+$C$36)*BK12*N(BE12)/12,0))</f>
        <v/>
      </c>
      <c r="BW12" s="992">
        <f>IF(OR(NOT(ISNUMBER(F12)),NOT(ISNUMBER($C$26)),NOT(ISNUMBER($C$27)),NOT(ISNUMBER($C$28)),NOT(ISNUMBER($C$36))),"",($C$28*(1+$C$36)*(N(Q12)*N($H$31)+N(R12)*N($H$32))-(N(Q12)+N(R12))*(($C$26+$C$27)-$C$28*$C$26))/12)</f>
        <v/>
      </c>
      <c r="BX12" s="994">
        <f>IF(OR(NOT(ISNUMBER(BK12)),NOT(ISNUMBER($C$26)),NOT(ISNUMBER($C$27)),NOT(ISNUMBER($C$28)),NOT(ISNUMBER($C$36)),BI12=""),"",(($C$26+$C$27)-$C$28*$C$26-$C$28*(1+$C$36)*BK12*IF(BI12="berechnet",1,IF(BI12="vertrag",BF12,$C$31)))/12)</f>
        <v/>
      </c>
      <c r="BY12" s="994">
        <f>IF(OR(NOT(ISNUMBER(BX12)),NOT(ISNUMBER($C$34))),"",$C$34*BX12)</f>
        <v/>
      </c>
      <c r="BZ12" s="988">
        <f>IF(OR($G12="ja",NOT(ISNUMBER(AH12)),NOT(ISNUMBER(BV12)),NOT(ISNUMBER(BW12)),NOT(ISNUMBER(BX12)),BX12&lt;=0),"",(BV12-N($C$32)+BW12)/BX12)</f>
        <v/>
      </c>
      <c r="CA12" s="988">
        <f>IF(OR($G12="ja",NOT(ISNUMBER(AH12)),NOT(ISNUMBER(BV12)),NOT(ISNUMBER(BW12)),NOT(ISNUMBER(BY12)),BY12&lt;=0,NOT(ISNUMBER($C$34))),"",(BV12-N($C$32)+BW12*$C$34)/BY12)</f>
        <v/>
      </c>
      <c r="CB12" s="988">
        <f>IF(OR(NOT(ISNUMBER(CA12)),NOT(ISNUMBER($C$28))),"",CA12-N(AJ12)*(1-$C$28)/BY12)</f>
        <v/>
      </c>
      <c r="CC12" s="986">
        <f>IF(OR(NOT(ISNUMBER(CA12)),NOT(ISNUMBER(U12)),U12&lt;=-1,NOT(ISNUMBER(F12)),F12=0),"",((CA12+N(Q12)+N(R12))/(1+U12)-N(Q12)-N(R12)-N(O12))/F12)</f>
        <v/>
      </c>
      <c r="CD12" s="995">
        <f>IF(OR(NOT(ISNUMBER(L12)),NOT(ISNUMBER(CC12))),"",L12-CC12)</f>
        <v/>
      </c>
      <c r="CE12" s="996">
        <f>IF(OR(NOT(ISNUMBER(W12)),NOT(ISNUMBER(AN12)),AN12=0),"",W12/(AN12*12))</f>
        <v/>
      </c>
      <c r="CF12" s="985">
        <f>IF(OR(NOT(ISNUMBER(W12)),NOT(ISNUMBER(AN12)),W12=0),"",AN12*12/W12)</f>
        <v/>
      </c>
      <c r="CG12" s="983">
        <f>IF(NOT(ISNUMBER(F12)),"",IF($G12="ja","GRAU: Leerstand - keine Mietbasis",IF(AND(ISNUMBER(AH12),AH12=0),"GRAU: Ist-Miete 0 - Leerstand pruefen",IF(NOT(ISNUMBER(AH12)),"GRAU: Wohnungsmiete fehlt",IF(NOT(ISNUMBER(AJ12)),"GRAU: keine Sollmiete/Mietspiegel",IF(AND(ISNUMBER(AW12),ISNUMBER(AX12)),"GRAU: zwei Hausgeld-Quellen gesetzt",IF(AND(OR(ISNUMBER(AX12),ISNUMBER(AW12)),NOT(ISNUMBER(AZ12))),"GRAU: Ruecklagenanteil fehlt",IF(AND(AJ12&gt;0,NOT(ISNUMBER(AT12))),"GRAU: Subventionsdauer unbekannt",IF(AND(ISNUMBER(BH12),BH12&lt;=0),"ROT: Bodenwert uebersteigt Kaufpreis - Daten pruefen",IF(NOT(ISNUMBER(BT12)),"GRAU: Cashflow nicht rechenbar",IF(NOT(ISNUMBER(BZ12)),"GRAU: max. tragbar nicht rechenbar",IF(BZ12&lt;=0,"ROT: kein tragbarer Preis bei diesem Ziel-Cashflow",IF(AND(BI12="berechnet",BZ12&lt;BE12),"ROT: max. tragbar unter Bodenwert - Modell nicht gueltig",IF(X12&lt;=BZ12-N(AJ12)*(1-$C$28)/BX12,"GRUEN: Preis unter max. tragbar (auch ohne Subvention)",IF(X12&lt;=BZ12,"GELB: nur mit Subvention tragbar",IF(X12&lt;=BZ12*(1+N($H$33)),"GELB: bis Toleranz darueber","ROT: deutlich ueber max. tragbar"))))))))))))))))</f>
        <v/>
      </c>
      <c r="CH12" s="983">
        <f>IF(NOT(ISNUMBER(F12)),"",IF($G12="ja","GRAU: Leerstand - keine Mietbasis",IF(AND(ISNUMBER(AH12),AH12=0),"GRAU: Ist-Miete 0 - Leerstand pruefen",IF(NOT(ISNUMBER(AH12)),"GRAU: Wohnungsmiete fehlt",IF(NOT(ISNUMBER(AJ12)),"GRAU: keine Sollmiete/Mietspiegel",IF(AND(ISNUMBER(AW12),ISNUMBER(AX12)),"GRAU: zwei Hausgeld-Quellen gesetzt",IF(AND(OR(ISNUMBER(AX12),ISNUMBER(AW12)),NOT(ISNUMBER(AZ12))),"GRAU: Ruecklagenanteil fehlt",IF(AND(AJ12&gt;0,NOT(ISNUMBER(AT12))),"GRAU: Subventionsdauer unbekannt",IF(AND(ISNUMBER(BH12),BH12&lt;=0),"ROT: Bodenwert uebersteigt Kaufpreis - Daten pruefen",IF(NOT(ISNUMBER(BT12)),"GRAU: Cashflow nicht rechenbar",IF(NOT(ISNUMBER(CA12)),"GRAU: max. tragbar nicht rechenbar",IF(CA12&lt;=0,"ROT: kein tragbarer Preis bei diesem Ziel-Cashflow",IF(AND(BI12="berechnet",CA12&lt;BE12),"ROT: max. tragbar unter Bodenwert - Modell nicht gueltig",IF(X12&lt;=CB12,"GRUEN: Preis unter max. tragbar (auch ohne Subvention)",IF(X12&lt;=CA12,"GELB: nur mit Subvention tragbar",IF(X12&lt;=CA12*(1+N($H$33)),"GELB: bis Toleranz darueber","ROT: deutlich ueber max. tragbar"))))))))))))))))</f>
        <v/>
      </c>
    </row>
    <row r="13" s="545">
      <c r="A13" s="959">
        <f>IF(NOT(ISNUMBER(MIETER!F18)),"",ROW()-2)</f>
        <v/>
      </c>
      <c r="B13" s="960">
        <f>IF(NOT(ISNUMBER(MIETER!F18)),"",IF(MIETER!A18="","",MIETER!A18))</f>
        <v/>
      </c>
      <c r="C13" s="960">
        <f>IF(NOT(ISNUMBER(MIETER!F18)),"",IF(MIETER!B18="","",MIETER!B18))</f>
        <v/>
      </c>
      <c r="D13" s="960">
        <f>IF(NOT(ISNUMBER(MIETER!F18)),"",IF(MIETER!C18="","",MIETER!C18))</f>
        <v/>
      </c>
      <c r="E13" s="960">
        <f>IF(NOT(ISNUMBER(MIETER!F18)),"",IF(MIETER!D18="","",MIETER!D18))</f>
        <v/>
      </c>
      <c r="F13" s="961">
        <f>IF(NOT(ISNUMBER(MIETER!F18)),"",MIETER!F18)</f>
        <v/>
      </c>
      <c r="G13" s="962" t="n"/>
      <c r="H13" s="963" t="n"/>
      <c r="I13" s="963" t="n"/>
      <c r="J13" s="963" t="n"/>
      <c r="K13" s="964">
        <f>IF(OR(NOT(ISNUMBER(F13)),NOT(ISNUMBER(J13)),NOT(ISNUMBER($H$29)),$H$29=0),"",J13/$H$29)</f>
        <v/>
      </c>
      <c r="L13" s="965" t="n"/>
      <c r="M13" s="966">
        <f>IF(OR(NOT(ISNUMBER(F13)),F13=0,NOT(ISNUMBER(VERKAUFSMATRIX!U16))),"",VERKAUFSMATRIX!U16/F13)</f>
        <v/>
      </c>
      <c r="N13" s="967">
        <f>IF(OR(NOT(ISNUMBER(L13)),NOT(ISNUMBER(M13)),M13=0),"",L13/M13-1)</f>
        <v/>
      </c>
      <c r="O13" s="968" t="n"/>
      <c r="P13" s="969">
        <f>IF(OR(NOT(ISNUMBER(F13)),NOT(ISNUMBER(L13))),"",F13*L13+N(O13))</f>
        <v/>
      </c>
      <c r="Q13" s="970" t="n"/>
      <c r="R13" s="970" t="n"/>
      <c r="S13" s="969">
        <f>IF(NOT(ISNUMBER(P13)),"",P13+N(Q13)+N(R13))</f>
        <v/>
      </c>
      <c r="T13" s="971" t="n"/>
      <c r="U13" s="964">
        <f>IF(NOT(ISNUMBER(F13)),"",IF(ISNUMBER(T13),T13,IF(NOT(ISNUMBER($H$26)),"",$H$26)))</f>
        <v/>
      </c>
      <c r="V13" s="969">
        <f>IF(OR(NOT(ISNUMBER(S13)),NOT(ISNUMBER(U13))),"",S13*U13)</f>
        <v/>
      </c>
      <c r="W13" s="969">
        <f>IF(OR(NOT(ISNUMBER(S13)),NOT(ISNUMBER(U13))),"",S13*(1+U13))</f>
        <v/>
      </c>
      <c r="X13" s="969">
        <f>IF(NOT(ISNUMBER(W13)),"",W13-N(Q13)-N(R13))</f>
        <v/>
      </c>
      <c r="Y13" s="966">
        <f>IF(OR(NOT(ISNUMBER(S13)),NOT(ISNUMBER(F13)),F13=0),"",S13/F13)</f>
        <v/>
      </c>
      <c r="Z13" s="966">
        <f>IF(OR(NOT(ISNUMBER(X13)),NOT(ISNUMBER(F13)),F13=0),"",X13/F13)</f>
        <v/>
      </c>
      <c r="AA13" s="969">
        <f>IF(OR(NOT(ISNUMBER(X13)),NOT(ISNUMBER($H$34))),"",X13*MAX(1,$H$34))</f>
        <v/>
      </c>
      <c r="AB13" s="969">
        <f>IF(OR(NOT(ISNUMBER(W13)),NOT(ISNUMBER($H$34)),NOT(ISNUMBER($C$36))),"",W13*MAX(1,$H$34)*$C$36)</f>
        <v/>
      </c>
      <c r="AC13" s="969">
        <f>IF(OR(NOT(ISNUMBER(W13)),NOT(ISNUMBER(AB13))),"",W13+AB13)</f>
        <v/>
      </c>
      <c r="AD13" s="969">
        <f>IF(OR(NOT(ISNUMBER(W13)),NOT(ISNUMBER($H$34))),"",W13*$H$34)</f>
        <v/>
      </c>
      <c r="AE13" s="969">
        <f>IF(OR(NOT(ISNUMBER(AC13)),NOT(ISNUMBER(AD13))),"",MAX(0,AC13-AD13))</f>
        <v/>
      </c>
      <c r="AF13" s="969">
        <f>IF(OR(NOT(ISNUMBER(AD13)),NOT(ISNUMBER(W13))),"",AD13-W13)</f>
        <v/>
      </c>
      <c r="AG13" s="972" t="n"/>
      <c r="AH13" s="973">
        <f>IF(OR(NOT(ISNUMBER(MIETER!F18)),$G13="ja"),"",IF(NOT(ISNUMBER(MIETER!J18)),"",IF(ISNUMBER(AG13),MAX(MIETER!J18,AG13),MIETER!J18)))</f>
        <v/>
      </c>
      <c r="AI13" s="972" t="n"/>
      <c r="AJ13" s="973">
        <f>IF(OR(NOT(ISNUMBER(AH13)),NOT(ISNUMBER(AI13))),"",MAX(0,AI13-AH13))</f>
        <v/>
      </c>
      <c r="AK13" s="972" t="n"/>
      <c r="AL13" s="972" t="n"/>
      <c r="AM13" s="972" t="n"/>
      <c r="AN13" s="973">
        <f>IF(NOT(ISNUMBER(F13)),"",IF(AND(NOT(ISNUMBER(AH13)),NOT(ISNUMBER(AL13)),NOT(ISNUMBER(AM13))),"",N(AH13)+N(AL13)+N(AM13)))</f>
        <v/>
      </c>
      <c r="AO13" s="973">
        <f>IF(OR($G13="ja",NOT(ISNUMBER(AH13)),NOT(ISNUMBER(AN13))),"",AN13+N(AJ13))</f>
        <v/>
      </c>
      <c r="AP13" s="974">
        <f>IF(OR(NOT(ISNUMBER(AH13)),NOT(ISNUMBER(F13)),F13=0),"",AH13/F13)</f>
        <v/>
      </c>
      <c r="AQ13" s="975">
        <f>IF(OR(NOT(ISNUMBER(MIETER!F18)),NOT(ISNUMBER(MIETER!I18))),"",MIETER!I18)</f>
        <v/>
      </c>
      <c r="AR13" s="975">
        <f>IF(OR(NOT(ISNUMBER(AQ13)),$G13="ja",NOT(ISNUMBER($H$35))),"",EDATE(AQ13,$H$35))</f>
        <v/>
      </c>
      <c r="AS13" s="963" t="n"/>
      <c r="AT13" s="959">
        <f>IF(NOT(ISNUMBER(F13)),"",IF(ISNUMBER(AS13),AS13,IF(NOT(ISNUMBER(AR13)),"",MAX(0,(YEAR(AR13)-YEAR(TODAY()))*12+MONTH(AR13)-MONTH(TODAY())))))</f>
        <v/>
      </c>
      <c r="AU13" s="969">
        <f>IF(NOT(ISNUMBER(AT13)),"",IF(ISNUMBER(AK13),AK13*AT13,IF(NOT(ISNUMBER(AJ13)),"",AJ13*AT13)))</f>
        <v/>
      </c>
      <c r="AV13" s="969">
        <f>IF(OR(NOT(ISNUMBER(AH13)),NOT(ISNUMBER(MIETER!$P$6))),"",ROUND(AH13*(1+MIETER!$P$6)^2,0))</f>
        <v/>
      </c>
      <c r="AW13" s="976" t="n"/>
      <c r="AX13" s="972" t="n"/>
      <c r="AY13" s="973">
        <f>IF(NOT(ISNUMBER(F13)),"",IF(ISNUMBER(AX13),AX13,IF(AND(ISNUMBER(AW13),ISNUMBER(AH13),AH13&gt;0),AH13*AW13,IF(OR(NOT(ISNUMBER($C$62)),NOT(ISNUMBER($C$64))),"",$C$62+$C$64*F13/12))))</f>
        <v/>
      </c>
      <c r="AZ13" s="972" t="n"/>
      <c r="BA13" s="973">
        <f>IF(NOT(ISNUMBER(AY13)),"",IF(ISNUMBER(AZ13),MIN(AY13,AZ13),IF(OR(NOT(ISNUMBER(F13)),NOT(ISNUMBER($C$64))),0,MIN(AY13,$C$64*F13/12))))</f>
        <v/>
      </c>
      <c r="BB13" s="967">
        <f>IF(OR(NOT(ISNUMBER(AY13)),NOT(ISNUMBER(AH13)),AH13=0),"",AY13/AH13)</f>
        <v/>
      </c>
      <c r="BC13" s="973">
        <f>IF(NOT(ISNUMBER(AH13)),"",AH13*0.01)</f>
        <v/>
      </c>
      <c r="BD13" s="969">
        <f>IF(OR(NOT(ISNUMBER(AH13)),NOT(ISNUMBER($C$28)),NOT(ISNUMBER(BY13)),BY13&lt;=0),"",AH13*0.01*(1-$C$28)/BY13)</f>
        <v/>
      </c>
      <c r="BE13" s="969">
        <f>IF(OR(NOT(ISNUMBER(K13)),NOT(ISNUMBER($H$30))),"",$H$30*K13)</f>
        <v/>
      </c>
      <c r="BF13" s="971" t="n"/>
      <c r="BG13" s="964">
        <f>IF(OR(NOT(ISNUMBER(BE13)),NOT(ISNUMBER(X13)),X13&lt;=0),"",1-BE13/X13)</f>
        <v/>
      </c>
      <c r="BH13" s="964">
        <f>IF(NOT(ISNUMBER(X13)),"",IF(ISNUMBER(BF13),BF13,IF(AND(ISNUMBER(BE13),ISNUMBER(AA13),AA13&gt;0),1-BE13/AA13,IF(NOT(ISNUMBER($C$31)),"",$C$31))))</f>
        <v/>
      </c>
      <c r="BI13" s="960">
        <f>IF(NOT(ISNUMBER(F13)),"",IF(ISNUMBER(BF13),"vertrag",IF(ISNUMBER(BE13),"berechnet","standard")))</f>
        <v/>
      </c>
      <c r="BJ13" s="971" t="n"/>
      <c r="BK13" s="964">
        <f>IF(NOT(ISNUMBER(F13)),"",IF(ISNUMBER(BJ13),BJ13,IF(NOT(ISNUMBER($C$30)),"",$C$30)))</f>
        <v/>
      </c>
      <c r="BL13" s="969">
        <f>IF(OR(NOT(ISNUMBER(AA13)),NOT(ISNUMBER(BH13)),NOT(ISNUMBER($C$36))),"",AA13*(1+$C$36)*BH13)</f>
        <v/>
      </c>
      <c r="BM13" s="973">
        <f>IF(OR(NOT(ISNUMBER(BL13)),NOT(ISNUMBER(BK13)),NOT(ISNUMBER($C$36)),NOT(ISNUMBER($H$34))),"",(BL13*BK13+N(Q13)*MAX(1,$H$34)*(1+$C$36)*N($H$31)+N(R13)*MAX(1,$H$34)*(1+$C$36)*N($H$32))/12)</f>
        <v/>
      </c>
      <c r="BN13" s="973">
        <f>IF(OR(NOT(ISNUMBER(AD13)),NOT(ISNUMBER($C$26))),"",AD13*$C$26/12)</f>
        <v/>
      </c>
      <c r="BO13" s="969">
        <f>IF(OR(NOT(ISNUMBER(AD13)),NOT(ISNUMBER($C$26)),NOT(ISNUMBER($C$27))),"",ROUND(AD13*($C$26+$C$27)/12,0))</f>
        <v/>
      </c>
      <c r="BP13" s="977">
        <f>IF(OR(NOT(ISNUMBER(AO13)),NOT(ISNUMBER(BM13)),NOT(ISNUMBER(BN13)),NOT(ISNUMBER(AY13))),"",AO13-BN13-BM13-(AY13-N(BA13)))</f>
        <v/>
      </c>
      <c r="BQ13" s="978">
        <f>IF(OR(NOT(ISNUMBER(BP13)),NOT(ISNUMBER($C$28))),"",ROUND(-BP13*$C$28,0))</f>
        <v/>
      </c>
      <c r="BR13" s="973">
        <f>IF(OR(NOT(ISNUMBER(BA13)),NOT(ISNUMBER($C$28))),"",BA13*$C$28)</f>
        <v/>
      </c>
      <c r="BS13" s="978">
        <f>IF(OR(NOT(ISNUMBER(AO13)),NOT(ISNUMBER(BO13)),NOT(ISNUMBER(AY13))),"",ROUND(AO13,0)-BO13-ROUND(AY13,0))</f>
        <v/>
      </c>
      <c r="BT13" s="978">
        <f>IF(OR(NOT(ISNUMBER(BS13)),NOT(ISNUMBER(BQ13))),"",BS13+BQ13)</f>
        <v/>
      </c>
      <c r="BU13" s="978">
        <f>IF(OR(NOT(ISNUMBER(AN13)),NOT(ISNUMBER(BO13)),NOT(ISNUMBER(AY13)),NOT(ISNUMBER(BP13)),NOT(ISNUMBER($C$28))),"",ROUND(AN13,0)-BO13-ROUND(AY13,0)+ROUND(-(BP13-N(AJ13))*$C$28,0))</f>
        <v/>
      </c>
      <c r="BV13" s="977">
        <f>IF(OR(NOT(ISNUMBER(AO13)),NOT(ISNUMBER(AY13)),NOT(ISNUMBER(BK13)),NOT(ISNUMBER($C$28)),NOT(ISNUMBER($C$36))),"",(AO13-AY13)*(1-$C$28)-$C$28*N(BA13)-IF(BI13="berechnet",$C$28*(1+$C$36)*BK13*N(BE13)/12,0))</f>
        <v/>
      </c>
      <c r="BW13" s="977">
        <f>IF(OR(NOT(ISNUMBER(F13)),NOT(ISNUMBER($C$26)),NOT(ISNUMBER($C$27)),NOT(ISNUMBER($C$28)),NOT(ISNUMBER($C$36))),"",($C$28*(1+$C$36)*(N(Q13)*N($H$31)+N(R13)*N($H$32))-(N(Q13)+N(R13))*(($C$26+$C$27)-$C$28*$C$26))/12)</f>
        <v/>
      </c>
      <c r="BX13" s="979">
        <f>IF(OR(NOT(ISNUMBER(BK13)),NOT(ISNUMBER($C$26)),NOT(ISNUMBER($C$27)),NOT(ISNUMBER($C$28)),NOT(ISNUMBER($C$36)),BI13=""),"",(($C$26+$C$27)-$C$28*$C$26-$C$28*(1+$C$36)*BK13*IF(BI13="berechnet",1,IF(BI13="vertrag",BF13,$C$31)))/12)</f>
        <v/>
      </c>
      <c r="BY13" s="979">
        <f>IF(OR(NOT(ISNUMBER(BX13)),NOT(ISNUMBER($C$34))),"",$C$34*BX13)</f>
        <v/>
      </c>
      <c r="BZ13" s="969">
        <f>IF(OR($G13="ja",NOT(ISNUMBER(AH13)),NOT(ISNUMBER(BV13)),NOT(ISNUMBER(BW13)),NOT(ISNUMBER(BX13)),BX13&lt;=0),"",(BV13-N($C$32)+BW13)/BX13)</f>
        <v/>
      </c>
      <c r="CA13" s="969">
        <f>IF(OR($G13="ja",NOT(ISNUMBER(AH13)),NOT(ISNUMBER(BV13)),NOT(ISNUMBER(BW13)),NOT(ISNUMBER(BY13)),BY13&lt;=0,NOT(ISNUMBER($C$34))),"",(BV13-N($C$32)+BW13*$C$34)/BY13)</f>
        <v/>
      </c>
      <c r="CB13" s="969">
        <f>IF(OR(NOT(ISNUMBER(CA13)),NOT(ISNUMBER($C$28))),"",CA13-N(AJ13)*(1-$C$28)/BY13)</f>
        <v/>
      </c>
      <c r="CC13" s="966">
        <f>IF(OR(NOT(ISNUMBER(CA13)),NOT(ISNUMBER(U13)),U13&lt;=-1,NOT(ISNUMBER(F13)),F13=0),"",((CA13+N(Q13)+N(R13))/(1+U13)-N(Q13)-N(R13)-N(O13))/F13)</f>
        <v/>
      </c>
      <c r="CD13" s="980">
        <f>IF(OR(NOT(ISNUMBER(L13)),NOT(ISNUMBER(CC13))),"",L13-CC13)</f>
        <v/>
      </c>
      <c r="CE13" s="981">
        <f>IF(OR(NOT(ISNUMBER(W13)),NOT(ISNUMBER(AN13)),AN13=0),"",W13/(AN13*12))</f>
        <v/>
      </c>
      <c r="CF13" s="964">
        <f>IF(OR(NOT(ISNUMBER(W13)),NOT(ISNUMBER(AN13)),W13=0),"",AN13*12/W13)</f>
        <v/>
      </c>
      <c r="CG13" s="960">
        <f>IF(NOT(ISNUMBER(F13)),"",IF($G13="ja","GRAU: Leerstand - keine Mietbasis",IF(AND(ISNUMBER(AH13),AH13=0),"GRAU: Ist-Miete 0 - Leerstand pruefen",IF(NOT(ISNUMBER(AH13)),"GRAU: Wohnungsmiete fehlt",IF(NOT(ISNUMBER(AJ13)),"GRAU: keine Sollmiete/Mietspiegel",IF(AND(ISNUMBER(AW13),ISNUMBER(AX13)),"GRAU: zwei Hausgeld-Quellen gesetzt",IF(AND(OR(ISNUMBER(AX13),ISNUMBER(AW13)),NOT(ISNUMBER(AZ13))),"GRAU: Ruecklagenanteil fehlt",IF(AND(AJ13&gt;0,NOT(ISNUMBER(AT13))),"GRAU: Subventionsdauer unbekannt",IF(AND(ISNUMBER(BH13),BH13&lt;=0),"ROT: Bodenwert uebersteigt Kaufpreis - Daten pruefen",IF(NOT(ISNUMBER(BT13)),"GRAU: Cashflow nicht rechenbar",IF(NOT(ISNUMBER(BZ13)),"GRAU: max. tragbar nicht rechenbar",IF(BZ13&lt;=0,"ROT: kein tragbarer Preis bei diesem Ziel-Cashflow",IF(AND(BI13="berechnet",BZ13&lt;BE13),"ROT: max. tragbar unter Bodenwert - Modell nicht gueltig",IF(X13&lt;=BZ13-N(AJ13)*(1-$C$28)/BX13,"GRUEN: Preis unter max. tragbar (auch ohne Subvention)",IF(X13&lt;=BZ13,"GELB: nur mit Subvention tragbar",IF(X13&lt;=BZ13*(1+N($H$33)),"GELB: bis Toleranz darueber","ROT: deutlich ueber max. tragbar"))))))))))))))))</f>
        <v/>
      </c>
      <c r="CH13" s="960">
        <f>IF(NOT(ISNUMBER(F13)),"",IF($G13="ja","GRAU: Leerstand - keine Mietbasis",IF(AND(ISNUMBER(AH13),AH13=0),"GRAU: Ist-Miete 0 - Leerstand pruefen",IF(NOT(ISNUMBER(AH13)),"GRAU: Wohnungsmiete fehlt",IF(NOT(ISNUMBER(AJ13)),"GRAU: keine Sollmiete/Mietspiegel",IF(AND(ISNUMBER(AW13),ISNUMBER(AX13)),"GRAU: zwei Hausgeld-Quellen gesetzt",IF(AND(OR(ISNUMBER(AX13),ISNUMBER(AW13)),NOT(ISNUMBER(AZ13))),"GRAU: Ruecklagenanteil fehlt",IF(AND(AJ13&gt;0,NOT(ISNUMBER(AT13))),"GRAU: Subventionsdauer unbekannt",IF(AND(ISNUMBER(BH13),BH13&lt;=0),"ROT: Bodenwert uebersteigt Kaufpreis - Daten pruefen",IF(NOT(ISNUMBER(BT13)),"GRAU: Cashflow nicht rechenbar",IF(NOT(ISNUMBER(CA13)),"GRAU: max. tragbar nicht rechenbar",IF(CA13&lt;=0,"ROT: kein tragbarer Preis bei diesem Ziel-Cashflow",IF(AND(BI13="berechnet",CA13&lt;BE13),"ROT: max. tragbar unter Bodenwert - Modell nicht gueltig",IF(X13&lt;=CB13,"GRUEN: Preis unter max. tragbar (auch ohne Subvention)",IF(X13&lt;=CA13,"GELB: nur mit Subvention tragbar",IF(X13&lt;=CA13*(1+N($H$33)),"GELB: bis Toleranz darueber","ROT: deutlich ueber max. tragbar"))))))))))))))))</f>
        <v/>
      </c>
    </row>
    <row r="14" s="545">
      <c r="A14" s="982">
        <f>IF(NOT(ISNUMBER(MIETER!F19)),"",ROW()-2)</f>
        <v/>
      </c>
      <c r="B14" s="983">
        <f>IF(NOT(ISNUMBER(MIETER!F19)),"",IF(MIETER!A19="","",MIETER!A19))</f>
        <v/>
      </c>
      <c r="C14" s="983">
        <f>IF(NOT(ISNUMBER(MIETER!F19)),"",IF(MIETER!B19="","",MIETER!B19))</f>
        <v/>
      </c>
      <c r="D14" s="983">
        <f>IF(NOT(ISNUMBER(MIETER!F19)),"",IF(MIETER!C19="","",MIETER!C19))</f>
        <v/>
      </c>
      <c r="E14" s="983">
        <f>IF(NOT(ISNUMBER(MIETER!F19)),"",IF(MIETER!D19="","",MIETER!D19))</f>
        <v/>
      </c>
      <c r="F14" s="984">
        <f>IF(NOT(ISNUMBER(MIETER!F19)),"",MIETER!F19)</f>
        <v/>
      </c>
      <c r="G14" s="962" t="n"/>
      <c r="H14" s="963" t="n"/>
      <c r="I14" s="963" t="n"/>
      <c r="J14" s="963" t="n"/>
      <c r="K14" s="985">
        <f>IF(OR(NOT(ISNUMBER(F14)),NOT(ISNUMBER(J14)),NOT(ISNUMBER($H$29)),$H$29=0),"",J14/$H$29)</f>
        <v/>
      </c>
      <c r="L14" s="965" t="n"/>
      <c r="M14" s="986">
        <f>IF(OR(NOT(ISNUMBER(F14)),F14=0,NOT(ISNUMBER(VERKAUFSMATRIX!U17))),"",VERKAUFSMATRIX!U17/F14)</f>
        <v/>
      </c>
      <c r="N14" s="987">
        <f>IF(OR(NOT(ISNUMBER(L14)),NOT(ISNUMBER(M14)),M14=0),"",L14/M14-1)</f>
        <v/>
      </c>
      <c r="O14" s="968" t="n"/>
      <c r="P14" s="988">
        <f>IF(OR(NOT(ISNUMBER(F14)),NOT(ISNUMBER(L14))),"",F14*L14+N(O14))</f>
        <v/>
      </c>
      <c r="Q14" s="970" t="n"/>
      <c r="R14" s="970" t="n"/>
      <c r="S14" s="988">
        <f>IF(NOT(ISNUMBER(P14)),"",P14+N(Q14)+N(R14))</f>
        <v/>
      </c>
      <c r="T14" s="971" t="n"/>
      <c r="U14" s="985">
        <f>IF(NOT(ISNUMBER(F14)),"",IF(ISNUMBER(T14),T14,IF(NOT(ISNUMBER($H$26)),"",$H$26)))</f>
        <v/>
      </c>
      <c r="V14" s="988">
        <f>IF(OR(NOT(ISNUMBER(S14)),NOT(ISNUMBER(U14))),"",S14*U14)</f>
        <v/>
      </c>
      <c r="W14" s="988">
        <f>IF(OR(NOT(ISNUMBER(S14)),NOT(ISNUMBER(U14))),"",S14*(1+U14))</f>
        <v/>
      </c>
      <c r="X14" s="988">
        <f>IF(NOT(ISNUMBER(W14)),"",W14-N(Q14)-N(R14))</f>
        <v/>
      </c>
      <c r="Y14" s="986">
        <f>IF(OR(NOT(ISNUMBER(S14)),NOT(ISNUMBER(F14)),F14=0),"",S14/F14)</f>
        <v/>
      </c>
      <c r="Z14" s="986">
        <f>IF(OR(NOT(ISNUMBER(X14)),NOT(ISNUMBER(F14)),F14=0),"",X14/F14)</f>
        <v/>
      </c>
      <c r="AA14" s="988">
        <f>IF(OR(NOT(ISNUMBER(X14)),NOT(ISNUMBER($H$34))),"",X14*MAX(1,$H$34))</f>
        <v/>
      </c>
      <c r="AB14" s="988">
        <f>IF(OR(NOT(ISNUMBER(W14)),NOT(ISNUMBER($H$34)),NOT(ISNUMBER($C$36))),"",W14*MAX(1,$H$34)*$C$36)</f>
        <v/>
      </c>
      <c r="AC14" s="988">
        <f>IF(OR(NOT(ISNUMBER(W14)),NOT(ISNUMBER(AB14))),"",W14+AB14)</f>
        <v/>
      </c>
      <c r="AD14" s="988">
        <f>IF(OR(NOT(ISNUMBER(W14)),NOT(ISNUMBER($H$34))),"",W14*$H$34)</f>
        <v/>
      </c>
      <c r="AE14" s="988">
        <f>IF(OR(NOT(ISNUMBER(AC14)),NOT(ISNUMBER(AD14))),"",MAX(0,AC14-AD14))</f>
        <v/>
      </c>
      <c r="AF14" s="988">
        <f>IF(OR(NOT(ISNUMBER(AD14)),NOT(ISNUMBER(W14))),"",AD14-W14)</f>
        <v/>
      </c>
      <c r="AG14" s="972" t="n"/>
      <c r="AH14" s="989">
        <f>IF(OR(NOT(ISNUMBER(MIETER!F19)),$G14="ja"),"",IF(NOT(ISNUMBER(MIETER!J19)),"",IF(ISNUMBER(AG14),MAX(MIETER!J19,AG14),MIETER!J19)))</f>
        <v/>
      </c>
      <c r="AI14" s="972" t="n"/>
      <c r="AJ14" s="989">
        <f>IF(OR(NOT(ISNUMBER(AH14)),NOT(ISNUMBER(AI14))),"",MAX(0,AI14-AH14))</f>
        <v/>
      </c>
      <c r="AK14" s="972" t="n"/>
      <c r="AL14" s="972" t="n"/>
      <c r="AM14" s="972" t="n"/>
      <c r="AN14" s="989">
        <f>IF(NOT(ISNUMBER(F14)),"",IF(AND(NOT(ISNUMBER(AH14)),NOT(ISNUMBER(AL14)),NOT(ISNUMBER(AM14))),"",N(AH14)+N(AL14)+N(AM14)))</f>
        <v/>
      </c>
      <c r="AO14" s="989">
        <f>IF(OR($G14="ja",NOT(ISNUMBER(AH14)),NOT(ISNUMBER(AN14))),"",AN14+N(AJ14))</f>
        <v/>
      </c>
      <c r="AP14" s="990">
        <f>IF(OR(NOT(ISNUMBER(AH14)),NOT(ISNUMBER(F14)),F14=0),"",AH14/F14)</f>
        <v/>
      </c>
      <c r="AQ14" s="991">
        <f>IF(OR(NOT(ISNUMBER(MIETER!F19)),NOT(ISNUMBER(MIETER!I19))),"",MIETER!I19)</f>
        <v/>
      </c>
      <c r="AR14" s="991">
        <f>IF(OR(NOT(ISNUMBER(AQ14)),$G14="ja",NOT(ISNUMBER($H$35))),"",EDATE(AQ14,$H$35))</f>
        <v/>
      </c>
      <c r="AS14" s="963" t="n"/>
      <c r="AT14" s="982">
        <f>IF(NOT(ISNUMBER(F14)),"",IF(ISNUMBER(AS14),AS14,IF(NOT(ISNUMBER(AR14)),"",MAX(0,(YEAR(AR14)-YEAR(TODAY()))*12+MONTH(AR14)-MONTH(TODAY())))))</f>
        <v/>
      </c>
      <c r="AU14" s="988">
        <f>IF(NOT(ISNUMBER(AT14)),"",IF(ISNUMBER(AK14),AK14*AT14,IF(NOT(ISNUMBER(AJ14)),"",AJ14*AT14)))</f>
        <v/>
      </c>
      <c r="AV14" s="988">
        <f>IF(OR(NOT(ISNUMBER(AH14)),NOT(ISNUMBER(MIETER!$P$6))),"",ROUND(AH14*(1+MIETER!$P$6)^2,0))</f>
        <v/>
      </c>
      <c r="AW14" s="976" t="n"/>
      <c r="AX14" s="972" t="n"/>
      <c r="AY14" s="989">
        <f>IF(NOT(ISNUMBER(F14)),"",IF(ISNUMBER(AX14),AX14,IF(AND(ISNUMBER(AW14),ISNUMBER(AH14),AH14&gt;0),AH14*AW14,IF(OR(NOT(ISNUMBER($C$62)),NOT(ISNUMBER($C$64))),"",$C$62+$C$64*F14/12))))</f>
        <v/>
      </c>
      <c r="AZ14" s="972" t="n"/>
      <c r="BA14" s="989">
        <f>IF(NOT(ISNUMBER(AY14)),"",IF(ISNUMBER(AZ14),MIN(AY14,AZ14),IF(OR(NOT(ISNUMBER(F14)),NOT(ISNUMBER($C$64))),0,MIN(AY14,$C$64*F14/12))))</f>
        <v/>
      </c>
      <c r="BB14" s="987">
        <f>IF(OR(NOT(ISNUMBER(AY14)),NOT(ISNUMBER(AH14)),AH14=0),"",AY14/AH14)</f>
        <v/>
      </c>
      <c r="BC14" s="989">
        <f>IF(NOT(ISNUMBER(AH14)),"",AH14*0.01)</f>
        <v/>
      </c>
      <c r="BD14" s="988">
        <f>IF(OR(NOT(ISNUMBER(AH14)),NOT(ISNUMBER($C$28)),NOT(ISNUMBER(BY14)),BY14&lt;=0),"",AH14*0.01*(1-$C$28)/BY14)</f>
        <v/>
      </c>
      <c r="BE14" s="988">
        <f>IF(OR(NOT(ISNUMBER(K14)),NOT(ISNUMBER($H$30))),"",$H$30*K14)</f>
        <v/>
      </c>
      <c r="BF14" s="971" t="n"/>
      <c r="BG14" s="985">
        <f>IF(OR(NOT(ISNUMBER(BE14)),NOT(ISNUMBER(X14)),X14&lt;=0),"",1-BE14/X14)</f>
        <v/>
      </c>
      <c r="BH14" s="985">
        <f>IF(NOT(ISNUMBER(X14)),"",IF(ISNUMBER(BF14),BF14,IF(AND(ISNUMBER(BE14),ISNUMBER(AA14),AA14&gt;0),1-BE14/AA14,IF(NOT(ISNUMBER($C$31)),"",$C$31))))</f>
        <v/>
      </c>
      <c r="BI14" s="983">
        <f>IF(NOT(ISNUMBER(F14)),"",IF(ISNUMBER(BF14),"vertrag",IF(ISNUMBER(BE14),"berechnet","standard")))</f>
        <v/>
      </c>
      <c r="BJ14" s="971" t="n"/>
      <c r="BK14" s="985">
        <f>IF(NOT(ISNUMBER(F14)),"",IF(ISNUMBER(BJ14),BJ14,IF(NOT(ISNUMBER($C$30)),"",$C$30)))</f>
        <v/>
      </c>
      <c r="BL14" s="988">
        <f>IF(OR(NOT(ISNUMBER(AA14)),NOT(ISNUMBER(BH14)),NOT(ISNUMBER($C$36))),"",AA14*(1+$C$36)*BH14)</f>
        <v/>
      </c>
      <c r="BM14" s="989">
        <f>IF(OR(NOT(ISNUMBER(BL14)),NOT(ISNUMBER(BK14)),NOT(ISNUMBER($C$36)),NOT(ISNUMBER($H$34))),"",(BL14*BK14+N(Q14)*MAX(1,$H$34)*(1+$C$36)*N($H$31)+N(R14)*MAX(1,$H$34)*(1+$C$36)*N($H$32))/12)</f>
        <v/>
      </c>
      <c r="BN14" s="989">
        <f>IF(OR(NOT(ISNUMBER(AD14)),NOT(ISNUMBER($C$26))),"",AD14*$C$26/12)</f>
        <v/>
      </c>
      <c r="BO14" s="988">
        <f>IF(OR(NOT(ISNUMBER(AD14)),NOT(ISNUMBER($C$26)),NOT(ISNUMBER($C$27))),"",ROUND(AD14*($C$26+$C$27)/12,0))</f>
        <v/>
      </c>
      <c r="BP14" s="992">
        <f>IF(OR(NOT(ISNUMBER(AO14)),NOT(ISNUMBER(BM14)),NOT(ISNUMBER(BN14)),NOT(ISNUMBER(AY14))),"",AO14-BN14-BM14-(AY14-N(BA14)))</f>
        <v/>
      </c>
      <c r="BQ14" s="993">
        <f>IF(OR(NOT(ISNUMBER(BP14)),NOT(ISNUMBER($C$28))),"",ROUND(-BP14*$C$28,0))</f>
        <v/>
      </c>
      <c r="BR14" s="989">
        <f>IF(OR(NOT(ISNUMBER(BA14)),NOT(ISNUMBER($C$28))),"",BA14*$C$28)</f>
        <v/>
      </c>
      <c r="BS14" s="993">
        <f>IF(OR(NOT(ISNUMBER(AO14)),NOT(ISNUMBER(BO14)),NOT(ISNUMBER(AY14))),"",ROUND(AO14,0)-BO14-ROUND(AY14,0))</f>
        <v/>
      </c>
      <c r="BT14" s="993">
        <f>IF(OR(NOT(ISNUMBER(BS14)),NOT(ISNUMBER(BQ14))),"",BS14+BQ14)</f>
        <v/>
      </c>
      <c r="BU14" s="993">
        <f>IF(OR(NOT(ISNUMBER(AN14)),NOT(ISNUMBER(BO14)),NOT(ISNUMBER(AY14)),NOT(ISNUMBER(BP14)),NOT(ISNUMBER($C$28))),"",ROUND(AN14,0)-BO14-ROUND(AY14,0)+ROUND(-(BP14-N(AJ14))*$C$28,0))</f>
        <v/>
      </c>
      <c r="BV14" s="992">
        <f>IF(OR(NOT(ISNUMBER(AO14)),NOT(ISNUMBER(AY14)),NOT(ISNUMBER(BK14)),NOT(ISNUMBER($C$28)),NOT(ISNUMBER($C$36))),"",(AO14-AY14)*(1-$C$28)-$C$28*N(BA14)-IF(BI14="berechnet",$C$28*(1+$C$36)*BK14*N(BE14)/12,0))</f>
        <v/>
      </c>
      <c r="BW14" s="992">
        <f>IF(OR(NOT(ISNUMBER(F14)),NOT(ISNUMBER($C$26)),NOT(ISNUMBER($C$27)),NOT(ISNUMBER($C$28)),NOT(ISNUMBER($C$36))),"",($C$28*(1+$C$36)*(N(Q14)*N($H$31)+N(R14)*N($H$32))-(N(Q14)+N(R14))*(($C$26+$C$27)-$C$28*$C$26))/12)</f>
        <v/>
      </c>
      <c r="BX14" s="994">
        <f>IF(OR(NOT(ISNUMBER(BK14)),NOT(ISNUMBER($C$26)),NOT(ISNUMBER($C$27)),NOT(ISNUMBER($C$28)),NOT(ISNUMBER($C$36)),BI14=""),"",(($C$26+$C$27)-$C$28*$C$26-$C$28*(1+$C$36)*BK14*IF(BI14="berechnet",1,IF(BI14="vertrag",BF14,$C$31)))/12)</f>
        <v/>
      </c>
      <c r="BY14" s="994">
        <f>IF(OR(NOT(ISNUMBER(BX14)),NOT(ISNUMBER($C$34))),"",$C$34*BX14)</f>
        <v/>
      </c>
      <c r="BZ14" s="988">
        <f>IF(OR($G14="ja",NOT(ISNUMBER(AH14)),NOT(ISNUMBER(BV14)),NOT(ISNUMBER(BW14)),NOT(ISNUMBER(BX14)),BX14&lt;=0),"",(BV14-N($C$32)+BW14)/BX14)</f>
        <v/>
      </c>
      <c r="CA14" s="988">
        <f>IF(OR($G14="ja",NOT(ISNUMBER(AH14)),NOT(ISNUMBER(BV14)),NOT(ISNUMBER(BW14)),NOT(ISNUMBER(BY14)),BY14&lt;=0,NOT(ISNUMBER($C$34))),"",(BV14-N($C$32)+BW14*$C$34)/BY14)</f>
        <v/>
      </c>
      <c r="CB14" s="988">
        <f>IF(OR(NOT(ISNUMBER(CA14)),NOT(ISNUMBER($C$28))),"",CA14-N(AJ14)*(1-$C$28)/BY14)</f>
        <v/>
      </c>
      <c r="CC14" s="986">
        <f>IF(OR(NOT(ISNUMBER(CA14)),NOT(ISNUMBER(U14)),U14&lt;=-1,NOT(ISNUMBER(F14)),F14=0),"",((CA14+N(Q14)+N(R14))/(1+U14)-N(Q14)-N(R14)-N(O14))/F14)</f>
        <v/>
      </c>
      <c r="CD14" s="995">
        <f>IF(OR(NOT(ISNUMBER(L14)),NOT(ISNUMBER(CC14))),"",L14-CC14)</f>
        <v/>
      </c>
      <c r="CE14" s="996">
        <f>IF(OR(NOT(ISNUMBER(W14)),NOT(ISNUMBER(AN14)),AN14=0),"",W14/(AN14*12))</f>
        <v/>
      </c>
      <c r="CF14" s="985">
        <f>IF(OR(NOT(ISNUMBER(W14)),NOT(ISNUMBER(AN14)),W14=0),"",AN14*12/W14)</f>
        <v/>
      </c>
      <c r="CG14" s="983">
        <f>IF(NOT(ISNUMBER(F14)),"",IF($G14="ja","GRAU: Leerstand - keine Mietbasis",IF(AND(ISNUMBER(AH14),AH14=0),"GRAU: Ist-Miete 0 - Leerstand pruefen",IF(NOT(ISNUMBER(AH14)),"GRAU: Wohnungsmiete fehlt",IF(NOT(ISNUMBER(AJ14)),"GRAU: keine Sollmiete/Mietspiegel",IF(AND(ISNUMBER(AW14),ISNUMBER(AX14)),"GRAU: zwei Hausgeld-Quellen gesetzt",IF(AND(OR(ISNUMBER(AX14),ISNUMBER(AW14)),NOT(ISNUMBER(AZ14))),"GRAU: Ruecklagenanteil fehlt",IF(AND(AJ14&gt;0,NOT(ISNUMBER(AT14))),"GRAU: Subventionsdauer unbekannt",IF(AND(ISNUMBER(BH14),BH14&lt;=0),"ROT: Bodenwert uebersteigt Kaufpreis - Daten pruefen",IF(NOT(ISNUMBER(BT14)),"GRAU: Cashflow nicht rechenbar",IF(NOT(ISNUMBER(BZ14)),"GRAU: max. tragbar nicht rechenbar",IF(BZ14&lt;=0,"ROT: kein tragbarer Preis bei diesem Ziel-Cashflow",IF(AND(BI14="berechnet",BZ14&lt;BE14),"ROT: max. tragbar unter Bodenwert - Modell nicht gueltig",IF(X14&lt;=BZ14-N(AJ14)*(1-$C$28)/BX14,"GRUEN: Preis unter max. tragbar (auch ohne Subvention)",IF(X14&lt;=BZ14,"GELB: nur mit Subvention tragbar",IF(X14&lt;=BZ14*(1+N($H$33)),"GELB: bis Toleranz darueber","ROT: deutlich ueber max. tragbar"))))))))))))))))</f>
        <v/>
      </c>
      <c r="CH14" s="983">
        <f>IF(NOT(ISNUMBER(F14)),"",IF($G14="ja","GRAU: Leerstand - keine Mietbasis",IF(AND(ISNUMBER(AH14),AH14=0),"GRAU: Ist-Miete 0 - Leerstand pruefen",IF(NOT(ISNUMBER(AH14)),"GRAU: Wohnungsmiete fehlt",IF(NOT(ISNUMBER(AJ14)),"GRAU: keine Sollmiete/Mietspiegel",IF(AND(ISNUMBER(AW14),ISNUMBER(AX14)),"GRAU: zwei Hausgeld-Quellen gesetzt",IF(AND(OR(ISNUMBER(AX14),ISNUMBER(AW14)),NOT(ISNUMBER(AZ14))),"GRAU: Ruecklagenanteil fehlt",IF(AND(AJ14&gt;0,NOT(ISNUMBER(AT14))),"GRAU: Subventionsdauer unbekannt",IF(AND(ISNUMBER(BH14),BH14&lt;=0),"ROT: Bodenwert uebersteigt Kaufpreis - Daten pruefen",IF(NOT(ISNUMBER(BT14)),"GRAU: Cashflow nicht rechenbar",IF(NOT(ISNUMBER(CA14)),"GRAU: max. tragbar nicht rechenbar",IF(CA14&lt;=0,"ROT: kein tragbarer Preis bei diesem Ziel-Cashflow",IF(AND(BI14="berechnet",CA14&lt;BE14),"ROT: max. tragbar unter Bodenwert - Modell nicht gueltig",IF(X14&lt;=CB14,"GRUEN: Preis unter max. tragbar (auch ohne Subvention)",IF(X14&lt;=CA14,"GELB: nur mit Subvention tragbar",IF(X14&lt;=CA14*(1+N($H$33)),"GELB: bis Toleranz darueber","ROT: deutlich ueber max. tragbar"))))))))))))))))</f>
        <v/>
      </c>
    </row>
    <row r="15" s="545">
      <c r="A15" s="959">
        <f>IF(NOT(ISNUMBER(MIETER!F20)),"",ROW()-2)</f>
        <v/>
      </c>
      <c r="B15" s="960">
        <f>IF(NOT(ISNUMBER(MIETER!F20)),"",IF(MIETER!A20="","",MIETER!A20))</f>
        <v/>
      </c>
      <c r="C15" s="960">
        <f>IF(NOT(ISNUMBER(MIETER!F20)),"",IF(MIETER!B20="","",MIETER!B20))</f>
        <v/>
      </c>
      <c r="D15" s="960">
        <f>IF(NOT(ISNUMBER(MIETER!F20)),"",IF(MIETER!C20="","",MIETER!C20))</f>
        <v/>
      </c>
      <c r="E15" s="960">
        <f>IF(NOT(ISNUMBER(MIETER!F20)),"",IF(MIETER!D20="","",MIETER!D20))</f>
        <v/>
      </c>
      <c r="F15" s="961">
        <f>IF(NOT(ISNUMBER(MIETER!F20)),"",MIETER!F20)</f>
        <v/>
      </c>
      <c r="G15" s="962" t="n"/>
      <c r="H15" s="963" t="n"/>
      <c r="I15" s="963" t="n"/>
      <c r="J15" s="963" t="n"/>
      <c r="K15" s="964">
        <f>IF(OR(NOT(ISNUMBER(F15)),NOT(ISNUMBER(J15)),NOT(ISNUMBER($H$29)),$H$29=0),"",J15/$H$29)</f>
        <v/>
      </c>
      <c r="L15" s="965" t="n"/>
      <c r="M15" s="966">
        <f>IF(OR(NOT(ISNUMBER(F15)),F15=0,NOT(ISNUMBER(VERKAUFSMATRIX!U18))),"",VERKAUFSMATRIX!U18/F15)</f>
        <v/>
      </c>
      <c r="N15" s="967">
        <f>IF(OR(NOT(ISNUMBER(L15)),NOT(ISNUMBER(M15)),M15=0),"",L15/M15-1)</f>
        <v/>
      </c>
      <c r="O15" s="968" t="n"/>
      <c r="P15" s="969">
        <f>IF(OR(NOT(ISNUMBER(F15)),NOT(ISNUMBER(L15))),"",F15*L15+N(O15))</f>
        <v/>
      </c>
      <c r="Q15" s="970" t="n"/>
      <c r="R15" s="970" t="n"/>
      <c r="S15" s="969">
        <f>IF(NOT(ISNUMBER(P15)),"",P15+N(Q15)+N(R15))</f>
        <v/>
      </c>
      <c r="T15" s="971" t="n"/>
      <c r="U15" s="964">
        <f>IF(NOT(ISNUMBER(F15)),"",IF(ISNUMBER(T15),T15,IF(NOT(ISNUMBER($H$26)),"",$H$26)))</f>
        <v/>
      </c>
      <c r="V15" s="969">
        <f>IF(OR(NOT(ISNUMBER(S15)),NOT(ISNUMBER(U15))),"",S15*U15)</f>
        <v/>
      </c>
      <c r="W15" s="969">
        <f>IF(OR(NOT(ISNUMBER(S15)),NOT(ISNUMBER(U15))),"",S15*(1+U15))</f>
        <v/>
      </c>
      <c r="X15" s="969">
        <f>IF(NOT(ISNUMBER(W15)),"",W15-N(Q15)-N(R15))</f>
        <v/>
      </c>
      <c r="Y15" s="966">
        <f>IF(OR(NOT(ISNUMBER(S15)),NOT(ISNUMBER(F15)),F15=0),"",S15/F15)</f>
        <v/>
      </c>
      <c r="Z15" s="966">
        <f>IF(OR(NOT(ISNUMBER(X15)),NOT(ISNUMBER(F15)),F15=0),"",X15/F15)</f>
        <v/>
      </c>
      <c r="AA15" s="969">
        <f>IF(OR(NOT(ISNUMBER(X15)),NOT(ISNUMBER($H$34))),"",X15*MAX(1,$H$34))</f>
        <v/>
      </c>
      <c r="AB15" s="969">
        <f>IF(OR(NOT(ISNUMBER(W15)),NOT(ISNUMBER($H$34)),NOT(ISNUMBER($C$36))),"",W15*MAX(1,$H$34)*$C$36)</f>
        <v/>
      </c>
      <c r="AC15" s="969">
        <f>IF(OR(NOT(ISNUMBER(W15)),NOT(ISNUMBER(AB15))),"",W15+AB15)</f>
        <v/>
      </c>
      <c r="AD15" s="969">
        <f>IF(OR(NOT(ISNUMBER(W15)),NOT(ISNUMBER($H$34))),"",W15*$H$34)</f>
        <v/>
      </c>
      <c r="AE15" s="969">
        <f>IF(OR(NOT(ISNUMBER(AC15)),NOT(ISNUMBER(AD15))),"",MAX(0,AC15-AD15))</f>
        <v/>
      </c>
      <c r="AF15" s="969">
        <f>IF(OR(NOT(ISNUMBER(AD15)),NOT(ISNUMBER(W15))),"",AD15-W15)</f>
        <v/>
      </c>
      <c r="AG15" s="972" t="n"/>
      <c r="AH15" s="973">
        <f>IF(OR(NOT(ISNUMBER(MIETER!F20)),$G15="ja"),"",IF(NOT(ISNUMBER(MIETER!J20)),"",IF(ISNUMBER(AG15),MAX(MIETER!J20,AG15),MIETER!J20)))</f>
        <v/>
      </c>
      <c r="AI15" s="972" t="n"/>
      <c r="AJ15" s="973">
        <f>IF(OR(NOT(ISNUMBER(AH15)),NOT(ISNUMBER(AI15))),"",MAX(0,AI15-AH15))</f>
        <v/>
      </c>
      <c r="AK15" s="972" t="n"/>
      <c r="AL15" s="972" t="n"/>
      <c r="AM15" s="972" t="n"/>
      <c r="AN15" s="973">
        <f>IF(NOT(ISNUMBER(F15)),"",IF(AND(NOT(ISNUMBER(AH15)),NOT(ISNUMBER(AL15)),NOT(ISNUMBER(AM15))),"",N(AH15)+N(AL15)+N(AM15)))</f>
        <v/>
      </c>
      <c r="AO15" s="973">
        <f>IF(OR($G15="ja",NOT(ISNUMBER(AH15)),NOT(ISNUMBER(AN15))),"",AN15+N(AJ15))</f>
        <v/>
      </c>
      <c r="AP15" s="974">
        <f>IF(OR(NOT(ISNUMBER(AH15)),NOT(ISNUMBER(F15)),F15=0),"",AH15/F15)</f>
        <v/>
      </c>
      <c r="AQ15" s="975">
        <f>IF(OR(NOT(ISNUMBER(MIETER!F20)),NOT(ISNUMBER(MIETER!I20))),"",MIETER!I20)</f>
        <v/>
      </c>
      <c r="AR15" s="975">
        <f>IF(OR(NOT(ISNUMBER(AQ15)),$G15="ja",NOT(ISNUMBER($H$35))),"",EDATE(AQ15,$H$35))</f>
        <v/>
      </c>
      <c r="AS15" s="963" t="n"/>
      <c r="AT15" s="959">
        <f>IF(NOT(ISNUMBER(F15)),"",IF(ISNUMBER(AS15),AS15,IF(NOT(ISNUMBER(AR15)),"",MAX(0,(YEAR(AR15)-YEAR(TODAY()))*12+MONTH(AR15)-MONTH(TODAY())))))</f>
        <v/>
      </c>
      <c r="AU15" s="969">
        <f>IF(NOT(ISNUMBER(AT15)),"",IF(ISNUMBER(AK15),AK15*AT15,IF(NOT(ISNUMBER(AJ15)),"",AJ15*AT15)))</f>
        <v/>
      </c>
      <c r="AV15" s="969">
        <f>IF(OR(NOT(ISNUMBER(AH15)),NOT(ISNUMBER(MIETER!$P$6))),"",ROUND(AH15*(1+MIETER!$P$6)^2,0))</f>
        <v/>
      </c>
      <c r="AW15" s="976" t="n"/>
      <c r="AX15" s="972" t="n"/>
      <c r="AY15" s="973">
        <f>IF(NOT(ISNUMBER(F15)),"",IF(ISNUMBER(AX15),AX15,IF(AND(ISNUMBER(AW15),ISNUMBER(AH15),AH15&gt;0),AH15*AW15,IF(OR(NOT(ISNUMBER($C$62)),NOT(ISNUMBER($C$64))),"",$C$62+$C$64*F15/12))))</f>
        <v/>
      </c>
      <c r="AZ15" s="972" t="n"/>
      <c r="BA15" s="973">
        <f>IF(NOT(ISNUMBER(AY15)),"",IF(ISNUMBER(AZ15),MIN(AY15,AZ15),IF(OR(NOT(ISNUMBER(F15)),NOT(ISNUMBER($C$64))),0,MIN(AY15,$C$64*F15/12))))</f>
        <v/>
      </c>
      <c r="BB15" s="967">
        <f>IF(OR(NOT(ISNUMBER(AY15)),NOT(ISNUMBER(AH15)),AH15=0),"",AY15/AH15)</f>
        <v/>
      </c>
      <c r="BC15" s="973">
        <f>IF(NOT(ISNUMBER(AH15)),"",AH15*0.01)</f>
        <v/>
      </c>
      <c r="BD15" s="969">
        <f>IF(OR(NOT(ISNUMBER(AH15)),NOT(ISNUMBER($C$28)),NOT(ISNUMBER(BY15)),BY15&lt;=0),"",AH15*0.01*(1-$C$28)/BY15)</f>
        <v/>
      </c>
      <c r="BE15" s="969">
        <f>IF(OR(NOT(ISNUMBER(K15)),NOT(ISNUMBER($H$30))),"",$H$30*K15)</f>
        <v/>
      </c>
      <c r="BF15" s="971" t="n"/>
      <c r="BG15" s="964">
        <f>IF(OR(NOT(ISNUMBER(BE15)),NOT(ISNUMBER(X15)),X15&lt;=0),"",1-BE15/X15)</f>
        <v/>
      </c>
      <c r="BH15" s="964">
        <f>IF(NOT(ISNUMBER(X15)),"",IF(ISNUMBER(BF15),BF15,IF(AND(ISNUMBER(BE15),ISNUMBER(AA15),AA15&gt;0),1-BE15/AA15,IF(NOT(ISNUMBER($C$31)),"",$C$31))))</f>
        <v/>
      </c>
      <c r="BI15" s="960">
        <f>IF(NOT(ISNUMBER(F15)),"",IF(ISNUMBER(BF15),"vertrag",IF(ISNUMBER(BE15),"berechnet","standard")))</f>
        <v/>
      </c>
      <c r="BJ15" s="971" t="n"/>
      <c r="BK15" s="964">
        <f>IF(NOT(ISNUMBER(F15)),"",IF(ISNUMBER(BJ15),BJ15,IF(NOT(ISNUMBER($C$30)),"",$C$30)))</f>
        <v/>
      </c>
      <c r="BL15" s="969">
        <f>IF(OR(NOT(ISNUMBER(AA15)),NOT(ISNUMBER(BH15)),NOT(ISNUMBER($C$36))),"",AA15*(1+$C$36)*BH15)</f>
        <v/>
      </c>
      <c r="BM15" s="973">
        <f>IF(OR(NOT(ISNUMBER(BL15)),NOT(ISNUMBER(BK15)),NOT(ISNUMBER($C$36)),NOT(ISNUMBER($H$34))),"",(BL15*BK15+N(Q15)*MAX(1,$H$34)*(1+$C$36)*N($H$31)+N(R15)*MAX(1,$H$34)*(1+$C$36)*N($H$32))/12)</f>
        <v/>
      </c>
      <c r="BN15" s="973">
        <f>IF(OR(NOT(ISNUMBER(AD15)),NOT(ISNUMBER($C$26))),"",AD15*$C$26/12)</f>
        <v/>
      </c>
      <c r="BO15" s="969">
        <f>IF(OR(NOT(ISNUMBER(AD15)),NOT(ISNUMBER($C$26)),NOT(ISNUMBER($C$27))),"",ROUND(AD15*($C$26+$C$27)/12,0))</f>
        <v/>
      </c>
      <c r="BP15" s="977">
        <f>IF(OR(NOT(ISNUMBER(AO15)),NOT(ISNUMBER(BM15)),NOT(ISNUMBER(BN15)),NOT(ISNUMBER(AY15))),"",AO15-BN15-BM15-(AY15-N(BA15)))</f>
        <v/>
      </c>
      <c r="BQ15" s="978">
        <f>IF(OR(NOT(ISNUMBER(BP15)),NOT(ISNUMBER($C$28))),"",ROUND(-BP15*$C$28,0))</f>
        <v/>
      </c>
      <c r="BR15" s="973">
        <f>IF(OR(NOT(ISNUMBER(BA15)),NOT(ISNUMBER($C$28))),"",BA15*$C$28)</f>
        <v/>
      </c>
      <c r="BS15" s="978">
        <f>IF(OR(NOT(ISNUMBER(AO15)),NOT(ISNUMBER(BO15)),NOT(ISNUMBER(AY15))),"",ROUND(AO15,0)-BO15-ROUND(AY15,0))</f>
        <v/>
      </c>
      <c r="BT15" s="978">
        <f>IF(OR(NOT(ISNUMBER(BS15)),NOT(ISNUMBER(BQ15))),"",BS15+BQ15)</f>
        <v/>
      </c>
      <c r="BU15" s="978">
        <f>IF(OR(NOT(ISNUMBER(AN15)),NOT(ISNUMBER(BO15)),NOT(ISNUMBER(AY15)),NOT(ISNUMBER(BP15)),NOT(ISNUMBER($C$28))),"",ROUND(AN15,0)-BO15-ROUND(AY15,0)+ROUND(-(BP15-N(AJ15))*$C$28,0))</f>
        <v/>
      </c>
      <c r="BV15" s="977">
        <f>IF(OR(NOT(ISNUMBER(AO15)),NOT(ISNUMBER(AY15)),NOT(ISNUMBER(BK15)),NOT(ISNUMBER($C$28)),NOT(ISNUMBER($C$36))),"",(AO15-AY15)*(1-$C$28)-$C$28*N(BA15)-IF(BI15="berechnet",$C$28*(1+$C$36)*BK15*N(BE15)/12,0))</f>
        <v/>
      </c>
      <c r="BW15" s="977">
        <f>IF(OR(NOT(ISNUMBER(F15)),NOT(ISNUMBER($C$26)),NOT(ISNUMBER($C$27)),NOT(ISNUMBER($C$28)),NOT(ISNUMBER($C$36))),"",($C$28*(1+$C$36)*(N(Q15)*N($H$31)+N(R15)*N($H$32))-(N(Q15)+N(R15))*(($C$26+$C$27)-$C$28*$C$26))/12)</f>
        <v/>
      </c>
      <c r="BX15" s="979">
        <f>IF(OR(NOT(ISNUMBER(BK15)),NOT(ISNUMBER($C$26)),NOT(ISNUMBER($C$27)),NOT(ISNUMBER($C$28)),NOT(ISNUMBER($C$36)),BI15=""),"",(($C$26+$C$27)-$C$28*$C$26-$C$28*(1+$C$36)*BK15*IF(BI15="berechnet",1,IF(BI15="vertrag",BF15,$C$31)))/12)</f>
        <v/>
      </c>
      <c r="BY15" s="979">
        <f>IF(OR(NOT(ISNUMBER(BX15)),NOT(ISNUMBER($C$34))),"",$C$34*BX15)</f>
        <v/>
      </c>
      <c r="BZ15" s="969">
        <f>IF(OR($G15="ja",NOT(ISNUMBER(AH15)),NOT(ISNUMBER(BV15)),NOT(ISNUMBER(BW15)),NOT(ISNUMBER(BX15)),BX15&lt;=0),"",(BV15-N($C$32)+BW15)/BX15)</f>
        <v/>
      </c>
      <c r="CA15" s="969">
        <f>IF(OR($G15="ja",NOT(ISNUMBER(AH15)),NOT(ISNUMBER(BV15)),NOT(ISNUMBER(BW15)),NOT(ISNUMBER(BY15)),BY15&lt;=0,NOT(ISNUMBER($C$34))),"",(BV15-N($C$32)+BW15*$C$34)/BY15)</f>
        <v/>
      </c>
      <c r="CB15" s="969">
        <f>IF(OR(NOT(ISNUMBER(CA15)),NOT(ISNUMBER($C$28))),"",CA15-N(AJ15)*(1-$C$28)/BY15)</f>
        <v/>
      </c>
      <c r="CC15" s="966">
        <f>IF(OR(NOT(ISNUMBER(CA15)),NOT(ISNUMBER(U15)),U15&lt;=-1,NOT(ISNUMBER(F15)),F15=0),"",((CA15+N(Q15)+N(R15))/(1+U15)-N(Q15)-N(R15)-N(O15))/F15)</f>
        <v/>
      </c>
      <c r="CD15" s="980">
        <f>IF(OR(NOT(ISNUMBER(L15)),NOT(ISNUMBER(CC15))),"",L15-CC15)</f>
        <v/>
      </c>
      <c r="CE15" s="981">
        <f>IF(OR(NOT(ISNUMBER(W15)),NOT(ISNUMBER(AN15)),AN15=0),"",W15/(AN15*12))</f>
        <v/>
      </c>
      <c r="CF15" s="964">
        <f>IF(OR(NOT(ISNUMBER(W15)),NOT(ISNUMBER(AN15)),W15=0),"",AN15*12/W15)</f>
        <v/>
      </c>
      <c r="CG15" s="960">
        <f>IF(NOT(ISNUMBER(F15)),"",IF($G15="ja","GRAU: Leerstand - keine Mietbasis",IF(AND(ISNUMBER(AH15),AH15=0),"GRAU: Ist-Miete 0 - Leerstand pruefen",IF(NOT(ISNUMBER(AH15)),"GRAU: Wohnungsmiete fehlt",IF(NOT(ISNUMBER(AJ15)),"GRAU: keine Sollmiete/Mietspiegel",IF(AND(ISNUMBER(AW15),ISNUMBER(AX15)),"GRAU: zwei Hausgeld-Quellen gesetzt",IF(AND(OR(ISNUMBER(AX15),ISNUMBER(AW15)),NOT(ISNUMBER(AZ15))),"GRAU: Ruecklagenanteil fehlt",IF(AND(AJ15&gt;0,NOT(ISNUMBER(AT15))),"GRAU: Subventionsdauer unbekannt",IF(AND(ISNUMBER(BH15),BH15&lt;=0),"ROT: Bodenwert uebersteigt Kaufpreis - Daten pruefen",IF(NOT(ISNUMBER(BT15)),"GRAU: Cashflow nicht rechenbar",IF(NOT(ISNUMBER(BZ15)),"GRAU: max. tragbar nicht rechenbar",IF(BZ15&lt;=0,"ROT: kein tragbarer Preis bei diesem Ziel-Cashflow",IF(AND(BI15="berechnet",BZ15&lt;BE15),"ROT: max. tragbar unter Bodenwert - Modell nicht gueltig",IF(X15&lt;=BZ15-N(AJ15)*(1-$C$28)/BX15,"GRUEN: Preis unter max. tragbar (auch ohne Subvention)",IF(X15&lt;=BZ15,"GELB: nur mit Subvention tragbar",IF(X15&lt;=BZ15*(1+N($H$33)),"GELB: bis Toleranz darueber","ROT: deutlich ueber max. tragbar"))))))))))))))))</f>
        <v/>
      </c>
      <c r="CH15" s="960">
        <f>IF(NOT(ISNUMBER(F15)),"",IF($G15="ja","GRAU: Leerstand - keine Mietbasis",IF(AND(ISNUMBER(AH15),AH15=0),"GRAU: Ist-Miete 0 - Leerstand pruefen",IF(NOT(ISNUMBER(AH15)),"GRAU: Wohnungsmiete fehlt",IF(NOT(ISNUMBER(AJ15)),"GRAU: keine Sollmiete/Mietspiegel",IF(AND(ISNUMBER(AW15),ISNUMBER(AX15)),"GRAU: zwei Hausgeld-Quellen gesetzt",IF(AND(OR(ISNUMBER(AX15),ISNUMBER(AW15)),NOT(ISNUMBER(AZ15))),"GRAU: Ruecklagenanteil fehlt",IF(AND(AJ15&gt;0,NOT(ISNUMBER(AT15))),"GRAU: Subventionsdauer unbekannt",IF(AND(ISNUMBER(BH15),BH15&lt;=0),"ROT: Bodenwert uebersteigt Kaufpreis - Daten pruefen",IF(NOT(ISNUMBER(BT15)),"GRAU: Cashflow nicht rechenbar",IF(NOT(ISNUMBER(CA15)),"GRAU: max. tragbar nicht rechenbar",IF(CA15&lt;=0,"ROT: kein tragbarer Preis bei diesem Ziel-Cashflow",IF(AND(BI15="berechnet",CA15&lt;BE15),"ROT: max. tragbar unter Bodenwert - Modell nicht gueltig",IF(X15&lt;=CB15,"GRUEN: Preis unter max. tragbar (auch ohne Subvention)",IF(X15&lt;=CA15,"GELB: nur mit Subvention tragbar",IF(X15&lt;=CA15*(1+N($H$33)),"GELB: bis Toleranz darueber","ROT: deutlich ueber max. tragbar"))))))))))))))))</f>
        <v/>
      </c>
    </row>
    <row r="16" s="545">
      <c r="A16" s="982">
        <f>IF(NOT(ISNUMBER(MIETER!F21)),"",ROW()-2)</f>
        <v/>
      </c>
      <c r="B16" s="983">
        <f>IF(NOT(ISNUMBER(MIETER!F21)),"",IF(MIETER!A21="","",MIETER!A21))</f>
        <v/>
      </c>
      <c r="C16" s="983">
        <f>IF(NOT(ISNUMBER(MIETER!F21)),"",IF(MIETER!B21="","",MIETER!B21))</f>
        <v/>
      </c>
      <c r="D16" s="983">
        <f>IF(NOT(ISNUMBER(MIETER!F21)),"",IF(MIETER!C21="","",MIETER!C21))</f>
        <v/>
      </c>
      <c r="E16" s="983">
        <f>IF(NOT(ISNUMBER(MIETER!F21)),"",IF(MIETER!D21="","",MIETER!D21))</f>
        <v/>
      </c>
      <c r="F16" s="984">
        <f>IF(NOT(ISNUMBER(MIETER!F21)),"",MIETER!F21)</f>
        <v/>
      </c>
      <c r="G16" s="962" t="n"/>
      <c r="H16" s="963" t="n"/>
      <c r="I16" s="963" t="n"/>
      <c r="J16" s="963" t="n"/>
      <c r="K16" s="985">
        <f>IF(OR(NOT(ISNUMBER(F16)),NOT(ISNUMBER(J16)),NOT(ISNUMBER($H$29)),$H$29=0),"",J16/$H$29)</f>
        <v/>
      </c>
      <c r="L16" s="965" t="n"/>
      <c r="M16" s="986">
        <f>IF(OR(NOT(ISNUMBER(F16)),F16=0,NOT(ISNUMBER(VERKAUFSMATRIX!U19))),"",VERKAUFSMATRIX!U19/F16)</f>
        <v/>
      </c>
      <c r="N16" s="987">
        <f>IF(OR(NOT(ISNUMBER(L16)),NOT(ISNUMBER(M16)),M16=0),"",L16/M16-1)</f>
        <v/>
      </c>
      <c r="O16" s="968" t="n"/>
      <c r="P16" s="988">
        <f>IF(OR(NOT(ISNUMBER(F16)),NOT(ISNUMBER(L16))),"",F16*L16+N(O16))</f>
        <v/>
      </c>
      <c r="Q16" s="970" t="n"/>
      <c r="R16" s="970" t="n"/>
      <c r="S16" s="988">
        <f>IF(NOT(ISNUMBER(P16)),"",P16+N(Q16)+N(R16))</f>
        <v/>
      </c>
      <c r="T16" s="971" t="n"/>
      <c r="U16" s="985">
        <f>IF(NOT(ISNUMBER(F16)),"",IF(ISNUMBER(T16),T16,IF(NOT(ISNUMBER($H$26)),"",$H$26)))</f>
        <v/>
      </c>
      <c r="V16" s="988">
        <f>IF(OR(NOT(ISNUMBER(S16)),NOT(ISNUMBER(U16))),"",S16*U16)</f>
        <v/>
      </c>
      <c r="W16" s="988">
        <f>IF(OR(NOT(ISNUMBER(S16)),NOT(ISNUMBER(U16))),"",S16*(1+U16))</f>
        <v/>
      </c>
      <c r="X16" s="988">
        <f>IF(NOT(ISNUMBER(W16)),"",W16-N(Q16)-N(R16))</f>
        <v/>
      </c>
      <c r="Y16" s="986">
        <f>IF(OR(NOT(ISNUMBER(S16)),NOT(ISNUMBER(F16)),F16=0),"",S16/F16)</f>
        <v/>
      </c>
      <c r="Z16" s="986">
        <f>IF(OR(NOT(ISNUMBER(X16)),NOT(ISNUMBER(F16)),F16=0),"",X16/F16)</f>
        <v/>
      </c>
      <c r="AA16" s="988">
        <f>IF(OR(NOT(ISNUMBER(X16)),NOT(ISNUMBER($H$34))),"",X16*MAX(1,$H$34))</f>
        <v/>
      </c>
      <c r="AB16" s="988">
        <f>IF(OR(NOT(ISNUMBER(W16)),NOT(ISNUMBER($H$34)),NOT(ISNUMBER($C$36))),"",W16*MAX(1,$H$34)*$C$36)</f>
        <v/>
      </c>
      <c r="AC16" s="988">
        <f>IF(OR(NOT(ISNUMBER(W16)),NOT(ISNUMBER(AB16))),"",W16+AB16)</f>
        <v/>
      </c>
      <c r="AD16" s="988">
        <f>IF(OR(NOT(ISNUMBER(W16)),NOT(ISNUMBER($H$34))),"",W16*$H$34)</f>
        <v/>
      </c>
      <c r="AE16" s="988">
        <f>IF(OR(NOT(ISNUMBER(AC16)),NOT(ISNUMBER(AD16))),"",MAX(0,AC16-AD16))</f>
        <v/>
      </c>
      <c r="AF16" s="988">
        <f>IF(OR(NOT(ISNUMBER(AD16)),NOT(ISNUMBER(W16))),"",AD16-W16)</f>
        <v/>
      </c>
      <c r="AG16" s="972" t="n"/>
      <c r="AH16" s="989">
        <f>IF(OR(NOT(ISNUMBER(MIETER!F21)),$G16="ja"),"",IF(NOT(ISNUMBER(MIETER!J21)),"",IF(ISNUMBER(AG16),MAX(MIETER!J21,AG16),MIETER!J21)))</f>
        <v/>
      </c>
      <c r="AI16" s="972" t="n"/>
      <c r="AJ16" s="989">
        <f>IF(OR(NOT(ISNUMBER(AH16)),NOT(ISNUMBER(AI16))),"",MAX(0,AI16-AH16))</f>
        <v/>
      </c>
      <c r="AK16" s="972" t="n"/>
      <c r="AL16" s="972" t="n"/>
      <c r="AM16" s="972" t="n"/>
      <c r="AN16" s="989">
        <f>IF(NOT(ISNUMBER(F16)),"",IF(AND(NOT(ISNUMBER(AH16)),NOT(ISNUMBER(AL16)),NOT(ISNUMBER(AM16))),"",N(AH16)+N(AL16)+N(AM16)))</f>
        <v/>
      </c>
      <c r="AO16" s="989">
        <f>IF(OR($G16="ja",NOT(ISNUMBER(AH16)),NOT(ISNUMBER(AN16))),"",AN16+N(AJ16))</f>
        <v/>
      </c>
      <c r="AP16" s="990">
        <f>IF(OR(NOT(ISNUMBER(AH16)),NOT(ISNUMBER(F16)),F16=0),"",AH16/F16)</f>
        <v/>
      </c>
      <c r="AQ16" s="991">
        <f>IF(OR(NOT(ISNUMBER(MIETER!F21)),NOT(ISNUMBER(MIETER!I21))),"",MIETER!I21)</f>
        <v/>
      </c>
      <c r="AR16" s="991">
        <f>IF(OR(NOT(ISNUMBER(AQ16)),$G16="ja",NOT(ISNUMBER($H$35))),"",EDATE(AQ16,$H$35))</f>
        <v/>
      </c>
      <c r="AS16" s="963" t="n"/>
      <c r="AT16" s="982">
        <f>IF(NOT(ISNUMBER(F16)),"",IF(ISNUMBER(AS16),AS16,IF(NOT(ISNUMBER(AR16)),"",MAX(0,(YEAR(AR16)-YEAR(TODAY()))*12+MONTH(AR16)-MONTH(TODAY())))))</f>
        <v/>
      </c>
      <c r="AU16" s="988">
        <f>IF(NOT(ISNUMBER(AT16)),"",IF(ISNUMBER(AK16),AK16*AT16,IF(NOT(ISNUMBER(AJ16)),"",AJ16*AT16)))</f>
        <v/>
      </c>
      <c r="AV16" s="988">
        <f>IF(OR(NOT(ISNUMBER(AH16)),NOT(ISNUMBER(MIETER!$P$6))),"",ROUND(AH16*(1+MIETER!$P$6)^2,0))</f>
        <v/>
      </c>
      <c r="AW16" s="976" t="n"/>
      <c r="AX16" s="972" t="n"/>
      <c r="AY16" s="989">
        <f>IF(NOT(ISNUMBER(F16)),"",IF(ISNUMBER(AX16),AX16,IF(AND(ISNUMBER(AW16),ISNUMBER(AH16),AH16&gt;0),AH16*AW16,IF(OR(NOT(ISNUMBER($C$62)),NOT(ISNUMBER($C$64))),"",$C$62+$C$64*F16/12))))</f>
        <v/>
      </c>
      <c r="AZ16" s="972" t="n"/>
      <c r="BA16" s="989">
        <f>IF(NOT(ISNUMBER(AY16)),"",IF(ISNUMBER(AZ16),MIN(AY16,AZ16),IF(OR(NOT(ISNUMBER(F16)),NOT(ISNUMBER($C$64))),0,MIN(AY16,$C$64*F16/12))))</f>
        <v/>
      </c>
      <c r="BB16" s="987">
        <f>IF(OR(NOT(ISNUMBER(AY16)),NOT(ISNUMBER(AH16)),AH16=0),"",AY16/AH16)</f>
        <v/>
      </c>
      <c r="BC16" s="989">
        <f>IF(NOT(ISNUMBER(AH16)),"",AH16*0.01)</f>
        <v/>
      </c>
      <c r="BD16" s="988">
        <f>IF(OR(NOT(ISNUMBER(AH16)),NOT(ISNUMBER($C$28)),NOT(ISNUMBER(BY16)),BY16&lt;=0),"",AH16*0.01*(1-$C$28)/BY16)</f>
        <v/>
      </c>
      <c r="BE16" s="988">
        <f>IF(OR(NOT(ISNUMBER(K16)),NOT(ISNUMBER($H$30))),"",$H$30*K16)</f>
        <v/>
      </c>
      <c r="BF16" s="971" t="n"/>
      <c r="BG16" s="985">
        <f>IF(OR(NOT(ISNUMBER(BE16)),NOT(ISNUMBER(X16)),X16&lt;=0),"",1-BE16/X16)</f>
        <v/>
      </c>
      <c r="BH16" s="985">
        <f>IF(NOT(ISNUMBER(X16)),"",IF(ISNUMBER(BF16),BF16,IF(AND(ISNUMBER(BE16),ISNUMBER(AA16),AA16&gt;0),1-BE16/AA16,IF(NOT(ISNUMBER($C$31)),"",$C$31))))</f>
        <v/>
      </c>
      <c r="BI16" s="983">
        <f>IF(NOT(ISNUMBER(F16)),"",IF(ISNUMBER(BF16),"vertrag",IF(ISNUMBER(BE16),"berechnet","standard")))</f>
        <v/>
      </c>
      <c r="BJ16" s="971" t="n"/>
      <c r="BK16" s="985">
        <f>IF(NOT(ISNUMBER(F16)),"",IF(ISNUMBER(BJ16),BJ16,IF(NOT(ISNUMBER($C$30)),"",$C$30)))</f>
        <v/>
      </c>
      <c r="BL16" s="988">
        <f>IF(OR(NOT(ISNUMBER(AA16)),NOT(ISNUMBER(BH16)),NOT(ISNUMBER($C$36))),"",AA16*(1+$C$36)*BH16)</f>
        <v/>
      </c>
      <c r="BM16" s="989">
        <f>IF(OR(NOT(ISNUMBER(BL16)),NOT(ISNUMBER(BK16)),NOT(ISNUMBER($C$36)),NOT(ISNUMBER($H$34))),"",(BL16*BK16+N(Q16)*MAX(1,$H$34)*(1+$C$36)*N($H$31)+N(R16)*MAX(1,$H$34)*(1+$C$36)*N($H$32))/12)</f>
        <v/>
      </c>
      <c r="BN16" s="989">
        <f>IF(OR(NOT(ISNUMBER(AD16)),NOT(ISNUMBER($C$26))),"",AD16*$C$26/12)</f>
        <v/>
      </c>
      <c r="BO16" s="988">
        <f>IF(OR(NOT(ISNUMBER(AD16)),NOT(ISNUMBER($C$26)),NOT(ISNUMBER($C$27))),"",ROUND(AD16*($C$26+$C$27)/12,0))</f>
        <v/>
      </c>
      <c r="BP16" s="992">
        <f>IF(OR(NOT(ISNUMBER(AO16)),NOT(ISNUMBER(BM16)),NOT(ISNUMBER(BN16)),NOT(ISNUMBER(AY16))),"",AO16-BN16-BM16-(AY16-N(BA16)))</f>
        <v/>
      </c>
      <c r="BQ16" s="993">
        <f>IF(OR(NOT(ISNUMBER(BP16)),NOT(ISNUMBER($C$28))),"",ROUND(-BP16*$C$28,0))</f>
        <v/>
      </c>
      <c r="BR16" s="989">
        <f>IF(OR(NOT(ISNUMBER(BA16)),NOT(ISNUMBER($C$28))),"",BA16*$C$28)</f>
        <v/>
      </c>
      <c r="BS16" s="993">
        <f>IF(OR(NOT(ISNUMBER(AO16)),NOT(ISNUMBER(BO16)),NOT(ISNUMBER(AY16))),"",ROUND(AO16,0)-BO16-ROUND(AY16,0))</f>
        <v/>
      </c>
      <c r="BT16" s="993">
        <f>IF(OR(NOT(ISNUMBER(BS16)),NOT(ISNUMBER(BQ16))),"",BS16+BQ16)</f>
        <v/>
      </c>
      <c r="BU16" s="993">
        <f>IF(OR(NOT(ISNUMBER(AN16)),NOT(ISNUMBER(BO16)),NOT(ISNUMBER(AY16)),NOT(ISNUMBER(BP16)),NOT(ISNUMBER($C$28))),"",ROUND(AN16,0)-BO16-ROUND(AY16,0)+ROUND(-(BP16-N(AJ16))*$C$28,0))</f>
        <v/>
      </c>
      <c r="BV16" s="992">
        <f>IF(OR(NOT(ISNUMBER(AO16)),NOT(ISNUMBER(AY16)),NOT(ISNUMBER(BK16)),NOT(ISNUMBER($C$28)),NOT(ISNUMBER($C$36))),"",(AO16-AY16)*(1-$C$28)-$C$28*N(BA16)-IF(BI16="berechnet",$C$28*(1+$C$36)*BK16*N(BE16)/12,0))</f>
        <v/>
      </c>
      <c r="BW16" s="992">
        <f>IF(OR(NOT(ISNUMBER(F16)),NOT(ISNUMBER($C$26)),NOT(ISNUMBER($C$27)),NOT(ISNUMBER($C$28)),NOT(ISNUMBER($C$36))),"",($C$28*(1+$C$36)*(N(Q16)*N($H$31)+N(R16)*N($H$32))-(N(Q16)+N(R16))*(($C$26+$C$27)-$C$28*$C$26))/12)</f>
        <v/>
      </c>
      <c r="BX16" s="994">
        <f>IF(OR(NOT(ISNUMBER(BK16)),NOT(ISNUMBER($C$26)),NOT(ISNUMBER($C$27)),NOT(ISNUMBER($C$28)),NOT(ISNUMBER($C$36)),BI16=""),"",(($C$26+$C$27)-$C$28*$C$26-$C$28*(1+$C$36)*BK16*IF(BI16="berechnet",1,IF(BI16="vertrag",BF16,$C$31)))/12)</f>
        <v/>
      </c>
      <c r="BY16" s="994">
        <f>IF(OR(NOT(ISNUMBER(BX16)),NOT(ISNUMBER($C$34))),"",$C$34*BX16)</f>
        <v/>
      </c>
      <c r="BZ16" s="988">
        <f>IF(OR($G16="ja",NOT(ISNUMBER(AH16)),NOT(ISNUMBER(BV16)),NOT(ISNUMBER(BW16)),NOT(ISNUMBER(BX16)),BX16&lt;=0),"",(BV16-N($C$32)+BW16)/BX16)</f>
        <v/>
      </c>
      <c r="CA16" s="988">
        <f>IF(OR($G16="ja",NOT(ISNUMBER(AH16)),NOT(ISNUMBER(BV16)),NOT(ISNUMBER(BW16)),NOT(ISNUMBER(BY16)),BY16&lt;=0,NOT(ISNUMBER($C$34))),"",(BV16-N($C$32)+BW16*$C$34)/BY16)</f>
        <v/>
      </c>
      <c r="CB16" s="988">
        <f>IF(OR(NOT(ISNUMBER(CA16)),NOT(ISNUMBER($C$28))),"",CA16-N(AJ16)*(1-$C$28)/BY16)</f>
        <v/>
      </c>
      <c r="CC16" s="986">
        <f>IF(OR(NOT(ISNUMBER(CA16)),NOT(ISNUMBER(U16)),U16&lt;=-1,NOT(ISNUMBER(F16)),F16=0),"",((CA16+N(Q16)+N(R16))/(1+U16)-N(Q16)-N(R16)-N(O16))/F16)</f>
        <v/>
      </c>
      <c r="CD16" s="995">
        <f>IF(OR(NOT(ISNUMBER(L16)),NOT(ISNUMBER(CC16))),"",L16-CC16)</f>
        <v/>
      </c>
      <c r="CE16" s="996">
        <f>IF(OR(NOT(ISNUMBER(W16)),NOT(ISNUMBER(AN16)),AN16=0),"",W16/(AN16*12))</f>
        <v/>
      </c>
      <c r="CF16" s="985">
        <f>IF(OR(NOT(ISNUMBER(W16)),NOT(ISNUMBER(AN16)),W16=0),"",AN16*12/W16)</f>
        <v/>
      </c>
      <c r="CG16" s="983">
        <f>IF(NOT(ISNUMBER(F16)),"",IF($G16="ja","GRAU: Leerstand - keine Mietbasis",IF(AND(ISNUMBER(AH16),AH16=0),"GRAU: Ist-Miete 0 - Leerstand pruefen",IF(NOT(ISNUMBER(AH16)),"GRAU: Wohnungsmiete fehlt",IF(NOT(ISNUMBER(AJ16)),"GRAU: keine Sollmiete/Mietspiegel",IF(AND(ISNUMBER(AW16),ISNUMBER(AX16)),"GRAU: zwei Hausgeld-Quellen gesetzt",IF(AND(OR(ISNUMBER(AX16),ISNUMBER(AW16)),NOT(ISNUMBER(AZ16))),"GRAU: Ruecklagenanteil fehlt",IF(AND(AJ16&gt;0,NOT(ISNUMBER(AT16))),"GRAU: Subventionsdauer unbekannt",IF(AND(ISNUMBER(BH16),BH16&lt;=0),"ROT: Bodenwert uebersteigt Kaufpreis - Daten pruefen",IF(NOT(ISNUMBER(BT16)),"GRAU: Cashflow nicht rechenbar",IF(NOT(ISNUMBER(BZ16)),"GRAU: max. tragbar nicht rechenbar",IF(BZ16&lt;=0,"ROT: kein tragbarer Preis bei diesem Ziel-Cashflow",IF(AND(BI16="berechnet",BZ16&lt;BE16),"ROT: max. tragbar unter Bodenwert - Modell nicht gueltig",IF(X16&lt;=BZ16-N(AJ16)*(1-$C$28)/BX16,"GRUEN: Preis unter max. tragbar (auch ohne Subvention)",IF(X16&lt;=BZ16,"GELB: nur mit Subvention tragbar",IF(X16&lt;=BZ16*(1+N($H$33)),"GELB: bis Toleranz darueber","ROT: deutlich ueber max. tragbar"))))))))))))))))</f>
        <v/>
      </c>
      <c r="CH16" s="983">
        <f>IF(NOT(ISNUMBER(F16)),"",IF($G16="ja","GRAU: Leerstand - keine Mietbasis",IF(AND(ISNUMBER(AH16),AH16=0),"GRAU: Ist-Miete 0 - Leerstand pruefen",IF(NOT(ISNUMBER(AH16)),"GRAU: Wohnungsmiete fehlt",IF(NOT(ISNUMBER(AJ16)),"GRAU: keine Sollmiete/Mietspiegel",IF(AND(ISNUMBER(AW16),ISNUMBER(AX16)),"GRAU: zwei Hausgeld-Quellen gesetzt",IF(AND(OR(ISNUMBER(AX16),ISNUMBER(AW16)),NOT(ISNUMBER(AZ16))),"GRAU: Ruecklagenanteil fehlt",IF(AND(AJ16&gt;0,NOT(ISNUMBER(AT16))),"GRAU: Subventionsdauer unbekannt",IF(AND(ISNUMBER(BH16),BH16&lt;=0),"ROT: Bodenwert uebersteigt Kaufpreis - Daten pruefen",IF(NOT(ISNUMBER(BT16)),"GRAU: Cashflow nicht rechenbar",IF(NOT(ISNUMBER(CA16)),"GRAU: max. tragbar nicht rechenbar",IF(CA16&lt;=0,"ROT: kein tragbarer Preis bei diesem Ziel-Cashflow",IF(AND(BI16="berechnet",CA16&lt;BE16),"ROT: max. tragbar unter Bodenwert - Modell nicht gueltig",IF(X16&lt;=CB16,"GRUEN: Preis unter max. tragbar (auch ohne Subvention)",IF(X16&lt;=CA16,"GELB: nur mit Subvention tragbar",IF(X16&lt;=CA16*(1+N($H$33)),"GELB: bis Toleranz darueber","ROT: deutlich ueber max. tragbar"))))))))))))))))</f>
        <v/>
      </c>
    </row>
    <row r="17" s="545">
      <c r="A17" s="959">
        <f>IF(NOT(ISNUMBER(MIETER!F22)),"",ROW()-2)</f>
        <v/>
      </c>
      <c r="B17" s="960">
        <f>IF(NOT(ISNUMBER(MIETER!F22)),"",IF(MIETER!A22="","",MIETER!A22))</f>
        <v/>
      </c>
      <c r="C17" s="960">
        <f>IF(NOT(ISNUMBER(MIETER!F22)),"",IF(MIETER!B22="","",MIETER!B22))</f>
        <v/>
      </c>
      <c r="D17" s="960">
        <f>IF(NOT(ISNUMBER(MIETER!F22)),"",IF(MIETER!C22="","",MIETER!C22))</f>
        <v/>
      </c>
      <c r="E17" s="960">
        <f>IF(NOT(ISNUMBER(MIETER!F22)),"",IF(MIETER!D22="","",MIETER!D22))</f>
        <v/>
      </c>
      <c r="F17" s="961">
        <f>IF(NOT(ISNUMBER(MIETER!F22)),"",MIETER!F22)</f>
        <v/>
      </c>
      <c r="G17" s="962" t="n"/>
      <c r="H17" s="963" t="n"/>
      <c r="I17" s="963" t="n"/>
      <c r="J17" s="963" t="n"/>
      <c r="K17" s="964">
        <f>IF(OR(NOT(ISNUMBER(F17)),NOT(ISNUMBER(J17)),NOT(ISNUMBER($H$29)),$H$29=0),"",J17/$H$29)</f>
        <v/>
      </c>
      <c r="L17" s="965" t="n"/>
      <c r="M17" s="966">
        <f>IF(OR(NOT(ISNUMBER(F17)),F17=0,NOT(ISNUMBER(VERKAUFSMATRIX!U20))),"",VERKAUFSMATRIX!U20/F17)</f>
        <v/>
      </c>
      <c r="N17" s="967">
        <f>IF(OR(NOT(ISNUMBER(L17)),NOT(ISNUMBER(M17)),M17=0),"",L17/M17-1)</f>
        <v/>
      </c>
      <c r="O17" s="968" t="n"/>
      <c r="P17" s="969">
        <f>IF(OR(NOT(ISNUMBER(F17)),NOT(ISNUMBER(L17))),"",F17*L17+N(O17))</f>
        <v/>
      </c>
      <c r="Q17" s="970" t="n"/>
      <c r="R17" s="970" t="n"/>
      <c r="S17" s="969">
        <f>IF(NOT(ISNUMBER(P17)),"",P17+N(Q17)+N(R17))</f>
        <v/>
      </c>
      <c r="T17" s="971" t="n"/>
      <c r="U17" s="964">
        <f>IF(NOT(ISNUMBER(F17)),"",IF(ISNUMBER(T17),T17,IF(NOT(ISNUMBER($H$26)),"",$H$26)))</f>
        <v/>
      </c>
      <c r="V17" s="969">
        <f>IF(OR(NOT(ISNUMBER(S17)),NOT(ISNUMBER(U17))),"",S17*U17)</f>
        <v/>
      </c>
      <c r="W17" s="969">
        <f>IF(OR(NOT(ISNUMBER(S17)),NOT(ISNUMBER(U17))),"",S17*(1+U17))</f>
        <v/>
      </c>
      <c r="X17" s="969">
        <f>IF(NOT(ISNUMBER(W17)),"",W17-N(Q17)-N(R17))</f>
        <v/>
      </c>
      <c r="Y17" s="966">
        <f>IF(OR(NOT(ISNUMBER(S17)),NOT(ISNUMBER(F17)),F17=0),"",S17/F17)</f>
        <v/>
      </c>
      <c r="Z17" s="966">
        <f>IF(OR(NOT(ISNUMBER(X17)),NOT(ISNUMBER(F17)),F17=0),"",X17/F17)</f>
        <v/>
      </c>
      <c r="AA17" s="969">
        <f>IF(OR(NOT(ISNUMBER(X17)),NOT(ISNUMBER($H$34))),"",X17*MAX(1,$H$34))</f>
        <v/>
      </c>
      <c r="AB17" s="969">
        <f>IF(OR(NOT(ISNUMBER(W17)),NOT(ISNUMBER($H$34)),NOT(ISNUMBER($C$36))),"",W17*MAX(1,$H$34)*$C$36)</f>
        <v/>
      </c>
      <c r="AC17" s="969">
        <f>IF(OR(NOT(ISNUMBER(W17)),NOT(ISNUMBER(AB17))),"",W17+AB17)</f>
        <v/>
      </c>
      <c r="AD17" s="969">
        <f>IF(OR(NOT(ISNUMBER(W17)),NOT(ISNUMBER($H$34))),"",W17*$H$34)</f>
        <v/>
      </c>
      <c r="AE17" s="969">
        <f>IF(OR(NOT(ISNUMBER(AC17)),NOT(ISNUMBER(AD17))),"",MAX(0,AC17-AD17))</f>
        <v/>
      </c>
      <c r="AF17" s="969">
        <f>IF(OR(NOT(ISNUMBER(AD17)),NOT(ISNUMBER(W17))),"",AD17-W17)</f>
        <v/>
      </c>
      <c r="AG17" s="972" t="n"/>
      <c r="AH17" s="973">
        <f>IF(OR(NOT(ISNUMBER(MIETER!F22)),$G17="ja"),"",IF(NOT(ISNUMBER(MIETER!J22)),"",IF(ISNUMBER(AG17),MAX(MIETER!J22,AG17),MIETER!J22)))</f>
        <v/>
      </c>
      <c r="AI17" s="972" t="n"/>
      <c r="AJ17" s="973">
        <f>IF(OR(NOT(ISNUMBER(AH17)),NOT(ISNUMBER(AI17))),"",MAX(0,AI17-AH17))</f>
        <v/>
      </c>
      <c r="AK17" s="972" t="n"/>
      <c r="AL17" s="972" t="n"/>
      <c r="AM17" s="972" t="n"/>
      <c r="AN17" s="973">
        <f>IF(NOT(ISNUMBER(F17)),"",IF(AND(NOT(ISNUMBER(AH17)),NOT(ISNUMBER(AL17)),NOT(ISNUMBER(AM17))),"",N(AH17)+N(AL17)+N(AM17)))</f>
        <v/>
      </c>
      <c r="AO17" s="973">
        <f>IF(OR($G17="ja",NOT(ISNUMBER(AH17)),NOT(ISNUMBER(AN17))),"",AN17+N(AJ17))</f>
        <v/>
      </c>
      <c r="AP17" s="974">
        <f>IF(OR(NOT(ISNUMBER(AH17)),NOT(ISNUMBER(F17)),F17=0),"",AH17/F17)</f>
        <v/>
      </c>
      <c r="AQ17" s="975">
        <f>IF(OR(NOT(ISNUMBER(MIETER!F22)),NOT(ISNUMBER(MIETER!I22))),"",MIETER!I22)</f>
        <v/>
      </c>
      <c r="AR17" s="975">
        <f>IF(OR(NOT(ISNUMBER(AQ17)),$G17="ja",NOT(ISNUMBER($H$35))),"",EDATE(AQ17,$H$35))</f>
        <v/>
      </c>
      <c r="AS17" s="963" t="n"/>
      <c r="AT17" s="959">
        <f>IF(NOT(ISNUMBER(F17)),"",IF(ISNUMBER(AS17),AS17,IF(NOT(ISNUMBER(AR17)),"",MAX(0,(YEAR(AR17)-YEAR(TODAY()))*12+MONTH(AR17)-MONTH(TODAY())))))</f>
        <v/>
      </c>
      <c r="AU17" s="969">
        <f>IF(NOT(ISNUMBER(AT17)),"",IF(ISNUMBER(AK17),AK17*AT17,IF(NOT(ISNUMBER(AJ17)),"",AJ17*AT17)))</f>
        <v/>
      </c>
      <c r="AV17" s="969">
        <f>IF(OR(NOT(ISNUMBER(AH17)),NOT(ISNUMBER(MIETER!$P$6))),"",ROUND(AH17*(1+MIETER!$P$6)^2,0))</f>
        <v/>
      </c>
      <c r="AW17" s="976" t="n"/>
      <c r="AX17" s="972" t="n"/>
      <c r="AY17" s="973">
        <f>IF(NOT(ISNUMBER(F17)),"",IF(ISNUMBER(AX17),AX17,IF(AND(ISNUMBER(AW17),ISNUMBER(AH17),AH17&gt;0),AH17*AW17,IF(OR(NOT(ISNUMBER($C$62)),NOT(ISNUMBER($C$64))),"",$C$62+$C$64*F17/12))))</f>
        <v/>
      </c>
      <c r="AZ17" s="972" t="n"/>
      <c r="BA17" s="973">
        <f>IF(NOT(ISNUMBER(AY17)),"",IF(ISNUMBER(AZ17),MIN(AY17,AZ17),IF(OR(NOT(ISNUMBER(F17)),NOT(ISNUMBER($C$64))),0,MIN(AY17,$C$64*F17/12))))</f>
        <v/>
      </c>
      <c r="BB17" s="967">
        <f>IF(OR(NOT(ISNUMBER(AY17)),NOT(ISNUMBER(AH17)),AH17=0),"",AY17/AH17)</f>
        <v/>
      </c>
      <c r="BC17" s="973">
        <f>IF(NOT(ISNUMBER(AH17)),"",AH17*0.01)</f>
        <v/>
      </c>
      <c r="BD17" s="969">
        <f>IF(OR(NOT(ISNUMBER(AH17)),NOT(ISNUMBER($C$28)),NOT(ISNUMBER(BY17)),BY17&lt;=0),"",AH17*0.01*(1-$C$28)/BY17)</f>
        <v/>
      </c>
      <c r="BE17" s="969">
        <f>IF(OR(NOT(ISNUMBER(K17)),NOT(ISNUMBER($H$30))),"",$H$30*K17)</f>
        <v/>
      </c>
      <c r="BF17" s="971" t="n"/>
      <c r="BG17" s="964">
        <f>IF(OR(NOT(ISNUMBER(BE17)),NOT(ISNUMBER(X17)),X17&lt;=0),"",1-BE17/X17)</f>
        <v/>
      </c>
      <c r="BH17" s="964">
        <f>IF(NOT(ISNUMBER(X17)),"",IF(ISNUMBER(BF17),BF17,IF(AND(ISNUMBER(BE17),ISNUMBER(AA17),AA17&gt;0),1-BE17/AA17,IF(NOT(ISNUMBER($C$31)),"",$C$31))))</f>
        <v/>
      </c>
      <c r="BI17" s="960">
        <f>IF(NOT(ISNUMBER(F17)),"",IF(ISNUMBER(BF17),"vertrag",IF(ISNUMBER(BE17),"berechnet","standard")))</f>
        <v/>
      </c>
      <c r="BJ17" s="971" t="n"/>
      <c r="BK17" s="964">
        <f>IF(NOT(ISNUMBER(F17)),"",IF(ISNUMBER(BJ17),BJ17,IF(NOT(ISNUMBER($C$30)),"",$C$30)))</f>
        <v/>
      </c>
      <c r="BL17" s="969">
        <f>IF(OR(NOT(ISNUMBER(AA17)),NOT(ISNUMBER(BH17)),NOT(ISNUMBER($C$36))),"",AA17*(1+$C$36)*BH17)</f>
        <v/>
      </c>
      <c r="BM17" s="973">
        <f>IF(OR(NOT(ISNUMBER(BL17)),NOT(ISNUMBER(BK17)),NOT(ISNUMBER($C$36)),NOT(ISNUMBER($H$34))),"",(BL17*BK17+N(Q17)*MAX(1,$H$34)*(1+$C$36)*N($H$31)+N(R17)*MAX(1,$H$34)*(1+$C$36)*N($H$32))/12)</f>
        <v/>
      </c>
      <c r="BN17" s="973">
        <f>IF(OR(NOT(ISNUMBER(AD17)),NOT(ISNUMBER($C$26))),"",AD17*$C$26/12)</f>
        <v/>
      </c>
      <c r="BO17" s="969">
        <f>IF(OR(NOT(ISNUMBER(AD17)),NOT(ISNUMBER($C$26)),NOT(ISNUMBER($C$27))),"",ROUND(AD17*($C$26+$C$27)/12,0))</f>
        <v/>
      </c>
      <c r="BP17" s="977">
        <f>IF(OR(NOT(ISNUMBER(AO17)),NOT(ISNUMBER(BM17)),NOT(ISNUMBER(BN17)),NOT(ISNUMBER(AY17))),"",AO17-BN17-BM17-(AY17-N(BA17)))</f>
        <v/>
      </c>
      <c r="BQ17" s="978">
        <f>IF(OR(NOT(ISNUMBER(BP17)),NOT(ISNUMBER($C$28))),"",ROUND(-BP17*$C$28,0))</f>
        <v/>
      </c>
      <c r="BR17" s="973">
        <f>IF(OR(NOT(ISNUMBER(BA17)),NOT(ISNUMBER($C$28))),"",BA17*$C$28)</f>
        <v/>
      </c>
      <c r="BS17" s="978">
        <f>IF(OR(NOT(ISNUMBER(AO17)),NOT(ISNUMBER(BO17)),NOT(ISNUMBER(AY17))),"",ROUND(AO17,0)-BO17-ROUND(AY17,0))</f>
        <v/>
      </c>
      <c r="BT17" s="978">
        <f>IF(OR(NOT(ISNUMBER(BS17)),NOT(ISNUMBER(BQ17))),"",BS17+BQ17)</f>
        <v/>
      </c>
      <c r="BU17" s="978">
        <f>IF(OR(NOT(ISNUMBER(AN17)),NOT(ISNUMBER(BO17)),NOT(ISNUMBER(AY17)),NOT(ISNUMBER(BP17)),NOT(ISNUMBER($C$28))),"",ROUND(AN17,0)-BO17-ROUND(AY17,0)+ROUND(-(BP17-N(AJ17))*$C$28,0))</f>
        <v/>
      </c>
      <c r="BV17" s="977">
        <f>IF(OR(NOT(ISNUMBER(AO17)),NOT(ISNUMBER(AY17)),NOT(ISNUMBER(BK17)),NOT(ISNUMBER($C$28)),NOT(ISNUMBER($C$36))),"",(AO17-AY17)*(1-$C$28)-$C$28*N(BA17)-IF(BI17="berechnet",$C$28*(1+$C$36)*BK17*N(BE17)/12,0))</f>
        <v/>
      </c>
      <c r="BW17" s="977">
        <f>IF(OR(NOT(ISNUMBER(F17)),NOT(ISNUMBER($C$26)),NOT(ISNUMBER($C$27)),NOT(ISNUMBER($C$28)),NOT(ISNUMBER($C$36))),"",($C$28*(1+$C$36)*(N(Q17)*N($H$31)+N(R17)*N($H$32))-(N(Q17)+N(R17))*(($C$26+$C$27)-$C$28*$C$26))/12)</f>
        <v/>
      </c>
      <c r="BX17" s="979">
        <f>IF(OR(NOT(ISNUMBER(BK17)),NOT(ISNUMBER($C$26)),NOT(ISNUMBER($C$27)),NOT(ISNUMBER($C$28)),NOT(ISNUMBER($C$36)),BI17=""),"",(($C$26+$C$27)-$C$28*$C$26-$C$28*(1+$C$36)*BK17*IF(BI17="berechnet",1,IF(BI17="vertrag",BF17,$C$31)))/12)</f>
        <v/>
      </c>
      <c r="BY17" s="979">
        <f>IF(OR(NOT(ISNUMBER(BX17)),NOT(ISNUMBER($C$34))),"",$C$34*BX17)</f>
        <v/>
      </c>
      <c r="BZ17" s="969">
        <f>IF(OR($G17="ja",NOT(ISNUMBER(AH17)),NOT(ISNUMBER(BV17)),NOT(ISNUMBER(BW17)),NOT(ISNUMBER(BX17)),BX17&lt;=0),"",(BV17-N($C$32)+BW17)/BX17)</f>
        <v/>
      </c>
      <c r="CA17" s="969">
        <f>IF(OR($G17="ja",NOT(ISNUMBER(AH17)),NOT(ISNUMBER(BV17)),NOT(ISNUMBER(BW17)),NOT(ISNUMBER(BY17)),BY17&lt;=0,NOT(ISNUMBER($C$34))),"",(BV17-N($C$32)+BW17*$C$34)/BY17)</f>
        <v/>
      </c>
      <c r="CB17" s="969">
        <f>IF(OR(NOT(ISNUMBER(CA17)),NOT(ISNUMBER($C$28))),"",CA17-N(AJ17)*(1-$C$28)/BY17)</f>
        <v/>
      </c>
      <c r="CC17" s="966">
        <f>IF(OR(NOT(ISNUMBER(CA17)),NOT(ISNUMBER(U17)),U17&lt;=-1,NOT(ISNUMBER(F17)),F17=0),"",((CA17+N(Q17)+N(R17))/(1+U17)-N(Q17)-N(R17)-N(O17))/F17)</f>
        <v/>
      </c>
      <c r="CD17" s="980">
        <f>IF(OR(NOT(ISNUMBER(L17)),NOT(ISNUMBER(CC17))),"",L17-CC17)</f>
        <v/>
      </c>
      <c r="CE17" s="981">
        <f>IF(OR(NOT(ISNUMBER(W17)),NOT(ISNUMBER(AN17)),AN17=0),"",W17/(AN17*12))</f>
        <v/>
      </c>
      <c r="CF17" s="964">
        <f>IF(OR(NOT(ISNUMBER(W17)),NOT(ISNUMBER(AN17)),W17=0),"",AN17*12/W17)</f>
        <v/>
      </c>
      <c r="CG17" s="960">
        <f>IF(NOT(ISNUMBER(F17)),"",IF($G17="ja","GRAU: Leerstand - keine Mietbasis",IF(AND(ISNUMBER(AH17),AH17=0),"GRAU: Ist-Miete 0 - Leerstand pruefen",IF(NOT(ISNUMBER(AH17)),"GRAU: Wohnungsmiete fehlt",IF(NOT(ISNUMBER(AJ17)),"GRAU: keine Sollmiete/Mietspiegel",IF(AND(ISNUMBER(AW17),ISNUMBER(AX17)),"GRAU: zwei Hausgeld-Quellen gesetzt",IF(AND(OR(ISNUMBER(AX17),ISNUMBER(AW17)),NOT(ISNUMBER(AZ17))),"GRAU: Ruecklagenanteil fehlt",IF(AND(AJ17&gt;0,NOT(ISNUMBER(AT17))),"GRAU: Subventionsdauer unbekannt",IF(AND(ISNUMBER(BH17),BH17&lt;=0),"ROT: Bodenwert uebersteigt Kaufpreis - Daten pruefen",IF(NOT(ISNUMBER(BT17)),"GRAU: Cashflow nicht rechenbar",IF(NOT(ISNUMBER(BZ17)),"GRAU: max. tragbar nicht rechenbar",IF(BZ17&lt;=0,"ROT: kein tragbarer Preis bei diesem Ziel-Cashflow",IF(AND(BI17="berechnet",BZ17&lt;BE17),"ROT: max. tragbar unter Bodenwert - Modell nicht gueltig",IF(X17&lt;=BZ17-N(AJ17)*(1-$C$28)/BX17,"GRUEN: Preis unter max. tragbar (auch ohne Subvention)",IF(X17&lt;=BZ17,"GELB: nur mit Subvention tragbar",IF(X17&lt;=BZ17*(1+N($H$33)),"GELB: bis Toleranz darueber","ROT: deutlich ueber max. tragbar"))))))))))))))))</f>
        <v/>
      </c>
      <c r="CH17" s="960">
        <f>IF(NOT(ISNUMBER(F17)),"",IF($G17="ja","GRAU: Leerstand - keine Mietbasis",IF(AND(ISNUMBER(AH17),AH17=0),"GRAU: Ist-Miete 0 - Leerstand pruefen",IF(NOT(ISNUMBER(AH17)),"GRAU: Wohnungsmiete fehlt",IF(NOT(ISNUMBER(AJ17)),"GRAU: keine Sollmiete/Mietspiegel",IF(AND(ISNUMBER(AW17),ISNUMBER(AX17)),"GRAU: zwei Hausgeld-Quellen gesetzt",IF(AND(OR(ISNUMBER(AX17),ISNUMBER(AW17)),NOT(ISNUMBER(AZ17))),"GRAU: Ruecklagenanteil fehlt",IF(AND(AJ17&gt;0,NOT(ISNUMBER(AT17))),"GRAU: Subventionsdauer unbekannt",IF(AND(ISNUMBER(BH17),BH17&lt;=0),"ROT: Bodenwert uebersteigt Kaufpreis - Daten pruefen",IF(NOT(ISNUMBER(BT17)),"GRAU: Cashflow nicht rechenbar",IF(NOT(ISNUMBER(CA17)),"GRAU: max. tragbar nicht rechenbar",IF(CA17&lt;=0,"ROT: kein tragbarer Preis bei diesem Ziel-Cashflow",IF(AND(BI17="berechnet",CA17&lt;BE17),"ROT: max. tragbar unter Bodenwert - Modell nicht gueltig",IF(X17&lt;=CB17,"GRUEN: Preis unter max. tragbar (auch ohne Subvention)",IF(X17&lt;=CA17,"GELB: nur mit Subvention tragbar",IF(X17&lt;=CA17*(1+N($H$33)),"GELB: bis Toleranz darueber","ROT: deutlich ueber max. tragbar"))))))))))))))))</f>
        <v/>
      </c>
    </row>
    <row r="18" s="545">
      <c r="A18" s="982">
        <f>IF(NOT(ISNUMBER(MIETER!F23)),"",ROW()-2)</f>
        <v/>
      </c>
      <c r="B18" s="983">
        <f>IF(NOT(ISNUMBER(MIETER!F23)),"",IF(MIETER!A23="","",MIETER!A23))</f>
        <v/>
      </c>
      <c r="C18" s="983">
        <f>IF(NOT(ISNUMBER(MIETER!F23)),"",IF(MIETER!B23="","",MIETER!B23))</f>
        <v/>
      </c>
      <c r="D18" s="983">
        <f>IF(NOT(ISNUMBER(MIETER!F23)),"",IF(MIETER!C23="","",MIETER!C23))</f>
        <v/>
      </c>
      <c r="E18" s="983">
        <f>IF(NOT(ISNUMBER(MIETER!F23)),"",IF(MIETER!D23="","",MIETER!D23))</f>
        <v/>
      </c>
      <c r="F18" s="984">
        <f>IF(NOT(ISNUMBER(MIETER!F23)),"",MIETER!F23)</f>
        <v/>
      </c>
      <c r="G18" s="962" t="n"/>
      <c r="H18" s="963" t="n"/>
      <c r="I18" s="963" t="n"/>
      <c r="J18" s="963" t="n"/>
      <c r="K18" s="985">
        <f>IF(OR(NOT(ISNUMBER(F18)),NOT(ISNUMBER(J18)),NOT(ISNUMBER($H$29)),$H$29=0),"",J18/$H$29)</f>
        <v/>
      </c>
      <c r="L18" s="965" t="n"/>
      <c r="M18" s="986">
        <f>IF(OR(NOT(ISNUMBER(F18)),F18=0,NOT(ISNUMBER(VERKAUFSMATRIX!U21))),"",VERKAUFSMATRIX!U21/F18)</f>
        <v/>
      </c>
      <c r="N18" s="987">
        <f>IF(OR(NOT(ISNUMBER(L18)),NOT(ISNUMBER(M18)),M18=0),"",L18/M18-1)</f>
        <v/>
      </c>
      <c r="O18" s="968" t="n"/>
      <c r="P18" s="988">
        <f>IF(OR(NOT(ISNUMBER(F18)),NOT(ISNUMBER(L18))),"",F18*L18+N(O18))</f>
        <v/>
      </c>
      <c r="Q18" s="970" t="n"/>
      <c r="R18" s="970" t="n"/>
      <c r="S18" s="988">
        <f>IF(NOT(ISNUMBER(P18)),"",P18+N(Q18)+N(R18))</f>
        <v/>
      </c>
      <c r="T18" s="971" t="n"/>
      <c r="U18" s="985">
        <f>IF(NOT(ISNUMBER(F18)),"",IF(ISNUMBER(T18),T18,IF(NOT(ISNUMBER($H$26)),"",$H$26)))</f>
        <v/>
      </c>
      <c r="V18" s="988">
        <f>IF(OR(NOT(ISNUMBER(S18)),NOT(ISNUMBER(U18))),"",S18*U18)</f>
        <v/>
      </c>
      <c r="W18" s="988">
        <f>IF(OR(NOT(ISNUMBER(S18)),NOT(ISNUMBER(U18))),"",S18*(1+U18))</f>
        <v/>
      </c>
      <c r="X18" s="988">
        <f>IF(NOT(ISNUMBER(W18)),"",W18-N(Q18)-N(R18))</f>
        <v/>
      </c>
      <c r="Y18" s="986">
        <f>IF(OR(NOT(ISNUMBER(S18)),NOT(ISNUMBER(F18)),F18=0),"",S18/F18)</f>
        <v/>
      </c>
      <c r="Z18" s="986">
        <f>IF(OR(NOT(ISNUMBER(X18)),NOT(ISNUMBER(F18)),F18=0),"",X18/F18)</f>
        <v/>
      </c>
      <c r="AA18" s="988">
        <f>IF(OR(NOT(ISNUMBER(X18)),NOT(ISNUMBER($H$34))),"",X18*MAX(1,$H$34))</f>
        <v/>
      </c>
      <c r="AB18" s="988">
        <f>IF(OR(NOT(ISNUMBER(W18)),NOT(ISNUMBER($H$34)),NOT(ISNUMBER($C$36))),"",W18*MAX(1,$H$34)*$C$36)</f>
        <v/>
      </c>
      <c r="AC18" s="988">
        <f>IF(OR(NOT(ISNUMBER(W18)),NOT(ISNUMBER(AB18))),"",W18+AB18)</f>
        <v/>
      </c>
      <c r="AD18" s="988">
        <f>IF(OR(NOT(ISNUMBER(W18)),NOT(ISNUMBER($H$34))),"",W18*$H$34)</f>
        <v/>
      </c>
      <c r="AE18" s="988">
        <f>IF(OR(NOT(ISNUMBER(AC18)),NOT(ISNUMBER(AD18))),"",MAX(0,AC18-AD18))</f>
        <v/>
      </c>
      <c r="AF18" s="988">
        <f>IF(OR(NOT(ISNUMBER(AD18)),NOT(ISNUMBER(W18))),"",AD18-W18)</f>
        <v/>
      </c>
      <c r="AG18" s="972" t="n"/>
      <c r="AH18" s="989">
        <f>IF(OR(NOT(ISNUMBER(MIETER!F23)),$G18="ja"),"",IF(NOT(ISNUMBER(MIETER!J23)),"",IF(ISNUMBER(AG18),MAX(MIETER!J23,AG18),MIETER!J23)))</f>
        <v/>
      </c>
      <c r="AI18" s="972" t="n"/>
      <c r="AJ18" s="989">
        <f>IF(OR(NOT(ISNUMBER(AH18)),NOT(ISNUMBER(AI18))),"",MAX(0,AI18-AH18))</f>
        <v/>
      </c>
      <c r="AK18" s="972" t="n"/>
      <c r="AL18" s="972" t="n"/>
      <c r="AM18" s="972" t="n"/>
      <c r="AN18" s="989">
        <f>IF(NOT(ISNUMBER(F18)),"",IF(AND(NOT(ISNUMBER(AH18)),NOT(ISNUMBER(AL18)),NOT(ISNUMBER(AM18))),"",N(AH18)+N(AL18)+N(AM18)))</f>
        <v/>
      </c>
      <c r="AO18" s="989">
        <f>IF(OR($G18="ja",NOT(ISNUMBER(AH18)),NOT(ISNUMBER(AN18))),"",AN18+N(AJ18))</f>
        <v/>
      </c>
      <c r="AP18" s="990">
        <f>IF(OR(NOT(ISNUMBER(AH18)),NOT(ISNUMBER(F18)),F18=0),"",AH18/F18)</f>
        <v/>
      </c>
      <c r="AQ18" s="991">
        <f>IF(OR(NOT(ISNUMBER(MIETER!F23)),NOT(ISNUMBER(MIETER!I23))),"",MIETER!I23)</f>
        <v/>
      </c>
      <c r="AR18" s="991">
        <f>IF(OR(NOT(ISNUMBER(AQ18)),$G18="ja",NOT(ISNUMBER($H$35))),"",EDATE(AQ18,$H$35))</f>
        <v/>
      </c>
      <c r="AS18" s="963" t="n"/>
      <c r="AT18" s="982">
        <f>IF(NOT(ISNUMBER(F18)),"",IF(ISNUMBER(AS18),AS18,IF(NOT(ISNUMBER(AR18)),"",MAX(0,(YEAR(AR18)-YEAR(TODAY()))*12+MONTH(AR18)-MONTH(TODAY())))))</f>
        <v/>
      </c>
      <c r="AU18" s="988">
        <f>IF(NOT(ISNUMBER(AT18)),"",IF(ISNUMBER(AK18),AK18*AT18,IF(NOT(ISNUMBER(AJ18)),"",AJ18*AT18)))</f>
        <v/>
      </c>
      <c r="AV18" s="988">
        <f>IF(OR(NOT(ISNUMBER(AH18)),NOT(ISNUMBER(MIETER!$P$6))),"",ROUND(AH18*(1+MIETER!$P$6)^2,0))</f>
        <v/>
      </c>
      <c r="AW18" s="976" t="n"/>
      <c r="AX18" s="972" t="n"/>
      <c r="AY18" s="989">
        <f>IF(NOT(ISNUMBER(F18)),"",IF(ISNUMBER(AX18),AX18,IF(AND(ISNUMBER(AW18),ISNUMBER(AH18),AH18&gt;0),AH18*AW18,IF(OR(NOT(ISNUMBER($C$62)),NOT(ISNUMBER($C$64))),"",$C$62+$C$64*F18/12))))</f>
        <v/>
      </c>
      <c r="AZ18" s="972" t="n"/>
      <c r="BA18" s="989">
        <f>IF(NOT(ISNUMBER(AY18)),"",IF(ISNUMBER(AZ18),MIN(AY18,AZ18),IF(OR(NOT(ISNUMBER(F18)),NOT(ISNUMBER($C$64))),0,MIN(AY18,$C$64*F18/12))))</f>
        <v/>
      </c>
      <c r="BB18" s="987">
        <f>IF(OR(NOT(ISNUMBER(AY18)),NOT(ISNUMBER(AH18)),AH18=0),"",AY18/AH18)</f>
        <v/>
      </c>
      <c r="BC18" s="989">
        <f>IF(NOT(ISNUMBER(AH18)),"",AH18*0.01)</f>
        <v/>
      </c>
      <c r="BD18" s="988">
        <f>IF(OR(NOT(ISNUMBER(AH18)),NOT(ISNUMBER($C$28)),NOT(ISNUMBER(BY18)),BY18&lt;=0),"",AH18*0.01*(1-$C$28)/BY18)</f>
        <v/>
      </c>
      <c r="BE18" s="988">
        <f>IF(OR(NOT(ISNUMBER(K18)),NOT(ISNUMBER($H$30))),"",$H$30*K18)</f>
        <v/>
      </c>
      <c r="BF18" s="971" t="n"/>
      <c r="BG18" s="985">
        <f>IF(OR(NOT(ISNUMBER(BE18)),NOT(ISNUMBER(X18)),X18&lt;=0),"",1-BE18/X18)</f>
        <v/>
      </c>
      <c r="BH18" s="985">
        <f>IF(NOT(ISNUMBER(X18)),"",IF(ISNUMBER(BF18),BF18,IF(AND(ISNUMBER(BE18),ISNUMBER(AA18),AA18&gt;0),1-BE18/AA18,IF(NOT(ISNUMBER($C$31)),"",$C$31))))</f>
        <v/>
      </c>
      <c r="BI18" s="983">
        <f>IF(NOT(ISNUMBER(F18)),"",IF(ISNUMBER(BF18),"vertrag",IF(ISNUMBER(BE18),"berechnet","standard")))</f>
        <v/>
      </c>
      <c r="BJ18" s="971" t="n"/>
      <c r="BK18" s="985">
        <f>IF(NOT(ISNUMBER(F18)),"",IF(ISNUMBER(BJ18),BJ18,IF(NOT(ISNUMBER($C$30)),"",$C$30)))</f>
        <v/>
      </c>
      <c r="BL18" s="988">
        <f>IF(OR(NOT(ISNUMBER(AA18)),NOT(ISNUMBER(BH18)),NOT(ISNUMBER($C$36))),"",AA18*(1+$C$36)*BH18)</f>
        <v/>
      </c>
      <c r="BM18" s="989">
        <f>IF(OR(NOT(ISNUMBER(BL18)),NOT(ISNUMBER(BK18)),NOT(ISNUMBER($C$36)),NOT(ISNUMBER($H$34))),"",(BL18*BK18+N(Q18)*MAX(1,$H$34)*(1+$C$36)*N($H$31)+N(R18)*MAX(1,$H$34)*(1+$C$36)*N($H$32))/12)</f>
        <v/>
      </c>
      <c r="BN18" s="989">
        <f>IF(OR(NOT(ISNUMBER(AD18)),NOT(ISNUMBER($C$26))),"",AD18*$C$26/12)</f>
        <v/>
      </c>
      <c r="BO18" s="988">
        <f>IF(OR(NOT(ISNUMBER(AD18)),NOT(ISNUMBER($C$26)),NOT(ISNUMBER($C$27))),"",ROUND(AD18*($C$26+$C$27)/12,0))</f>
        <v/>
      </c>
      <c r="BP18" s="992">
        <f>IF(OR(NOT(ISNUMBER(AO18)),NOT(ISNUMBER(BM18)),NOT(ISNUMBER(BN18)),NOT(ISNUMBER(AY18))),"",AO18-BN18-BM18-(AY18-N(BA18)))</f>
        <v/>
      </c>
      <c r="BQ18" s="993">
        <f>IF(OR(NOT(ISNUMBER(BP18)),NOT(ISNUMBER($C$28))),"",ROUND(-BP18*$C$28,0))</f>
        <v/>
      </c>
      <c r="BR18" s="989">
        <f>IF(OR(NOT(ISNUMBER(BA18)),NOT(ISNUMBER($C$28))),"",BA18*$C$28)</f>
        <v/>
      </c>
      <c r="BS18" s="993">
        <f>IF(OR(NOT(ISNUMBER(AO18)),NOT(ISNUMBER(BO18)),NOT(ISNUMBER(AY18))),"",ROUND(AO18,0)-BO18-ROUND(AY18,0))</f>
        <v/>
      </c>
      <c r="BT18" s="993">
        <f>IF(OR(NOT(ISNUMBER(BS18)),NOT(ISNUMBER(BQ18))),"",BS18+BQ18)</f>
        <v/>
      </c>
      <c r="BU18" s="993">
        <f>IF(OR(NOT(ISNUMBER(AN18)),NOT(ISNUMBER(BO18)),NOT(ISNUMBER(AY18)),NOT(ISNUMBER(BP18)),NOT(ISNUMBER($C$28))),"",ROUND(AN18,0)-BO18-ROUND(AY18,0)+ROUND(-(BP18-N(AJ18))*$C$28,0))</f>
        <v/>
      </c>
      <c r="BV18" s="992">
        <f>IF(OR(NOT(ISNUMBER(AO18)),NOT(ISNUMBER(AY18)),NOT(ISNUMBER(BK18)),NOT(ISNUMBER($C$28)),NOT(ISNUMBER($C$36))),"",(AO18-AY18)*(1-$C$28)-$C$28*N(BA18)-IF(BI18="berechnet",$C$28*(1+$C$36)*BK18*N(BE18)/12,0))</f>
        <v/>
      </c>
      <c r="BW18" s="992">
        <f>IF(OR(NOT(ISNUMBER(F18)),NOT(ISNUMBER($C$26)),NOT(ISNUMBER($C$27)),NOT(ISNUMBER($C$28)),NOT(ISNUMBER($C$36))),"",($C$28*(1+$C$36)*(N(Q18)*N($H$31)+N(R18)*N($H$32))-(N(Q18)+N(R18))*(($C$26+$C$27)-$C$28*$C$26))/12)</f>
        <v/>
      </c>
      <c r="BX18" s="994">
        <f>IF(OR(NOT(ISNUMBER(BK18)),NOT(ISNUMBER($C$26)),NOT(ISNUMBER($C$27)),NOT(ISNUMBER($C$28)),NOT(ISNUMBER($C$36)),BI18=""),"",(($C$26+$C$27)-$C$28*$C$26-$C$28*(1+$C$36)*BK18*IF(BI18="berechnet",1,IF(BI18="vertrag",BF18,$C$31)))/12)</f>
        <v/>
      </c>
      <c r="BY18" s="994">
        <f>IF(OR(NOT(ISNUMBER(BX18)),NOT(ISNUMBER($C$34))),"",$C$34*BX18)</f>
        <v/>
      </c>
      <c r="BZ18" s="988">
        <f>IF(OR($G18="ja",NOT(ISNUMBER(AH18)),NOT(ISNUMBER(BV18)),NOT(ISNUMBER(BW18)),NOT(ISNUMBER(BX18)),BX18&lt;=0),"",(BV18-N($C$32)+BW18)/BX18)</f>
        <v/>
      </c>
      <c r="CA18" s="988">
        <f>IF(OR($G18="ja",NOT(ISNUMBER(AH18)),NOT(ISNUMBER(BV18)),NOT(ISNUMBER(BW18)),NOT(ISNUMBER(BY18)),BY18&lt;=0,NOT(ISNUMBER($C$34))),"",(BV18-N($C$32)+BW18*$C$34)/BY18)</f>
        <v/>
      </c>
      <c r="CB18" s="988">
        <f>IF(OR(NOT(ISNUMBER(CA18)),NOT(ISNUMBER($C$28))),"",CA18-N(AJ18)*(1-$C$28)/BY18)</f>
        <v/>
      </c>
      <c r="CC18" s="986">
        <f>IF(OR(NOT(ISNUMBER(CA18)),NOT(ISNUMBER(U18)),U18&lt;=-1,NOT(ISNUMBER(F18)),F18=0),"",((CA18+N(Q18)+N(R18))/(1+U18)-N(Q18)-N(R18)-N(O18))/F18)</f>
        <v/>
      </c>
      <c r="CD18" s="995">
        <f>IF(OR(NOT(ISNUMBER(L18)),NOT(ISNUMBER(CC18))),"",L18-CC18)</f>
        <v/>
      </c>
      <c r="CE18" s="996">
        <f>IF(OR(NOT(ISNUMBER(W18)),NOT(ISNUMBER(AN18)),AN18=0),"",W18/(AN18*12))</f>
        <v/>
      </c>
      <c r="CF18" s="985">
        <f>IF(OR(NOT(ISNUMBER(W18)),NOT(ISNUMBER(AN18)),W18=0),"",AN18*12/W18)</f>
        <v/>
      </c>
      <c r="CG18" s="983">
        <f>IF(NOT(ISNUMBER(F18)),"",IF($G18="ja","GRAU: Leerstand - keine Mietbasis",IF(AND(ISNUMBER(AH18),AH18=0),"GRAU: Ist-Miete 0 - Leerstand pruefen",IF(NOT(ISNUMBER(AH18)),"GRAU: Wohnungsmiete fehlt",IF(NOT(ISNUMBER(AJ18)),"GRAU: keine Sollmiete/Mietspiegel",IF(AND(ISNUMBER(AW18),ISNUMBER(AX18)),"GRAU: zwei Hausgeld-Quellen gesetzt",IF(AND(OR(ISNUMBER(AX18),ISNUMBER(AW18)),NOT(ISNUMBER(AZ18))),"GRAU: Ruecklagenanteil fehlt",IF(AND(AJ18&gt;0,NOT(ISNUMBER(AT18))),"GRAU: Subventionsdauer unbekannt",IF(AND(ISNUMBER(BH18),BH18&lt;=0),"ROT: Bodenwert uebersteigt Kaufpreis - Daten pruefen",IF(NOT(ISNUMBER(BT18)),"GRAU: Cashflow nicht rechenbar",IF(NOT(ISNUMBER(BZ18)),"GRAU: max. tragbar nicht rechenbar",IF(BZ18&lt;=0,"ROT: kein tragbarer Preis bei diesem Ziel-Cashflow",IF(AND(BI18="berechnet",BZ18&lt;BE18),"ROT: max. tragbar unter Bodenwert - Modell nicht gueltig",IF(X18&lt;=BZ18-N(AJ18)*(1-$C$28)/BX18,"GRUEN: Preis unter max. tragbar (auch ohne Subvention)",IF(X18&lt;=BZ18,"GELB: nur mit Subvention tragbar",IF(X18&lt;=BZ18*(1+N($H$33)),"GELB: bis Toleranz darueber","ROT: deutlich ueber max. tragbar"))))))))))))))))</f>
        <v/>
      </c>
      <c r="CH18" s="983">
        <f>IF(NOT(ISNUMBER(F18)),"",IF($G18="ja","GRAU: Leerstand - keine Mietbasis",IF(AND(ISNUMBER(AH18),AH18=0),"GRAU: Ist-Miete 0 - Leerstand pruefen",IF(NOT(ISNUMBER(AH18)),"GRAU: Wohnungsmiete fehlt",IF(NOT(ISNUMBER(AJ18)),"GRAU: keine Sollmiete/Mietspiegel",IF(AND(ISNUMBER(AW18),ISNUMBER(AX18)),"GRAU: zwei Hausgeld-Quellen gesetzt",IF(AND(OR(ISNUMBER(AX18),ISNUMBER(AW18)),NOT(ISNUMBER(AZ18))),"GRAU: Ruecklagenanteil fehlt",IF(AND(AJ18&gt;0,NOT(ISNUMBER(AT18))),"GRAU: Subventionsdauer unbekannt",IF(AND(ISNUMBER(BH18),BH18&lt;=0),"ROT: Bodenwert uebersteigt Kaufpreis - Daten pruefen",IF(NOT(ISNUMBER(BT18)),"GRAU: Cashflow nicht rechenbar",IF(NOT(ISNUMBER(CA18)),"GRAU: max. tragbar nicht rechenbar",IF(CA18&lt;=0,"ROT: kein tragbarer Preis bei diesem Ziel-Cashflow",IF(AND(BI18="berechnet",CA18&lt;BE18),"ROT: max. tragbar unter Bodenwert - Modell nicht gueltig",IF(X18&lt;=CB18,"GRUEN: Preis unter max. tragbar (auch ohne Subvention)",IF(X18&lt;=CA18,"GELB: nur mit Subvention tragbar",IF(X18&lt;=CA18*(1+N($H$33)),"GELB: bis Toleranz darueber","ROT: deutlich ueber max. tragbar"))))))))))))))))</f>
        <v/>
      </c>
    </row>
    <row r="19" s="545">
      <c r="A19" s="959">
        <f>IF(NOT(ISNUMBER(MIETER!F24)),"",ROW()-2)</f>
        <v/>
      </c>
      <c r="B19" s="960">
        <f>IF(NOT(ISNUMBER(MIETER!F24)),"",IF(MIETER!A24="","",MIETER!A24))</f>
        <v/>
      </c>
      <c r="C19" s="960">
        <f>IF(NOT(ISNUMBER(MIETER!F24)),"",IF(MIETER!B24="","",MIETER!B24))</f>
        <v/>
      </c>
      <c r="D19" s="960">
        <f>IF(NOT(ISNUMBER(MIETER!F24)),"",IF(MIETER!C24="","",MIETER!C24))</f>
        <v/>
      </c>
      <c r="E19" s="960">
        <f>IF(NOT(ISNUMBER(MIETER!F24)),"",IF(MIETER!D24="","",MIETER!D24))</f>
        <v/>
      </c>
      <c r="F19" s="961">
        <f>IF(NOT(ISNUMBER(MIETER!F24)),"",MIETER!F24)</f>
        <v/>
      </c>
      <c r="G19" s="962" t="n"/>
      <c r="H19" s="963" t="n"/>
      <c r="I19" s="963" t="n"/>
      <c r="J19" s="963" t="n"/>
      <c r="K19" s="964">
        <f>IF(OR(NOT(ISNUMBER(F19)),NOT(ISNUMBER(J19)),NOT(ISNUMBER($H$29)),$H$29=0),"",J19/$H$29)</f>
        <v/>
      </c>
      <c r="L19" s="965" t="n"/>
      <c r="M19" s="966">
        <f>IF(OR(NOT(ISNUMBER(F19)),F19=0,NOT(ISNUMBER(VERKAUFSMATRIX!U22))),"",VERKAUFSMATRIX!U22/F19)</f>
        <v/>
      </c>
      <c r="N19" s="967">
        <f>IF(OR(NOT(ISNUMBER(L19)),NOT(ISNUMBER(M19)),M19=0),"",L19/M19-1)</f>
        <v/>
      </c>
      <c r="O19" s="968" t="n"/>
      <c r="P19" s="969">
        <f>IF(OR(NOT(ISNUMBER(F19)),NOT(ISNUMBER(L19))),"",F19*L19+N(O19))</f>
        <v/>
      </c>
      <c r="Q19" s="970" t="n"/>
      <c r="R19" s="970" t="n"/>
      <c r="S19" s="969">
        <f>IF(NOT(ISNUMBER(P19)),"",P19+N(Q19)+N(R19))</f>
        <v/>
      </c>
      <c r="T19" s="971" t="n"/>
      <c r="U19" s="964">
        <f>IF(NOT(ISNUMBER(F19)),"",IF(ISNUMBER(T19),T19,IF(NOT(ISNUMBER($H$26)),"",$H$26)))</f>
        <v/>
      </c>
      <c r="V19" s="969">
        <f>IF(OR(NOT(ISNUMBER(S19)),NOT(ISNUMBER(U19))),"",S19*U19)</f>
        <v/>
      </c>
      <c r="W19" s="969">
        <f>IF(OR(NOT(ISNUMBER(S19)),NOT(ISNUMBER(U19))),"",S19*(1+U19))</f>
        <v/>
      </c>
      <c r="X19" s="969">
        <f>IF(NOT(ISNUMBER(W19)),"",W19-N(Q19)-N(R19))</f>
        <v/>
      </c>
      <c r="Y19" s="966">
        <f>IF(OR(NOT(ISNUMBER(S19)),NOT(ISNUMBER(F19)),F19=0),"",S19/F19)</f>
        <v/>
      </c>
      <c r="Z19" s="966">
        <f>IF(OR(NOT(ISNUMBER(X19)),NOT(ISNUMBER(F19)),F19=0),"",X19/F19)</f>
        <v/>
      </c>
      <c r="AA19" s="969">
        <f>IF(OR(NOT(ISNUMBER(X19)),NOT(ISNUMBER($H$34))),"",X19*MAX(1,$H$34))</f>
        <v/>
      </c>
      <c r="AB19" s="969">
        <f>IF(OR(NOT(ISNUMBER(W19)),NOT(ISNUMBER($H$34)),NOT(ISNUMBER($C$36))),"",W19*MAX(1,$H$34)*$C$36)</f>
        <v/>
      </c>
      <c r="AC19" s="969">
        <f>IF(OR(NOT(ISNUMBER(W19)),NOT(ISNUMBER(AB19))),"",W19+AB19)</f>
        <v/>
      </c>
      <c r="AD19" s="969">
        <f>IF(OR(NOT(ISNUMBER(W19)),NOT(ISNUMBER($H$34))),"",W19*$H$34)</f>
        <v/>
      </c>
      <c r="AE19" s="969">
        <f>IF(OR(NOT(ISNUMBER(AC19)),NOT(ISNUMBER(AD19))),"",MAX(0,AC19-AD19))</f>
        <v/>
      </c>
      <c r="AF19" s="969">
        <f>IF(OR(NOT(ISNUMBER(AD19)),NOT(ISNUMBER(W19))),"",AD19-W19)</f>
        <v/>
      </c>
      <c r="AG19" s="972" t="n"/>
      <c r="AH19" s="973">
        <f>IF(OR(NOT(ISNUMBER(MIETER!F24)),$G19="ja"),"",IF(NOT(ISNUMBER(MIETER!J24)),"",IF(ISNUMBER(AG19),MAX(MIETER!J24,AG19),MIETER!J24)))</f>
        <v/>
      </c>
      <c r="AI19" s="972" t="n"/>
      <c r="AJ19" s="973">
        <f>IF(OR(NOT(ISNUMBER(AH19)),NOT(ISNUMBER(AI19))),"",MAX(0,AI19-AH19))</f>
        <v/>
      </c>
      <c r="AK19" s="972" t="n"/>
      <c r="AL19" s="972" t="n"/>
      <c r="AM19" s="972" t="n"/>
      <c r="AN19" s="973">
        <f>IF(NOT(ISNUMBER(F19)),"",IF(AND(NOT(ISNUMBER(AH19)),NOT(ISNUMBER(AL19)),NOT(ISNUMBER(AM19))),"",N(AH19)+N(AL19)+N(AM19)))</f>
        <v/>
      </c>
      <c r="AO19" s="973">
        <f>IF(OR($G19="ja",NOT(ISNUMBER(AH19)),NOT(ISNUMBER(AN19))),"",AN19+N(AJ19))</f>
        <v/>
      </c>
      <c r="AP19" s="974">
        <f>IF(OR(NOT(ISNUMBER(AH19)),NOT(ISNUMBER(F19)),F19=0),"",AH19/F19)</f>
        <v/>
      </c>
      <c r="AQ19" s="975">
        <f>IF(OR(NOT(ISNUMBER(MIETER!F24)),NOT(ISNUMBER(MIETER!I24))),"",MIETER!I24)</f>
        <v/>
      </c>
      <c r="AR19" s="975">
        <f>IF(OR(NOT(ISNUMBER(AQ19)),$G19="ja",NOT(ISNUMBER($H$35))),"",EDATE(AQ19,$H$35))</f>
        <v/>
      </c>
      <c r="AS19" s="963" t="n"/>
      <c r="AT19" s="959">
        <f>IF(NOT(ISNUMBER(F19)),"",IF(ISNUMBER(AS19),AS19,IF(NOT(ISNUMBER(AR19)),"",MAX(0,(YEAR(AR19)-YEAR(TODAY()))*12+MONTH(AR19)-MONTH(TODAY())))))</f>
        <v/>
      </c>
      <c r="AU19" s="969">
        <f>IF(NOT(ISNUMBER(AT19)),"",IF(ISNUMBER(AK19),AK19*AT19,IF(NOT(ISNUMBER(AJ19)),"",AJ19*AT19)))</f>
        <v/>
      </c>
      <c r="AV19" s="969">
        <f>IF(OR(NOT(ISNUMBER(AH19)),NOT(ISNUMBER(MIETER!$P$6))),"",ROUND(AH19*(1+MIETER!$P$6)^2,0))</f>
        <v/>
      </c>
      <c r="AW19" s="976" t="n"/>
      <c r="AX19" s="972" t="n"/>
      <c r="AY19" s="973">
        <f>IF(NOT(ISNUMBER(F19)),"",IF(ISNUMBER(AX19),AX19,IF(AND(ISNUMBER(AW19),ISNUMBER(AH19),AH19&gt;0),AH19*AW19,IF(OR(NOT(ISNUMBER($C$62)),NOT(ISNUMBER($C$64))),"",$C$62+$C$64*F19/12))))</f>
        <v/>
      </c>
      <c r="AZ19" s="972" t="n"/>
      <c r="BA19" s="973">
        <f>IF(NOT(ISNUMBER(AY19)),"",IF(ISNUMBER(AZ19),MIN(AY19,AZ19),IF(OR(NOT(ISNUMBER(F19)),NOT(ISNUMBER($C$64))),0,MIN(AY19,$C$64*F19/12))))</f>
        <v/>
      </c>
      <c r="BB19" s="967">
        <f>IF(OR(NOT(ISNUMBER(AY19)),NOT(ISNUMBER(AH19)),AH19=0),"",AY19/AH19)</f>
        <v/>
      </c>
      <c r="BC19" s="973">
        <f>IF(NOT(ISNUMBER(AH19)),"",AH19*0.01)</f>
        <v/>
      </c>
      <c r="BD19" s="969">
        <f>IF(OR(NOT(ISNUMBER(AH19)),NOT(ISNUMBER($C$28)),NOT(ISNUMBER(BY19)),BY19&lt;=0),"",AH19*0.01*(1-$C$28)/BY19)</f>
        <v/>
      </c>
      <c r="BE19" s="969">
        <f>IF(OR(NOT(ISNUMBER(K19)),NOT(ISNUMBER($H$30))),"",$H$30*K19)</f>
        <v/>
      </c>
      <c r="BF19" s="971" t="n"/>
      <c r="BG19" s="964">
        <f>IF(OR(NOT(ISNUMBER(BE19)),NOT(ISNUMBER(X19)),X19&lt;=0),"",1-BE19/X19)</f>
        <v/>
      </c>
      <c r="BH19" s="964">
        <f>IF(NOT(ISNUMBER(X19)),"",IF(ISNUMBER(BF19),BF19,IF(AND(ISNUMBER(BE19),ISNUMBER(AA19),AA19&gt;0),1-BE19/AA19,IF(NOT(ISNUMBER($C$31)),"",$C$31))))</f>
        <v/>
      </c>
      <c r="BI19" s="960">
        <f>IF(NOT(ISNUMBER(F19)),"",IF(ISNUMBER(BF19),"vertrag",IF(ISNUMBER(BE19),"berechnet","standard")))</f>
        <v/>
      </c>
      <c r="BJ19" s="971" t="n"/>
      <c r="BK19" s="964">
        <f>IF(NOT(ISNUMBER(F19)),"",IF(ISNUMBER(BJ19),BJ19,IF(NOT(ISNUMBER($C$30)),"",$C$30)))</f>
        <v/>
      </c>
      <c r="BL19" s="969">
        <f>IF(OR(NOT(ISNUMBER(AA19)),NOT(ISNUMBER(BH19)),NOT(ISNUMBER($C$36))),"",AA19*(1+$C$36)*BH19)</f>
        <v/>
      </c>
      <c r="BM19" s="973">
        <f>IF(OR(NOT(ISNUMBER(BL19)),NOT(ISNUMBER(BK19)),NOT(ISNUMBER($C$36)),NOT(ISNUMBER($H$34))),"",(BL19*BK19+N(Q19)*MAX(1,$H$34)*(1+$C$36)*N($H$31)+N(R19)*MAX(1,$H$34)*(1+$C$36)*N($H$32))/12)</f>
        <v/>
      </c>
      <c r="BN19" s="973">
        <f>IF(OR(NOT(ISNUMBER(AD19)),NOT(ISNUMBER($C$26))),"",AD19*$C$26/12)</f>
        <v/>
      </c>
      <c r="BO19" s="969">
        <f>IF(OR(NOT(ISNUMBER(AD19)),NOT(ISNUMBER($C$26)),NOT(ISNUMBER($C$27))),"",ROUND(AD19*($C$26+$C$27)/12,0))</f>
        <v/>
      </c>
      <c r="BP19" s="977">
        <f>IF(OR(NOT(ISNUMBER(AO19)),NOT(ISNUMBER(BM19)),NOT(ISNUMBER(BN19)),NOT(ISNUMBER(AY19))),"",AO19-BN19-BM19-(AY19-N(BA19)))</f>
        <v/>
      </c>
      <c r="BQ19" s="978">
        <f>IF(OR(NOT(ISNUMBER(BP19)),NOT(ISNUMBER($C$28))),"",ROUND(-BP19*$C$28,0))</f>
        <v/>
      </c>
      <c r="BR19" s="973">
        <f>IF(OR(NOT(ISNUMBER(BA19)),NOT(ISNUMBER($C$28))),"",BA19*$C$28)</f>
        <v/>
      </c>
      <c r="BS19" s="978">
        <f>IF(OR(NOT(ISNUMBER(AO19)),NOT(ISNUMBER(BO19)),NOT(ISNUMBER(AY19))),"",ROUND(AO19,0)-BO19-ROUND(AY19,0))</f>
        <v/>
      </c>
      <c r="BT19" s="978">
        <f>IF(OR(NOT(ISNUMBER(BS19)),NOT(ISNUMBER(BQ19))),"",BS19+BQ19)</f>
        <v/>
      </c>
      <c r="BU19" s="978">
        <f>IF(OR(NOT(ISNUMBER(AN19)),NOT(ISNUMBER(BO19)),NOT(ISNUMBER(AY19)),NOT(ISNUMBER(BP19)),NOT(ISNUMBER($C$28))),"",ROUND(AN19,0)-BO19-ROUND(AY19,0)+ROUND(-(BP19-N(AJ19))*$C$28,0))</f>
        <v/>
      </c>
      <c r="BV19" s="977">
        <f>IF(OR(NOT(ISNUMBER(AO19)),NOT(ISNUMBER(AY19)),NOT(ISNUMBER(BK19)),NOT(ISNUMBER($C$28)),NOT(ISNUMBER($C$36))),"",(AO19-AY19)*(1-$C$28)-$C$28*N(BA19)-IF(BI19="berechnet",$C$28*(1+$C$36)*BK19*N(BE19)/12,0))</f>
        <v/>
      </c>
      <c r="BW19" s="977">
        <f>IF(OR(NOT(ISNUMBER(F19)),NOT(ISNUMBER($C$26)),NOT(ISNUMBER($C$27)),NOT(ISNUMBER($C$28)),NOT(ISNUMBER($C$36))),"",($C$28*(1+$C$36)*(N(Q19)*N($H$31)+N(R19)*N($H$32))-(N(Q19)+N(R19))*(($C$26+$C$27)-$C$28*$C$26))/12)</f>
        <v/>
      </c>
      <c r="BX19" s="979">
        <f>IF(OR(NOT(ISNUMBER(BK19)),NOT(ISNUMBER($C$26)),NOT(ISNUMBER($C$27)),NOT(ISNUMBER($C$28)),NOT(ISNUMBER($C$36)),BI19=""),"",(($C$26+$C$27)-$C$28*$C$26-$C$28*(1+$C$36)*BK19*IF(BI19="berechnet",1,IF(BI19="vertrag",BF19,$C$31)))/12)</f>
        <v/>
      </c>
      <c r="BY19" s="979">
        <f>IF(OR(NOT(ISNUMBER(BX19)),NOT(ISNUMBER($C$34))),"",$C$34*BX19)</f>
        <v/>
      </c>
      <c r="BZ19" s="969">
        <f>IF(OR($G19="ja",NOT(ISNUMBER(AH19)),NOT(ISNUMBER(BV19)),NOT(ISNUMBER(BW19)),NOT(ISNUMBER(BX19)),BX19&lt;=0),"",(BV19-N($C$32)+BW19)/BX19)</f>
        <v/>
      </c>
      <c r="CA19" s="969">
        <f>IF(OR($G19="ja",NOT(ISNUMBER(AH19)),NOT(ISNUMBER(BV19)),NOT(ISNUMBER(BW19)),NOT(ISNUMBER(BY19)),BY19&lt;=0,NOT(ISNUMBER($C$34))),"",(BV19-N($C$32)+BW19*$C$34)/BY19)</f>
        <v/>
      </c>
      <c r="CB19" s="969">
        <f>IF(OR(NOT(ISNUMBER(CA19)),NOT(ISNUMBER($C$28))),"",CA19-N(AJ19)*(1-$C$28)/BY19)</f>
        <v/>
      </c>
      <c r="CC19" s="966">
        <f>IF(OR(NOT(ISNUMBER(CA19)),NOT(ISNUMBER(U19)),U19&lt;=-1,NOT(ISNUMBER(F19)),F19=0),"",((CA19+N(Q19)+N(R19))/(1+U19)-N(Q19)-N(R19)-N(O19))/F19)</f>
        <v/>
      </c>
      <c r="CD19" s="980">
        <f>IF(OR(NOT(ISNUMBER(L19)),NOT(ISNUMBER(CC19))),"",L19-CC19)</f>
        <v/>
      </c>
      <c r="CE19" s="981">
        <f>IF(OR(NOT(ISNUMBER(W19)),NOT(ISNUMBER(AN19)),AN19=0),"",W19/(AN19*12))</f>
        <v/>
      </c>
      <c r="CF19" s="964">
        <f>IF(OR(NOT(ISNUMBER(W19)),NOT(ISNUMBER(AN19)),W19=0),"",AN19*12/W19)</f>
        <v/>
      </c>
      <c r="CG19" s="960">
        <f>IF(NOT(ISNUMBER(F19)),"",IF($G19="ja","GRAU: Leerstand - keine Mietbasis",IF(AND(ISNUMBER(AH19),AH19=0),"GRAU: Ist-Miete 0 - Leerstand pruefen",IF(NOT(ISNUMBER(AH19)),"GRAU: Wohnungsmiete fehlt",IF(NOT(ISNUMBER(AJ19)),"GRAU: keine Sollmiete/Mietspiegel",IF(AND(ISNUMBER(AW19),ISNUMBER(AX19)),"GRAU: zwei Hausgeld-Quellen gesetzt",IF(AND(OR(ISNUMBER(AX19),ISNUMBER(AW19)),NOT(ISNUMBER(AZ19))),"GRAU: Ruecklagenanteil fehlt",IF(AND(AJ19&gt;0,NOT(ISNUMBER(AT19))),"GRAU: Subventionsdauer unbekannt",IF(AND(ISNUMBER(BH19),BH19&lt;=0),"ROT: Bodenwert uebersteigt Kaufpreis - Daten pruefen",IF(NOT(ISNUMBER(BT19)),"GRAU: Cashflow nicht rechenbar",IF(NOT(ISNUMBER(BZ19)),"GRAU: max. tragbar nicht rechenbar",IF(BZ19&lt;=0,"ROT: kein tragbarer Preis bei diesem Ziel-Cashflow",IF(AND(BI19="berechnet",BZ19&lt;BE19),"ROT: max. tragbar unter Bodenwert - Modell nicht gueltig",IF(X19&lt;=BZ19-N(AJ19)*(1-$C$28)/BX19,"GRUEN: Preis unter max. tragbar (auch ohne Subvention)",IF(X19&lt;=BZ19,"GELB: nur mit Subvention tragbar",IF(X19&lt;=BZ19*(1+N($H$33)),"GELB: bis Toleranz darueber","ROT: deutlich ueber max. tragbar"))))))))))))))))</f>
        <v/>
      </c>
      <c r="CH19" s="960">
        <f>IF(NOT(ISNUMBER(F19)),"",IF($G19="ja","GRAU: Leerstand - keine Mietbasis",IF(AND(ISNUMBER(AH19),AH19=0),"GRAU: Ist-Miete 0 - Leerstand pruefen",IF(NOT(ISNUMBER(AH19)),"GRAU: Wohnungsmiete fehlt",IF(NOT(ISNUMBER(AJ19)),"GRAU: keine Sollmiete/Mietspiegel",IF(AND(ISNUMBER(AW19),ISNUMBER(AX19)),"GRAU: zwei Hausgeld-Quellen gesetzt",IF(AND(OR(ISNUMBER(AX19),ISNUMBER(AW19)),NOT(ISNUMBER(AZ19))),"GRAU: Ruecklagenanteil fehlt",IF(AND(AJ19&gt;0,NOT(ISNUMBER(AT19))),"GRAU: Subventionsdauer unbekannt",IF(AND(ISNUMBER(BH19),BH19&lt;=0),"ROT: Bodenwert uebersteigt Kaufpreis - Daten pruefen",IF(NOT(ISNUMBER(BT19)),"GRAU: Cashflow nicht rechenbar",IF(NOT(ISNUMBER(CA19)),"GRAU: max. tragbar nicht rechenbar",IF(CA19&lt;=0,"ROT: kein tragbarer Preis bei diesem Ziel-Cashflow",IF(AND(BI19="berechnet",CA19&lt;BE19),"ROT: max. tragbar unter Bodenwert - Modell nicht gueltig",IF(X19&lt;=CB19,"GRUEN: Preis unter max. tragbar (auch ohne Subvention)",IF(X19&lt;=CA19,"GELB: nur mit Subvention tragbar",IF(X19&lt;=CA19*(1+N($H$33)),"GELB: bis Toleranz darueber","ROT: deutlich ueber max. tragbar"))))))))))))))))</f>
        <v/>
      </c>
    </row>
    <row r="20" s="545">
      <c r="A20" s="982">
        <f>IF(NOT(ISNUMBER(MIETER!F25)),"",ROW()-2)</f>
        <v/>
      </c>
      <c r="B20" s="983">
        <f>IF(NOT(ISNUMBER(MIETER!F25)),"",IF(MIETER!A25="","",MIETER!A25))</f>
        <v/>
      </c>
      <c r="C20" s="983">
        <f>IF(NOT(ISNUMBER(MIETER!F25)),"",IF(MIETER!B25="","",MIETER!B25))</f>
        <v/>
      </c>
      <c r="D20" s="983">
        <f>IF(NOT(ISNUMBER(MIETER!F25)),"",IF(MIETER!C25="","",MIETER!C25))</f>
        <v/>
      </c>
      <c r="E20" s="983">
        <f>IF(NOT(ISNUMBER(MIETER!F25)),"",IF(MIETER!D25="","",MIETER!D25))</f>
        <v/>
      </c>
      <c r="F20" s="984">
        <f>IF(NOT(ISNUMBER(MIETER!F25)),"",MIETER!F25)</f>
        <v/>
      </c>
      <c r="G20" s="962" t="n"/>
      <c r="H20" s="963" t="n"/>
      <c r="I20" s="963" t="n"/>
      <c r="J20" s="963" t="n"/>
      <c r="K20" s="985">
        <f>IF(OR(NOT(ISNUMBER(F20)),NOT(ISNUMBER(J20)),NOT(ISNUMBER($H$29)),$H$29=0),"",J20/$H$29)</f>
        <v/>
      </c>
      <c r="L20" s="965" t="n"/>
      <c r="M20" s="986">
        <f>IF(OR(NOT(ISNUMBER(F20)),F20=0,NOT(ISNUMBER(VERKAUFSMATRIX!U23))),"",VERKAUFSMATRIX!U23/F20)</f>
        <v/>
      </c>
      <c r="N20" s="987">
        <f>IF(OR(NOT(ISNUMBER(L20)),NOT(ISNUMBER(M20)),M20=0),"",L20/M20-1)</f>
        <v/>
      </c>
      <c r="O20" s="968" t="n"/>
      <c r="P20" s="988">
        <f>IF(OR(NOT(ISNUMBER(F20)),NOT(ISNUMBER(L20))),"",F20*L20+N(O20))</f>
        <v/>
      </c>
      <c r="Q20" s="970" t="n"/>
      <c r="R20" s="970" t="n"/>
      <c r="S20" s="988">
        <f>IF(NOT(ISNUMBER(P20)),"",P20+N(Q20)+N(R20))</f>
        <v/>
      </c>
      <c r="T20" s="971" t="n"/>
      <c r="U20" s="985">
        <f>IF(NOT(ISNUMBER(F20)),"",IF(ISNUMBER(T20),T20,IF(NOT(ISNUMBER($H$26)),"",$H$26)))</f>
        <v/>
      </c>
      <c r="V20" s="988">
        <f>IF(OR(NOT(ISNUMBER(S20)),NOT(ISNUMBER(U20))),"",S20*U20)</f>
        <v/>
      </c>
      <c r="W20" s="988">
        <f>IF(OR(NOT(ISNUMBER(S20)),NOT(ISNUMBER(U20))),"",S20*(1+U20))</f>
        <v/>
      </c>
      <c r="X20" s="988">
        <f>IF(NOT(ISNUMBER(W20)),"",W20-N(Q20)-N(R20))</f>
        <v/>
      </c>
      <c r="Y20" s="986">
        <f>IF(OR(NOT(ISNUMBER(S20)),NOT(ISNUMBER(F20)),F20=0),"",S20/F20)</f>
        <v/>
      </c>
      <c r="Z20" s="986">
        <f>IF(OR(NOT(ISNUMBER(X20)),NOT(ISNUMBER(F20)),F20=0),"",X20/F20)</f>
        <v/>
      </c>
      <c r="AA20" s="988">
        <f>IF(OR(NOT(ISNUMBER(X20)),NOT(ISNUMBER($H$34))),"",X20*MAX(1,$H$34))</f>
        <v/>
      </c>
      <c r="AB20" s="988">
        <f>IF(OR(NOT(ISNUMBER(W20)),NOT(ISNUMBER($H$34)),NOT(ISNUMBER($C$36))),"",W20*MAX(1,$H$34)*$C$36)</f>
        <v/>
      </c>
      <c r="AC20" s="988">
        <f>IF(OR(NOT(ISNUMBER(W20)),NOT(ISNUMBER(AB20))),"",W20+AB20)</f>
        <v/>
      </c>
      <c r="AD20" s="988">
        <f>IF(OR(NOT(ISNUMBER(W20)),NOT(ISNUMBER($H$34))),"",W20*$H$34)</f>
        <v/>
      </c>
      <c r="AE20" s="988">
        <f>IF(OR(NOT(ISNUMBER(AC20)),NOT(ISNUMBER(AD20))),"",MAX(0,AC20-AD20))</f>
        <v/>
      </c>
      <c r="AF20" s="988">
        <f>IF(OR(NOT(ISNUMBER(AD20)),NOT(ISNUMBER(W20))),"",AD20-W20)</f>
        <v/>
      </c>
      <c r="AG20" s="972" t="n"/>
      <c r="AH20" s="989">
        <f>IF(OR(NOT(ISNUMBER(MIETER!F25)),$G20="ja"),"",IF(NOT(ISNUMBER(MIETER!J25)),"",IF(ISNUMBER(AG20),MAX(MIETER!J25,AG20),MIETER!J25)))</f>
        <v/>
      </c>
      <c r="AI20" s="972" t="n"/>
      <c r="AJ20" s="989">
        <f>IF(OR(NOT(ISNUMBER(AH20)),NOT(ISNUMBER(AI20))),"",MAX(0,AI20-AH20))</f>
        <v/>
      </c>
      <c r="AK20" s="972" t="n"/>
      <c r="AL20" s="972" t="n"/>
      <c r="AM20" s="972" t="n"/>
      <c r="AN20" s="989">
        <f>IF(NOT(ISNUMBER(F20)),"",IF(AND(NOT(ISNUMBER(AH20)),NOT(ISNUMBER(AL20)),NOT(ISNUMBER(AM20))),"",N(AH20)+N(AL20)+N(AM20)))</f>
        <v/>
      </c>
      <c r="AO20" s="989">
        <f>IF(OR($G20="ja",NOT(ISNUMBER(AH20)),NOT(ISNUMBER(AN20))),"",AN20+N(AJ20))</f>
        <v/>
      </c>
      <c r="AP20" s="990">
        <f>IF(OR(NOT(ISNUMBER(AH20)),NOT(ISNUMBER(F20)),F20=0),"",AH20/F20)</f>
        <v/>
      </c>
      <c r="AQ20" s="991">
        <f>IF(OR(NOT(ISNUMBER(MIETER!F25)),NOT(ISNUMBER(MIETER!I25))),"",MIETER!I25)</f>
        <v/>
      </c>
      <c r="AR20" s="991">
        <f>IF(OR(NOT(ISNUMBER(AQ20)),$G20="ja",NOT(ISNUMBER($H$35))),"",EDATE(AQ20,$H$35))</f>
        <v/>
      </c>
      <c r="AS20" s="963" t="n"/>
      <c r="AT20" s="982">
        <f>IF(NOT(ISNUMBER(F20)),"",IF(ISNUMBER(AS20),AS20,IF(NOT(ISNUMBER(AR20)),"",MAX(0,(YEAR(AR20)-YEAR(TODAY()))*12+MONTH(AR20)-MONTH(TODAY())))))</f>
        <v/>
      </c>
      <c r="AU20" s="988">
        <f>IF(NOT(ISNUMBER(AT20)),"",IF(ISNUMBER(AK20),AK20*AT20,IF(NOT(ISNUMBER(AJ20)),"",AJ20*AT20)))</f>
        <v/>
      </c>
      <c r="AV20" s="988">
        <f>IF(OR(NOT(ISNUMBER(AH20)),NOT(ISNUMBER(MIETER!$P$6))),"",ROUND(AH20*(1+MIETER!$P$6)^2,0))</f>
        <v/>
      </c>
      <c r="AW20" s="976" t="n"/>
      <c r="AX20" s="972" t="n"/>
      <c r="AY20" s="989">
        <f>IF(NOT(ISNUMBER(F20)),"",IF(ISNUMBER(AX20),AX20,IF(AND(ISNUMBER(AW20),ISNUMBER(AH20),AH20&gt;0),AH20*AW20,IF(OR(NOT(ISNUMBER($C$62)),NOT(ISNUMBER($C$64))),"",$C$62+$C$64*F20/12))))</f>
        <v/>
      </c>
      <c r="AZ20" s="972" t="n"/>
      <c r="BA20" s="989">
        <f>IF(NOT(ISNUMBER(AY20)),"",IF(ISNUMBER(AZ20),MIN(AY20,AZ20),IF(OR(NOT(ISNUMBER(F20)),NOT(ISNUMBER($C$64))),0,MIN(AY20,$C$64*F20/12))))</f>
        <v/>
      </c>
      <c r="BB20" s="987">
        <f>IF(OR(NOT(ISNUMBER(AY20)),NOT(ISNUMBER(AH20)),AH20=0),"",AY20/AH20)</f>
        <v/>
      </c>
      <c r="BC20" s="989">
        <f>IF(NOT(ISNUMBER(AH20)),"",AH20*0.01)</f>
        <v/>
      </c>
      <c r="BD20" s="988">
        <f>IF(OR(NOT(ISNUMBER(AH20)),NOT(ISNUMBER($C$28)),NOT(ISNUMBER(BY20)),BY20&lt;=0),"",AH20*0.01*(1-$C$28)/BY20)</f>
        <v/>
      </c>
      <c r="BE20" s="988">
        <f>IF(OR(NOT(ISNUMBER(K20)),NOT(ISNUMBER($H$30))),"",$H$30*K20)</f>
        <v/>
      </c>
      <c r="BF20" s="971" t="n"/>
      <c r="BG20" s="985">
        <f>IF(OR(NOT(ISNUMBER(BE20)),NOT(ISNUMBER(X20)),X20&lt;=0),"",1-BE20/X20)</f>
        <v/>
      </c>
      <c r="BH20" s="985">
        <f>IF(NOT(ISNUMBER(X20)),"",IF(ISNUMBER(BF20),BF20,IF(AND(ISNUMBER(BE20),ISNUMBER(AA20),AA20&gt;0),1-BE20/AA20,IF(NOT(ISNUMBER($C$31)),"",$C$31))))</f>
        <v/>
      </c>
      <c r="BI20" s="983">
        <f>IF(NOT(ISNUMBER(F20)),"",IF(ISNUMBER(BF20),"vertrag",IF(ISNUMBER(BE20),"berechnet","standard")))</f>
        <v/>
      </c>
      <c r="BJ20" s="971" t="n"/>
      <c r="BK20" s="985">
        <f>IF(NOT(ISNUMBER(F20)),"",IF(ISNUMBER(BJ20),BJ20,IF(NOT(ISNUMBER($C$30)),"",$C$30)))</f>
        <v/>
      </c>
      <c r="BL20" s="988">
        <f>IF(OR(NOT(ISNUMBER(AA20)),NOT(ISNUMBER(BH20)),NOT(ISNUMBER($C$36))),"",AA20*(1+$C$36)*BH20)</f>
        <v/>
      </c>
      <c r="BM20" s="989">
        <f>IF(OR(NOT(ISNUMBER(BL20)),NOT(ISNUMBER(BK20)),NOT(ISNUMBER($C$36)),NOT(ISNUMBER($H$34))),"",(BL20*BK20+N(Q20)*MAX(1,$H$34)*(1+$C$36)*N($H$31)+N(R20)*MAX(1,$H$34)*(1+$C$36)*N($H$32))/12)</f>
        <v/>
      </c>
      <c r="BN20" s="989">
        <f>IF(OR(NOT(ISNUMBER(AD20)),NOT(ISNUMBER($C$26))),"",AD20*$C$26/12)</f>
        <v/>
      </c>
      <c r="BO20" s="988">
        <f>IF(OR(NOT(ISNUMBER(AD20)),NOT(ISNUMBER($C$26)),NOT(ISNUMBER($C$27))),"",ROUND(AD20*($C$26+$C$27)/12,0))</f>
        <v/>
      </c>
      <c r="BP20" s="992">
        <f>IF(OR(NOT(ISNUMBER(AO20)),NOT(ISNUMBER(BM20)),NOT(ISNUMBER(BN20)),NOT(ISNUMBER(AY20))),"",AO20-BN20-BM20-(AY20-N(BA20)))</f>
        <v/>
      </c>
      <c r="BQ20" s="993">
        <f>IF(OR(NOT(ISNUMBER(BP20)),NOT(ISNUMBER($C$28))),"",ROUND(-BP20*$C$28,0))</f>
        <v/>
      </c>
      <c r="BR20" s="989">
        <f>IF(OR(NOT(ISNUMBER(BA20)),NOT(ISNUMBER($C$28))),"",BA20*$C$28)</f>
        <v/>
      </c>
      <c r="BS20" s="993">
        <f>IF(OR(NOT(ISNUMBER(AO20)),NOT(ISNUMBER(BO20)),NOT(ISNUMBER(AY20))),"",ROUND(AO20,0)-BO20-ROUND(AY20,0))</f>
        <v/>
      </c>
      <c r="BT20" s="993">
        <f>IF(OR(NOT(ISNUMBER(BS20)),NOT(ISNUMBER(BQ20))),"",BS20+BQ20)</f>
        <v/>
      </c>
      <c r="BU20" s="993">
        <f>IF(OR(NOT(ISNUMBER(AN20)),NOT(ISNUMBER(BO20)),NOT(ISNUMBER(AY20)),NOT(ISNUMBER(BP20)),NOT(ISNUMBER($C$28))),"",ROUND(AN20,0)-BO20-ROUND(AY20,0)+ROUND(-(BP20-N(AJ20))*$C$28,0))</f>
        <v/>
      </c>
      <c r="BV20" s="992">
        <f>IF(OR(NOT(ISNUMBER(AO20)),NOT(ISNUMBER(AY20)),NOT(ISNUMBER(BK20)),NOT(ISNUMBER($C$28)),NOT(ISNUMBER($C$36))),"",(AO20-AY20)*(1-$C$28)-$C$28*N(BA20)-IF(BI20="berechnet",$C$28*(1+$C$36)*BK20*N(BE20)/12,0))</f>
        <v/>
      </c>
      <c r="BW20" s="992">
        <f>IF(OR(NOT(ISNUMBER(F20)),NOT(ISNUMBER($C$26)),NOT(ISNUMBER($C$27)),NOT(ISNUMBER($C$28)),NOT(ISNUMBER($C$36))),"",($C$28*(1+$C$36)*(N(Q20)*N($H$31)+N(R20)*N($H$32))-(N(Q20)+N(R20))*(($C$26+$C$27)-$C$28*$C$26))/12)</f>
        <v/>
      </c>
      <c r="BX20" s="994">
        <f>IF(OR(NOT(ISNUMBER(BK20)),NOT(ISNUMBER($C$26)),NOT(ISNUMBER($C$27)),NOT(ISNUMBER($C$28)),NOT(ISNUMBER($C$36)),BI20=""),"",(($C$26+$C$27)-$C$28*$C$26-$C$28*(1+$C$36)*BK20*IF(BI20="berechnet",1,IF(BI20="vertrag",BF20,$C$31)))/12)</f>
        <v/>
      </c>
      <c r="BY20" s="994">
        <f>IF(OR(NOT(ISNUMBER(BX20)),NOT(ISNUMBER($C$34))),"",$C$34*BX20)</f>
        <v/>
      </c>
      <c r="BZ20" s="988">
        <f>IF(OR($G20="ja",NOT(ISNUMBER(AH20)),NOT(ISNUMBER(BV20)),NOT(ISNUMBER(BW20)),NOT(ISNUMBER(BX20)),BX20&lt;=0),"",(BV20-N($C$32)+BW20)/BX20)</f>
        <v/>
      </c>
      <c r="CA20" s="988">
        <f>IF(OR($G20="ja",NOT(ISNUMBER(AH20)),NOT(ISNUMBER(BV20)),NOT(ISNUMBER(BW20)),NOT(ISNUMBER(BY20)),BY20&lt;=0,NOT(ISNUMBER($C$34))),"",(BV20-N($C$32)+BW20*$C$34)/BY20)</f>
        <v/>
      </c>
      <c r="CB20" s="988">
        <f>IF(OR(NOT(ISNUMBER(CA20)),NOT(ISNUMBER($C$28))),"",CA20-N(AJ20)*(1-$C$28)/BY20)</f>
        <v/>
      </c>
      <c r="CC20" s="986">
        <f>IF(OR(NOT(ISNUMBER(CA20)),NOT(ISNUMBER(U20)),U20&lt;=-1,NOT(ISNUMBER(F20)),F20=0),"",((CA20+N(Q20)+N(R20))/(1+U20)-N(Q20)-N(R20)-N(O20))/F20)</f>
        <v/>
      </c>
      <c r="CD20" s="995">
        <f>IF(OR(NOT(ISNUMBER(L20)),NOT(ISNUMBER(CC20))),"",L20-CC20)</f>
        <v/>
      </c>
      <c r="CE20" s="996">
        <f>IF(OR(NOT(ISNUMBER(W20)),NOT(ISNUMBER(AN20)),AN20=0),"",W20/(AN20*12))</f>
        <v/>
      </c>
      <c r="CF20" s="985">
        <f>IF(OR(NOT(ISNUMBER(W20)),NOT(ISNUMBER(AN20)),W20=0),"",AN20*12/W20)</f>
        <v/>
      </c>
      <c r="CG20" s="983">
        <f>IF(NOT(ISNUMBER(F20)),"",IF($G20="ja","GRAU: Leerstand - keine Mietbasis",IF(AND(ISNUMBER(AH20),AH20=0),"GRAU: Ist-Miete 0 - Leerstand pruefen",IF(NOT(ISNUMBER(AH20)),"GRAU: Wohnungsmiete fehlt",IF(NOT(ISNUMBER(AJ20)),"GRAU: keine Sollmiete/Mietspiegel",IF(AND(ISNUMBER(AW20),ISNUMBER(AX20)),"GRAU: zwei Hausgeld-Quellen gesetzt",IF(AND(OR(ISNUMBER(AX20),ISNUMBER(AW20)),NOT(ISNUMBER(AZ20))),"GRAU: Ruecklagenanteil fehlt",IF(AND(AJ20&gt;0,NOT(ISNUMBER(AT20))),"GRAU: Subventionsdauer unbekannt",IF(AND(ISNUMBER(BH20),BH20&lt;=0),"ROT: Bodenwert uebersteigt Kaufpreis - Daten pruefen",IF(NOT(ISNUMBER(BT20)),"GRAU: Cashflow nicht rechenbar",IF(NOT(ISNUMBER(BZ20)),"GRAU: max. tragbar nicht rechenbar",IF(BZ20&lt;=0,"ROT: kein tragbarer Preis bei diesem Ziel-Cashflow",IF(AND(BI20="berechnet",BZ20&lt;BE20),"ROT: max. tragbar unter Bodenwert - Modell nicht gueltig",IF(X20&lt;=BZ20-N(AJ20)*(1-$C$28)/BX20,"GRUEN: Preis unter max. tragbar (auch ohne Subvention)",IF(X20&lt;=BZ20,"GELB: nur mit Subvention tragbar",IF(X20&lt;=BZ20*(1+N($H$33)),"GELB: bis Toleranz darueber","ROT: deutlich ueber max. tragbar"))))))))))))))))</f>
        <v/>
      </c>
      <c r="CH20" s="983">
        <f>IF(NOT(ISNUMBER(F20)),"",IF($G20="ja","GRAU: Leerstand - keine Mietbasis",IF(AND(ISNUMBER(AH20),AH20=0),"GRAU: Ist-Miete 0 - Leerstand pruefen",IF(NOT(ISNUMBER(AH20)),"GRAU: Wohnungsmiete fehlt",IF(NOT(ISNUMBER(AJ20)),"GRAU: keine Sollmiete/Mietspiegel",IF(AND(ISNUMBER(AW20),ISNUMBER(AX20)),"GRAU: zwei Hausgeld-Quellen gesetzt",IF(AND(OR(ISNUMBER(AX20),ISNUMBER(AW20)),NOT(ISNUMBER(AZ20))),"GRAU: Ruecklagenanteil fehlt",IF(AND(AJ20&gt;0,NOT(ISNUMBER(AT20))),"GRAU: Subventionsdauer unbekannt",IF(AND(ISNUMBER(BH20),BH20&lt;=0),"ROT: Bodenwert uebersteigt Kaufpreis - Daten pruefen",IF(NOT(ISNUMBER(BT20)),"GRAU: Cashflow nicht rechenbar",IF(NOT(ISNUMBER(CA20)),"GRAU: max. tragbar nicht rechenbar",IF(CA20&lt;=0,"ROT: kein tragbarer Preis bei diesem Ziel-Cashflow",IF(AND(BI20="berechnet",CA20&lt;BE20),"ROT: max. tragbar unter Bodenwert - Modell nicht gueltig",IF(X20&lt;=CB20,"GRUEN: Preis unter max. tragbar (auch ohne Subvention)",IF(X20&lt;=CA20,"GELB: nur mit Subvention tragbar",IF(X20&lt;=CA20*(1+N($H$33)),"GELB: bis Toleranz darueber","ROT: deutlich ueber max. tragbar"))))))))))))))))</f>
        <v/>
      </c>
    </row>
    <row r="21" s="545">
      <c r="A21" s="959">
        <f>IF(NOT(ISNUMBER(MIETER!F26)),"",ROW()-2)</f>
        <v/>
      </c>
      <c r="B21" s="960">
        <f>IF(NOT(ISNUMBER(MIETER!F26)),"",IF(MIETER!A26="","",MIETER!A26))</f>
        <v/>
      </c>
      <c r="C21" s="960">
        <f>IF(NOT(ISNUMBER(MIETER!F26)),"",IF(MIETER!B26="","",MIETER!B26))</f>
        <v/>
      </c>
      <c r="D21" s="960">
        <f>IF(NOT(ISNUMBER(MIETER!F26)),"",IF(MIETER!C26="","",MIETER!C26))</f>
        <v/>
      </c>
      <c r="E21" s="960">
        <f>IF(NOT(ISNUMBER(MIETER!F26)),"",IF(MIETER!D26="","",MIETER!D26))</f>
        <v/>
      </c>
      <c r="F21" s="961">
        <f>IF(NOT(ISNUMBER(MIETER!F26)),"",MIETER!F26)</f>
        <v/>
      </c>
      <c r="G21" s="962" t="n"/>
      <c r="H21" s="963" t="n"/>
      <c r="I21" s="963" t="n"/>
      <c r="J21" s="963" t="n"/>
      <c r="K21" s="964">
        <f>IF(OR(NOT(ISNUMBER(F21)),NOT(ISNUMBER(J21)),NOT(ISNUMBER($H$29)),$H$29=0),"",J21/$H$29)</f>
        <v/>
      </c>
      <c r="L21" s="965" t="n"/>
      <c r="M21" s="966">
        <f>IF(OR(NOT(ISNUMBER(F21)),F21=0,NOT(ISNUMBER(VERKAUFSMATRIX!U24))),"",VERKAUFSMATRIX!U24/F21)</f>
        <v/>
      </c>
      <c r="N21" s="967">
        <f>IF(OR(NOT(ISNUMBER(L21)),NOT(ISNUMBER(M21)),M21=0),"",L21/M21-1)</f>
        <v/>
      </c>
      <c r="O21" s="968" t="n"/>
      <c r="P21" s="969">
        <f>IF(OR(NOT(ISNUMBER(F21)),NOT(ISNUMBER(L21))),"",F21*L21+N(O21))</f>
        <v/>
      </c>
      <c r="Q21" s="970" t="n"/>
      <c r="R21" s="970" t="n"/>
      <c r="S21" s="969">
        <f>IF(NOT(ISNUMBER(P21)),"",P21+N(Q21)+N(R21))</f>
        <v/>
      </c>
      <c r="T21" s="971" t="n"/>
      <c r="U21" s="964">
        <f>IF(NOT(ISNUMBER(F21)),"",IF(ISNUMBER(T21),T21,IF(NOT(ISNUMBER($H$26)),"",$H$26)))</f>
        <v/>
      </c>
      <c r="V21" s="969">
        <f>IF(OR(NOT(ISNUMBER(S21)),NOT(ISNUMBER(U21))),"",S21*U21)</f>
        <v/>
      </c>
      <c r="W21" s="969">
        <f>IF(OR(NOT(ISNUMBER(S21)),NOT(ISNUMBER(U21))),"",S21*(1+U21))</f>
        <v/>
      </c>
      <c r="X21" s="969">
        <f>IF(NOT(ISNUMBER(W21)),"",W21-N(Q21)-N(R21))</f>
        <v/>
      </c>
      <c r="Y21" s="966">
        <f>IF(OR(NOT(ISNUMBER(S21)),NOT(ISNUMBER(F21)),F21=0),"",S21/F21)</f>
        <v/>
      </c>
      <c r="Z21" s="966">
        <f>IF(OR(NOT(ISNUMBER(X21)),NOT(ISNUMBER(F21)),F21=0),"",X21/F21)</f>
        <v/>
      </c>
      <c r="AA21" s="969">
        <f>IF(OR(NOT(ISNUMBER(X21)),NOT(ISNUMBER($H$34))),"",X21*MAX(1,$H$34))</f>
        <v/>
      </c>
      <c r="AB21" s="969">
        <f>IF(OR(NOT(ISNUMBER(W21)),NOT(ISNUMBER($H$34)),NOT(ISNUMBER($C$36))),"",W21*MAX(1,$H$34)*$C$36)</f>
        <v/>
      </c>
      <c r="AC21" s="969">
        <f>IF(OR(NOT(ISNUMBER(W21)),NOT(ISNUMBER(AB21))),"",W21+AB21)</f>
        <v/>
      </c>
      <c r="AD21" s="969">
        <f>IF(OR(NOT(ISNUMBER(W21)),NOT(ISNUMBER($H$34))),"",W21*$H$34)</f>
        <v/>
      </c>
      <c r="AE21" s="969">
        <f>IF(OR(NOT(ISNUMBER(AC21)),NOT(ISNUMBER(AD21))),"",MAX(0,AC21-AD21))</f>
        <v/>
      </c>
      <c r="AF21" s="969">
        <f>IF(OR(NOT(ISNUMBER(AD21)),NOT(ISNUMBER(W21))),"",AD21-W21)</f>
        <v/>
      </c>
      <c r="AG21" s="972" t="n"/>
      <c r="AH21" s="973">
        <f>IF(OR(NOT(ISNUMBER(MIETER!F26)),$G21="ja"),"",IF(NOT(ISNUMBER(MIETER!J26)),"",IF(ISNUMBER(AG21),MAX(MIETER!J26,AG21),MIETER!J26)))</f>
        <v/>
      </c>
      <c r="AI21" s="972" t="n"/>
      <c r="AJ21" s="973">
        <f>IF(OR(NOT(ISNUMBER(AH21)),NOT(ISNUMBER(AI21))),"",MAX(0,AI21-AH21))</f>
        <v/>
      </c>
      <c r="AK21" s="972" t="n"/>
      <c r="AL21" s="972" t="n"/>
      <c r="AM21" s="972" t="n"/>
      <c r="AN21" s="973">
        <f>IF(NOT(ISNUMBER(F21)),"",IF(AND(NOT(ISNUMBER(AH21)),NOT(ISNUMBER(AL21)),NOT(ISNUMBER(AM21))),"",N(AH21)+N(AL21)+N(AM21)))</f>
        <v/>
      </c>
      <c r="AO21" s="973">
        <f>IF(OR($G21="ja",NOT(ISNUMBER(AH21)),NOT(ISNUMBER(AN21))),"",AN21+N(AJ21))</f>
        <v/>
      </c>
      <c r="AP21" s="974">
        <f>IF(OR(NOT(ISNUMBER(AH21)),NOT(ISNUMBER(F21)),F21=0),"",AH21/F21)</f>
        <v/>
      </c>
      <c r="AQ21" s="975">
        <f>IF(OR(NOT(ISNUMBER(MIETER!F26)),NOT(ISNUMBER(MIETER!I26))),"",MIETER!I26)</f>
        <v/>
      </c>
      <c r="AR21" s="975">
        <f>IF(OR(NOT(ISNUMBER(AQ21)),$G21="ja",NOT(ISNUMBER($H$35))),"",EDATE(AQ21,$H$35))</f>
        <v/>
      </c>
      <c r="AS21" s="963" t="n"/>
      <c r="AT21" s="959">
        <f>IF(NOT(ISNUMBER(F21)),"",IF(ISNUMBER(AS21),AS21,IF(NOT(ISNUMBER(AR21)),"",MAX(0,(YEAR(AR21)-YEAR(TODAY()))*12+MONTH(AR21)-MONTH(TODAY())))))</f>
        <v/>
      </c>
      <c r="AU21" s="969">
        <f>IF(NOT(ISNUMBER(AT21)),"",IF(ISNUMBER(AK21),AK21*AT21,IF(NOT(ISNUMBER(AJ21)),"",AJ21*AT21)))</f>
        <v/>
      </c>
      <c r="AV21" s="969">
        <f>IF(OR(NOT(ISNUMBER(AH21)),NOT(ISNUMBER(MIETER!$P$6))),"",ROUND(AH21*(1+MIETER!$P$6)^2,0))</f>
        <v/>
      </c>
      <c r="AW21" s="976" t="n"/>
      <c r="AX21" s="972" t="n"/>
      <c r="AY21" s="973">
        <f>IF(NOT(ISNUMBER(F21)),"",IF(ISNUMBER(AX21),AX21,IF(AND(ISNUMBER(AW21),ISNUMBER(AH21),AH21&gt;0),AH21*AW21,IF(OR(NOT(ISNUMBER($C$62)),NOT(ISNUMBER($C$64))),"",$C$62+$C$64*F21/12))))</f>
        <v/>
      </c>
      <c r="AZ21" s="972" t="n"/>
      <c r="BA21" s="973">
        <f>IF(NOT(ISNUMBER(AY21)),"",IF(ISNUMBER(AZ21),MIN(AY21,AZ21),IF(OR(NOT(ISNUMBER(F21)),NOT(ISNUMBER($C$64))),0,MIN(AY21,$C$64*F21/12))))</f>
        <v/>
      </c>
      <c r="BB21" s="967">
        <f>IF(OR(NOT(ISNUMBER(AY21)),NOT(ISNUMBER(AH21)),AH21=0),"",AY21/AH21)</f>
        <v/>
      </c>
      <c r="BC21" s="973">
        <f>IF(NOT(ISNUMBER(AH21)),"",AH21*0.01)</f>
        <v/>
      </c>
      <c r="BD21" s="969">
        <f>IF(OR(NOT(ISNUMBER(AH21)),NOT(ISNUMBER($C$28)),NOT(ISNUMBER(BY21)),BY21&lt;=0),"",AH21*0.01*(1-$C$28)/BY21)</f>
        <v/>
      </c>
      <c r="BE21" s="969">
        <f>IF(OR(NOT(ISNUMBER(K21)),NOT(ISNUMBER($H$30))),"",$H$30*K21)</f>
        <v/>
      </c>
      <c r="BF21" s="971" t="n"/>
      <c r="BG21" s="964">
        <f>IF(OR(NOT(ISNUMBER(BE21)),NOT(ISNUMBER(X21)),X21&lt;=0),"",1-BE21/X21)</f>
        <v/>
      </c>
      <c r="BH21" s="964">
        <f>IF(NOT(ISNUMBER(X21)),"",IF(ISNUMBER(BF21),BF21,IF(AND(ISNUMBER(BE21),ISNUMBER(AA21),AA21&gt;0),1-BE21/AA21,IF(NOT(ISNUMBER($C$31)),"",$C$31))))</f>
        <v/>
      </c>
      <c r="BI21" s="960">
        <f>IF(NOT(ISNUMBER(F21)),"",IF(ISNUMBER(BF21),"vertrag",IF(ISNUMBER(BE21),"berechnet","standard")))</f>
        <v/>
      </c>
      <c r="BJ21" s="971" t="n"/>
      <c r="BK21" s="964">
        <f>IF(NOT(ISNUMBER(F21)),"",IF(ISNUMBER(BJ21),BJ21,IF(NOT(ISNUMBER($C$30)),"",$C$30)))</f>
        <v/>
      </c>
      <c r="BL21" s="969">
        <f>IF(OR(NOT(ISNUMBER(AA21)),NOT(ISNUMBER(BH21)),NOT(ISNUMBER($C$36))),"",AA21*(1+$C$36)*BH21)</f>
        <v/>
      </c>
      <c r="BM21" s="973">
        <f>IF(OR(NOT(ISNUMBER(BL21)),NOT(ISNUMBER(BK21)),NOT(ISNUMBER($C$36)),NOT(ISNUMBER($H$34))),"",(BL21*BK21+N(Q21)*MAX(1,$H$34)*(1+$C$36)*N($H$31)+N(R21)*MAX(1,$H$34)*(1+$C$36)*N($H$32))/12)</f>
        <v/>
      </c>
      <c r="BN21" s="973">
        <f>IF(OR(NOT(ISNUMBER(AD21)),NOT(ISNUMBER($C$26))),"",AD21*$C$26/12)</f>
        <v/>
      </c>
      <c r="BO21" s="969">
        <f>IF(OR(NOT(ISNUMBER(AD21)),NOT(ISNUMBER($C$26)),NOT(ISNUMBER($C$27))),"",ROUND(AD21*($C$26+$C$27)/12,0))</f>
        <v/>
      </c>
      <c r="BP21" s="977">
        <f>IF(OR(NOT(ISNUMBER(AO21)),NOT(ISNUMBER(BM21)),NOT(ISNUMBER(BN21)),NOT(ISNUMBER(AY21))),"",AO21-BN21-BM21-(AY21-N(BA21)))</f>
        <v/>
      </c>
      <c r="BQ21" s="978">
        <f>IF(OR(NOT(ISNUMBER(BP21)),NOT(ISNUMBER($C$28))),"",ROUND(-BP21*$C$28,0))</f>
        <v/>
      </c>
      <c r="BR21" s="973">
        <f>IF(OR(NOT(ISNUMBER(BA21)),NOT(ISNUMBER($C$28))),"",BA21*$C$28)</f>
        <v/>
      </c>
      <c r="BS21" s="978">
        <f>IF(OR(NOT(ISNUMBER(AO21)),NOT(ISNUMBER(BO21)),NOT(ISNUMBER(AY21))),"",ROUND(AO21,0)-BO21-ROUND(AY21,0))</f>
        <v/>
      </c>
      <c r="BT21" s="978">
        <f>IF(OR(NOT(ISNUMBER(BS21)),NOT(ISNUMBER(BQ21))),"",BS21+BQ21)</f>
        <v/>
      </c>
      <c r="BU21" s="978">
        <f>IF(OR(NOT(ISNUMBER(AN21)),NOT(ISNUMBER(BO21)),NOT(ISNUMBER(AY21)),NOT(ISNUMBER(BP21)),NOT(ISNUMBER($C$28))),"",ROUND(AN21,0)-BO21-ROUND(AY21,0)+ROUND(-(BP21-N(AJ21))*$C$28,0))</f>
        <v/>
      </c>
      <c r="BV21" s="977">
        <f>IF(OR(NOT(ISNUMBER(AO21)),NOT(ISNUMBER(AY21)),NOT(ISNUMBER(BK21)),NOT(ISNUMBER($C$28)),NOT(ISNUMBER($C$36))),"",(AO21-AY21)*(1-$C$28)-$C$28*N(BA21)-IF(BI21="berechnet",$C$28*(1+$C$36)*BK21*N(BE21)/12,0))</f>
        <v/>
      </c>
      <c r="BW21" s="977">
        <f>IF(OR(NOT(ISNUMBER(F21)),NOT(ISNUMBER($C$26)),NOT(ISNUMBER($C$27)),NOT(ISNUMBER($C$28)),NOT(ISNUMBER($C$36))),"",($C$28*(1+$C$36)*(N(Q21)*N($H$31)+N(R21)*N($H$32))-(N(Q21)+N(R21))*(($C$26+$C$27)-$C$28*$C$26))/12)</f>
        <v/>
      </c>
      <c r="BX21" s="979">
        <f>IF(OR(NOT(ISNUMBER(BK21)),NOT(ISNUMBER($C$26)),NOT(ISNUMBER($C$27)),NOT(ISNUMBER($C$28)),NOT(ISNUMBER($C$36)),BI21=""),"",(($C$26+$C$27)-$C$28*$C$26-$C$28*(1+$C$36)*BK21*IF(BI21="berechnet",1,IF(BI21="vertrag",BF21,$C$31)))/12)</f>
        <v/>
      </c>
      <c r="BY21" s="979">
        <f>IF(OR(NOT(ISNUMBER(BX21)),NOT(ISNUMBER($C$34))),"",$C$34*BX21)</f>
        <v/>
      </c>
      <c r="BZ21" s="969">
        <f>IF(OR($G21="ja",NOT(ISNUMBER(AH21)),NOT(ISNUMBER(BV21)),NOT(ISNUMBER(BW21)),NOT(ISNUMBER(BX21)),BX21&lt;=0),"",(BV21-N($C$32)+BW21)/BX21)</f>
        <v/>
      </c>
      <c r="CA21" s="969">
        <f>IF(OR($G21="ja",NOT(ISNUMBER(AH21)),NOT(ISNUMBER(BV21)),NOT(ISNUMBER(BW21)),NOT(ISNUMBER(BY21)),BY21&lt;=0,NOT(ISNUMBER($C$34))),"",(BV21-N($C$32)+BW21*$C$34)/BY21)</f>
        <v/>
      </c>
      <c r="CB21" s="969">
        <f>IF(OR(NOT(ISNUMBER(CA21)),NOT(ISNUMBER($C$28))),"",CA21-N(AJ21)*(1-$C$28)/BY21)</f>
        <v/>
      </c>
      <c r="CC21" s="966">
        <f>IF(OR(NOT(ISNUMBER(CA21)),NOT(ISNUMBER(U21)),U21&lt;=-1,NOT(ISNUMBER(F21)),F21=0),"",((CA21+N(Q21)+N(R21))/(1+U21)-N(Q21)-N(R21)-N(O21))/F21)</f>
        <v/>
      </c>
      <c r="CD21" s="980">
        <f>IF(OR(NOT(ISNUMBER(L21)),NOT(ISNUMBER(CC21))),"",L21-CC21)</f>
        <v/>
      </c>
      <c r="CE21" s="981">
        <f>IF(OR(NOT(ISNUMBER(W21)),NOT(ISNUMBER(AN21)),AN21=0),"",W21/(AN21*12))</f>
        <v/>
      </c>
      <c r="CF21" s="964">
        <f>IF(OR(NOT(ISNUMBER(W21)),NOT(ISNUMBER(AN21)),W21=0),"",AN21*12/W21)</f>
        <v/>
      </c>
      <c r="CG21" s="960">
        <f>IF(NOT(ISNUMBER(F21)),"",IF($G21="ja","GRAU: Leerstand - keine Mietbasis",IF(AND(ISNUMBER(AH21),AH21=0),"GRAU: Ist-Miete 0 - Leerstand pruefen",IF(NOT(ISNUMBER(AH21)),"GRAU: Wohnungsmiete fehlt",IF(NOT(ISNUMBER(AJ21)),"GRAU: keine Sollmiete/Mietspiegel",IF(AND(ISNUMBER(AW21),ISNUMBER(AX21)),"GRAU: zwei Hausgeld-Quellen gesetzt",IF(AND(OR(ISNUMBER(AX21),ISNUMBER(AW21)),NOT(ISNUMBER(AZ21))),"GRAU: Ruecklagenanteil fehlt",IF(AND(AJ21&gt;0,NOT(ISNUMBER(AT21))),"GRAU: Subventionsdauer unbekannt",IF(AND(ISNUMBER(BH21),BH21&lt;=0),"ROT: Bodenwert uebersteigt Kaufpreis - Daten pruefen",IF(NOT(ISNUMBER(BT21)),"GRAU: Cashflow nicht rechenbar",IF(NOT(ISNUMBER(BZ21)),"GRAU: max. tragbar nicht rechenbar",IF(BZ21&lt;=0,"ROT: kein tragbarer Preis bei diesem Ziel-Cashflow",IF(AND(BI21="berechnet",BZ21&lt;BE21),"ROT: max. tragbar unter Bodenwert - Modell nicht gueltig",IF(X21&lt;=BZ21-N(AJ21)*(1-$C$28)/BX21,"GRUEN: Preis unter max. tragbar (auch ohne Subvention)",IF(X21&lt;=BZ21,"GELB: nur mit Subvention tragbar",IF(X21&lt;=BZ21*(1+N($H$33)),"GELB: bis Toleranz darueber","ROT: deutlich ueber max. tragbar"))))))))))))))))</f>
        <v/>
      </c>
      <c r="CH21" s="960">
        <f>IF(NOT(ISNUMBER(F21)),"",IF($G21="ja","GRAU: Leerstand - keine Mietbasis",IF(AND(ISNUMBER(AH21),AH21=0),"GRAU: Ist-Miete 0 - Leerstand pruefen",IF(NOT(ISNUMBER(AH21)),"GRAU: Wohnungsmiete fehlt",IF(NOT(ISNUMBER(AJ21)),"GRAU: keine Sollmiete/Mietspiegel",IF(AND(ISNUMBER(AW21),ISNUMBER(AX21)),"GRAU: zwei Hausgeld-Quellen gesetzt",IF(AND(OR(ISNUMBER(AX21),ISNUMBER(AW21)),NOT(ISNUMBER(AZ21))),"GRAU: Ruecklagenanteil fehlt",IF(AND(AJ21&gt;0,NOT(ISNUMBER(AT21))),"GRAU: Subventionsdauer unbekannt",IF(AND(ISNUMBER(BH21),BH21&lt;=0),"ROT: Bodenwert uebersteigt Kaufpreis - Daten pruefen",IF(NOT(ISNUMBER(BT21)),"GRAU: Cashflow nicht rechenbar",IF(NOT(ISNUMBER(CA21)),"GRAU: max. tragbar nicht rechenbar",IF(CA21&lt;=0,"ROT: kein tragbarer Preis bei diesem Ziel-Cashflow",IF(AND(BI21="berechnet",CA21&lt;BE21),"ROT: max. tragbar unter Bodenwert - Modell nicht gueltig",IF(X21&lt;=CB21,"GRUEN: Preis unter max. tragbar (auch ohne Subvention)",IF(X21&lt;=CA21,"GELB: nur mit Subvention tragbar",IF(X21&lt;=CA21*(1+N($H$33)),"GELB: bis Toleranz darueber","ROT: deutlich ueber max. tragbar"))))))))))))))))</f>
        <v/>
      </c>
    </row>
    <row r="22" s="545">
      <c r="A22" s="982">
        <f>IF(NOT(ISNUMBER(MIETER!F27)),"",ROW()-2)</f>
        <v/>
      </c>
      <c r="B22" s="983">
        <f>IF(NOT(ISNUMBER(MIETER!F27)),"",IF(MIETER!A27="","",MIETER!A27))</f>
        <v/>
      </c>
      <c r="C22" s="983">
        <f>IF(NOT(ISNUMBER(MIETER!F27)),"",IF(MIETER!B27="","",MIETER!B27))</f>
        <v/>
      </c>
      <c r="D22" s="983">
        <f>IF(NOT(ISNUMBER(MIETER!F27)),"",IF(MIETER!C27="","",MIETER!C27))</f>
        <v/>
      </c>
      <c r="E22" s="983">
        <f>IF(NOT(ISNUMBER(MIETER!F27)),"",IF(MIETER!D27="","",MIETER!D27))</f>
        <v/>
      </c>
      <c r="F22" s="984">
        <f>IF(NOT(ISNUMBER(MIETER!F27)),"",MIETER!F27)</f>
        <v/>
      </c>
      <c r="G22" s="962" t="n"/>
      <c r="H22" s="963" t="n"/>
      <c r="I22" s="963" t="n"/>
      <c r="J22" s="963" t="n"/>
      <c r="K22" s="985">
        <f>IF(OR(NOT(ISNUMBER(F22)),NOT(ISNUMBER(J22)),NOT(ISNUMBER($H$29)),$H$29=0),"",J22/$H$29)</f>
        <v/>
      </c>
      <c r="L22" s="965" t="n"/>
      <c r="M22" s="986">
        <f>IF(OR(NOT(ISNUMBER(F22)),F22=0,NOT(ISNUMBER(VERKAUFSMATRIX!U25))),"",VERKAUFSMATRIX!U25/F22)</f>
        <v/>
      </c>
      <c r="N22" s="987">
        <f>IF(OR(NOT(ISNUMBER(L22)),NOT(ISNUMBER(M22)),M22=0),"",L22/M22-1)</f>
        <v/>
      </c>
      <c r="O22" s="968" t="n"/>
      <c r="P22" s="988">
        <f>IF(OR(NOT(ISNUMBER(F22)),NOT(ISNUMBER(L22))),"",F22*L22+N(O22))</f>
        <v/>
      </c>
      <c r="Q22" s="970" t="n"/>
      <c r="R22" s="970" t="n"/>
      <c r="S22" s="988">
        <f>IF(NOT(ISNUMBER(P22)),"",P22+N(Q22)+N(R22))</f>
        <v/>
      </c>
      <c r="T22" s="971" t="n"/>
      <c r="U22" s="985">
        <f>IF(NOT(ISNUMBER(F22)),"",IF(ISNUMBER(T22),T22,IF(NOT(ISNUMBER($H$26)),"",$H$26)))</f>
        <v/>
      </c>
      <c r="V22" s="988">
        <f>IF(OR(NOT(ISNUMBER(S22)),NOT(ISNUMBER(U22))),"",S22*U22)</f>
        <v/>
      </c>
      <c r="W22" s="988">
        <f>IF(OR(NOT(ISNUMBER(S22)),NOT(ISNUMBER(U22))),"",S22*(1+U22))</f>
        <v/>
      </c>
      <c r="X22" s="988">
        <f>IF(NOT(ISNUMBER(W22)),"",W22-N(Q22)-N(R22))</f>
        <v/>
      </c>
      <c r="Y22" s="986">
        <f>IF(OR(NOT(ISNUMBER(S22)),NOT(ISNUMBER(F22)),F22=0),"",S22/F22)</f>
        <v/>
      </c>
      <c r="Z22" s="986">
        <f>IF(OR(NOT(ISNUMBER(X22)),NOT(ISNUMBER(F22)),F22=0),"",X22/F22)</f>
        <v/>
      </c>
      <c r="AA22" s="988">
        <f>IF(OR(NOT(ISNUMBER(X22)),NOT(ISNUMBER($H$34))),"",X22*MAX(1,$H$34))</f>
        <v/>
      </c>
      <c r="AB22" s="988">
        <f>IF(OR(NOT(ISNUMBER(W22)),NOT(ISNUMBER($H$34)),NOT(ISNUMBER($C$36))),"",W22*MAX(1,$H$34)*$C$36)</f>
        <v/>
      </c>
      <c r="AC22" s="988">
        <f>IF(OR(NOT(ISNUMBER(W22)),NOT(ISNUMBER(AB22))),"",W22+AB22)</f>
        <v/>
      </c>
      <c r="AD22" s="988">
        <f>IF(OR(NOT(ISNUMBER(W22)),NOT(ISNUMBER($H$34))),"",W22*$H$34)</f>
        <v/>
      </c>
      <c r="AE22" s="988">
        <f>IF(OR(NOT(ISNUMBER(AC22)),NOT(ISNUMBER(AD22))),"",MAX(0,AC22-AD22))</f>
        <v/>
      </c>
      <c r="AF22" s="988">
        <f>IF(OR(NOT(ISNUMBER(AD22)),NOT(ISNUMBER(W22))),"",AD22-W22)</f>
        <v/>
      </c>
      <c r="AG22" s="972" t="n"/>
      <c r="AH22" s="989">
        <f>IF(OR(NOT(ISNUMBER(MIETER!F27)),$G22="ja"),"",IF(NOT(ISNUMBER(MIETER!J27)),"",IF(ISNUMBER(AG22),MAX(MIETER!J27,AG22),MIETER!J27)))</f>
        <v/>
      </c>
      <c r="AI22" s="972" t="n"/>
      <c r="AJ22" s="989">
        <f>IF(OR(NOT(ISNUMBER(AH22)),NOT(ISNUMBER(AI22))),"",MAX(0,AI22-AH22))</f>
        <v/>
      </c>
      <c r="AK22" s="972" t="n"/>
      <c r="AL22" s="972" t="n"/>
      <c r="AM22" s="972" t="n"/>
      <c r="AN22" s="989">
        <f>IF(NOT(ISNUMBER(F22)),"",IF(AND(NOT(ISNUMBER(AH22)),NOT(ISNUMBER(AL22)),NOT(ISNUMBER(AM22))),"",N(AH22)+N(AL22)+N(AM22)))</f>
        <v/>
      </c>
      <c r="AO22" s="989">
        <f>IF(OR($G22="ja",NOT(ISNUMBER(AH22)),NOT(ISNUMBER(AN22))),"",AN22+N(AJ22))</f>
        <v/>
      </c>
      <c r="AP22" s="990">
        <f>IF(OR(NOT(ISNUMBER(AH22)),NOT(ISNUMBER(F22)),F22=0),"",AH22/F22)</f>
        <v/>
      </c>
      <c r="AQ22" s="991">
        <f>IF(OR(NOT(ISNUMBER(MIETER!F27)),NOT(ISNUMBER(MIETER!I27))),"",MIETER!I27)</f>
        <v/>
      </c>
      <c r="AR22" s="991">
        <f>IF(OR(NOT(ISNUMBER(AQ22)),$G22="ja",NOT(ISNUMBER($H$35))),"",EDATE(AQ22,$H$35))</f>
        <v/>
      </c>
      <c r="AS22" s="963" t="n"/>
      <c r="AT22" s="982">
        <f>IF(NOT(ISNUMBER(F22)),"",IF(ISNUMBER(AS22),AS22,IF(NOT(ISNUMBER(AR22)),"",MAX(0,(YEAR(AR22)-YEAR(TODAY()))*12+MONTH(AR22)-MONTH(TODAY())))))</f>
        <v/>
      </c>
      <c r="AU22" s="988">
        <f>IF(NOT(ISNUMBER(AT22)),"",IF(ISNUMBER(AK22),AK22*AT22,IF(NOT(ISNUMBER(AJ22)),"",AJ22*AT22)))</f>
        <v/>
      </c>
      <c r="AV22" s="988">
        <f>IF(OR(NOT(ISNUMBER(AH22)),NOT(ISNUMBER(MIETER!$P$6))),"",ROUND(AH22*(1+MIETER!$P$6)^2,0))</f>
        <v/>
      </c>
      <c r="AW22" s="976" t="n"/>
      <c r="AX22" s="972" t="n"/>
      <c r="AY22" s="989">
        <f>IF(NOT(ISNUMBER(F22)),"",IF(ISNUMBER(AX22),AX22,IF(AND(ISNUMBER(AW22),ISNUMBER(AH22),AH22&gt;0),AH22*AW22,IF(OR(NOT(ISNUMBER($C$62)),NOT(ISNUMBER($C$64))),"",$C$62+$C$64*F22/12))))</f>
        <v/>
      </c>
      <c r="AZ22" s="972" t="n"/>
      <c r="BA22" s="989">
        <f>IF(NOT(ISNUMBER(AY22)),"",IF(ISNUMBER(AZ22),MIN(AY22,AZ22),IF(OR(NOT(ISNUMBER(F22)),NOT(ISNUMBER($C$64))),0,MIN(AY22,$C$64*F22/12))))</f>
        <v/>
      </c>
      <c r="BB22" s="987">
        <f>IF(OR(NOT(ISNUMBER(AY22)),NOT(ISNUMBER(AH22)),AH22=0),"",AY22/AH22)</f>
        <v/>
      </c>
      <c r="BC22" s="989">
        <f>IF(NOT(ISNUMBER(AH22)),"",AH22*0.01)</f>
        <v/>
      </c>
      <c r="BD22" s="988">
        <f>IF(OR(NOT(ISNUMBER(AH22)),NOT(ISNUMBER($C$28)),NOT(ISNUMBER(BY22)),BY22&lt;=0),"",AH22*0.01*(1-$C$28)/BY22)</f>
        <v/>
      </c>
      <c r="BE22" s="988">
        <f>IF(OR(NOT(ISNUMBER(K22)),NOT(ISNUMBER($H$30))),"",$H$30*K22)</f>
        <v/>
      </c>
      <c r="BF22" s="971" t="n"/>
      <c r="BG22" s="985">
        <f>IF(OR(NOT(ISNUMBER(BE22)),NOT(ISNUMBER(X22)),X22&lt;=0),"",1-BE22/X22)</f>
        <v/>
      </c>
      <c r="BH22" s="985">
        <f>IF(NOT(ISNUMBER(X22)),"",IF(ISNUMBER(BF22),BF22,IF(AND(ISNUMBER(BE22),ISNUMBER(AA22),AA22&gt;0),1-BE22/AA22,IF(NOT(ISNUMBER($C$31)),"",$C$31))))</f>
        <v/>
      </c>
      <c r="BI22" s="983">
        <f>IF(NOT(ISNUMBER(F22)),"",IF(ISNUMBER(BF22),"vertrag",IF(ISNUMBER(BE22),"berechnet","standard")))</f>
        <v/>
      </c>
      <c r="BJ22" s="971" t="n"/>
      <c r="BK22" s="985">
        <f>IF(NOT(ISNUMBER(F22)),"",IF(ISNUMBER(BJ22),BJ22,IF(NOT(ISNUMBER($C$30)),"",$C$30)))</f>
        <v/>
      </c>
      <c r="BL22" s="988">
        <f>IF(OR(NOT(ISNUMBER(AA22)),NOT(ISNUMBER(BH22)),NOT(ISNUMBER($C$36))),"",AA22*(1+$C$36)*BH22)</f>
        <v/>
      </c>
      <c r="BM22" s="989">
        <f>IF(OR(NOT(ISNUMBER(BL22)),NOT(ISNUMBER(BK22)),NOT(ISNUMBER($C$36)),NOT(ISNUMBER($H$34))),"",(BL22*BK22+N(Q22)*MAX(1,$H$34)*(1+$C$36)*N($H$31)+N(R22)*MAX(1,$H$34)*(1+$C$36)*N($H$32))/12)</f>
        <v/>
      </c>
      <c r="BN22" s="989">
        <f>IF(OR(NOT(ISNUMBER(AD22)),NOT(ISNUMBER($C$26))),"",AD22*$C$26/12)</f>
        <v/>
      </c>
      <c r="BO22" s="988">
        <f>IF(OR(NOT(ISNUMBER(AD22)),NOT(ISNUMBER($C$26)),NOT(ISNUMBER($C$27))),"",ROUND(AD22*($C$26+$C$27)/12,0))</f>
        <v/>
      </c>
      <c r="BP22" s="992">
        <f>IF(OR(NOT(ISNUMBER(AO22)),NOT(ISNUMBER(BM22)),NOT(ISNUMBER(BN22)),NOT(ISNUMBER(AY22))),"",AO22-BN22-BM22-(AY22-N(BA22)))</f>
        <v/>
      </c>
      <c r="BQ22" s="993">
        <f>IF(OR(NOT(ISNUMBER(BP22)),NOT(ISNUMBER($C$28))),"",ROUND(-BP22*$C$28,0))</f>
        <v/>
      </c>
      <c r="BR22" s="989">
        <f>IF(OR(NOT(ISNUMBER(BA22)),NOT(ISNUMBER($C$28))),"",BA22*$C$28)</f>
        <v/>
      </c>
      <c r="BS22" s="993">
        <f>IF(OR(NOT(ISNUMBER(AO22)),NOT(ISNUMBER(BO22)),NOT(ISNUMBER(AY22))),"",ROUND(AO22,0)-BO22-ROUND(AY22,0))</f>
        <v/>
      </c>
      <c r="BT22" s="993">
        <f>IF(OR(NOT(ISNUMBER(BS22)),NOT(ISNUMBER(BQ22))),"",BS22+BQ22)</f>
        <v/>
      </c>
      <c r="BU22" s="993">
        <f>IF(OR(NOT(ISNUMBER(AN22)),NOT(ISNUMBER(BO22)),NOT(ISNUMBER(AY22)),NOT(ISNUMBER(BP22)),NOT(ISNUMBER($C$28))),"",ROUND(AN22,0)-BO22-ROUND(AY22,0)+ROUND(-(BP22-N(AJ22))*$C$28,0))</f>
        <v/>
      </c>
      <c r="BV22" s="992">
        <f>IF(OR(NOT(ISNUMBER(AO22)),NOT(ISNUMBER(AY22)),NOT(ISNUMBER(BK22)),NOT(ISNUMBER($C$28)),NOT(ISNUMBER($C$36))),"",(AO22-AY22)*(1-$C$28)-$C$28*N(BA22)-IF(BI22="berechnet",$C$28*(1+$C$36)*BK22*N(BE22)/12,0))</f>
        <v/>
      </c>
      <c r="BW22" s="992">
        <f>IF(OR(NOT(ISNUMBER(F22)),NOT(ISNUMBER($C$26)),NOT(ISNUMBER($C$27)),NOT(ISNUMBER($C$28)),NOT(ISNUMBER($C$36))),"",($C$28*(1+$C$36)*(N(Q22)*N($H$31)+N(R22)*N($H$32))-(N(Q22)+N(R22))*(($C$26+$C$27)-$C$28*$C$26))/12)</f>
        <v/>
      </c>
      <c r="BX22" s="994">
        <f>IF(OR(NOT(ISNUMBER(BK22)),NOT(ISNUMBER($C$26)),NOT(ISNUMBER($C$27)),NOT(ISNUMBER($C$28)),NOT(ISNUMBER($C$36)),BI22=""),"",(($C$26+$C$27)-$C$28*$C$26-$C$28*(1+$C$36)*BK22*IF(BI22="berechnet",1,IF(BI22="vertrag",BF22,$C$31)))/12)</f>
        <v/>
      </c>
      <c r="BY22" s="994">
        <f>IF(OR(NOT(ISNUMBER(BX22)),NOT(ISNUMBER($C$34))),"",$C$34*BX22)</f>
        <v/>
      </c>
      <c r="BZ22" s="988">
        <f>IF(OR($G22="ja",NOT(ISNUMBER(AH22)),NOT(ISNUMBER(BV22)),NOT(ISNUMBER(BW22)),NOT(ISNUMBER(BX22)),BX22&lt;=0),"",(BV22-N($C$32)+BW22)/BX22)</f>
        <v/>
      </c>
      <c r="CA22" s="988">
        <f>IF(OR($G22="ja",NOT(ISNUMBER(AH22)),NOT(ISNUMBER(BV22)),NOT(ISNUMBER(BW22)),NOT(ISNUMBER(BY22)),BY22&lt;=0,NOT(ISNUMBER($C$34))),"",(BV22-N($C$32)+BW22*$C$34)/BY22)</f>
        <v/>
      </c>
      <c r="CB22" s="988">
        <f>IF(OR(NOT(ISNUMBER(CA22)),NOT(ISNUMBER($C$28))),"",CA22-N(AJ22)*(1-$C$28)/BY22)</f>
        <v/>
      </c>
      <c r="CC22" s="986">
        <f>IF(OR(NOT(ISNUMBER(CA22)),NOT(ISNUMBER(U22)),U22&lt;=-1,NOT(ISNUMBER(F22)),F22=0),"",((CA22+N(Q22)+N(R22))/(1+U22)-N(Q22)-N(R22)-N(O22))/F22)</f>
        <v/>
      </c>
      <c r="CD22" s="995">
        <f>IF(OR(NOT(ISNUMBER(L22)),NOT(ISNUMBER(CC22))),"",L22-CC22)</f>
        <v/>
      </c>
      <c r="CE22" s="996">
        <f>IF(OR(NOT(ISNUMBER(W22)),NOT(ISNUMBER(AN22)),AN22=0),"",W22/(AN22*12))</f>
        <v/>
      </c>
      <c r="CF22" s="985">
        <f>IF(OR(NOT(ISNUMBER(W22)),NOT(ISNUMBER(AN22)),W22=0),"",AN22*12/W22)</f>
        <v/>
      </c>
      <c r="CG22" s="983">
        <f>IF(NOT(ISNUMBER(F22)),"",IF($G22="ja","GRAU: Leerstand - keine Mietbasis",IF(AND(ISNUMBER(AH22),AH22=0),"GRAU: Ist-Miete 0 - Leerstand pruefen",IF(NOT(ISNUMBER(AH22)),"GRAU: Wohnungsmiete fehlt",IF(NOT(ISNUMBER(AJ22)),"GRAU: keine Sollmiete/Mietspiegel",IF(AND(ISNUMBER(AW22),ISNUMBER(AX22)),"GRAU: zwei Hausgeld-Quellen gesetzt",IF(AND(OR(ISNUMBER(AX22),ISNUMBER(AW22)),NOT(ISNUMBER(AZ22))),"GRAU: Ruecklagenanteil fehlt",IF(AND(AJ22&gt;0,NOT(ISNUMBER(AT22))),"GRAU: Subventionsdauer unbekannt",IF(AND(ISNUMBER(BH22),BH22&lt;=0),"ROT: Bodenwert uebersteigt Kaufpreis - Daten pruefen",IF(NOT(ISNUMBER(BT22)),"GRAU: Cashflow nicht rechenbar",IF(NOT(ISNUMBER(BZ22)),"GRAU: max. tragbar nicht rechenbar",IF(BZ22&lt;=0,"ROT: kein tragbarer Preis bei diesem Ziel-Cashflow",IF(AND(BI22="berechnet",BZ22&lt;BE22),"ROT: max. tragbar unter Bodenwert - Modell nicht gueltig",IF(X22&lt;=BZ22-N(AJ22)*(1-$C$28)/BX22,"GRUEN: Preis unter max. tragbar (auch ohne Subvention)",IF(X22&lt;=BZ22,"GELB: nur mit Subvention tragbar",IF(X22&lt;=BZ22*(1+N($H$33)),"GELB: bis Toleranz darueber","ROT: deutlich ueber max. tragbar"))))))))))))))))</f>
        <v/>
      </c>
      <c r="CH22" s="983">
        <f>IF(NOT(ISNUMBER(F22)),"",IF($G22="ja","GRAU: Leerstand - keine Mietbasis",IF(AND(ISNUMBER(AH22),AH22=0),"GRAU: Ist-Miete 0 - Leerstand pruefen",IF(NOT(ISNUMBER(AH22)),"GRAU: Wohnungsmiete fehlt",IF(NOT(ISNUMBER(AJ22)),"GRAU: keine Sollmiete/Mietspiegel",IF(AND(ISNUMBER(AW22),ISNUMBER(AX22)),"GRAU: zwei Hausgeld-Quellen gesetzt",IF(AND(OR(ISNUMBER(AX22),ISNUMBER(AW22)),NOT(ISNUMBER(AZ22))),"GRAU: Ruecklagenanteil fehlt",IF(AND(AJ22&gt;0,NOT(ISNUMBER(AT22))),"GRAU: Subventionsdauer unbekannt",IF(AND(ISNUMBER(BH22),BH22&lt;=0),"ROT: Bodenwert uebersteigt Kaufpreis - Daten pruefen",IF(NOT(ISNUMBER(BT22)),"GRAU: Cashflow nicht rechenbar",IF(NOT(ISNUMBER(CA22)),"GRAU: max. tragbar nicht rechenbar",IF(CA22&lt;=0,"ROT: kein tragbarer Preis bei diesem Ziel-Cashflow",IF(AND(BI22="berechnet",CA22&lt;BE22),"ROT: max. tragbar unter Bodenwert - Modell nicht gueltig",IF(X22&lt;=CB22,"GRUEN: Preis unter max. tragbar (auch ohne Subvention)",IF(X22&lt;=CA22,"GELB: nur mit Subvention tragbar",IF(X22&lt;=CA22*(1+N($H$33)),"GELB: bis Toleranz darueber","ROT: deutlich ueber max. tragbar"))))))))))))))))</f>
        <v/>
      </c>
    </row>
    <row r="23" s="545">
      <c r="A23" s="997" t="inlineStr">
        <is>
          <t>SUMME / Ø</t>
        </is>
      </c>
      <c r="B23" s="998" t="n"/>
      <c r="C23" s="998" t="n"/>
      <c r="D23" s="998" t="n"/>
      <c r="E23" s="998" t="n"/>
      <c r="F23" s="999">
        <f>SUM(F3:F22)</f>
        <v/>
      </c>
      <c r="G23" s="998">
        <f>COUNTIF(G3:G22,"ja")</f>
        <v/>
      </c>
      <c r="H23" s="997">
        <f>SUM(H3:H22)</f>
        <v/>
      </c>
      <c r="I23" s="997">
        <f>SUM(I3:I22)</f>
        <v/>
      </c>
      <c r="J23" s="997">
        <f>SUM(J3:J22)</f>
        <v/>
      </c>
      <c r="K23" s="1000">
        <f>IF(OR(NOT(ISNUMBER(J23)),NOT(ISNUMBER($H$29)),$H$29=0),"",J23/$H$29)</f>
        <v/>
      </c>
      <c r="L23" s="1001">
        <f>IF(SUMIF(L3:L22,"&gt;0",F3:F22)=0,"",SUMPRODUCT(F3:F22,L3:L22)/SUMIF(L3:L22,"&gt;0",F3:F22))</f>
        <v/>
      </c>
      <c r="M23" s="1001">
        <f>IF(OR(NOT(ISNUMBER(F23)),F23=0,NOT(ISNUMBER(VERKAUFSMATRIX!U28))),"",VERKAUFSMATRIX!U28/F23)</f>
        <v/>
      </c>
      <c r="N23" s="1002">
        <f>IF(OR(NOT(ISNUMBER(L23)),NOT(ISNUMBER(M23)),M23=0),"",L23/M23-1)</f>
        <v/>
      </c>
      <c r="O23" s="1003">
        <f>SUM(O3:O22)</f>
        <v/>
      </c>
      <c r="P23" s="1004">
        <f>SUM(P3:P22)</f>
        <v/>
      </c>
      <c r="Q23" s="1004">
        <f>SUM(Q3:Q22)</f>
        <v/>
      </c>
      <c r="R23" s="1004">
        <f>SUM(R3:R22)</f>
        <v/>
      </c>
      <c r="S23" s="1004">
        <f>SUM(S3:S22)</f>
        <v/>
      </c>
      <c r="T23" s="1000">
        <f>IF(OR(NOT(ISNUMBER(V23)),NOT(ISNUMBER(S23)),S23=0),"",V23/S23)</f>
        <v/>
      </c>
      <c r="U23" s="1000" t="n"/>
      <c r="V23" s="1004">
        <f>SUM(V3:V22)</f>
        <v/>
      </c>
      <c r="W23" s="1004">
        <f>SUM(W3:W22)</f>
        <v/>
      </c>
      <c r="X23" s="1004">
        <f>SUM(X3:X22)</f>
        <v/>
      </c>
      <c r="Y23" s="1001">
        <f>IF(OR(NOT(ISNUMBER(S23)),NOT(ISNUMBER(F23)),F23=0),"",S23/F23)</f>
        <v/>
      </c>
      <c r="Z23" s="1001">
        <f>IF(OR(NOT(ISNUMBER(X23)),NOT(ISNUMBER(F23)),F23=0),"",X23/F23)</f>
        <v/>
      </c>
      <c r="AA23" s="1004">
        <f>SUM(AA3:AA22)</f>
        <v/>
      </c>
      <c r="AB23" s="1004">
        <f>SUM(AB3:AB22)</f>
        <v/>
      </c>
      <c r="AC23" s="1004">
        <f>SUM(AC3:AC22)</f>
        <v/>
      </c>
      <c r="AD23" s="1004">
        <f>SUM(AD3:AD22)</f>
        <v/>
      </c>
      <c r="AE23" s="1004">
        <f>SUM(AE3:AE22)</f>
        <v/>
      </c>
      <c r="AF23" s="1004">
        <f>SUM(AF3:AF22)</f>
        <v/>
      </c>
      <c r="AG23" s="1005">
        <f>COUNT(AG3:AG22)&amp;" WE manuell"</f>
        <v/>
      </c>
      <c r="AH23" s="1005">
        <f>SUM(AH3:AH22)</f>
        <v/>
      </c>
      <c r="AI23" s="1005">
        <f>SUM(AI3:AI22)</f>
        <v/>
      </c>
      <c r="AJ23" s="1005">
        <f>SUM(AJ3:AJ22)</f>
        <v/>
      </c>
      <c r="AK23" s="1005">
        <f>SUM(AK3:AK22)</f>
        <v/>
      </c>
      <c r="AL23" s="1005">
        <f>SUM(AL3:AL22)</f>
        <v/>
      </c>
      <c r="AM23" s="1005">
        <f>SUM(AM3:AM22)</f>
        <v/>
      </c>
      <c r="AN23" s="1005">
        <f>SUM(AN3:AN22)</f>
        <v/>
      </c>
      <c r="AO23" s="1005">
        <f>SUM(AO3:AO22)</f>
        <v/>
      </c>
      <c r="AP23" s="1006">
        <f>IF(SUMPRODUCT(--ISNUMBER(AH3:AH22),F3:F22)=0,"",AH23/SUMPRODUCT(--ISNUMBER(AH3:AH22),F3:F22))</f>
        <v/>
      </c>
      <c r="AQ23" s="1007">
        <f>IF(COUNT(AQ3:AQ22)=0,"",MIN(AQ3:AQ22))</f>
        <v/>
      </c>
      <c r="AR23" s="1007">
        <f>IF(COUNT(AR3:AR22)=0,"",MAX(AR3:AR22))</f>
        <v/>
      </c>
      <c r="AS23" s="997" t="n"/>
      <c r="AT23" s="997">
        <f>IF(COUNT(AT3:AT22)=0,"",MAX(AT3:AT22))</f>
        <v/>
      </c>
      <c r="AU23" s="1004">
        <f>SUM(AU3:AU22)</f>
        <v/>
      </c>
      <c r="AV23" s="1004">
        <f>SUM(AV3:AV22)</f>
        <v/>
      </c>
      <c r="AW23" s="1002" t="n"/>
      <c r="AX23" s="1005" t="n"/>
      <c r="AY23" s="1005">
        <f>SUM(AY3:AY22)</f>
        <v/>
      </c>
      <c r="AZ23" s="1005" t="n"/>
      <c r="BA23" s="1005">
        <f>SUM(BA3:BA22)</f>
        <v/>
      </c>
      <c r="BB23" s="1002">
        <f>IF(OR(NOT(ISNUMBER(AY23)),NOT(ISNUMBER(AH23)),AH23=0),"",AY23/AH23)</f>
        <v/>
      </c>
      <c r="BC23" s="1005">
        <f>SUM(BC3:BC22)</f>
        <v/>
      </c>
      <c r="BD23" s="1004">
        <f>SUM(BD3:BD22)</f>
        <v/>
      </c>
      <c r="BE23" s="1004">
        <f>SUM(BE3:BE22)</f>
        <v/>
      </c>
      <c r="BF23" s="1000" t="n"/>
      <c r="BG23" s="1000">
        <f>IF(OR(NOT(ISNUMBER(BE23)),NOT(ISNUMBER(X23)),X23=0),"",1-BE23/X23)</f>
        <v/>
      </c>
      <c r="BH23" s="1000">
        <f>IF(OR(NOT(ISNUMBER(BE23)),NOT(ISNUMBER(AA23)),AA23=0),"",1-BE23/AA23)</f>
        <v/>
      </c>
      <c r="BI23" s="998" t="n"/>
      <c r="BJ23" s="1000" t="n"/>
      <c r="BK23" s="1000" t="n"/>
      <c r="BL23" s="1004">
        <f>SUM(BL3:BL22)</f>
        <v/>
      </c>
      <c r="BM23" s="1005">
        <f>SUM(BM3:BM22)</f>
        <v/>
      </c>
      <c r="BN23" s="1005">
        <f>SUM(BN3:BN22)</f>
        <v/>
      </c>
      <c r="BO23" s="1004">
        <f>SUM(BO3:BO22)</f>
        <v/>
      </c>
      <c r="BP23" s="1008">
        <f>SUM(BP3:BP22)</f>
        <v/>
      </c>
      <c r="BQ23" s="1003">
        <f>SUM(BQ3:BQ22)</f>
        <v/>
      </c>
      <c r="BR23" s="1005">
        <f>SUM(BR3:BR22)</f>
        <v/>
      </c>
      <c r="BS23" s="1003">
        <f>SUM(BS3:BS22)</f>
        <v/>
      </c>
      <c r="BT23" s="1003">
        <f>SUM(BT3:BT22)</f>
        <v/>
      </c>
      <c r="BU23" s="1003">
        <f>SUM(BU3:BU22)</f>
        <v/>
      </c>
      <c r="BV23" s="1008">
        <f>SUM(BV3:BV22)</f>
        <v/>
      </c>
      <c r="BW23" s="1008">
        <f>SUM(BW3:BW22)</f>
        <v/>
      </c>
      <c r="BX23" s="1009" t="n"/>
      <c r="BY23" s="1009" t="n"/>
      <c r="BZ23" s="1004">
        <f>IF(COUNT(BZ3:BZ22)=0,"",SUMIF(BZ3:BZ22,"&gt;0"))</f>
        <v/>
      </c>
      <c r="CA23" s="1004">
        <f>IF(COUNT(CA3:CA22)=0,"",SUMIF(CA3:CA22,"&gt;0"))</f>
        <v/>
      </c>
      <c r="CB23" s="1004">
        <f>IF(COUNT(CB3:CB22)=0,"",SUMIF(CB3:CB22,"&gt;0"))</f>
        <v/>
      </c>
      <c r="CC23" s="1001">
        <f>IF(OR(NOT(ISNUMBER(CA23)),NOT(ISNUMBER(T23)),T23&lt;=-1,NOT(ISNUMBER(F23)),F23=0),"",((CA23+N(Q23)+N(R23))/(1+T23)-N(Q23)-N(R23)-N(O23))/F23)</f>
        <v/>
      </c>
      <c r="CD23" s="1010">
        <f>IF(OR(NOT(ISNUMBER(L23)),NOT(ISNUMBER(CC23))),"",L23-CC23)</f>
        <v/>
      </c>
      <c r="CE23" s="1011">
        <f>IF(OR(NOT(ISNUMBER(W23)),NOT(ISNUMBER(AN23)),AN23=0),"",W23/(AN23*12))</f>
        <v/>
      </c>
      <c r="CF23" s="1000">
        <f>IF(OR(NOT(ISNUMBER(W23)),NOT(ISNUMBER(AN23)),W23=0),"",AN23*12/W23)</f>
        <v/>
      </c>
      <c r="CG23" s="998">
        <f>COUNTIF(CG3:CG22,"GRUEN*")&amp;" gruen / "&amp;COUNTIF(CG3:CG22,"GELB*")&amp;" gelb / "&amp;COUNTIF(CG3:CG22,"ROT*")&amp;" rot / "&amp;COUNTIF(CG3:CG22,"GRAU*")&amp;" grau"</f>
        <v/>
      </c>
      <c r="CH23" s="998">
        <f>COUNTIF(CH3:CH22,"GRUEN*")&amp;" gruen / "&amp;COUNTIF(CH3:CH22,"GELB*")&amp;" gelb / "&amp;COUNTIF(CH3:CH22,"ROT*")&amp;" rot / "&amp;COUNTIF(CH3:CH22,"GRAU*")&amp;" grau"</f>
        <v/>
      </c>
    </row>
    <row r="24" s="545">
      <c r="A24" s="1012" t="n"/>
      <c r="B24" s="1012" t="n"/>
      <c r="C24" s="1012" t="n"/>
      <c r="D24" s="1012" t="n"/>
      <c r="E24" s="1012" t="n"/>
      <c r="F24" s="1012" t="n"/>
      <c r="G24" s="1012" t="n"/>
      <c r="H24" s="1012" t="n"/>
      <c r="I24" s="1012" t="n"/>
      <c r="J24" s="1012" t="n"/>
      <c r="K24" s="1012" t="n"/>
      <c r="L24" s="1012" t="n"/>
      <c r="M24" s="1012" t="n"/>
      <c r="N24" s="1012" t="n"/>
      <c r="O24" s="1012" t="n"/>
      <c r="P24" s="1012" t="n"/>
      <c r="Q24" s="1012" t="n"/>
      <c r="R24" s="1012" t="n"/>
      <c r="S24" s="1012" t="n"/>
      <c r="T24" s="1012" t="n"/>
      <c r="U24" s="1012" t="n"/>
      <c r="V24" s="1012" t="n"/>
      <c r="W24" s="1012" t="n"/>
      <c r="X24" s="1012" t="n"/>
      <c r="Y24" s="1012" t="n"/>
      <c r="Z24" s="1012" t="n"/>
      <c r="AA24" s="1012" t="n"/>
      <c r="AB24" s="1012" t="n"/>
      <c r="AC24" s="1012" t="n"/>
      <c r="AD24" s="1012" t="n"/>
      <c r="AE24" s="1012" t="n"/>
      <c r="AF24" s="1012" t="n"/>
      <c r="AG24" s="1012" t="n"/>
      <c r="AH24" s="1012" t="n"/>
      <c r="AI24" s="1012" t="n"/>
      <c r="AJ24" s="1012" t="n"/>
      <c r="AK24" s="1012" t="n"/>
      <c r="AL24" s="1012" t="n"/>
      <c r="AM24" s="1012" t="n"/>
      <c r="AN24" s="1012" t="n"/>
      <c r="AO24" s="1012" t="n"/>
      <c r="AP24" s="1012" t="n"/>
      <c r="AQ24" s="1012" t="n"/>
      <c r="AR24" s="1012" t="n"/>
      <c r="AS24" s="1012" t="n"/>
      <c r="AT24" s="1012" t="n"/>
      <c r="AU24" s="1012" t="n"/>
      <c r="AV24" s="1012" t="n"/>
      <c r="AW24" s="1012" t="n"/>
      <c r="AX24" s="1012" t="n"/>
      <c r="AY24" s="1012" t="n"/>
      <c r="AZ24" s="1012" t="n"/>
      <c r="BA24" s="1012" t="n"/>
      <c r="BB24" s="1012" t="n"/>
      <c r="BC24" s="1012" t="n"/>
      <c r="BD24" s="1012" t="n"/>
      <c r="BE24" s="1012" t="n"/>
      <c r="BF24" s="1012" t="n"/>
      <c r="BG24" s="1012" t="n"/>
      <c r="BH24" s="1012" t="n"/>
      <c r="BI24" s="1012" t="n"/>
      <c r="BJ24" s="1012" t="n"/>
      <c r="BK24" s="1012" t="n"/>
      <c r="BL24" s="1012" t="n"/>
      <c r="BM24" s="1012" t="n"/>
      <c r="BN24" s="1012" t="n"/>
      <c r="BO24" s="1012" t="n"/>
      <c r="BP24" s="1012" t="n"/>
      <c r="BQ24" s="1012" t="n"/>
      <c r="BR24" s="1012" t="n"/>
      <c r="BS24" s="1012" t="n"/>
      <c r="BT24" s="1012" t="n"/>
      <c r="BU24" s="1012" t="n"/>
      <c r="BV24" s="1012" t="n"/>
      <c r="BW24" s="1012" t="n"/>
      <c r="BX24" s="1012" t="n"/>
      <c r="BY24" s="1012" t="n"/>
      <c r="BZ24" s="1012" t="n"/>
      <c r="CA24" s="1012" t="n"/>
      <c r="CB24" s="1012" t="n"/>
      <c r="CC24" s="1012" t="n"/>
      <c r="CD24" s="1012" t="n"/>
      <c r="CE24" s="1012" t="n"/>
      <c r="CF24" s="1012" t="n"/>
      <c r="CG24" s="1012" t="n"/>
      <c r="CH24" s="1012" t="n"/>
    </row>
    <row r="25" ht="20" customHeight="1" s="545">
      <c r="A25" s="1013" t="inlineStr">
        <is>
          <t>KÄUFER-PROFIL (Standard für alle Wohnungen — je Wohnung überschreibbar)</t>
        </is>
      </c>
      <c r="B25" s="947" t="n"/>
      <c r="C25" s="947" t="n"/>
      <c r="D25" s="1012" t="n"/>
      <c r="E25" s="1013" t="inlineStr">
        <is>
          <t>OBJEKT, ASSETS, STEUERUNG</t>
        </is>
      </c>
      <c r="F25" s="947" t="n"/>
      <c r="G25" s="947" t="n"/>
      <c r="H25" s="947" t="n"/>
      <c r="I25" s="1012" t="n"/>
      <c r="J25" s="1014" t="inlineStr">
        <is>
          <t>LEGENDE</t>
        </is>
      </c>
      <c r="K25" s="947" t="n"/>
      <c r="L25" s="947" t="n"/>
      <c r="M25" s="947" t="n"/>
      <c r="N25" s="947" t="n"/>
      <c r="O25" s="1012" t="n"/>
      <c r="P25" s="1012" t="n"/>
      <c r="Q25" s="1012" t="n"/>
      <c r="R25" s="1012" t="n"/>
      <c r="S25" s="1012" t="n"/>
      <c r="T25" s="1012" t="n"/>
      <c r="U25" s="1012" t="n"/>
      <c r="V25" s="1012" t="n"/>
      <c r="W25" s="1012" t="n"/>
      <c r="X25" s="1012" t="n"/>
      <c r="Y25" s="1012" t="n"/>
      <c r="Z25" s="1012" t="n"/>
      <c r="AA25" s="1012" t="n"/>
      <c r="AB25" s="1012" t="n"/>
      <c r="AC25" s="1012" t="n"/>
      <c r="AD25" s="1012" t="n"/>
      <c r="AE25" s="1012" t="n"/>
      <c r="AF25" s="1012" t="n"/>
      <c r="AG25" s="1012" t="n"/>
      <c r="AH25" s="1012" t="n"/>
      <c r="AI25" s="1012" t="n"/>
      <c r="AJ25" s="1012" t="n"/>
      <c r="AK25" s="1012" t="n"/>
      <c r="AL25" s="1012" t="n"/>
      <c r="AM25" s="1012" t="n"/>
      <c r="AN25" s="1012" t="n"/>
      <c r="AO25" s="1012" t="n"/>
      <c r="AP25" s="1012" t="n"/>
      <c r="AQ25" s="1012" t="n"/>
      <c r="AR25" s="1012" t="n"/>
      <c r="AS25" s="1012" t="n"/>
      <c r="AT25" s="1012" t="n"/>
      <c r="AU25" s="1012" t="n"/>
      <c r="AV25" s="1012" t="n"/>
      <c r="AW25" s="1012" t="n"/>
      <c r="AX25" s="1012" t="n"/>
      <c r="AY25" s="1012" t="n"/>
      <c r="AZ25" s="1012" t="n"/>
      <c r="BA25" s="1012" t="n"/>
      <c r="BB25" s="1012" t="n"/>
      <c r="BC25" s="1012" t="n"/>
      <c r="BD25" s="1012" t="n"/>
      <c r="BE25" s="1012" t="n"/>
      <c r="BF25" s="1012" t="n"/>
      <c r="BG25" s="1012" t="n"/>
      <c r="BH25" s="1012" t="n"/>
      <c r="BI25" s="1012" t="n"/>
      <c r="BJ25" s="1012" t="n"/>
      <c r="BK25" s="1012" t="n"/>
      <c r="BL25" s="1012" t="n"/>
      <c r="BM25" s="1012" t="n"/>
      <c r="BN25" s="1012" t="n"/>
      <c r="BO25" s="1012" t="n"/>
      <c r="BP25" s="1012" t="n"/>
      <c r="BQ25" s="1012" t="n"/>
      <c r="BR25" s="1012" t="n"/>
      <c r="BS25" s="1012" t="n"/>
      <c r="BT25" s="1012" t="n"/>
      <c r="BU25" s="1012" t="n"/>
      <c r="BV25" s="1012" t="n"/>
      <c r="BW25" s="1012" t="n"/>
      <c r="BX25" s="1012" t="n"/>
      <c r="BY25" s="1012" t="n"/>
      <c r="BZ25" s="1012" t="n"/>
      <c r="CA25" s="1012" t="n"/>
      <c r="CB25" s="1012" t="n"/>
      <c r="CC25" s="1012" t="n"/>
      <c r="CD25" s="1012" t="n"/>
      <c r="CE25" s="1012" t="n"/>
      <c r="CF25" s="1012" t="n"/>
      <c r="CG25" s="1012" t="n"/>
      <c r="CH25" s="1012" t="n"/>
    </row>
    <row r="26" ht="24" customHeight="1" s="545">
      <c r="A26" s="1015" t="inlineStr">
        <is>
          <t>Zins Käufer (p.a.)</t>
        </is>
      </c>
      <c r="B26" s="947" t="n"/>
      <c r="C26" s="1016" t="n">
        <v>0.048</v>
      </c>
      <c r="D26" s="1012" t="n"/>
      <c r="E26" s="1015" t="inlineStr">
        <is>
          <t>Provision Standard (% vom Abgabepreis)</t>
        </is>
      </c>
      <c r="F26" s="947" t="n"/>
      <c r="G26" s="947" t="n"/>
      <c r="H26" s="1016" t="n">
        <v>0.07000000000000001</v>
      </c>
      <c r="I26" s="1012" t="n"/>
      <c r="J26" s="1017" t="inlineStr">
        <is>
          <t>Hellgelb = Eingabe je Wohnung; leer = Standard aus dem Käuferprofil greift</t>
        </is>
      </c>
      <c r="K26" s="947" t="n"/>
      <c r="L26" s="947" t="n"/>
      <c r="M26" s="947" t="n"/>
      <c r="N26" s="947" t="n"/>
      <c r="O26" s="1012" t="n"/>
      <c r="P26" s="1012" t="n"/>
      <c r="Q26" s="1012" t="n"/>
      <c r="R26" s="1012" t="n"/>
      <c r="S26" s="1012" t="n"/>
      <c r="T26" s="1012" t="n"/>
      <c r="U26" s="1012" t="n"/>
      <c r="V26" s="1012" t="n"/>
      <c r="W26" s="1012" t="n"/>
      <c r="X26" s="1012" t="n"/>
      <c r="Y26" s="1012" t="n"/>
      <c r="Z26" s="1012" t="n"/>
      <c r="AA26" s="1012" t="n"/>
      <c r="AB26" s="1012" t="n"/>
      <c r="AC26" s="1012" t="n"/>
      <c r="AD26" s="1012" t="n"/>
      <c r="AE26" s="1012" t="n"/>
      <c r="AF26" s="1012" t="n"/>
      <c r="AG26" s="1012" t="n"/>
      <c r="AH26" s="1012" t="n"/>
      <c r="AI26" s="1012" t="n"/>
      <c r="AJ26" s="1012" t="n"/>
      <c r="AK26" s="1012" t="n"/>
      <c r="AL26" s="1012" t="n"/>
      <c r="AM26" s="1012" t="n"/>
      <c r="AN26" s="1012" t="n"/>
      <c r="AO26" s="1012" t="n"/>
      <c r="AP26" s="1012" t="n"/>
      <c r="AQ26" s="1012" t="n"/>
      <c r="AR26" s="1012" t="n"/>
      <c r="AS26" s="1012" t="n"/>
      <c r="AT26" s="1012" t="n"/>
      <c r="AU26" s="1012" t="n"/>
      <c r="AV26" s="1012" t="n"/>
      <c r="AW26" s="1012" t="n"/>
      <c r="AX26" s="1012" t="n"/>
      <c r="AY26" s="1012" t="n"/>
      <c r="AZ26" s="1012" t="n"/>
      <c r="BA26" s="1012" t="n"/>
      <c r="BB26" s="1012" t="n"/>
      <c r="BC26" s="1012" t="n"/>
      <c r="BD26" s="1012" t="n"/>
      <c r="BE26" s="1012" t="n"/>
      <c r="BF26" s="1012" t="n"/>
      <c r="BG26" s="1012" t="n"/>
      <c r="BH26" s="1012" t="n"/>
      <c r="BI26" s="1012" t="n"/>
      <c r="BJ26" s="1012" t="n"/>
      <c r="BK26" s="1012" t="n"/>
      <c r="BL26" s="1012" t="n"/>
      <c r="BM26" s="1012" t="n"/>
      <c r="BN26" s="1012" t="n"/>
      <c r="BO26" s="1012" t="n"/>
      <c r="BP26" s="1012" t="n"/>
      <c r="BQ26" s="1012" t="n"/>
      <c r="BR26" s="1012" t="n"/>
      <c r="BS26" s="1012" t="n"/>
      <c r="BT26" s="1012" t="n"/>
      <c r="BU26" s="1012" t="n"/>
      <c r="BV26" s="1012" t="n"/>
      <c r="BW26" s="1012" t="n"/>
      <c r="BX26" s="1012" t="n"/>
      <c r="BY26" s="1012" t="n"/>
      <c r="BZ26" s="1012" t="n"/>
      <c r="CA26" s="1012" t="n"/>
      <c r="CB26" s="1012" t="n"/>
      <c r="CC26" s="1012" t="n"/>
      <c r="CD26" s="1012" t="n"/>
      <c r="CE26" s="1012" t="n"/>
      <c r="CF26" s="1012" t="n"/>
      <c r="CG26" s="1012" t="n"/>
      <c r="CH26" s="1012" t="n"/>
    </row>
    <row r="27" ht="24" customHeight="1" s="545">
      <c r="A27" s="1015" t="inlineStr">
        <is>
          <t>Tilgung Käufer (p.a.)</t>
        </is>
      </c>
      <c r="B27" s="947" t="n"/>
      <c r="C27" s="1016" t="n">
        <v>0.01</v>
      </c>
      <c r="D27" s="1012" t="n"/>
      <c r="E27" s="1015" t="inlineStr">
        <is>
          <t>Grundstücksfläche gesamt (m²)</t>
        </is>
      </c>
      <c r="F27" s="947" t="n"/>
      <c r="G27" s="947" t="n"/>
      <c r="H27" s="1018" t="n"/>
      <c r="I27" s="1012" t="n"/>
      <c r="J27" s="1015" t="inlineStr">
        <is>
          <t>Ampel: Grün = Preis trägt, Gelb = knapp (Toleranz), Rot = über max. tragbar oder Datenfehler, Grau = Angabe fehlt</t>
        </is>
      </c>
      <c r="K27" s="947" t="n"/>
      <c r="L27" s="947" t="n"/>
      <c r="M27" s="947" t="n"/>
      <c r="N27" s="947" t="n"/>
      <c r="O27" s="1012" t="n"/>
      <c r="P27" s="1012" t="n"/>
      <c r="Q27" s="1012" t="n"/>
      <c r="R27" s="1012" t="n"/>
      <c r="S27" s="1012" t="n"/>
      <c r="T27" s="1012" t="n"/>
      <c r="U27" s="1012" t="n"/>
      <c r="V27" s="1012" t="n"/>
      <c r="W27" s="1012" t="n"/>
      <c r="X27" s="1012" t="n"/>
      <c r="Y27" s="1012" t="n"/>
      <c r="Z27" s="1012" t="n"/>
      <c r="AA27" s="1012" t="n"/>
      <c r="AB27" s="1012" t="n"/>
      <c r="AC27" s="1012" t="n"/>
      <c r="AD27" s="1012" t="n"/>
      <c r="AE27" s="1012" t="n"/>
      <c r="AF27" s="1012" t="n"/>
      <c r="AG27" s="1012" t="n"/>
      <c r="AH27" s="1012" t="n"/>
      <c r="AI27" s="1012" t="n"/>
      <c r="AJ27" s="1012" t="n"/>
      <c r="AK27" s="1012" t="n"/>
      <c r="AL27" s="1012" t="n"/>
      <c r="AM27" s="1012" t="n"/>
      <c r="AN27" s="1012" t="n"/>
      <c r="AO27" s="1012" t="n"/>
      <c r="AP27" s="1012" t="n"/>
      <c r="AQ27" s="1012" t="n"/>
      <c r="AR27" s="1012" t="n"/>
      <c r="AS27" s="1012" t="n"/>
      <c r="AT27" s="1012" t="n"/>
      <c r="AU27" s="1012" t="n"/>
      <c r="AV27" s="1012" t="n"/>
      <c r="AW27" s="1012" t="n"/>
      <c r="AX27" s="1012" t="n"/>
      <c r="AY27" s="1012" t="n"/>
      <c r="AZ27" s="1012" t="n"/>
      <c r="BA27" s="1012" t="n"/>
      <c r="BB27" s="1012" t="n"/>
      <c r="BC27" s="1012" t="n"/>
      <c r="BD27" s="1012" t="n"/>
      <c r="BE27" s="1012" t="n"/>
      <c r="BF27" s="1012" t="n"/>
      <c r="BG27" s="1012" t="n"/>
      <c r="BH27" s="1012" t="n"/>
      <c r="BI27" s="1012" t="n"/>
      <c r="BJ27" s="1012" t="n"/>
      <c r="BK27" s="1012" t="n"/>
      <c r="BL27" s="1012" t="n"/>
      <c r="BM27" s="1012" t="n"/>
      <c r="BN27" s="1012" t="n"/>
      <c r="BO27" s="1012" t="n"/>
      <c r="BP27" s="1012" t="n"/>
      <c r="BQ27" s="1012" t="n"/>
      <c r="BR27" s="1012" t="n"/>
      <c r="BS27" s="1012" t="n"/>
      <c r="BT27" s="1012" t="n"/>
      <c r="BU27" s="1012" t="n"/>
      <c r="BV27" s="1012" t="n"/>
      <c r="BW27" s="1012" t="n"/>
      <c r="BX27" s="1012" t="n"/>
      <c r="BY27" s="1012" t="n"/>
      <c r="BZ27" s="1012" t="n"/>
      <c r="CA27" s="1012" t="n"/>
      <c r="CB27" s="1012" t="n"/>
      <c r="CC27" s="1012" t="n"/>
      <c r="CD27" s="1012" t="n"/>
      <c r="CE27" s="1012" t="n"/>
      <c r="CF27" s="1012" t="n"/>
      <c r="CG27" s="1012" t="n"/>
      <c r="CH27" s="1012" t="n"/>
    </row>
    <row r="28" ht="24" customHeight="1" s="545">
      <c r="A28" s="1015" t="inlineStr">
        <is>
          <t>Grenzsteuersatz</t>
        </is>
      </c>
      <c r="B28" s="947" t="n"/>
      <c r="C28" s="1016" t="n">
        <v>0.42</v>
      </c>
      <c r="D28" s="1012" t="n"/>
      <c r="E28" s="1015" t="inlineStr">
        <is>
          <t>Bodenrichtwert (€/m²)</t>
        </is>
      </c>
      <c r="F28" s="947" t="n"/>
      <c r="G28" s="947" t="n"/>
      <c r="H28" s="1019" t="n"/>
      <c r="I28" s="1012" t="n"/>
      <c r="J28" s="1015" t="inlineStr">
        <is>
          <t>Mint = Standard-Rückfall aktiv (Feld leer); Orange = Ist-Miete manuell angehoben / Eigenkapital trotz Vollfinanzierung</t>
        </is>
      </c>
      <c r="K28" s="947" t="n"/>
      <c r="L28" s="947" t="n"/>
      <c r="M28" s="947" t="n"/>
      <c r="N28" s="947" t="n"/>
      <c r="O28" s="1012" t="n"/>
      <c r="P28" s="1012" t="n"/>
      <c r="Q28" s="1012" t="n"/>
      <c r="R28" s="1012" t="n"/>
      <c r="S28" s="1012" t="n"/>
      <c r="T28" s="1012" t="n"/>
      <c r="U28" s="1012" t="n"/>
      <c r="V28" s="1012" t="n"/>
      <c r="W28" s="1012" t="n"/>
      <c r="X28" s="1012" t="n"/>
      <c r="Y28" s="1012" t="n"/>
      <c r="Z28" s="1012" t="n"/>
      <c r="AA28" s="1012" t="n"/>
      <c r="AB28" s="1012" t="n"/>
      <c r="AC28" s="1012" t="n"/>
      <c r="AD28" s="1012" t="n"/>
      <c r="AE28" s="1012" t="n"/>
      <c r="AF28" s="1012" t="n"/>
      <c r="AG28" s="1012" t="n"/>
      <c r="AH28" s="1012" t="n"/>
      <c r="AI28" s="1012" t="n"/>
      <c r="AJ28" s="1012" t="n"/>
      <c r="AK28" s="1012" t="n"/>
      <c r="AL28" s="1012" t="n"/>
      <c r="AM28" s="1012" t="n"/>
      <c r="AN28" s="1012" t="n"/>
      <c r="AO28" s="1012" t="n"/>
      <c r="AP28" s="1012" t="n"/>
      <c r="AQ28" s="1012" t="n"/>
      <c r="AR28" s="1012" t="n"/>
      <c r="AS28" s="1012" t="n"/>
      <c r="AT28" s="1012" t="n"/>
      <c r="AU28" s="1012" t="n"/>
      <c r="AV28" s="1012" t="n"/>
      <c r="AW28" s="1012" t="n"/>
      <c r="AX28" s="1012" t="n"/>
      <c r="AY28" s="1012" t="n"/>
      <c r="AZ28" s="1012" t="n"/>
      <c r="BA28" s="1012" t="n"/>
      <c r="BB28" s="1012" t="n"/>
      <c r="BC28" s="1012" t="n"/>
      <c r="BD28" s="1012" t="n"/>
      <c r="BE28" s="1012" t="n"/>
      <c r="BF28" s="1012" t="n"/>
      <c r="BG28" s="1012" t="n"/>
      <c r="BH28" s="1012" t="n"/>
      <c r="BI28" s="1012" t="n"/>
      <c r="BJ28" s="1012" t="n"/>
      <c r="BK28" s="1012" t="n"/>
      <c r="BL28" s="1012" t="n"/>
      <c r="BM28" s="1012" t="n"/>
      <c r="BN28" s="1012" t="n"/>
      <c r="BO28" s="1012" t="n"/>
      <c r="BP28" s="1012" t="n"/>
      <c r="BQ28" s="1012" t="n"/>
      <c r="BR28" s="1012" t="n"/>
      <c r="BS28" s="1012" t="n"/>
      <c r="BT28" s="1012" t="n"/>
      <c r="BU28" s="1012" t="n"/>
      <c r="BV28" s="1012" t="n"/>
      <c r="BW28" s="1012" t="n"/>
      <c r="BX28" s="1012" t="n"/>
      <c r="BY28" s="1012" t="n"/>
      <c r="BZ28" s="1012" t="n"/>
      <c r="CA28" s="1012" t="n"/>
      <c r="CB28" s="1012" t="n"/>
      <c r="CC28" s="1012" t="n"/>
      <c r="CD28" s="1012" t="n"/>
      <c r="CE28" s="1012" t="n"/>
      <c r="CF28" s="1012" t="n"/>
      <c r="CG28" s="1012" t="n"/>
      <c r="CH28" s="1012" t="n"/>
    </row>
    <row r="29" ht="24" customHeight="1" s="545">
      <c r="A29" s="1015" t="inlineStr">
        <is>
          <t>Bewirtschaftungsquote (Alt-Kontrolle)</t>
        </is>
      </c>
      <c r="B29" s="947" t="n"/>
      <c r="C29" s="1020">
        <f>IF(OR(NOT(ISNUMBER(C66)),NOT(ISNUMBER(C67)),NOT(ISNUMBER($C$69)),$C$69=0),"",(C66+C67)/$C$69)</f>
        <v/>
      </c>
      <c r="D29" s="1012" t="n"/>
      <c r="E29" s="1015" t="inlineStr">
        <is>
          <t>MEA-Nenner (Teilungserklärung)</t>
        </is>
      </c>
      <c r="F29" s="947" t="n"/>
      <c r="G29" s="947" t="n"/>
      <c r="H29" s="1021" t="n"/>
      <c r="I29" s="1012" t="n"/>
      <c r="J29" s="1015" t="inlineStr">
        <is>
          <t>Rücklage mindert nur den Cashflow, nicht die Steuer (BFH IX R 19/24); Hausgeld ohne Wirtschaftsplan = Verwaltung + Rücklage-Standard</t>
        </is>
      </c>
      <c r="K29" s="947" t="n"/>
      <c r="L29" s="947" t="n"/>
      <c r="M29" s="947" t="n"/>
      <c r="N29" s="947" t="n"/>
      <c r="O29" s="1012" t="n"/>
      <c r="P29" s="1012" t="n"/>
      <c r="Q29" s="1012" t="n"/>
      <c r="R29" s="1012" t="n"/>
      <c r="S29" s="1012" t="n"/>
      <c r="T29" s="1012" t="n"/>
      <c r="U29" s="1012" t="n"/>
      <c r="V29" s="1012" t="n"/>
      <c r="W29" s="1012" t="n"/>
      <c r="X29" s="1012" t="n"/>
      <c r="Y29" s="1012" t="n"/>
      <c r="Z29" s="1012" t="n"/>
      <c r="AA29" s="1012" t="n"/>
      <c r="AB29" s="1012" t="n"/>
      <c r="AC29" s="1012" t="n"/>
      <c r="AD29" s="1012" t="n"/>
      <c r="AE29" s="1012" t="n"/>
      <c r="AF29" s="1012" t="n"/>
      <c r="AG29" s="1012" t="n"/>
      <c r="AH29" s="1012" t="n"/>
      <c r="AI29" s="1012" t="n"/>
      <c r="AJ29" s="1012" t="n"/>
      <c r="AK29" s="1012" t="n"/>
      <c r="AL29" s="1012" t="n"/>
      <c r="AM29" s="1012" t="n"/>
      <c r="AN29" s="1012" t="n"/>
      <c r="AO29" s="1012" t="n"/>
      <c r="AP29" s="1012" t="n"/>
      <c r="AQ29" s="1012" t="n"/>
      <c r="AR29" s="1012" t="n"/>
      <c r="AS29" s="1012" t="n"/>
      <c r="AT29" s="1012" t="n"/>
      <c r="AU29" s="1012" t="n"/>
      <c r="AV29" s="1012" t="n"/>
      <c r="AW29" s="1012" t="n"/>
      <c r="AX29" s="1012" t="n"/>
      <c r="AY29" s="1012" t="n"/>
      <c r="AZ29" s="1012" t="n"/>
      <c r="BA29" s="1012" t="n"/>
      <c r="BB29" s="1012" t="n"/>
      <c r="BC29" s="1012" t="n"/>
      <c r="BD29" s="1012" t="n"/>
      <c r="BE29" s="1012" t="n"/>
      <c r="BF29" s="1012" t="n"/>
      <c r="BG29" s="1012" t="n"/>
      <c r="BH29" s="1012" t="n"/>
      <c r="BI29" s="1012" t="n"/>
      <c r="BJ29" s="1012" t="n"/>
      <c r="BK29" s="1012" t="n"/>
      <c r="BL29" s="1012" t="n"/>
      <c r="BM29" s="1012" t="n"/>
      <c r="BN29" s="1012" t="n"/>
      <c r="BO29" s="1012" t="n"/>
      <c r="BP29" s="1012" t="n"/>
      <c r="BQ29" s="1012" t="n"/>
      <c r="BR29" s="1012" t="n"/>
      <c r="BS29" s="1012" t="n"/>
      <c r="BT29" s="1012" t="n"/>
      <c r="BU29" s="1012" t="n"/>
      <c r="BV29" s="1012" t="n"/>
      <c r="BW29" s="1012" t="n"/>
      <c r="BX29" s="1012" t="n"/>
      <c r="BY29" s="1012" t="n"/>
      <c r="BZ29" s="1012" t="n"/>
      <c r="CA29" s="1012" t="n"/>
      <c r="CB29" s="1012" t="n"/>
      <c r="CC29" s="1012" t="n"/>
      <c r="CD29" s="1012" t="n"/>
      <c r="CE29" s="1012" t="n"/>
      <c r="CF29" s="1012" t="n"/>
      <c r="CG29" s="1012" t="n"/>
      <c r="CH29" s="1012" t="n"/>
    </row>
    <row r="30" ht="24" customHeight="1" s="545">
      <c r="A30" s="1015" t="inlineStr">
        <is>
          <t>AfA-Satz Wohnung (Standard)</t>
        </is>
      </c>
      <c r="B30" s="947" t="n"/>
      <c r="C30" s="1016" t="n">
        <v>0.02</v>
      </c>
      <c r="D30" s="1012" t="n"/>
      <c r="E30" s="1015" t="inlineStr">
        <is>
          <t>Bodenwert Haus gesamt (€)</t>
        </is>
      </c>
      <c r="F30" s="947" t="n"/>
      <c r="G30" s="947" t="n"/>
      <c r="H30" s="1022">
        <f>IF(OR(NOT(ISNUMBER($H$27)),NOT(ISNUMBER($H$28))),"",$H$27*$H$28)</f>
        <v/>
      </c>
      <c r="I30" s="1012" t="n"/>
      <c r="J30" s="1015" t="inlineStr">
        <is>
          <t>Kontrollspalten: max. tragbar = (Ertrag nach Steuer ohne Finanzierung − Ziel-CF + Garage/Stellplatz netto) / k</t>
        </is>
      </c>
      <c r="K30" s="947" t="n"/>
      <c r="L30" s="947" t="n"/>
      <c r="M30" s="947" t="n"/>
      <c r="N30" s="947" t="n"/>
      <c r="O30" s="1012" t="n"/>
      <c r="P30" s="1012" t="n"/>
      <c r="Q30" s="1012" t="n"/>
      <c r="R30" s="1012" t="n"/>
      <c r="S30" s="1012" t="n"/>
      <c r="T30" s="1012" t="n"/>
      <c r="U30" s="1012" t="n"/>
      <c r="V30" s="1012" t="n"/>
      <c r="W30" s="1012" t="n"/>
      <c r="X30" s="1012" t="n"/>
      <c r="Y30" s="1012" t="n"/>
      <c r="Z30" s="1012" t="n"/>
      <c r="AA30" s="1012" t="n"/>
      <c r="AB30" s="1012" t="n"/>
      <c r="AC30" s="1012" t="n"/>
      <c r="AD30" s="1012" t="n"/>
      <c r="AE30" s="1012" t="n"/>
      <c r="AF30" s="1012" t="n"/>
      <c r="AG30" s="1012" t="n"/>
      <c r="AH30" s="1012" t="n"/>
      <c r="AI30" s="1012" t="n"/>
      <c r="AJ30" s="1012" t="n"/>
      <c r="AK30" s="1012" t="n"/>
      <c r="AL30" s="1012" t="n"/>
      <c r="AM30" s="1012" t="n"/>
      <c r="AN30" s="1012" t="n"/>
      <c r="AO30" s="1012" t="n"/>
      <c r="AP30" s="1012" t="n"/>
      <c r="AQ30" s="1012" t="n"/>
      <c r="AR30" s="1012" t="n"/>
      <c r="AS30" s="1012" t="n"/>
      <c r="AT30" s="1012" t="n"/>
      <c r="AU30" s="1012" t="n"/>
      <c r="AV30" s="1012" t="n"/>
      <c r="AW30" s="1012" t="n"/>
      <c r="AX30" s="1012" t="n"/>
      <c r="AY30" s="1012" t="n"/>
      <c r="AZ30" s="1012" t="n"/>
      <c r="BA30" s="1012" t="n"/>
      <c r="BB30" s="1012" t="n"/>
      <c r="BC30" s="1012" t="n"/>
      <c r="BD30" s="1012" t="n"/>
      <c r="BE30" s="1012" t="n"/>
      <c r="BF30" s="1012" t="n"/>
      <c r="BG30" s="1012" t="n"/>
      <c r="BH30" s="1012" t="n"/>
      <c r="BI30" s="1012" t="n"/>
      <c r="BJ30" s="1012" t="n"/>
      <c r="BK30" s="1012" t="n"/>
      <c r="BL30" s="1012" t="n"/>
      <c r="BM30" s="1012" t="n"/>
      <c r="BN30" s="1012" t="n"/>
      <c r="BO30" s="1012" t="n"/>
      <c r="BP30" s="1012" t="n"/>
      <c r="BQ30" s="1012" t="n"/>
      <c r="BR30" s="1012" t="n"/>
      <c r="BS30" s="1012" t="n"/>
      <c r="BT30" s="1012" t="n"/>
      <c r="BU30" s="1012" t="n"/>
      <c r="BV30" s="1012" t="n"/>
      <c r="BW30" s="1012" t="n"/>
      <c r="BX30" s="1012" t="n"/>
      <c r="BY30" s="1012" t="n"/>
      <c r="BZ30" s="1012" t="n"/>
      <c r="CA30" s="1012" t="n"/>
      <c r="CB30" s="1012" t="n"/>
      <c r="CC30" s="1012" t="n"/>
      <c r="CD30" s="1012" t="n"/>
      <c r="CE30" s="1012" t="n"/>
      <c r="CF30" s="1012" t="n"/>
      <c r="CG30" s="1012" t="n"/>
      <c r="CH30" s="1012" t="n"/>
    </row>
    <row r="31" ht="24" customHeight="1" s="545">
      <c r="A31" s="1015" t="inlineStr">
        <is>
          <t>Gebäudeanteil (Standard)</t>
        </is>
      </c>
      <c r="B31" s="947" t="n"/>
      <c r="C31" s="1016" t="n">
        <v>0.8</v>
      </c>
      <c r="D31" s="1012" t="n"/>
      <c r="E31" s="1015" t="inlineStr">
        <is>
          <t>AfA-Satz Garage (p.a.)</t>
        </is>
      </c>
      <c r="F31" s="947" t="n"/>
      <c r="G31" s="947" t="n"/>
      <c r="H31" s="1016" t="n">
        <v>0.02</v>
      </c>
      <c r="I31" s="1012" t="n"/>
      <c r="J31" s="1015" t="inlineStr">
        <is>
          <t>k = Loan-Faktor × [(Zins + Tilgung) − s × Zins − s × (1 + KNK) × AfA × Grenz-Gebäudeanteil] / 12</t>
        </is>
      </c>
      <c r="K31" s="947" t="n"/>
      <c r="L31" s="947" t="n"/>
      <c r="M31" s="947" t="n"/>
      <c r="N31" s="947" t="n"/>
      <c r="O31" s="1012" t="n"/>
      <c r="P31" s="1012" t="n"/>
      <c r="Q31" s="1012" t="n"/>
      <c r="R31" s="1012" t="n"/>
      <c r="S31" s="1012" t="n"/>
      <c r="T31" s="1012" t="n"/>
      <c r="U31" s="1012" t="n"/>
      <c r="V31" s="1012" t="n"/>
      <c r="W31" s="1012" t="n"/>
      <c r="X31" s="1012" t="n"/>
      <c r="Y31" s="1012" t="n"/>
      <c r="Z31" s="1012" t="n"/>
      <c r="AA31" s="1012" t="n"/>
      <c r="AB31" s="1012" t="n"/>
      <c r="AC31" s="1012" t="n"/>
      <c r="AD31" s="1012" t="n"/>
      <c r="AE31" s="1012" t="n"/>
      <c r="AF31" s="1012" t="n"/>
      <c r="AG31" s="1012" t="n"/>
      <c r="AH31" s="1012" t="n"/>
      <c r="AI31" s="1012" t="n"/>
      <c r="AJ31" s="1012" t="n"/>
      <c r="AK31" s="1012" t="n"/>
      <c r="AL31" s="1012" t="n"/>
      <c r="AM31" s="1012" t="n"/>
      <c r="AN31" s="1012" t="n"/>
      <c r="AO31" s="1012" t="n"/>
      <c r="AP31" s="1012" t="n"/>
      <c r="AQ31" s="1012" t="n"/>
      <c r="AR31" s="1012" t="n"/>
      <c r="AS31" s="1012" t="n"/>
      <c r="AT31" s="1012" t="n"/>
      <c r="AU31" s="1012" t="n"/>
      <c r="AV31" s="1012" t="n"/>
      <c r="AW31" s="1012" t="n"/>
      <c r="AX31" s="1012" t="n"/>
      <c r="AY31" s="1012" t="n"/>
      <c r="AZ31" s="1012" t="n"/>
      <c r="BA31" s="1012" t="n"/>
      <c r="BB31" s="1012" t="n"/>
      <c r="BC31" s="1012" t="n"/>
      <c r="BD31" s="1012" t="n"/>
      <c r="BE31" s="1012" t="n"/>
      <c r="BF31" s="1012" t="n"/>
      <c r="BG31" s="1012" t="n"/>
      <c r="BH31" s="1012" t="n"/>
      <c r="BI31" s="1012" t="n"/>
      <c r="BJ31" s="1012" t="n"/>
      <c r="BK31" s="1012" t="n"/>
      <c r="BL31" s="1012" t="n"/>
      <c r="BM31" s="1012" t="n"/>
      <c r="BN31" s="1012" t="n"/>
      <c r="BO31" s="1012" t="n"/>
      <c r="BP31" s="1012" t="n"/>
      <c r="BQ31" s="1012" t="n"/>
      <c r="BR31" s="1012" t="n"/>
      <c r="BS31" s="1012" t="n"/>
      <c r="BT31" s="1012" t="n"/>
      <c r="BU31" s="1012" t="n"/>
      <c r="BV31" s="1012" t="n"/>
      <c r="BW31" s="1012" t="n"/>
      <c r="BX31" s="1012" t="n"/>
      <c r="BY31" s="1012" t="n"/>
      <c r="BZ31" s="1012" t="n"/>
      <c r="CA31" s="1012" t="n"/>
      <c r="CB31" s="1012" t="n"/>
      <c r="CC31" s="1012" t="n"/>
      <c r="CD31" s="1012" t="n"/>
      <c r="CE31" s="1012" t="n"/>
      <c r="CF31" s="1012" t="n"/>
      <c r="CG31" s="1012" t="n"/>
      <c r="CH31" s="1012" t="n"/>
    </row>
    <row r="32" ht="24" customHeight="1" s="545">
      <c r="A32" s="1015" t="inlineStr">
        <is>
          <t>Ziel-Cashflow nach Steuer (€/Mo)</t>
        </is>
      </c>
      <c r="B32" s="947" t="n"/>
      <c r="C32" s="1023" t="n">
        <v>0</v>
      </c>
      <c r="D32" s="1012" t="n"/>
      <c r="E32" s="1015" t="inlineStr">
        <is>
          <t>AfA-Satz Außenstellplatz (0 %)</t>
        </is>
      </c>
      <c r="F32" s="947" t="n"/>
      <c r="G32" s="947" t="n"/>
      <c r="H32" s="1016" t="n">
        <v>0</v>
      </c>
      <c r="I32" s="1012" t="n"/>
      <c r="J32" s="1015" t="inlineStr">
        <is>
          <t>Hilfsspalten sind per Gruppierung eingeklappt — Schaltfläche + über der Tabelle</t>
        </is>
      </c>
      <c r="K32" s="947" t="n"/>
      <c r="L32" s="947" t="n"/>
      <c r="M32" s="947" t="n"/>
      <c r="N32" s="947" t="n"/>
      <c r="O32" s="1012" t="n"/>
      <c r="P32" s="1012" t="n"/>
      <c r="Q32" s="1012" t="n"/>
      <c r="R32" s="1012" t="n"/>
      <c r="S32" s="1012" t="n"/>
      <c r="T32" s="1012" t="n"/>
      <c r="U32" s="1012" t="n"/>
      <c r="V32" s="1012" t="n"/>
      <c r="W32" s="1012" t="n"/>
      <c r="X32" s="1012" t="n"/>
      <c r="Y32" s="1012" t="n"/>
      <c r="Z32" s="1012" t="n"/>
      <c r="AA32" s="1012" t="n"/>
      <c r="AB32" s="1012" t="n"/>
      <c r="AC32" s="1012" t="n"/>
      <c r="AD32" s="1012" t="n"/>
      <c r="AE32" s="1012" t="n"/>
      <c r="AF32" s="1012" t="n"/>
      <c r="AG32" s="1012" t="n"/>
      <c r="AH32" s="1012" t="n"/>
      <c r="AI32" s="1012" t="n"/>
      <c r="AJ32" s="1012" t="n"/>
      <c r="AK32" s="1012" t="n"/>
      <c r="AL32" s="1012" t="n"/>
      <c r="AM32" s="1012" t="n"/>
      <c r="AN32" s="1012" t="n"/>
      <c r="AO32" s="1012" t="n"/>
      <c r="AP32" s="1012" t="n"/>
      <c r="AQ32" s="1012" t="n"/>
      <c r="AR32" s="1012" t="n"/>
      <c r="AS32" s="1012" t="n"/>
      <c r="AT32" s="1012" t="n"/>
      <c r="AU32" s="1012" t="n"/>
      <c r="AV32" s="1012" t="n"/>
      <c r="AW32" s="1012" t="n"/>
      <c r="AX32" s="1012" t="n"/>
      <c r="AY32" s="1012" t="n"/>
      <c r="AZ32" s="1012" t="n"/>
      <c r="BA32" s="1012" t="n"/>
      <c r="BB32" s="1012" t="n"/>
      <c r="BC32" s="1012" t="n"/>
      <c r="BD32" s="1012" t="n"/>
      <c r="BE32" s="1012" t="n"/>
      <c r="BF32" s="1012" t="n"/>
      <c r="BG32" s="1012" t="n"/>
      <c r="BH32" s="1012" t="n"/>
      <c r="BI32" s="1012" t="n"/>
      <c r="BJ32" s="1012" t="n"/>
      <c r="BK32" s="1012" t="n"/>
      <c r="BL32" s="1012" t="n"/>
      <c r="BM32" s="1012" t="n"/>
      <c r="BN32" s="1012" t="n"/>
      <c r="BO32" s="1012" t="n"/>
      <c r="BP32" s="1012" t="n"/>
      <c r="BQ32" s="1012" t="n"/>
      <c r="BR32" s="1012" t="n"/>
      <c r="BS32" s="1012" t="n"/>
      <c r="BT32" s="1012" t="n"/>
      <c r="BU32" s="1012" t="n"/>
      <c r="BV32" s="1012" t="n"/>
      <c r="BW32" s="1012" t="n"/>
      <c r="BX32" s="1012" t="n"/>
      <c r="BY32" s="1012" t="n"/>
      <c r="BZ32" s="1012" t="n"/>
      <c r="CA32" s="1012" t="n"/>
      <c r="CB32" s="1012" t="n"/>
      <c r="CC32" s="1012" t="n"/>
      <c r="CD32" s="1012" t="n"/>
      <c r="CE32" s="1012" t="n"/>
      <c r="CF32" s="1012" t="n"/>
      <c r="CG32" s="1012" t="n"/>
      <c r="CH32" s="1012" t="n"/>
    </row>
    <row r="33" ht="24" customHeight="1" s="545">
      <c r="A33" s="1015" t="inlineStr">
        <is>
          <t>Finanzierung: 1 = 100 % KP, 2 = alles finanziert</t>
        </is>
      </c>
      <c r="B33" s="947" t="n"/>
      <c r="C33" s="1021" t="n">
        <v>1</v>
      </c>
      <c r="D33" s="1012" t="n"/>
      <c r="E33" s="1015" t="inlineStr">
        <is>
          <t>Ampel-Toleranz über max. tragbar</t>
        </is>
      </c>
      <c r="F33" s="947" t="n"/>
      <c r="G33" s="947" t="n"/>
      <c r="H33" s="1024" t="n">
        <v>0.1</v>
      </c>
      <c r="I33" s="1012" t="n"/>
      <c r="J33" s="1012" t="n"/>
      <c r="K33" s="1012" t="n"/>
      <c r="L33" s="1012" t="n"/>
      <c r="M33" s="1012" t="n"/>
      <c r="N33" s="1012" t="n"/>
      <c r="O33" s="1012" t="n"/>
      <c r="P33" s="1012" t="n"/>
      <c r="Q33" s="1012" t="n"/>
      <c r="R33" s="1012" t="n"/>
      <c r="S33" s="1012" t="n"/>
      <c r="T33" s="1012" t="n"/>
      <c r="U33" s="1012" t="n"/>
      <c r="V33" s="1012" t="n"/>
      <c r="W33" s="1012" t="n"/>
      <c r="X33" s="1012" t="n"/>
      <c r="Y33" s="1012" t="n"/>
      <c r="Z33" s="1012" t="n"/>
      <c r="AA33" s="1012" t="n"/>
      <c r="AB33" s="1012" t="n"/>
      <c r="AC33" s="1012" t="n"/>
      <c r="AD33" s="1012" t="n"/>
      <c r="AE33" s="1012" t="n"/>
      <c r="AF33" s="1012" t="n"/>
      <c r="AG33" s="1012" t="n"/>
      <c r="AH33" s="1012" t="n"/>
      <c r="AI33" s="1012" t="n"/>
      <c r="AJ33" s="1012" t="n"/>
      <c r="AK33" s="1012" t="n"/>
      <c r="AL33" s="1012" t="n"/>
      <c r="AM33" s="1012" t="n"/>
      <c r="AN33" s="1012" t="n"/>
      <c r="AO33" s="1012" t="n"/>
      <c r="AP33" s="1012" t="n"/>
      <c r="AQ33" s="1012" t="n"/>
      <c r="AR33" s="1012" t="n"/>
      <c r="AS33" s="1012" t="n"/>
      <c r="AT33" s="1012" t="n"/>
      <c r="AU33" s="1012" t="n"/>
      <c r="AV33" s="1012" t="n"/>
      <c r="AW33" s="1012" t="n"/>
      <c r="AX33" s="1012" t="n"/>
      <c r="AY33" s="1012" t="n"/>
      <c r="AZ33" s="1012" t="n"/>
      <c r="BA33" s="1012" t="n"/>
      <c r="BB33" s="1012" t="n"/>
      <c r="BC33" s="1012" t="n"/>
      <c r="BD33" s="1012" t="n"/>
      <c r="BE33" s="1012" t="n"/>
      <c r="BF33" s="1012" t="n"/>
      <c r="BG33" s="1012" t="n"/>
      <c r="BH33" s="1012" t="n"/>
      <c r="BI33" s="1012" t="n"/>
      <c r="BJ33" s="1012" t="n"/>
      <c r="BK33" s="1012" t="n"/>
      <c r="BL33" s="1012" t="n"/>
      <c r="BM33" s="1012" t="n"/>
      <c r="BN33" s="1012" t="n"/>
      <c r="BO33" s="1012" t="n"/>
      <c r="BP33" s="1012" t="n"/>
      <c r="BQ33" s="1012" t="n"/>
      <c r="BR33" s="1012" t="n"/>
      <c r="BS33" s="1012" t="n"/>
      <c r="BT33" s="1012" t="n"/>
      <c r="BU33" s="1012" t="n"/>
      <c r="BV33" s="1012" t="n"/>
      <c r="BW33" s="1012" t="n"/>
      <c r="BX33" s="1012" t="n"/>
      <c r="BY33" s="1012" t="n"/>
      <c r="BZ33" s="1012" t="n"/>
      <c r="CA33" s="1012" t="n"/>
      <c r="CB33" s="1012" t="n"/>
      <c r="CC33" s="1012" t="n"/>
      <c r="CD33" s="1012" t="n"/>
      <c r="CE33" s="1012" t="n"/>
      <c r="CF33" s="1012" t="n"/>
      <c r="CG33" s="1012" t="n"/>
      <c r="CH33" s="1012" t="n"/>
    </row>
    <row r="34" ht="24" customHeight="1" s="545">
      <c r="A34" s="1015" t="inlineStr">
        <is>
          <t>Loan-Faktor alles finanziert = 1/(1−KNK)</t>
        </is>
      </c>
      <c r="B34" s="947" t="n"/>
      <c r="C34" s="1025">
        <f>IF(OR(NOT(ISNUMBER($C$36)),$C$36&lt;0,$C$36&gt;=1),"",1/(1-$C$36))</f>
        <v/>
      </c>
      <c r="D34" s="1012" t="n"/>
      <c r="E34" s="1015" t="inlineStr">
        <is>
          <t>Loan-Faktor Vorwärtsrechnung (aus Finanzierung)</t>
        </is>
      </c>
      <c r="F34" s="947" t="n"/>
      <c r="G34" s="947" t="n"/>
      <c r="H34" s="1025">
        <f>IF(NOT(ISNUMBER($C$33)),"",IF($C$33=1,1,IF(NOT(ISNUMBER($C$34)),"",$C$34)))</f>
        <v/>
      </c>
      <c r="I34" s="1012" t="n"/>
      <c r="J34" s="1012" t="n"/>
      <c r="K34" s="1012" t="n"/>
      <c r="L34" s="1012" t="n"/>
      <c r="M34" s="1012" t="n"/>
      <c r="N34" s="1012" t="n"/>
      <c r="O34" s="1012" t="n"/>
      <c r="P34" s="1012" t="n"/>
      <c r="Q34" s="1012" t="n"/>
      <c r="R34" s="1012" t="n"/>
      <c r="S34" s="1012" t="n"/>
      <c r="T34" s="1012" t="n"/>
      <c r="U34" s="1012" t="n"/>
      <c r="V34" s="1012" t="n"/>
      <c r="W34" s="1012" t="n"/>
      <c r="X34" s="1012" t="n"/>
      <c r="Y34" s="1012" t="n"/>
      <c r="Z34" s="1012" t="n"/>
      <c r="AA34" s="1012" t="n"/>
      <c r="AB34" s="1012" t="n"/>
      <c r="AC34" s="1012" t="n"/>
      <c r="AD34" s="1012" t="n"/>
      <c r="AE34" s="1012" t="n"/>
      <c r="AF34" s="1012" t="n"/>
      <c r="AG34" s="1012" t="n"/>
      <c r="AH34" s="1012" t="n"/>
      <c r="AI34" s="1012" t="n"/>
      <c r="AJ34" s="1012" t="n"/>
      <c r="AK34" s="1012" t="n"/>
      <c r="AL34" s="1012" t="n"/>
      <c r="AM34" s="1012" t="n"/>
      <c r="AN34" s="1012" t="n"/>
      <c r="AO34" s="1012" t="n"/>
      <c r="AP34" s="1012" t="n"/>
      <c r="AQ34" s="1012" t="n"/>
      <c r="AR34" s="1012" t="n"/>
      <c r="AS34" s="1012" t="n"/>
      <c r="AT34" s="1012" t="n"/>
      <c r="AU34" s="1012" t="n"/>
      <c r="AV34" s="1012" t="n"/>
      <c r="AW34" s="1012" t="n"/>
      <c r="AX34" s="1012" t="n"/>
      <c r="AY34" s="1012" t="n"/>
      <c r="AZ34" s="1012" t="n"/>
      <c r="BA34" s="1012" t="n"/>
      <c r="BB34" s="1012" t="n"/>
      <c r="BC34" s="1012" t="n"/>
      <c r="BD34" s="1012" t="n"/>
      <c r="BE34" s="1012" t="n"/>
      <c r="BF34" s="1012" t="n"/>
      <c r="BG34" s="1012" t="n"/>
      <c r="BH34" s="1012" t="n"/>
      <c r="BI34" s="1012" t="n"/>
      <c r="BJ34" s="1012" t="n"/>
      <c r="BK34" s="1012" t="n"/>
      <c r="BL34" s="1012" t="n"/>
      <c r="BM34" s="1012" t="n"/>
      <c r="BN34" s="1012" t="n"/>
      <c r="BO34" s="1012" t="n"/>
      <c r="BP34" s="1012" t="n"/>
      <c r="BQ34" s="1012" t="n"/>
      <c r="BR34" s="1012" t="n"/>
      <c r="BS34" s="1012" t="n"/>
      <c r="BT34" s="1012" t="n"/>
      <c r="BU34" s="1012" t="n"/>
      <c r="BV34" s="1012" t="n"/>
      <c r="BW34" s="1012" t="n"/>
      <c r="BX34" s="1012" t="n"/>
      <c r="BY34" s="1012" t="n"/>
      <c r="BZ34" s="1012" t="n"/>
      <c r="CA34" s="1012" t="n"/>
      <c r="CB34" s="1012" t="n"/>
      <c r="CC34" s="1012" t="n"/>
      <c r="CD34" s="1012" t="n"/>
      <c r="CE34" s="1012" t="n"/>
      <c r="CF34" s="1012" t="n"/>
      <c r="CG34" s="1012" t="n"/>
      <c r="CH34" s="1012" t="n"/>
    </row>
    <row r="35" ht="24" customHeight="1" s="545">
      <c r="A35" s="1015" t="inlineStr">
        <is>
          <t>k-Faktor global (Alt-Kontrolle)</t>
        </is>
      </c>
      <c r="B35" s="947" t="n"/>
      <c r="C35" s="1026">
        <f>IF(OR(NOT(ISNUMBER($H$34)),NOT(ISNUMBER($C$26)),NOT(ISNUMBER($C$27)),NOT(ISNUMBER($C$28)),NOT(ISNUMBER($C$30)),NOT(ISNUMBER($C$31)),NOT(ISNUMBER($C$36))),"",$H$34*(($C$26+$C$27)-$C$28*$C$26-$C$28*$C$31*$C$30*(1+$C$36))/12)</f>
        <v/>
      </c>
      <c r="D35" s="1012" t="n"/>
      <c r="E35" s="1015" t="inlineStr">
        <is>
          <t>Sperrfrist Mieterhöhung (Monate)</t>
        </is>
      </c>
      <c r="F35" s="947" t="n"/>
      <c r="G35" s="947" t="n"/>
      <c r="H35" s="1021" t="n">
        <v>36</v>
      </c>
      <c r="I35" s="1012" t="n"/>
      <c r="J35" s="1012" t="n"/>
      <c r="K35" s="1012" t="n"/>
      <c r="L35" s="1012" t="n"/>
      <c r="M35" s="1012" t="n"/>
      <c r="N35" s="1012" t="n"/>
      <c r="O35" s="1012" t="n"/>
      <c r="P35" s="1012" t="n"/>
      <c r="Q35" s="1012" t="n"/>
      <c r="R35" s="1012" t="n"/>
      <c r="S35" s="1012" t="n"/>
      <c r="T35" s="1012" t="n"/>
      <c r="U35" s="1012" t="n"/>
      <c r="V35" s="1012" t="n"/>
      <c r="W35" s="1012" t="n"/>
      <c r="X35" s="1012" t="n"/>
      <c r="Y35" s="1012" t="n"/>
      <c r="Z35" s="1012" t="n"/>
      <c r="AA35" s="1012" t="n"/>
      <c r="AB35" s="1012" t="n"/>
      <c r="AC35" s="1012" t="n"/>
      <c r="AD35" s="1012" t="n"/>
      <c r="AE35" s="1012" t="n"/>
      <c r="AF35" s="1012" t="n"/>
      <c r="AG35" s="1012" t="n"/>
      <c r="AH35" s="1012" t="n"/>
      <c r="AI35" s="1012" t="n"/>
      <c r="AJ35" s="1012" t="n"/>
      <c r="AK35" s="1012" t="n"/>
      <c r="AL35" s="1012" t="n"/>
      <c r="AM35" s="1012" t="n"/>
      <c r="AN35" s="1012" t="n"/>
      <c r="AO35" s="1012" t="n"/>
      <c r="AP35" s="1012" t="n"/>
      <c r="AQ35" s="1012" t="n"/>
      <c r="AR35" s="1012" t="n"/>
      <c r="AS35" s="1012" t="n"/>
      <c r="AT35" s="1012" t="n"/>
      <c r="AU35" s="1012" t="n"/>
      <c r="AV35" s="1012" t="n"/>
      <c r="AW35" s="1012" t="n"/>
      <c r="AX35" s="1012" t="n"/>
      <c r="AY35" s="1012" t="n"/>
      <c r="AZ35" s="1012" t="n"/>
      <c r="BA35" s="1012" t="n"/>
      <c r="BB35" s="1012" t="n"/>
      <c r="BC35" s="1012" t="n"/>
      <c r="BD35" s="1012" t="n"/>
      <c r="BE35" s="1012" t="n"/>
      <c r="BF35" s="1012" t="n"/>
      <c r="BG35" s="1012" t="n"/>
      <c r="BH35" s="1012" t="n"/>
      <c r="BI35" s="1012" t="n"/>
      <c r="BJ35" s="1012" t="n"/>
      <c r="BK35" s="1012" t="n"/>
      <c r="BL35" s="1012" t="n"/>
      <c r="BM35" s="1012" t="n"/>
      <c r="BN35" s="1012" t="n"/>
      <c r="BO35" s="1012" t="n"/>
      <c r="BP35" s="1012" t="n"/>
      <c r="BQ35" s="1012" t="n"/>
      <c r="BR35" s="1012" t="n"/>
      <c r="BS35" s="1012" t="n"/>
      <c r="BT35" s="1012" t="n"/>
      <c r="BU35" s="1012" t="n"/>
      <c r="BV35" s="1012" t="n"/>
      <c r="BW35" s="1012" t="n"/>
      <c r="BX35" s="1012" t="n"/>
      <c r="BY35" s="1012" t="n"/>
      <c r="BZ35" s="1012" t="n"/>
      <c r="CA35" s="1012" t="n"/>
      <c r="CB35" s="1012" t="n"/>
      <c r="CC35" s="1012" t="n"/>
      <c r="CD35" s="1012" t="n"/>
      <c r="CE35" s="1012" t="n"/>
      <c r="CF35" s="1012" t="n"/>
      <c r="CG35" s="1012" t="n"/>
      <c r="CH35" s="1012" t="n"/>
    </row>
    <row r="36" ht="24" customHeight="1" s="545">
      <c r="A36" s="1015" t="inlineStr">
        <is>
          <t>Kaufnebenkosten (GrESt 6,5 % + Notar/GB 2 %)</t>
        </is>
      </c>
      <c r="B36" s="947" t="n"/>
      <c r="C36" s="1016" t="n">
        <v>0.08500000000000001</v>
      </c>
      <c r="D36" s="1012" t="n"/>
      <c r="E36" s="1012" t="n"/>
      <c r="F36" s="1012" t="n"/>
      <c r="G36" s="1012" t="n"/>
      <c r="H36" s="1012" t="n"/>
      <c r="I36" s="1012" t="n"/>
      <c r="J36" s="1012" t="n"/>
      <c r="K36" s="1012" t="n"/>
      <c r="L36" s="1012" t="n"/>
      <c r="M36" s="1012" t="n"/>
      <c r="N36" s="1012" t="n"/>
      <c r="O36" s="1012" t="n"/>
      <c r="P36" s="1012" t="n"/>
      <c r="Q36" s="1012" t="n"/>
      <c r="R36" s="1012" t="n"/>
      <c r="S36" s="1012" t="n"/>
      <c r="T36" s="1012" t="n"/>
      <c r="U36" s="1012" t="n"/>
      <c r="V36" s="1012" t="n"/>
      <c r="W36" s="1012" t="n"/>
      <c r="X36" s="1012" t="n"/>
      <c r="Y36" s="1012" t="n"/>
      <c r="Z36" s="1012" t="n"/>
      <c r="AA36" s="1012" t="n"/>
      <c r="AB36" s="1012" t="n"/>
      <c r="AC36" s="1012" t="n"/>
      <c r="AD36" s="1012" t="n"/>
      <c r="AE36" s="1012" t="n"/>
      <c r="AF36" s="1012" t="n"/>
      <c r="AG36" s="1012" t="n"/>
      <c r="AH36" s="1012" t="n"/>
      <c r="AI36" s="1012" t="n"/>
      <c r="AJ36" s="1012" t="n"/>
      <c r="AK36" s="1012" t="n"/>
      <c r="AL36" s="1012" t="n"/>
      <c r="AM36" s="1012" t="n"/>
      <c r="AN36" s="1012" t="n"/>
      <c r="AO36" s="1012" t="n"/>
      <c r="AP36" s="1012" t="n"/>
      <c r="AQ36" s="1012" t="n"/>
      <c r="AR36" s="1012" t="n"/>
      <c r="AS36" s="1012" t="n"/>
      <c r="AT36" s="1012" t="n"/>
      <c r="AU36" s="1012" t="n"/>
      <c r="AV36" s="1012" t="n"/>
      <c r="AW36" s="1012" t="n"/>
      <c r="AX36" s="1012" t="n"/>
      <c r="AY36" s="1012" t="n"/>
      <c r="AZ36" s="1012" t="n"/>
      <c r="BA36" s="1012" t="n"/>
      <c r="BB36" s="1012" t="n"/>
      <c r="BC36" s="1012" t="n"/>
      <c r="BD36" s="1012" t="n"/>
      <c r="BE36" s="1012" t="n"/>
      <c r="BF36" s="1012" t="n"/>
      <c r="BG36" s="1012" t="n"/>
      <c r="BH36" s="1012" t="n"/>
      <c r="BI36" s="1012" t="n"/>
      <c r="BJ36" s="1012" t="n"/>
      <c r="BK36" s="1012" t="n"/>
      <c r="BL36" s="1012" t="n"/>
      <c r="BM36" s="1012" t="n"/>
      <c r="BN36" s="1012" t="n"/>
      <c r="BO36" s="1012" t="n"/>
      <c r="BP36" s="1012" t="n"/>
      <c r="BQ36" s="1012" t="n"/>
      <c r="BR36" s="1012" t="n"/>
      <c r="BS36" s="1012" t="n"/>
      <c r="BT36" s="1012" t="n"/>
      <c r="BU36" s="1012" t="n"/>
      <c r="BV36" s="1012" t="n"/>
      <c r="BW36" s="1012" t="n"/>
      <c r="BX36" s="1012" t="n"/>
      <c r="BY36" s="1012" t="n"/>
      <c r="BZ36" s="1012" t="n"/>
      <c r="CA36" s="1012" t="n"/>
      <c r="CB36" s="1012" t="n"/>
      <c r="CC36" s="1012" t="n"/>
      <c r="CD36" s="1012" t="n"/>
      <c r="CE36" s="1012" t="n"/>
      <c r="CF36" s="1012" t="n"/>
      <c r="CG36" s="1012" t="n"/>
      <c r="CH36" s="1012" t="n"/>
    </row>
    <row r="37" s="545">
      <c r="A37" s="1012" t="n"/>
      <c r="B37" s="1012" t="n"/>
      <c r="C37" s="1012" t="n"/>
      <c r="D37" s="1012" t="n"/>
      <c r="E37" s="1012" t="n"/>
      <c r="F37" s="1012" t="n"/>
      <c r="G37" s="1012" t="n"/>
      <c r="H37" s="1012" t="n"/>
      <c r="I37" s="1012" t="n"/>
      <c r="J37" s="1012" t="n"/>
      <c r="K37" s="1012" t="n"/>
      <c r="L37" s="1012" t="n"/>
      <c r="M37" s="1012" t="n"/>
      <c r="N37" s="1012" t="n"/>
      <c r="O37" s="1012" t="n"/>
      <c r="P37" s="1012" t="n"/>
      <c r="Q37" s="1012" t="n"/>
      <c r="R37" s="1012" t="n"/>
      <c r="S37" s="1012" t="n"/>
      <c r="T37" s="1012" t="n"/>
      <c r="U37" s="1012" t="n"/>
      <c r="V37" s="1012" t="n"/>
      <c r="W37" s="1012" t="n"/>
      <c r="X37" s="1012" t="n"/>
      <c r="Y37" s="1012" t="n"/>
      <c r="Z37" s="1012" t="n"/>
      <c r="AA37" s="1012" t="n"/>
      <c r="AB37" s="1012" t="n"/>
      <c r="AC37" s="1012" t="n"/>
      <c r="AD37" s="1012" t="n"/>
      <c r="AE37" s="1012" t="n"/>
      <c r="AF37" s="1012" t="n"/>
      <c r="AG37" s="1012" t="n"/>
      <c r="AH37" s="1012" t="n"/>
      <c r="AI37" s="1012" t="n"/>
      <c r="AJ37" s="1012" t="n"/>
      <c r="AK37" s="1012" t="n"/>
      <c r="AL37" s="1012" t="n"/>
      <c r="AM37" s="1012" t="n"/>
      <c r="AN37" s="1012" t="n"/>
      <c r="AO37" s="1012" t="n"/>
      <c r="AP37" s="1012" t="n"/>
      <c r="AQ37" s="1012" t="n"/>
      <c r="AR37" s="1012" t="n"/>
      <c r="AS37" s="1012" t="n"/>
      <c r="AT37" s="1012" t="n"/>
      <c r="AU37" s="1012" t="n"/>
      <c r="AV37" s="1012" t="n"/>
      <c r="AW37" s="1012" t="n"/>
      <c r="AX37" s="1012" t="n"/>
      <c r="AY37" s="1012" t="n"/>
      <c r="AZ37" s="1012" t="n"/>
      <c r="BA37" s="1012" t="n"/>
      <c r="BB37" s="1012" t="n"/>
      <c r="BC37" s="1012" t="n"/>
      <c r="BD37" s="1012" t="n"/>
      <c r="BE37" s="1012" t="n"/>
      <c r="BF37" s="1012" t="n"/>
      <c r="BG37" s="1012" t="n"/>
      <c r="BH37" s="1012" t="n"/>
      <c r="BI37" s="1012" t="n"/>
      <c r="BJ37" s="1012" t="n"/>
      <c r="BK37" s="1012" t="n"/>
      <c r="BL37" s="1012" t="n"/>
      <c r="BM37" s="1012" t="n"/>
      <c r="BN37" s="1012" t="n"/>
      <c r="BO37" s="1012" t="n"/>
      <c r="BP37" s="1012" t="n"/>
      <c r="BQ37" s="1012" t="n"/>
      <c r="BR37" s="1012" t="n"/>
      <c r="BS37" s="1012" t="n"/>
      <c r="BT37" s="1012" t="n"/>
      <c r="BU37" s="1012" t="n"/>
      <c r="BV37" s="1012" t="n"/>
      <c r="BW37" s="1012" t="n"/>
      <c r="BX37" s="1012" t="n"/>
      <c r="BY37" s="1012" t="n"/>
      <c r="BZ37" s="1012" t="n"/>
      <c r="CA37" s="1012" t="n"/>
      <c r="CB37" s="1012" t="n"/>
      <c r="CC37" s="1012" t="n"/>
      <c r="CD37" s="1012" t="n"/>
      <c r="CE37" s="1012" t="n"/>
      <c r="CF37" s="1012" t="n"/>
      <c r="CG37" s="1012" t="n"/>
      <c r="CH37" s="1012" t="n"/>
    </row>
    <row r="38" s="545">
      <c r="A38" s="1012" t="n"/>
      <c r="B38" s="1012" t="n"/>
      <c r="C38" s="1012" t="n"/>
      <c r="D38" s="1012" t="n"/>
      <c r="E38" s="1012" t="n"/>
      <c r="F38" s="1012" t="n"/>
      <c r="G38" s="1012" t="n"/>
      <c r="H38" s="1012" t="n"/>
      <c r="I38" s="1012" t="n"/>
      <c r="J38" s="1012" t="n"/>
      <c r="K38" s="1012" t="n"/>
      <c r="L38" s="1012" t="n"/>
      <c r="M38" s="1012" t="n"/>
      <c r="N38" s="1012" t="n"/>
      <c r="O38" s="1012" t="n"/>
      <c r="P38" s="1012" t="n"/>
      <c r="Q38" s="1012" t="n"/>
      <c r="R38" s="1012" t="n"/>
      <c r="S38" s="1012" t="n"/>
      <c r="T38" s="1012" t="n"/>
      <c r="U38" s="1012" t="n"/>
      <c r="V38" s="1012" t="n"/>
      <c r="W38" s="1012" t="n"/>
      <c r="X38" s="1012" t="n"/>
      <c r="Y38" s="1012" t="n"/>
      <c r="Z38" s="1012" t="n"/>
      <c r="AA38" s="1012" t="n"/>
      <c r="AB38" s="1012" t="n"/>
      <c r="AC38" s="1012" t="n"/>
      <c r="AD38" s="1012" t="n"/>
      <c r="AE38" s="1012" t="n"/>
      <c r="AF38" s="1012" t="n"/>
      <c r="AG38" s="1012" t="n"/>
      <c r="AH38" s="1012" t="n"/>
      <c r="AI38" s="1012" t="n"/>
      <c r="AJ38" s="1012" t="n"/>
      <c r="AK38" s="1012" t="n"/>
      <c r="AL38" s="1012" t="n"/>
      <c r="AM38" s="1012" t="n"/>
      <c r="AN38" s="1012" t="n"/>
      <c r="AO38" s="1012" t="n"/>
      <c r="AP38" s="1012" t="n"/>
      <c r="AQ38" s="1012" t="n"/>
      <c r="AR38" s="1012" t="n"/>
      <c r="AS38" s="1012" t="n"/>
      <c r="AT38" s="1012" t="n"/>
      <c r="AU38" s="1012" t="n"/>
      <c r="AV38" s="1012" t="n"/>
      <c r="AW38" s="1012" t="n"/>
      <c r="AX38" s="1012" t="n"/>
      <c r="AY38" s="1012" t="n"/>
      <c r="AZ38" s="1012" t="n"/>
      <c r="BA38" s="1012" t="n"/>
      <c r="BB38" s="1012" t="n"/>
      <c r="BC38" s="1012" t="n"/>
      <c r="BD38" s="1012" t="n"/>
      <c r="BE38" s="1012" t="n"/>
      <c r="BF38" s="1012" t="n"/>
      <c r="BG38" s="1012" t="n"/>
      <c r="BH38" s="1012" t="n"/>
      <c r="BI38" s="1012" t="n"/>
      <c r="BJ38" s="1012" t="n"/>
      <c r="BK38" s="1012" t="n"/>
      <c r="BL38" s="1012" t="n"/>
      <c r="BM38" s="1012" t="n"/>
      <c r="BN38" s="1012" t="n"/>
      <c r="BO38" s="1012" t="n"/>
      <c r="BP38" s="1012" t="n"/>
      <c r="BQ38" s="1012" t="n"/>
      <c r="BR38" s="1012" t="n"/>
      <c r="BS38" s="1012" t="n"/>
      <c r="BT38" s="1012" t="n"/>
      <c r="BU38" s="1012" t="n"/>
      <c r="BV38" s="1012" t="n"/>
      <c r="BW38" s="1012" t="n"/>
      <c r="BX38" s="1012" t="n"/>
      <c r="BY38" s="1012" t="n"/>
      <c r="BZ38" s="1012" t="n"/>
      <c r="CA38" s="1012" t="n"/>
      <c r="CB38" s="1012" t="n"/>
      <c r="CC38" s="1012" t="n"/>
      <c r="CD38" s="1012" t="n"/>
      <c r="CE38" s="1012" t="n"/>
      <c r="CF38" s="1012" t="n"/>
      <c r="CG38" s="1012" t="n"/>
      <c r="CH38" s="1012" t="n"/>
    </row>
    <row r="39" s="545">
      <c r="A39" s="1012" t="n"/>
      <c r="B39" s="1012" t="n"/>
      <c r="C39" s="1012" t="n"/>
      <c r="D39" s="1012" t="n"/>
      <c r="E39" s="1012" t="n"/>
      <c r="F39" s="1012" t="n"/>
      <c r="G39" s="1012" t="n"/>
      <c r="H39" s="1012" t="n"/>
      <c r="I39" s="1012" t="n"/>
      <c r="J39" s="1012" t="n"/>
      <c r="K39" s="1012" t="n"/>
      <c r="L39" s="1012" t="n"/>
      <c r="M39" s="1012" t="n"/>
      <c r="N39" s="1012" t="n"/>
      <c r="O39" s="1012" t="n"/>
      <c r="P39" s="1012" t="n"/>
      <c r="Q39" s="1012" t="n"/>
      <c r="R39" s="1012" t="n"/>
      <c r="S39" s="1012" t="n"/>
      <c r="T39" s="1012" t="n"/>
      <c r="U39" s="1012" t="n"/>
      <c r="V39" s="1012" t="n"/>
      <c r="W39" s="1012" t="n"/>
      <c r="X39" s="1012" t="n"/>
      <c r="Y39" s="1012" t="n"/>
      <c r="Z39" s="1012" t="n"/>
      <c r="AA39" s="1012" t="n"/>
      <c r="AB39" s="1012" t="n"/>
      <c r="AC39" s="1012" t="n"/>
      <c r="AD39" s="1012" t="n"/>
      <c r="AE39" s="1012" t="n"/>
      <c r="AF39" s="1012" t="n"/>
      <c r="AG39" s="1012" t="n"/>
      <c r="AH39" s="1012" t="n"/>
      <c r="AI39" s="1012" t="n"/>
      <c r="AJ39" s="1012" t="n"/>
      <c r="AK39" s="1012" t="n"/>
      <c r="AL39" s="1012" t="n"/>
      <c r="AM39" s="1012" t="n"/>
      <c r="AN39" s="1012" t="n"/>
      <c r="AO39" s="1012" t="n"/>
      <c r="AP39" s="1012" t="n"/>
      <c r="AQ39" s="1012" t="n"/>
      <c r="AR39" s="1012" t="n"/>
      <c r="AS39" s="1012" t="n"/>
      <c r="AT39" s="1012" t="n"/>
      <c r="AU39" s="1012" t="n"/>
      <c r="AV39" s="1012" t="n"/>
      <c r="AW39" s="1012" t="n"/>
      <c r="AX39" s="1012" t="n"/>
      <c r="AY39" s="1012" t="n"/>
      <c r="AZ39" s="1012" t="n"/>
      <c r="BA39" s="1012" t="n"/>
      <c r="BB39" s="1012" t="n"/>
      <c r="BC39" s="1012" t="n"/>
      <c r="BD39" s="1012" t="n"/>
      <c r="BE39" s="1012" t="n"/>
      <c r="BF39" s="1012" t="n"/>
      <c r="BG39" s="1012" t="n"/>
      <c r="BH39" s="1012" t="n"/>
      <c r="BI39" s="1012" t="n"/>
      <c r="BJ39" s="1012" t="n"/>
      <c r="BK39" s="1012" t="n"/>
      <c r="BL39" s="1012" t="n"/>
      <c r="BM39" s="1012" t="n"/>
      <c r="BN39" s="1012" t="n"/>
      <c r="BO39" s="1012" t="n"/>
      <c r="BP39" s="1012" t="n"/>
      <c r="BQ39" s="1012" t="n"/>
      <c r="BR39" s="1012" t="n"/>
      <c r="BS39" s="1012" t="n"/>
      <c r="BT39" s="1012" t="n"/>
      <c r="BU39" s="1012" t="n"/>
      <c r="BV39" s="1012" t="n"/>
      <c r="BW39" s="1012" t="n"/>
      <c r="BX39" s="1012" t="n"/>
      <c r="BY39" s="1012" t="n"/>
      <c r="BZ39" s="1012" t="n"/>
      <c r="CA39" s="1012" t="n"/>
      <c r="CB39" s="1012" t="n"/>
      <c r="CC39" s="1012" t="n"/>
      <c r="CD39" s="1012" t="n"/>
      <c r="CE39" s="1012" t="n"/>
      <c r="CF39" s="1012" t="n"/>
      <c r="CG39" s="1012" t="n"/>
      <c r="CH39" s="1012" t="n"/>
    </row>
    <row r="40" s="545">
      <c r="A40" s="1012" t="n"/>
      <c r="B40" s="1012" t="n"/>
      <c r="C40" s="1012" t="n"/>
      <c r="D40" s="1012" t="n"/>
      <c r="E40" s="1012" t="n"/>
      <c r="F40" s="1012" t="n"/>
      <c r="G40" s="1012" t="n"/>
      <c r="H40" s="1012" t="n"/>
      <c r="I40" s="1012" t="n"/>
      <c r="J40" s="1012" t="n"/>
      <c r="K40" s="1012" t="n"/>
      <c r="L40" s="1012" t="n"/>
      <c r="M40" s="1012" t="n"/>
      <c r="N40" s="1012" t="n"/>
      <c r="O40" s="1012" t="n"/>
      <c r="P40" s="1012" t="n"/>
      <c r="Q40" s="1012" t="n"/>
      <c r="R40" s="1012" t="n"/>
      <c r="S40" s="1012" t="n"/>
      <c r="T40" s="1012" t="n"/>
      <c r="U40" s="1012" t="n"/>
      <c r="V40" s="1012" t="n"/>
      <c r="W40" s="1012" t="n"/>
      <c r="X40" s="1012" t="n"/>
      <c r="Y40" s="1012" t="n"/>
      <c r="Z40" s="1012" t="n"/>
      <c r="AA40" s="1012" t="n"/>
      <c r="AB40" s="1012" t="n"/>
      <c r="AC40" s="1012" t="n"/>
      <c r="AD40" s="1012" t="n"/>
      <c r="AE40" s="1012" t="n"/>
      <c r="AF40" s="1012" t="n"/>
      <c r="AG40" s="1012" t="n"/>
      <c r="AH40" s="1012" t="n"/>
      <c r="AI40" s="1012" t="n"/>
      <c r="AJ40" s="1012" t="n"/>
      <c r="AK40" s="1012" t="n"/>
      <c r="AL40" s="1012" t="n"/>
      <c r="AM40" s="1012" t="n"/>
      <c r="AN40" s="1012" t="n"/>
      <c r="AO40" s="1012" t="n"/>
      <c r="AP40" s="1012" t="n"/>
      <c r="AQ40" s="1012" t="n"/>
      <c r="AR40" s="1012" t="n"/>
      <c r="AS40" s="1012" t="n"/>
      <c r="AT40" s="1012" t="n"/>
      <c r="AU40" s="1012" t="n"/>
      <c r="AV40" s="1012" t="n"/>
      <c r="AW40" s="1012" t="n"/>
      <c r="AX40" s="1012" t="n"/>
      <c r="AY40" s="1012" t="n"/>
      <c r="AZ40" s="1012" t="n"/>
      <c r="BA40" s="1012" t="n"/>
      <c r="BB40" s="1012" t="n"/>
      <c r="BC40" s="1012" t="n"/>
      <c r="BD40" s="1012" t="n"/>
      <c r="BE40" s="1012" t="n"/>
      <c r="BF40" s="1012" t="n"/>
      <c r="BG40" s="1012" t="n"/>
      <c r="BH40" s="1012" t="n"/>
      <c r="BI40" s="1012" t="n"/>
      <c r="BJ40" s="1012" t="n"/>
      <c r="BK40" s="1012" t="n"/>
      <c r="BL40" s="1012" t="n"/>
      <c r="BM40" s="1012" t="n"/>
      <c r="BN40" s="1012" t="n"/>
      <c r="BO40" s="1012" t="n"/>
      <c r="BP40" s="1012" t="n"/>
      <c r="BQ40" s="1012" t="n"/>
      <c r="BR40" s="1012" t="n"/>
      <c r="BS40" s="1012" t="n"/>
      <c r="BT40" s="1012" t="n"/>
      <c r="BU40" s="1012" t="n"/>
      <c r="BV40" s="1012" t="n"/>
      <c r="BW40" s="1012" t="n"/>
      <c r="BX40" s="1012" t="n"/>
      <c r="BY40" s="1012" t="n"/>
      <c r="BZ40" s="1012" t="n"/>
      <c r="CA40" s="1012" t="n"/>
      <c r="CB40" s="1012" t="n"/>
      <c r="CC40" s="1012" t="n"/>
      <c r="CD40" s="1012" t="n"/>
      <c r="CE40" s="1012" t="n"/>
      <c r="CF40" s="1012" t="n"/>
      <c r="CG40" s="1012" t="n"/>
      <c r="CH40" s="1012" t="n"/>
    </row>
    <row r="41" ht="15" customHeight="1" s="545">
      <c r="A41" s="840" t="inlineStr">
        <is>
          <t>VERGLEICH: MARKT-ANSATZ vs. VORWAERTS-ANSATZ</t>
        </is>
      </c>
    </row>
    <row r="42" ht="15.75" customHeight="1" s="545">
      <c r="A42" s="19" t="n"/>
      <c r="B42" s="19" t="n"/>
      <c r="C42" s="19" t="n"/>
      <c r="D42" s="19" t="n"/>
      <c r="E42" s="19" t="n"/>
      <c r="F42" s="19" t="n"/>
      <c r="G42" s="19" t="n"/>
      <c r="H42" s="19" t="n"/>
      <c r="I42" s="19" t="n"/>
      <c r="J42" s="19" t="n"/>
      <c r="K42" s="19" t="n"/>
      <c r="L42" s="19" t="n"/>
      <c r="M42" s="19" t="n"/>
      <c r="N42" s="19" t="n"/>
    </row>
    <row r="43" ht="15" customHeight="1" s="545">
      <c r="A43" s="443" t="inlineStr">
        <is>
          <t>VK Wohnungen MARKT-ANSATZ (VERKAUFSMATRIX!U28)</t>
        </is>
      </c>
      <c r="B43" s="19" t="n"/>
      <c r="C43" s="850">
        <f>IFERROR(VERKAUFSMATRIX!U28,0)</f>
        <v/>
      </c>
      <c r="D43" s="19" t="n"/>
      <c r="E43" s="19" t="n"/>
      <c r="F43" s="19" t="n"/>
      <c r="G43" s="19" t="n"/>
      <c r="H43" s="19" t="n"/>
      <c r="I43" s="19" t="n"/>
      <c r="J43" s="19" t="n"/>
      <c r="K43" s="19" t="n"/>
      <c r="L43" s="19" t="n"/>
      <c r="M43" s="19" t="n"/>
      <c r="N43" s="19" t="n"/>
    </row>
    <row r="44" ht="15" customHeight="1" s="545">
      <c r="A44" s="443" t="inlineStr">
        <is>
          <t>VK Wohnungen VORWAERTS-ANSATZ (Abgabepreis inkl. Aufschlag, ohne Garage/Provision)</t>
        </is>
      </c>
      <c r="B44" s="19" t="n"/>
      <c r="C44" s="851">
        <f>P23</f>
        <v/>
      </c>
      <c r="D44" s="19" t="n"/>
      <c r="E44" s="19" t="n"/>
      <c r="F44" s="19" t="n"/>
      <c r="G44" s="19" t="n"/>
      <c r="H44" s="19" t="n"/>
      <c r="I44" s="19" t="n"/>
      <c r="J44" s="19" t="n"/>
      <c r="K44" s="19" t="n"/>
      <c r="L44" s="19" t="n"/>
      <c r="M44" s="19" t="n"/>
      <c r="N44" s="19" t="n"/>
    </row>
    <row r="45" ht="15" customHeight="1" s="545">
      <c r="A45" s="1027" t="inlineStr">
        <is>
          <t>Kaufpreis Garagen + Stellplätze gesamt (€)</t>
        </is>
      </c>
      <c r="B45" s="19" t="n"/>
      <c r="C45" s="1022">
        <f>IF(AND(NOT(ISNUMBER(Q23)),NOT(ISNUMBER(R23))),"",N(Q23)+N(R23))</f>
        <v/>
      </c>
      <c r="D45" s="19" t="n"/>
      <c r="E45" s="19" t="n"/>
      <c r="F45" s="19" t="n"/>
      <c r="G45" s="19" t="n"/>
      <c r="H45" s="19" t="n"/>
      <c r="I45" s="19" t="n"/>
      <c r="J45" s="19" t="n"/>
      <c r="K45" s="19" t="n"/>
      <c r="L45" s="19" t="n"/>
      <c r="M45" s="19" t="n"/>
      <c r="N45" s="19" t="n"/>
    </row>
    <row r="46" ht="15" customHeight="1" s="545">
      <c r="A46" s="469" t="n"/>
      <c r="B46" s="19" t="n"/>
      <c r="C46" s="852" t="n"/>
      <c r="D46" s="19" t="n"/>
      <c r="E46" s="19" t="n"/>
      <c r="F46" s="19" t="n"/>
      <c r="G46" s="19" t="n"/>
      <c r="H46" s="19" t="n"/>
      <c r="I46" s="19" t="n"/>
      <c r="J46" s="19" t="n"/>
      <c r="K46" s="19" t="n"/>
      <c r="L46" s="19" t="n"/>
      <c r="M46" s="19" t="n"/>
      <c r="N46" s="19" t="n"/>
    </row>
    <row r="47" ht="15.75" customHeight="1" s="545">
      <c r="A47" s="19" t="n"/>
      <c r="B47" s="19" t="n"/>
      <c r="C47" s="19" t="n"/>
      <c r="D47" s="19" t="n"/>
      <c r="E47" s="19" t="n"/>
      <c r="F47" s="19" t="n"/>
      <c r="G47" s="19" t="n"/>
      <c r="H47" s="19" t="n"/>
      <c r="I47" s="19" t="n"/>
      <c r="J47" s="19" t="n"/>
      <c r="K47" s="19" t="n"/>
      <c r="L47" s="19" t="n"/>
      <c r="M47" s="19" t="n"/>
      <c r="N47" s="19" t="n"/>
    </row>
    <row r="48" ht="15" customHeight="1" s="545">
      <c r="A48" s="443" t="inlineStr">
        <is>
          <t>Delta (CF − Markt) in EUR</t>
        </is>
      </c>
      <c r="B48" s="19" t="n"/>
      <c r="C48" s="471">
        <f>IFERROR(C44-C43,"")</f>
        <v/>
      </c>
      <c r="D48" s="19" t="n"/>
      <c r="E48" s="19" t="n"/>
      <c r="F48" s="19" t="n"/>
      <c r="G48" s="19" t="n"/>
      <c r="H48" s="19" t="n"/>
      <c r="I48" s="19" t="n"/>
      <c r="J48" s="19" t="n"/>
      <c r="K48" s="19" t="n"/>
      <c r="L48" s="19" t="n"/>
      <c r="M48" s="19" t="n"/>
      <c r="N48" s="19" t="n"/>
    </row>
    <row r="49" ht="15" customHeight="1" s="545">
      <c r="A49" s="443" t="inlineStr">
        <is>
          <t>Delta (CF − Markt) in %</t>
        </is>
      </c>
      <c r="B49" s="19" t="n"/>
      <c r="C49" s="853">
        <f>IFERROR((C44-C43)/C43,"")</f>
        <v/>
      </c>
      <c r="D49" s="19" t="n"/>
      <c r="E49" s="19" t="n"/>
      <c r="F49" s="19" t="n"/>
      <c r="G49" s="19" t="n"/>
      <c r="H49" s="19" t="n"/>
      <c r="I49" s="19" t="n"/>
      <c r="J49" s="19" t="n"/>
      <c r="K49" s="19" t="n"/>
      <c r="L49" s="19" t="n"/>
      <c r="M49" s="19" t="n"/>
      <c r="N49" s="19" t="n"/>
    </row>
    <row r="50" ht="15" customHeight="1" s="545">
      <c r="A50" s="469" t="inlineStr">
        <is>
          <t>Empfehlung</t>
        </is>
      </c>
      <c r="B50" s="19" t="n"/>
      <c r="C50" s="473">
        <f>IF(C49="","",IF(ABS(C49)&lt;0.1,"GRÜN: VK robust",IF(ABS(C49)&lt;0.25,"GELB: Delta beachten","ROT: Starker Spread - prüfen")))</f>
        <v/>
      </c>
      <c r="D50" s="19" t="n"/>
      <c r="E50" s="19" t="n"/>
      <c r="F50" s="19" t="n"/>
      <c r="G50" s="19" t="n"/>
      <c r="H50" s="19" t="n"/>
      <c r="I50" s="19" t="n"/>
      <c r="J50" s="19" t="n"/>
      <c r="K50" s="19" t="n"/>
      <c r="L50" s="19" t="n"/>
      <c r="M50" s="19" t="n"/>
      <c r="N50" s="19" t="n"/>
    </row>
    <row r="51" ht="15.75" customHeight="1" s="545">
      <c r="A51" s="19" t="n"/>
      <c r="B51" s="19" t="n"/>
      <c r="C51" s="19" t="n"/>
      <c r="D51" s="19" t="n"/>
      <c r="E51" s="19" t="n"/>
      <c r="F51" s="19" t="n"/>
      <c r="G51" s="19" t="n"/>
      <c r="H51" s="19" t="n"/>
      <c r="I51" s="19" t="n"/>
      <c r="J51" s="19" t="n"/>
      <c r="K51" s="19" t="n"/>
      <c r="L51" s="19" t="n"/>
      <c r="M51" s="19" t="n"/>
      <c r="N51" s="19" t="n"/>
    </row>
    <row r="52" ht="15.75" customHeight="1" s="545">
      <c r="A52" s="19" t="n"/>
      <c r="B52" s="19" t="n"/>
      <c r="C52" s="19" t="n"/>
      <c r="D52" s="19" t="n"/>
      <c r="E52" s="19" t="n"/>
      <c r="F52" s="19" t="n"/>
      <c r="G52" s="19" t="n"/>
      <c r="H52" s="19" t="n"/>
      <c r="I52" s="19" t="n"/>
      <c r="J52" s="19" t="n"/>
      <c r="K52" s="19" t="n"/>
      <c r="L52" s="19" t="n"/>
      <c r="M52" s="19" t="n"/>
      <c r="N52" s="19" t="n"/>
    </row>
    <row r="53" ht="15" customHeight="1" s="545">
      <c r="A53" s="840" t="inlineStr">
        <is>
          <t>SENSITIVITAET: SUMME MAX. TRAGBAR (109,3 %) BEI ZINS-SHIFT (Alt-Kontrolle, globale Annahmen)</t>
        </is>
      </c>
    </row>
    <row r="54" ht="15.75" customHeight="1" s="545">
      <c r="A54" s="19" t="n"/>
      <c r="B54" s="19" t="n"/>
      <c r="C54" s="19" t="n"/>
      <c r="D54" s="19" t="n"/>
      <c r="E54" s="19" t="n"/>
      <c r="F54" s="19" t="n"/>
      <c r="G54" s="19" t="n"/>
      <c r="H54" s="19" t="n"/>
      <c r="I54" s="19" t="n"/>
      <c r="J54" s="19" t="n"/>
      <c r="K54" s="19" t="n"/>
      <c r="L54" s="19" t="n"/>
      <c r="M54" s="19" t="n"/>
      <c r="N54" s="19" t="n"/>
    </row>
    <row r="55" ht="15" customHeight="1" s="545">
      <c r="A55" s="474" t="inlineStr">
        <is>
          <t>Zins-Szenario</t>
        </is>
      </c>
      <c r="B55" s="474" t="inlineStr">
        <is>
          <t>Zins</t>
        </is>
      </c>
      <c r="C55" s="474" t="inlineStr">
        <is>
          <t>k-Faktor</t>
        </is>
      </c>
      <c r="D55" s="474" t="inlineStr">
        <is>
          <t>VK CF gesamt (WEs + Garagen)</t>
        </is>
      </c>
      <c r="E55" s="474" t="inlineStr">
        <is>
          <t>Delta zu Basis</t>
        </is>
      </c>
      <c r="F55" s="19" t="n"/>
      <c r="G55" s="19" t="n"/>
      <c r="H55" s="19" t="n"/>
      <c r="I55" s="19" t="n"/>
      <c r="J55" s="19" t="n"/>
      <c r="K55" s="19" t="n"/>
      <c r="L55" s="19" t="n"/>
      <c r="M55" s="19" t="n"/>
      <c r="N55" s="19" t="n"/>
    </row>
    <row r="56" ht="15" customHeight="1" s="545">
      <c r="A56" s="475" t="inlineStr">
        <is>
          <t>Zins −0,5%</t>
        </is>
      </c>
      <c r="B56" s="476">
        <f>$C$26+-0.005</f>
        <v/>
      </c>
      <c r="C56" s="854">
        <f>$H$34*((B56+$C$27)-$C$28*B56-$C$28*$C$31*$C$30*(1+$C$36))/12</f>
        <v/>
      </c>
      <c r="D56" s="847">
        <f>IFERROR(($C$35/C56)*$CA$23+$C$45,"")</f>
        <v/>
      </c>
      <c r="E56" s="478">
        <f>IFERROR(D56-D57,"")</f>
        <v/>
      </c>
      <c r="F56" s="19" t="n"/>
      <c r="G56" s="19" t="n"/>
      <c r="H56" s="19" t="n"/>
      <c r="I56" s="19" t="n"/>
      <c r="J56" s="19" t="n"/>
      <c r="K56" s="19" t="n"/>
      <c r="L56" s="19" t="n"/>
      <c r="M56" s="19" t="n"/>
      <c r="N56" s="19" t="n"/>
    </row>
    <row r="57" ht="15" customHeight="1" s="545">
      <c r="A57" s="475" t="inlineStr">
        <is>
          <t>Aktuell (Basis)</t>
        </is>
      </c>
      <c r="B57" s="476">
        <f>$C$26+0</f>
        <v/>
      </c>
      <c r="C57" s="854">
        <f>$H$34*((B57+$C$27)-$C$28*B57-$C$28*$C$31*$C$30*(1+$C$36))/12</f>
        <v/>
      </c>
      <c r="D57" s="847">
        <f>IFERROR($CA$23+$C$45,"")</f>
        <v/>
      </c>
      <c r="E57" s="466" t="n"/>
      <c r="F57" s="19" t="n"/>
      <c r="G57" s="19" t="n"/>
      <c r="H57" s="19" t="n"/>
      <c r="I57" s="19" t="n"/>
      <c r="J57" s="19" t="n"/>
      <c r="K57" s="19" t="n"/>
      <c r="L57" s="19" t="n"/>
      <c r="M57" s="19" t="n"/>
      <c r="N57" s="19" t="n"/>
    </row>
    <row r="58" ht="15" customHeight="1" s="545">
      <c r="A58" s="475" t="inlineStr">
        <is>
          <t>Zins +0,5%</t>
        </is>
      </c>
      <c r="B58" s="476">
        <f>$C$26+0.005</f>
        <v/>
      </c>
      <c r="C58" s="854">
        <f>$H$34*((B58+$C$27)-$C$28*B58-$C$28*$C$31*$C$30*(1+$C$36))/12</f>
        <v/>
      </c>
      <c r="D58" s="847">
        <f>IFERROR(($C$35/C58)*$CA$23+$C$45,"")</f>
        <v/>
      </c>
      <c r="E58" s="478">
        <f>IFERROR(D58-D57,"")</f>
        <v/>
      </c>
      <c r="F58" s="19" t="n"/>
      <c r="G58" s="19" t="n"/>
      <c r="H58" s="19" t="n"/>
      <c r="I58" s="19" t="n"/>
      <c r="J58" s="19" t="n"/>
      <c r="K58" s="19" t="n"/>
      <c r="L58" s="19" t="n"/>
      <c r="M58" s="19" t="n"/>
      <c r="N58" s="19" t="n"/>
    </row>
    <row r="59" ht="15" customHeight="1" s="545">
      <c r="A59" s="475" t="inlineStr">
        <is>
          <t>Zins +1,0%</t>
        </is>
      </c>
      <c r="B59" s="476">
        <f>$C$26+0.01</f>
        <v/>
      </c>
      <c r="C59" s="854">
        <f>$H$34*((B59+$C$27)-$C$28*B59-$C$28*$C$31*$C$30*(1+$C$36))/12</f>
        <v/>
      </c>
      <c r="D59" s="847">
        <f>IFERROR(($C$35/C59)*$CA$23+$C$45,"")</f>
        <v/>
      </c>
      <c r="E59" s="478">
        <f>IFERROR(D59-D57,"")</f>
        <v/>
      </c>
      <c r="F59" s="19" t="n"/>
      <c r="G59" s="19" t="n"/>
      <c r="H59" s="19" t="n"/>
      <c r="I59" s="19" t="n"/>
      <c r="J59" s="19" t="n"/>
      <c r="K59" s="19" t="n"/>
      <c r="L59" s="19" t="n"/>
      <c r="M59" s="19" t="n"/>
      <c r="N59" s="19" t="n"/>
    </row>
    <row r="60" ht="15.75" customHeight="1" s="545">
      <c r="A60" s="19" t="n"/>
      <c r="B60" s="19" t="n"/>
      <c r="C60" s="19" t="n"/>
      <c r="D60" s="19" t="n"/>
      <c r="E60" s="19" t="n"/>
      <c r="F60" s="19" t="n"/>
      <c r="G60" s="19" t="n"/>
      <c r="H60" s="19" t="n"/>
      <c r="I60" s="19" t="n"/>
      <c r="J60" s="19" t="n"/>
      <c r="K60" s="19" t="n"/>
      <c r="L60" s="19" t="n"/>
      <c r="M60" s="19" t="n"/>
      <c r="N60" s="19" t="n"/>
    </row>
    <row r="61" ht="15.75" customHeight="1" s="545">
      <c r="A61" s="664" t="inlineStr">
        <is>
          <t>BEWIRTSCHAFTUNG (nicht umlagefaehig) - Standard fuer Wohnungen ohne Hausgeld-Angabe; speist die Alt-Kontrolle</t>
        </is>
      </c>
      <c r="B61" s="19" t="n"/>
      <c r="C61" s="19" t="n"/>
      <c r="D61" s="19" t="n"/>
      <c r="E61" s="19" t="n"/>
      <c r="F61" s="19" t="n"/>
      <c r="G61" s="19" t="n"/>
      <c r="H61" s="19" t="n"/>
      <c r="I61" s="19" t="n"/>
      <c r="J61" s="19" t="n"/>
      <c r="K61" s="19" t="n"/>
      <c r="L61" s="19" t="n"/>
      <c r="M61" s="19" t="n"/>
      <c r="N61" s="19" t="n"/>
    </row>
    <row r="62" ht="15.75" customHeight="1" s="545">
      <c r="A62" s="1027" t="inlineStr">
        <is>
          <t>Verwaltung (EUR/WE/Monat) - Standardquelle Stufe 3 fuer AY</t>
        </is>
      </c>
      <c r="B62" s="19" t="n"/>
      <c r="C62" s="1028" t="n">
        <v>35</v>
      </c>
      <c r="D62" s="19" t="n"/>
      <c r="E62" s="19" t="n"/>
      <c r="F62" s="19" t="n"/>
      <c r="G62" s="19" t="n"/>
      <c r="H62" s="19" t="n"/>
      <c r="I62" s="19" t="n"/>
      <c r="J62" s="19" t="n"/>
      <c r="K62" s="19" t="n"/>
      <c r="L62" s="19" t="n"/>
      <c r="M62" s="19" t="n"/>
      <c r="N62" s="19" t="n"/>
    </row>
    <row r="63" ht="15.75" customHeight="1" s="545">
      <c r="A63" s="1027" t="inlineStr">
        <is>
          <t>Anzahl WE</t>
        </is>
      </c>
      <c r="B63" s="19" t="n"/>
      <c r="C63" s="1029">
        <f>COUNT(F3:F22)</f>
        <v/>
      </c>
      <c r="D63" s="19" t="n"/>
      <c r="E63" s="19" t="n"/>
      <c r="F63" s="19" t="n"/>
      <c r="G63" s="19" t="n"/>
      <c r="H63" s="19" t="n"/>
      <c r="I63" s="19" t="n"/>
      <c r="J63" s="19" t="n"/>
      <c r="K63" s="19" t="n"/>
      <c r="L63" s="19" t="n"/>
      <c r="M63" s="19" t="n"/>
      <c r="N63" s="19" t="n"/>
    </row>
    <row r="64" ht="15.75" customHeight="1" s="545">
      <c r="A64" s="1027" t="inlineStr">
        <is>
          <t>Laufende Rücklage (€/m²/Jahr) - Standard/Obergrenze fuer AY und BA</t>
        </is>
      </c>
      <c r="B64" s="19" t="n"/>
      <c r="C64" s="1018" t="n">
        <v>14</v>
      </c>
      <c r="D64" s="19" t="n"/>
      <c r="E64" s="19" t="n"/>
      <c r="F64" s="19" t="n"/>
      <c r="G64" s="19" t="n"/>
      <c r="H64" s="19" t="n"/>
      <c r="I64" s="19" t="n"/>
      <c r="J64" s="19" t="n"/>
      <c r="K64" s="19" t="n"/>
      <c r="L64" s="19" t="n"/>
      <c r="M64" s="19" t="n"/>
      <c r="N64" s="19" t="n"/>
    </row>
    <row r="65" ht="15.75" customHeight="1" s="545">
      <c r="A65" s="1027" t="inlineStr">
        <is>
          <t>Wohnfläche gesamt (m2)</t>
        </is>
      </c>
      <c r="B65" s="19" t="n"/>
      <c r="C65" s="1030">
        <f>F23</f>
        <v/>
      </c>
      <c r="D65" s="19" t="n"/>
      <c r="E65" s="19" t="n"/>
      <c r="F65" s="19" t="n"/>
      <c r="G65" s="19" t="n"/>
      <c r="H65" s="19" t="n"/>
      <c r="I65" s="19" t="n"/>
      <c r="J65" s="19" t="n"/>
      <c r="K65" s="19" t="n"/>
      <c r="L65" s="19" t="n"/>
      <c r="M65" s="19" t="n"/>
      <c r="N65" s="19" t="n"/>
    </row>
    <row r="66" ht="15.75" customHeight="1" s="545">
      <c r="A66" s="443" t="inlineStr">
        <is>
          <t>Verwaltung gesamt (EUR/Jahr)</t>
        </is>
      </c>
      <c r="B66" s="19" t="n"/>
      <c r="C66" s="874">
        <f>C62*C63*12</f>
        <v/>
      </c>
      <c r="D66" s="19" t="n"/>
      <c r="E66" s="19" t="n"/>
      <c r="F66" s="19" t="n"/>
      <c r="G66" s="19" t="n"/>
      <c r="H66" s="19" t="n"/>
      <c r="I66" s="19" t="n"/>
      <c r="J66" s="19" t="n"/>
      <c r="K66" s="19" t="n"/>
      <c r="L66" s="19" t="n"/>
      <c r="M66" s="19" t="n"/>
      <c r="N66" s="19" t="n"/>
    </row>
    <row r="67" ht="15.75" customHeight="1" s="545">
      <c r="A67" s="443" t="inlineStr">
        <is>
          <t>Ruecklage gesamt (EUR/Jahr)</t>
        </is>
      </c>
      <c r="B67" s="19" t="n"/>
      <c r="C67" s="874">
        <f>C64*C65</f>
        <v/>
      </c>
      <c r="D67" s="19" t="n"/>
      <c r="E67" s="19" t="n"/>
      <c r="F67" s="19" t="n"/>
      <c r="G67" s="19" t="n"/>
      <c r="H67" s="19" t="n"/>
      <c r="I67" s="19" t="n"/>
      <c r="J67" s="19" t="n"/>
      <c r="K67" s="19" t="n"/>
      <c r="L67" s="19" t="n"/>
      <c r="M67" s="19" t="n"/>
      <c r="N67" s="19" t="n"/>
    </row>
    <row r="68" ht="15.75" customHeight="1" s="545">
      <c r="A68" s="443" t="inlineStr">
        <is>
          <t>Ruecklage ueber 10 Jahre (EUR)</t>
        </is>
      </c>
      <c r="B68" s="19" t="n"/>
      <c r="C68" s="874">
        <f>C67*10</f>
        <v/>
      </c>
      <c r="D68" s="19" t="n"/>
      <c r="E68" s="19" t="n"/>
      <c r="F68" s="19" t="n"/>
      <c r="G68" s="19" t="n"/>
      <c r="H68" s="19" t="n"/>
      <c r="I68" s="19" t="n"/>
      <c r="J68" s="19" t="n"/>
      <c r="K68" s="19" t="n"/>
      <c r="L68" s="19" t="n"/>
      <c r="M68" s="19" t="n"/>
      <c r="N68" s="19" t="n"/>
    </row>
    <row r="69" ht="15.75" customHeight="1" s="545">
      <c r="A69" s="1027" t="inlineStr">
        <is>
          <t>Nettokaltmiete IST (€/Jahr)</t>
        </is>
      </c>
      <c r="B69" s="19" t="n"/>
      <c r="C69" s="1031">
        <f>IF(NOT(ISNUMBER(AH23)),"",AH23*12)</f>
        <v/>
      </c>
      <c r="D69" s="19" t="n"/>
      <c r="E69" s="19" t="n"/>
      <c r="F69" s="19" t="n"/>
      <c r="G69" s="19" t="n"/>
      <c r="H69" s="19" t="n"/>
      <c r="I69" s="19" t="n"/>
      <c r="J69" s="19" t="n"/>
      <c r="K69" s="19" t="n"/>
      <c r="L69" s="19" t="n"/>
      <c r="M69" s="19" t="n"/>
      <c r="N69" s="19" t="n"/>
    </row>
    <row r="70" ht="15.75" customHeight="1" s="545">
      <c r="A70" s="443" t="inlineStr">
        <is>
          <t>-&gt; Bewirtschaftungsquote C8</t>
        </is>
      </c>
      <c r="B70" s="19" t="n"/>
      <c r="C70" s="875">
        <f>$C$29</f>
        <v/>
      </c>
      <c r="D70" s="19" t="n"/>
      <c r="E70" s="19" t="n"/>
      <c r="F70" s="19" t="n"/>
      <c r="G70" s="19" t="n"/>
      <c r="H70" s="19" t="n"/>
      <c r="I70" s="19" t="n"/>
      <c r="J70" s="19" t="n"/>
      <c r="K70" s="19" t="n"/>
      <c r="L70" s="19" t="n"/>
      <c r="M70" s="19" t="n"/>
      <c r="N70" s="19" t="n"/>
    </row>
    <row r="71" ht="15.75" customHeight="1" s="545">
      <c r="A71" s="19" t="n"/>
      <c r="B71" s="19" t="n"/>
      <c r="C71" s="19" t="n"/>
      <c r="D71" s="19" t="n"/>
      <c r="E71" s="19" t="n"/>
      <c r="F71" s="19" t="n"/>
      <c r="G71" s="19" t="n"/>
      <c r="H71" s="19" t="n"/>
      <c r="I71" s="19" t="n"/>
      <c r="J71" s="19" t="n"/>
      <c r="K71" s="19" t="n"/>
      <c r="L71" s="19" t="n"/>
      <c r="M71" s="19" t="n"/>
      <c r="N71" s="19" t="n"/>
    </row>
    <row r="72" ht="15.75" customHeight="1" s="545">
      <c r="A72" s="19" t="n"/>
      <c r="B72" s="19" t="n"/>
      <c r="C72" s="19" t="n"/>
      <c r="D72" s="19" t="n"/>
      <c r="E72" s="19" t="n"/>
      <c r="F72" s="19" t="n"/>
      <c r="G72" s="19" t="n"/>
      <c r="H72" s="19" t="n"/>
      <c r="I72" s="19" t="n"/>
      <c r="J72" s="19" t="n"/>
      <c r="K72" s="19" t="n"/>
      <c r="L72" s="19" t="n"/>
      <c r="M72" s="19" t="n"/>
      <c r="N72" s="19" t="n"/>
    </row>
    <row r="73" ht="15.75" customHeight="1" s="545">
      <c r="A73" s="664" t="inlineStr">
        <is>
          <t>RUECKLAGEN-TOPF -&gt; Quote &amp; max. Verkaufspreis (Alt-Kontrolle, globale Annahmen)</t>
        </is>
      </c>
      <c r="B73" s="19" t="n"/>
      <c r="C73" s="19" t="n"/>
      <c r="D73" s="19" t="n"/>
      <c r="E73" s="19" t="n"/>
      <c r="F73" s="19" t="n"/>
      <c r="G73" s="19" t="n"/>
      <c r="H73" s="19" t="n"/>
      <c r="I73" s="19" t="n"/>
      <c r="J73" s="19" t="n"/>
      <c r="K73" s="19" t="n"/>
      <c r="L73" s="19" t="n"/>
      <c r="M73" s="19" t="n"/>
      <c r="N73" s="19" t="n"/>
    </row>
    <row r="74" ht="15.75" customHeight="1" s="545">
      <c r="A74" s="443" t="inlineStr">
        <is>
          <t>Vorhandene WEG-Ruecklage (Referenz)</t>
        </is>
      </c>
      <c r="B74" s="19" t="n"/>
      <c r="C74" s="874">
        <f>IFERROR(BESICHTIGUNG!B11,0)</f>
        <v/>
      </c>
      <c r="D74" s="19" t="n"/>
      <c r="E74" s="19" t="n"/>
      <c r="F74" s="19" t="n"/>
      <c r="G74" s="19" t="n"/>
      <c r="H74" s="19" t="n"/>
      <c r="I74" s="19" t="n"/>
      <c r="J74" s="19" t="n"/>
      <c r="K74" s="19" t="n"/>
      <c r="L74" s="19" t="n"/>
      <c r="M74" s="19" t="n"/>
      <c r="N74" s="19" t="n"/>
    </row>
    <row r="75" ht="15.75" customHeight="1" s="545">
      <c r="A75" s="443" t="inlineStr">
        <is>
          <t>10-Jahres-Bedarf (EUR)</t>
        </is>
      </c>
      <c r="B75" s="19" t="n"/>
      <c r="C75" s="874">
        <f>C68</f>
        <v/>
      </c>
      <c r="D75" s="19" t="n"/>
      <c r="E75" s="19" t="n"/>
      <c r="F75" s="19" t="n"/>
      <c r="G75" s="19" t="n"/>
      <c r="H75" s="19" t="n"/>
      <c r="I75" s="19" t="n"/>
      <c r="J75" s="19" t="n"/>
      <c r="K75" s="19" t="n"/>
      <c r="L75" s="19" t="n"/>
      <c r="M75" s="19" t="n"/>
      <c r="N75" s="19" t="n"/>
    </row>
    <row r="76" ht="15.75" customHeight="1" s="545">
      <c r="A76" s="876" t="inlineStr">
        <is>
          <t>Topf EUR</t>
        </is>
      </c>
      <c r="B76" s="876" t="inlineStr">
        <is>
          <t>Rueckl. EUR/m2</t>
        </is>
      </c>
      <c r="C76" s="876" t="inlineStr">
        <is>
          <t>Rueckl. EUR/Jahr</t>
        </is>
      </c>
      <c r="D76" s="876" t="inlineStr">
        <is>
          <t>Quote C8</t>
        </is>
      </c>
      <c r="E76" s="876" t="inlineStr">
        <is>
          <t>max. VK-Preis</t>
        </is>
      </c>
      <c r="F76" s="19" t="n"/>
      <c r="G76" s="19" t="n"/>
      <c r="H76" s="19" t="n"/>
      <c r="I76" s="19" t="n"/>
      <c r="J76" s="19" t="n"/>
      <c r="K76" s="19" t="n"/>
      <c r="L76" s="19" t="n"/>
      <c r="M76" s="19" t="n"/>
      <c r="N76" s="19" t="n"/>
    </row>
    <row r="77" ht="15.75" customHeight="1" s="545">
      <c r="A77" s="874" t="n">
        <v>0</v>
      </c>
      <c r="B77" s="873">
        <f>MAX(0,($C$75-A77)/10)/$C$65</f>
        <v/>
      </c>
      <c r="C77" s="874">
        <f>MAX(0,($C$75-A77)/10)</f>
        <v/>
      </c>
      <c r="D77" s="877">
        <f>IF(OR(NOT(ISNUMBER($C$69)),$C$69=0),"",($C$66+C77)/$C$69)</f>
        <v/>
      </c>
      <c r="E77" s="874">
        <f>(((1-$C$28)*(1-D77)*$AH$23)-$C$63*$C$32)/$C$35</f>
        <v/>
      </c>
      <c r="F77" s="19" t="n"/>
      <c r="G77" s="19" t="n"/>
      <c r="H77" s="19" t="n"/>
      <c r="I77" s="19" t="n"/>
      <c r="J77" s="19" t="n"/>
      <c r="K77" s="19" t="n"/>
      <c r="L77" s="19" t="n"/>
      <c r="M77" s="19" t="n"/>
      <c r="N77" s="19" t="n"/>
    </row>
    <row r="78" ht="15.75" customHeight="1" s="545">
      <c r="A78" s="874" t="n">
        <v>5000</v>
      </c>
      <c r="B78" s="873">
        <f>MAX(0,($C$75-A78)/10)/$C$65</f>
        <v/>
      </c>
      <c r="C78" s="874">
        <f>MAX(0,($C$75-A78)/10)</f>
        <v/>
      </c>
      <c r="D78" s="877">
        <f>IF(OR(NOT(ISNUMBER($C$69)),$C$69=0),"",($C$66+C78)/$C$69)</f>
        <v/>
      </c>
      <c r="E78" s="874">
        <f>(((1-$C$28)*(1-D78)*$AH$23)-$C$63*$C$32)/$C$35</f>
        <v/>
      </c>
      <c r="F78" s="19" t="n"/>
      <c r="G78" s="19" t="n"/>
      <c r="H78" s="19" t="n"/>
      <c r="I78" s="19" t="n"/>
      <c r="J78" s="19" t="n"/>
      <c r="K78" s="19" t="n"/>
      <c r="L78" s="19" t="n"/>
      <c r="M78" s="19" t="n"/>
      <c r="N78" s="19" t="n"/>
    </row>
    <row r="79" ht="15.75" customHeight="1" s="545">
      <c r="A79" s="874" t="n">
        <v>10000</v>
      </c>
      <c r="B79" s="873">
        <f>MAX(0,($C$75-A79)/10)/$C$65</f>
        <v/>
      </c>
      <c r="C79" s="874">
        <f>MAX(0,($C$75-A79)/10)</f>
        <v/>
      </c>
      <c r="D79" s="877">
        <f>IF(OR(NOT(ISNUMBER($C$69)),$C$69=0),"",($C$66+C79)/$C$69)</f>
        <v/>
      </c>
      <c r="E79" s="874">
        <f>(((1-$C$28)*(1-D79)*$AH$23)-$C$63*$C$32)/$C$35</f>
        <v/>
      </c>
      <c r="F79" s="19" t="n"/>
      <c r="G79" s="19" t="n"/>
      <c r="H79" s="19" t="n"/>
      <c r="I79" s="19" t="n"/>
      <c r="J79" s="19" t="n"/>
      <c r="K79" s="19" t="n"/>
      <c r="L79" s="19" t="n"/>
      <c r="M79" s="19" t="n"/>
      <c r="N79" s="19" t="n"/>
    </row>
    <row r="80" ht="15.75" customHeight="1" s="545">
      <c r="A80" s="874" t="n">
        <v>15000</v>
      </c>
      <c r="B80" s="873">
        <f>MAX(0,($C$75-A80)/10)/$C$65</f>
        <v/>
      </c>
      <c r="C80" s="874">
        <f>MAX(0,($C$75-A80)/10)</f>
        <v/>
      </c>
      <c r="D80" s="877">
        <f>IF(OR(NOT(ISNUMBER($C$69)),$C$69=0),"",($C$66+C80)/$C$69)</f>
        <v/>
      </c>
      <c r="E80" s="874">
        <f>(((1-$C$28)*(1-D80)*$AH$23)-$C$63*$C$32)/$C$35</f>
        <v/>
      </c>
      <c r="F80" s="19" t="n"/>
      <c r="G80" s="19" t="n"/>
      <c r="H80" s="19" t="n"/>
      <c r="I80" s="19" t="n"/>
      <c r="J80" s="19" t="n"/>
      <c r="K80" s="19" t="n"/>
      <c r="L80" s="19" t="n"/>
      <c r="M80" s="19" t="n"/>
      <c r="N80" s="19" t="n"/>
    </row>
    <row r="81" ht="15.75" customHeight="1" s="545">
      <c r="A81" s="874" t="n">
        <v>20000</v>
      </c>
      <c r="B81" s="873">
        <f>MAX(0,($C$75-A81)/10)/$C$65</f>
        <v/>
      </c>
      <c r="C81" s="874">
        <f>MAX(0,($C$75-A81)/10)</f>
        <v/>
      </c>
      <c r="D81" s="877">
        <f>IF(OR(NOT(ISNUMBER($C$69)),$C$69=0),"",($C$66+C81)/$C$69)</f>
        <v/>
      </c>
      <c r="E81" s="874">
        <f>(((1-$C$28)*(1-D81)*$AH$23)-$C$63*$C$32)/$C$35</f>
        <v/>
      </c>
      <c r="F81" s="19" t="n"/>
      <c r="G81" s="19" t="n"/>
      <c r="H81" s="19" t="n"/>
      <c r="I81" s="19" t="n"/>
      <c r="J81" s="19" t="n"/>
      <c r="K81" s="19" t="n"/>
      <c r="L81" s="19" t="n"/>
      <c r="M81" s="19" t="n"/>
      <c r="N81" s="19" t="n"/>
    </row>
    <row r="82" ht="15.75" customHeight="1" s="545">
      <c r="A82" s="874" t="n">
        <v>25000</v>
      </c>
      <c r="B82" s="873">
        <f>MAX(0,($C$75-A82)/10)/$C$65</f>
        <v/>
      </c>
      <c r="C82" s="874">
        <f>MAX(0,($C$75-A82)/10)</f>
        <v/>
      </c>
      <c r="D82" s="877">
        <f>IF(OR(NOT(ISNUMBER($C$69)),$C$69=0),"",($C$66+C82)/$C$69)</f>
        <v/>
      </c>
      <c r="E82" s="874">
        <f>(((1-$C$28)*(1-D82)*$AH$23)-$C$63*$C$32)/$C$35</f>
        <v/>
      </c>
      <c r="F82" s="19" t="n"/>
      <c r="G82" s="19" t="n"/>
      <c r="H82" s="19" t="n"/>
      <c r="I82" s="19" t="n"/>
      <c r="J82" s="19" t="n"/>
      <c r="K82" s="19" t="n"/>
      <c r="L82" s="19" t="n"/>
      <c r="M82" s="19" t="n"/>
      <c r="N82" s="19" t="n"/>
    </row>
    <row r="83" ht="15.75" customHeight="1" s="545">
      <c r="A83" s="874" t="n">
        <v>30000</v>
      </c>
      <c r="B83" s="873">
        <f>MAX(0,($C$75-A83)/10)/$C$65</f>
        <v/>
      </c>
      <c r="C83" s="874">
        <f>MAX(0,($C$75-A83)/10)</f>
        <v/>
      </c>
      <c r="D83" s="877">
        <f>IF(OR(NOT(ISNUMBER($C$69)),$C$69=0),"",($C$66+C83)/$C$69)</f>
        <v/>
      </c>
      <c r="E83" s="874">
        <f>(((1-$C$28)*(1-D83)*$AH$23)-$C$63*$C$32)/$C$35</f>
        <v/>
      </c>
      <c r="F83" s="19" t="n"/>
      <c r="G83" s="19" t="n"/>
      <c r="H83" s="19" t="n"/>
      <c r="I83" s="19" t="n"/>
      <c r="J83" s="19" t="n"/>
      <c r="K83" s="19" t="n"/>
      <c r="L83" s="19" t="n"/>
      <c r="M83" s="19" t="n"/>
      <c r="N83" s="19" t="n"/>
    </row>
    <row r="84" ht="15.75" customHeight="1" s="545">
      <c r="A84" s="874" t="n">
        <v>35000</v>
      </c>
      <c r="B84" s="873">
        <f>MAX(0,($C$75-A84)/10)/$C$65</f>
        <v/>
      </c>
      <c r="C84" s="874">
        <f>MAX(0,($C$75-A84)/10)</f>
        <v/>
      </c>
      <c r="D84" s="877">
        <f>IF(OR(NOT(ISNUMBER($C$69)),$C$69=0),"",($C$66+C84)/$C$69)</f>
        <v/>
      </c>
      <c r="E84" s="874">
        <f>(((1-$C$28)*(1-D84)*$AH$23)-$C$63*$C$32)/$C$35</f>
        <v/>
      </c>
      <c r="F84" s="19" t="n"/>
      <c r="G84" s="19" t="n"/>
      <c r="H84" s="19" t="n"/>
      <c r="I84" s="19" t="n"/>
      <c r="J84" s="19" t="n"/>
      <c r="K84" s="19" t="n"/>
      <c r="L84" s="19" t="n"/>
      <c r="M84" s="19" t="n"/>
      <c r="N84" s="19" t="n"/>
    </row>
    <row r="85" ht="15.75" customHeight="1" s="545">
      <c r="A85" s="874" t="n">
        <v>40000</v>
      </c>
      <c r="B85" s="873">
        <f>MAX(0,($C$75-A85)/10)/$C$65</f>
        <v/>
      </c>
      <c r="C85" s="874">
        <f>MAX(0,($C$75-A85)/10)</f>
        <v/>
      </c>
      <c r="D85" s="877">
        <f>IF(OR(NOT(ISNUMBER($C$69)),$C$69=0),"",($C$66+C85)/$C$69)</f>
        <v/>
      </c>
      <c r="E85" s="874">
        <f>(((1-$C$28)*(1-D85)*$AH$23)-$C$63*$C$32)/$C$35</f>
        <v/>
      </c>
      <c r="F85" s="19" t="n"/>
      <c r="G85" s="19" t="n"/>
      <c r="H85" s="19" t="n"/>
      <c r="I85" s="19" t="n"/>
      <c r="J85" s="19" t="n"/>
      <c r="K85" s="19" t="n"/>
      <c r="L85" s="19" t="n"/>
      <c r="M85" s="19" t="n"/>
      <c r="N85" s="19" t="n"/>
    </row>
    <row r="86" ht="15.75" customHeight="1" s="545">
      <c r="A86" s="874" t="n">
        <v>45000</v>
      </c>
      <c r="B86" s="873">
        <f>MAX(0,($C$75-A86)/10)/$C$65</f>
        <v/>
      </c>
      <c r="C86" s="874">
        <f>MAX(0,($C$75-A86)/10)</f>
        <v/>
      </c>
      <c r="D86" s="877">
        <f>IF(OR(NOT(ISNUMBER($C$69)),$C$69=0),"",($C$66+C86)/$C$69)</f>
        <v/>
      </c>
      <c r="E86" s="874">
        <f>(((1-$C$28)*(1-D86)*$AH$23)-$C$63*$C$32)/$C$35</f>
        <v/>
      </c>
      <c r="F86" s="19" t="n"/>
      <c r="G86" s="19" t="n"/>
      <c r="H86" s="19" t="n"/>
      <c r="I86" s="19" t="n"/>
      <c r="J86" s="19" t="n"/>
      <c r="K86" s="19" t="n"/>
      <c r="L86" s="19" t="n"/>
      <c r="M86" s="19" t="n"/>
      <c r="N86" s="19" t="n"/>
    </row>
    <row r="87" ht="15.75" customHeight="1" s="545">
      <c r="A87" s="874" t="n">
        <v>50000</v>
      </c>
      <c r="B87" s="873">
        <f>MAX(0,($C$75-A87)/10)/$C$65</f>
        <v/>
      </c>
      <c r="C87" s="874">
        <f>MAX(0,($C$75-A87)/10)</f>
        <v/>
      </c>
      <c r="D87" s="877">
        <f>IF(OR(NOT(ISNUMBER($C$69)),$C$69=0),"",($C$66+C87)/$C$69)</f>
        <v/>
      </c>
      <c r="E87" s="874">
        <f>(((1-$C$28)*(1-D87)*$AH$23)-$C$63*$C$32)/$C$35</f>
        <v/>
      </c>
      <c r="F87" s="19" t="n"/>
      <c r="G87" s="19" t="n"/>
      <c r="H87" s="19" t="n"/>
      <c r="I87" s="19" t="n"/>
      <c r="J87" s="19" t="n"/>
      <c r="K87" s="19" t="n"/>
      <c r="L87" s="19" t="n"/>
      <c r="M87" s="19" t="n"/>
      <c r="N87" s="19" t="n"/>
    </row>
    <row r="88" ht="15.75" customHeight="1" s="545">
      <c r="A88" s="19" t="n"/>
      <c r="B88" s="19" t="n"/>
      <c r="C88" s="19" t="n"/>
      <c r="D88" s="19" t="n"/>
      <c r="E88" s="19" t="n"/>
      <c r="F88" s="19" t="n"/>
      <c r="G88" s="19" t="n"/>
      <c r="H88" s="19" t="n"/>
      <c r="I88" s="19" t="n"/>
      <c r="J88" s="19" t="n"/>
      <c r="K88" s="19" t="n"/>
      <c r="L88" s="19" t="n"/>
      <c r="M88" s="19" t="n"/>
      <c r="N88" s="19" t="n"/>
    </row>
    <row r="89" ht="15.75" customHeight="1" s="545">
      <c r="A89" s="19" t="n"/>
      <c r="B89" s="19" t="n"/>
      <c r="C89" s="19" t="n"/>
      <c r="D89" s="19" t="n"/>
      <c r="E89" s="19" t="n"/>
      <c r="F89" s="19" t="n"/>
      <c r="G89" s="19" t="n"/>
      <c r="H89" s="19" t="n"/>
      <c r="I89" s="19" t="n"/>
      <c r="J89" s="19" t="n"/>
      <c r="K89" s="19" t="n"/>
      <c r="L89" s="19" t="n"/>
      <c r="M89" s="19" t="n"/>
      <c r="N89" s="19" t="n"/>
    </row>
    <row r="90" ht="15.75" customHeight="1" s="545">
      <c r="A90" s="19" t="n"/>
      <c r="B90" s="19" t="n"/>
      <c r="C90" s="19" t="n"/>
      <c r="D90" s="19" t="n"/>
      <c r="E90" s="19" t="n"/>
      <c r="F90" s="19" t="n"/>
      <c r="G90" s="19" t="n"/>
      <c r="H90" s="19" t="n"/>
      <c r="I90" s="19" t="n"/>
      <c r="J90" s="19" t="n"/>
      <c r="K90" s="19" t="n"/>
      <c r="L90" s="19" t="n"/>
      <c r="M90" s="19" t="n"/>
      <c r="N90" s="19" t="n"/>
    </row>
    <row r="91" ht="15.75" customHeight="1" s="545">
      <c r="A91" s="19" t="n"/>
      <c r="B91" s="19" t="n"/>
      <c r="C91" s="19" t="n"/>
      <c r="D91" s="19" t="n"/>
      <c r="E91" s="19" t="n"/>
      <c r="F91" s="19" t="n"/>
      <c r="G91" s="19" t="n"/>
      <c r="H91" s="19" t="n"/>
      <c r="I91" s="19" t="n"/>
      <c r="J91" s="19" t="n"/>
      <c r="K91" s="19" t="n"/>
      <c r="L91" s="19" t="n"/>
      <c r="M91" s="19" t="n"/>
      <c r="N91" s="19" t="n"/>
    </row>
    <row r="92" ht="15.75" customHeight="1" s="545">
      <c r="A92" s="19" t="n"/>
      <c r="B92" s="19" t="n"/>
      <c r="C92" s="19" t="n"/>
      <c r="D92" s="19" t="n"/>
      <c r="E92" s="19" t="n"/>
      <c r="F92" s="19" t="n"/>
      <c r="G92" s="19" t="n"/>
      <c r="H92" s="19" t="n"/>
      <c r="I92" s="19" t="n"/>
      <c r="J92" s="19" t="n"/>
      <c r="K92" s="19" t="n"/>
      <c r="L92" s="19" t="n"/>
      <c r="M92" s="19" t="n"/>
      <c r="N92" s="19" t="n"/>
    </row>
    <row r="93" ht="15.75" customHeight="1" s="545">
      <c r="A93" s="19" t="n"/>
      <c r="B93" s="19" t="n"/>
      <c r="C93" s="19" t="n"/>
      <c r="D93" s="19" t="n"/>
      <c r="E93" s="19" t="n"/>
      <c r="F93" s="19" t="n"/>
      <c r="G93" s="19" t="n"/>
      <c r="H93" s="19" t="n"/>
      <c r="I93" s="19" t="n"/>
      <c r="J93" s="19" t="n"/>
      <c r="K93" s="19" t="n"/>
      <c r="L93" s="19" t="n"/>
      <c r="M93" s="19" t="n"/>
      <c r="N93" s="19" t="n"/>
    </row>
    <row r="94" ht="15.75" customHeight="1" s="545">
      <c r="A94" s="19" t="n"/>
      <c r="B94" s="19" t="n"/>
      <c r="C94" s="19" t="n"/>
      <c r="D94" s="19" t="n"/>
      <c r="E94" s="19" t="n"/>
      <c r="F94" s="19" t="n"/>
      <c r="G94" s="19" t="n"/>
      <c r="H94" s="19" t="n"/>
      <c r="I94" s="19" t="n"/>
      <c r="J94" s="19" t="n"/>
      <c r="K94" s="19" t="n"/>
      <c r="L94" s="19" t="n"/>
      <c r="M94" s="19" t="n"/>
      <c r="N94" s="19" t="n"/>
    </row>
    <row r="95" ht="15.75" customHeight="1" s="545">
      <c r="A95" s="19" t="n"/>
      <c r="B95" s="19" t="n"/>
      <c r="C95" s="19" t="n"/>
      <c r="D95" s="19" t="n"/>
      <c r="E95" s="19" t="n"/>
      <c r="F95" s="19" t="n"/>
      <c r="G95" s="19" t="n"/>
      <c r="H95" s="19" t="n"/>
      <c r="I95" s="19" t="n"/>
      <c r="J95" s="19" t="n"/>
      <c r="K95" s="19" t="n"/>
      <c r="L95" s="19" t="n"/>
      <c r="M95" s="19" t="n"/>
      <c r="N95" s="19" t="n"/>
    </row>
    <row r="96" ht="15.75" customHeight="1" s="545">
      <c r="A96" s="19" t="n"/>
      <c r="B96" s="19" t="n"/>
      <c r="C96" s="19" t="n"/>
      <c r="D96" s="19" t="n"/>
      <c r="E96" s="19" t="n"/>
      <c r="F96" s="19" t="n"/>
      <c r="G96" s="19" t="n"/>
      <c r="H96" s="19" t="n"/>
      <c r="I96" s="19" t="n"/>
      <c r="J96" s="19" t="n"/>
      <c r="K96" s="19" t="n"/>
      <c r="L96" s="19" t="n"/>
      <c r="M96" s="19" t="n"/>
      <c r="N96" s="19" t="n"/>
    </row>
    <row r="97" ht="15.75" customHeight="1" s="545">
      <c r="A97" s="19" t="n"/>
      <c r="B97" s="19" t="n"/>
      <c r="C97" s="19" t="n"/>
      <c r="D97" s="19" t="n"/>
      <c r="E97" s="19" t="n"/>
      <c r="F97" s="19" t="n"/>
      <c r="G97" s="19" t="n"/>
      <c r="H97" s="19" t="n"/>
      <c r="I97" s="19" t="n"/>
      <c r="J97" s="19" t="n"/>
      <c r="K97" s="19" t="n"/>
      <c r="L97" s="19" t="n"/>
      <c r="M97" s="19" t="n"/>
      <c r="N97" s="19" t="n"/>
    </row>
    <row r="98" ht="15.75" customHeight="1" s="545">
      <c r="A98" s="19" t="n"/>
      <c r="B98" s="19" t="n"/>
      <c r="C98" s="19" t="n"/>
      <c r="D98" s="19" t="n"/>
      <c r="E98" s="19" t="n"/>
      <c r="F98" s="19" t="n"/>
      <c r="G98" s="19" t="n"/>
      <c r="H98" s="19" t="n"/>
      <c r="I98" s="19" t="n"/>
      <c r="J98" s="19" t="n"/>
      <c r="K98" s="19" t="n"/>
      <c r="L98" s="19" t="n"/>
      <c r="M98" s="19" t="n"/>
      <c r="N98" s="19" t="n"/>
    </row>
    <row r="99" ht="15.75" customHeight="1" s="545">
      <c r="A99" s="19" t="n"/>
      <c r="B99" s="19" t="n"/>
      <c r="C99" s="19" t="n"/>
      <c r="D99" s="19" t="n"/>
      <c r="E99" s="19" t="n"/>
      <c r="F99" s="19" t="n"/>
      <c r="G99" s="19" t="n"/>
      <c r="H99" s="19" t="n"/>
      <c r="I99" s="19" t="n"/>
      <c r="J99" s="19" t="n"/>
      <c r="K99" s="19" t="n"/>
      <c r="L99" s="19" t="n"/>
      <c r="M99" s="19" t="n"/>
      <c r="N99" s="19" t="n"/>
    </row>
    <row r="100" ht="15.75" customHeight="1" s="545">
      <c r="A100" s="19" t="n"/>
      <c r="B100" s="19" t="n"/>
      <c r="C100" s="19" t="n"/>
      <c r="D100" s="19" t="n"/>
      <c r="E100" s="19" t="n"/>
      <c r="F100" s="19" t="n"/>
      <c r="G100" s="19" t="n"/>
      <c r="H100" s="19" t="n"/>
      <c r="I100" s="19" t="n"/>
      <c r="J100" s="19" t="n"/>
      <c r="K100" s="19" t="n"/>
      <c r="L100" s="19" t="n"/>
      <c r="M100" s="19" t="n"/>
      <c r="N100" s="19" t="n"/>
    </row>
    <row r="101" ht="15.75" customHeight="1" s="545">
      <c r="A101" s="19" t="n"/>
      <c r="B101" s="19" t="n"/>
      <c r="C101" s="19" t="n"/>
      <c r="D101" s="19" t="n"/>
      <c r="E101" s="19" t="n"/>
      <c r="F101" s="19" t="n"/>
      <c r="G101" s="19" t="n"/>
      <c r="H101" s="19" t="n"/>
      <c r="I101" s="19" t="n"/>
      <c r="J101" s="19" t="n"/>
      <c r="K101" s="19" t="n"/>
      <c r="L101" s="19" t="n"/>
      <c r="M101" s="19" t="n"/>
      <c r="N101" s="19" t="n"/>
    </row>
    <row r="102" ht="15.75" customHeight="1" s="545">
      <c r="A102" s="19" t="n"/>
      <c r="B102" s="19" t="n"/>
      <c r="C102" s="19" t="n"/>
      <c r="D102" s="19" t="n"/>
      <c r="E102" s="19" t="n"/>
      <c r="F102" s="19" t="n"/>
      <c r="G102" s="19" t="n"/>
      <c r="H102" s="19" t="n"/>
      <c r="I102" s="19" t="n"/>
      <c r="J102" s="19" t="n"/>
      <c r="K102" s="19" t="n"/>
      <c r="L102" s="19" t="n"/>
      <c r="M102" s="19" t="n"/>
      <c r="N102" s="19" t="n"/>
    </row>
    <row r="103" ht="15.75" customHeight="1" s="545">
      <c r="A103" s="19" t="n"/>
      <c r="B103" s="19" t="n"/>
      <c r="C103" s="19" t="n"/>
      <c r="D103" s="19" t="n"/>
      <c r="E103" s="19" t="n"/>
      <c r="F103" s="19" t="n"/>
      <c r="G103" s="19" t="n"/>
      <c r="H103" s="19" t="n"/>
      <c r="I103" s="19" t="n"/>
      <c r="J103" s="19" t="n"/>
      <c r="K103" s="19" t="n"/>
      <c r="L103" s="19" t="n"/>
      <c r="M103" s="19" t="n"/>
      <c r="N103" s="19" t="n"/>
    </row>
    <row r="104" ht="15.75" customHeight="1" s="545">
      <c r="A104" s="19" t="n"/>
      <c r="B104" s="19" t="n"/>
      <c r="C104" s="19" t="n"/>
      <c r="D104" s="19" t="n"/>
      <c r="E104" s="19" t="n"/>
      <c r="F104" s="19" t="n"/>
      <c r="G104" s="19" t="n"/>
      <c r="H104" s="19" t="n"/>
      <c r="I104" s="19" t="n"/>
      <c r="J104" s="19" t="n"/>
      <c r="K104" s="19" t="n"/>
      <c r="L104" s="19" t="n"/>
      <c r="M104" s="19" t="n"/>
      <c r="N104" s="19" t="n"/>
    </row>
    <row r="105" ht="15.75" customHeight="1" s="545">
      <c r="A105" s="19" t="n"/>
      <c r="B105" s="19" t="n"/>
      <c r="C105" s="19" t="n"/>
      <c r="D105" s="19" t="n"/>
      <c r="E105" s="19" t="n"/>
      <c r="F105" s="19" t="n"/>
      <c r="G105" s="19" t="n"/>
      <c r="H105" s="19" t="n"/>
      <c r="I105" s="19" t="n"/>
      <c r="J105" s="19" t="n"/>
      <c r="K105" s="19" t="n"/>
      <c r="L105" s="19" t="n"/>
      <c r="M105" s="19" t="n"/>
      <c r="N105" s="19" t="n"/>
    </row>
    <row r="106" ht="15.75" customHeight="1" s="545">
      <c r="A106" s="19" t="n"/>
      <c r="B106" s="19" t="n"/>
      <c r="C106" s="19" t="n"/>
      <c r="D106" s="19" t="n"/>
      <c r="E106" s="19" t="n"/>
      <c r="F106" s="19" t="n"/>
      <c r="G106" s="19" t="n"/>
      <c r="H106" s="19" t="n"/>
      <c r="I106" s="19" t="n"/>
      <c r="J106" s="19" t="n"/>
      <c r="K106" s="19" t="n"/>
      <c r="L106" s="19" t="n"/>
      <c r="M106" s="19" t="n"/>
      <c r="N106" s="19" t="n"/>
    </row>
    <row r="107" ht="15.75" customHeight="1" s="545">
      <c r="A107" s="19" t="n"/>
      <c r="B107" s="19" t="n"/>
      <c r="C107" s="19" t="n"/>
      <c r="D107" s="19" t="n"/>
      <c r="E107" s="19" t="n"/>
      <c r="F107" s="19" t="n"/>
      <c r="G107" s="19" t="n"/>
      <c r="H107" s="19" t="n"/>
      <c r="I107" s="19" t="n"/>
      <c r="J107" s="19" t="n"/>
      <c r="K107" s="19" t="n"/>
      <c r="L107" s="19" t="n"/>
      <c r="M107" s="19" t="n"/>
      <c r="N107" s="19" t="n"/>
    </row>
    <row r="108" ht="15.75" customHeight="1" s="545">
      <c r="A108" s="19" t="n"/>
      <c r="B108" s="19" t="n"/>
      <c r="C108" s="19" t="n"/>
      <c r="D108" s="19" t="n"/>
      <c r="E108" s="19" t="n"/>
      <c r="F108" s="19" t="n"/>
      <c r="G108" s="19" t="n"/>
      <c r="H108" s="19" t="n"/>
      <c r="I108" s="19" t="n"/>
      <c r="J108" s="19" t="n"/>
      <c r="K108" s="19" t="n"/>
      <c r="L108" s="19" t="n"/>
      <c r="M108" s="19" t="n"/>
      <c r="N108" s="19" t="n"/>
    </row>
    <row r="109" ht="15.75" customHeight="1" s="545">
      <c r="A109" s="19" t="n"/>
      <c r="B109" s="19" t="n"/>
      <c r="C109" s="19" t="n"/>
      <c r="D109" s="19" t="n"/>
      <c r="E109" s="19" t="n"/>
      <c r="F109" s="19" t="n"/>
      <c r="G109" s="19" t="n"/>
      <c r="H109" s="19" t="n"/>
      <c r="I109" s="19" t="n"/>
      <c r="J109" s="19" t="n"/>
      <c r="K109" s="19" t="n"/>
      <c r="L109" s="19" t="n"/>
      <c r="M109" s="19" t="n"/>
      <c r="N109" s="19" t="n"/>
    </row>
    <row r="110" ht="15.75" customHeight="1" s="545">
      <c r="A110" s="19" t="n"/>
      <c r="B110" s="19" t="n"/>
      <c r="C110" s="19" t="n"/>
      <c r="D110" s="19" t="n"/>
      <c r="E110" s="19" t="n"/>
      <c r="F110" s="19" t="n"/>
      <c r="G110" s="19" t="n"/>
      <c r="H110" s="19" t="n"/>
      <c r="I110" s="19" t="n"/>
      <c r="J110" s="19" t="n"/>
      <c r="K110" s="19" t="n"/>
      <c r="L110" s="19" t="n"/>
      <c r="M110" s="19" t="n"/>
      <c r="N110" s="19" t="n"/>
    </row>
    <row r="111" ht="15.75" customHeight="1" s="545">
      <c r="A111" s="19" t="n"/>
      <c r="B111" s="19" t="n"/>
      <c r="C111" s="19" t="n"/>
      <c r="D111" s="19" t="n"/>
      <c r="E111" s="19" t="n"/>
      <c r="F111" s="19" t="n"/>
      <c r="G111" s="19" t="n"/>
      <c r="H111" s="19" t="n"/>
      <c r="I111" s="19" t="n"/>
      <c r="J111" s="19" t="n"/>
      <c r="K111" s="19" t="n"/>
      <c r="L111" s="19" t="n"/>
      <c r="M111" s="19" t="n"/>
      <c r="N111" s="19" t="n"/>
    </row>
    <row r="112" ht="15.75" customHeight="1" s="545">
      <c r="A112" s="19" t="n"/>
      <c r="B112" s="19" t="n"/>
      <c r="C112" s="19" t="n"/>
      <c r="D112" s="19" t="n"/>
      <c r="E112" s="19" t="n"/>
      <c r="F112" s="19" t="n"/>
      <c r="G112" s="19" t="n"/>
      <c r="H112" s="19" t="n"/>
      <c r="I112" s="19" t="n"/>
      <c r="J112" s="19" t="n"/>
      <c r="K112" s="19" t="n"/>
      <c r="L112" s="19" t="n"/>
      <c r="M112" s="19" t="n"/>
      <c r="N112" s="19" t="n"/>
    </row>
    <row r="113" ht="15.75" customHeight="1" s="545">
      <c r="A113" s="19" t="n"/>
      <c r="B113" s="19" t="n"/>
      <c r="C113" s="19" t="n"/>
      <c r="D113" s="19" t="n"/>
      <c r="E113" s="19" t="n"/>
      <c r="F113" s="19" t="n"/>
      <c r="G113" s="19" t="n"/>
      <c r="H113" s="19" t="n"/>
      <c r="I113" s="19" t="n"/>
      <c r="J113" s="19" t="n"/>
      <c r="K113" s="19" t="n"/>
      <c r="L113" s="19" t="n"/>
      <c r="M113" s="19" t="n"/>
      <c r="N113" s="19" t="n"/>
    </row>
    <row r="114" ht="15.75" customHeight="1" s="545">
      <c r="A114" s="19" t="n"/>
      <c r="B114" s="19" t="n"/>
      <c r="C114" s="19" t="n"/>
      <c r="D114" s="19" t="n"/>
      <c r="E114" s="19" t="n"/>
      <c r="F114" s="19" t="n"/>
      <c r="G114" s="19" t="n"/>
      <c r="H114" s="19" t="n"/>
      <c r="I114" s="19" t="n"/>
      <c r="J114" s="19" t="n"/>
      <c r="K114" s="19" t="n"/>
      <c r="L114" s="19" t="n"/>
      <c r="M114" s="19" t="n"/>
      <c r="N114" s="19" t="n"/>
    </row>
    <row r="115" ht="15.75" customHeight="1" s="545">
      <c r="A115" s="19" t="n"/>
      <c r="B115" s="19" t="n"/>
      <c r="C115" s="19" t="n"/>
      <c r="D115" s="19" t="n"/>
      <c r="E115" s="19" t="n"/>
      <c r="F115" s="19" t="n"/>
      <c r="G115" s="19" t="n"/>
      <c r="H115" s="19" t="n"/>
      <c r="I115" s="19" t="n"/>
      <c r="J115" s="19" t="n"/>
      <c r="K115" s="19" t="n"/>
      <c r="L115" s="19" t="n"/>
      <c r="M115" s="19" t="n"/>
      <c r="N115" s="19" t="n"/>
    </row>
    <row r="116" ht="15.75" customHeight="1" s="545">
      <c r="A116" s="19" t="n"/>
      <c r="B116" s="19" t="n"/>
      <c r="C116" s="19" t="n"/>
      <c r="D116" s="19" t="n"/>
      <c r="E116" s="19" t="n"/>
      <c r="F116" s="19" t="n"/>
      <c r="G116" s="19" t="n"/>
      <c r="H116" s="19" t="n"/>
      <c r="I116" s="19" t="n"/>
      <c r="J116" s="19" t="n"/>
      <c r="K116" s="19" t="n"/>
      <c r="L116" s="19" t="n"/>
      <c r="M116" s="19" t="n"/>
      <c r="N116" s="19" t="n"/>
    </row>
    <row r="117" ht="15.75" customHeight="1" s="545">
      <c r="A117" s="19" t="n"/>
      <c r="B117" s="19" t="n"/>
      <c r="C117" s="19" t="n"/>
      <c r="D117" s="19" t="n"/>
      <c r="E117" s="19" t="n"/>
      <c r="F117" s="19" t="n"/>
      <c r="G117" s="19" t="n"/>
      <c r="H117" s="19" t="n"/>
      <c r="I117" s="19" t="n"/>
      <c r="J117" s="19" t="n"/>
      <c r="K117" s="19" t="n"/>
      <c r="L117" s="19" t="n"/>
      <c r="M117" s="19" t="n"/>
      <c r="N117" s="19" t="n"/>
    </row>
    <row r="118" ht="15.75" customHeight="1" s="545">
      <c r="A118" s="19" t="n"/>
      <c r="B118" s="19" t="n"/>
      <c r="C118" s="19" t="n"/>
      <c r="D118" s="19" t="n"/>
      <c r="E118" s="19" t="n"/>
      <c r="F118" s="19" t="n"/>
      <c r="G118" s="19" t="n"/>
      <c r="H118" s="19" t="n"/>
      <c r="I118" s="19" t="n"/>
      <c r="J118" s="19" t="n"/>
      <c r="K118" s="19" t="n"/>
      <c r="L118" s="19" t="n"/>
      <c r="M118" s="19" t="n"/>
      <c r="N118" s="19" t="n"/>
    </row>
    <row r="119" ht="15.75" customHeight="1" s="545">
      <c r="A119" s="19" t="n"/>
      <c r="B119" s="19" t="n"/>
      <c r="C119" s="19" t="n"/>
      <c r="D119" s="19" t="n"/>
      <c r="E119" s="19" t="n"/>
      <c r="F119" s="19" t="n"/>
      <c r="G119" s="19" t="n"/>
      <c r="H119" s="19" t="n"/>
      <c r="I119" s="19" t="n"/>
      <c r="J119" s="19" t="n"/>
      <c r="K119" s="19" t="n"/>
      <c r="L119" s="19" t="n"/>
      <c r="M119" s="19" t="n"/>
      <c r="N119" s="19" t="n"/>
    </row>
    <row r="120" ht="15.75" customHeight="1" s="545">
      <c r="A120" s="19" t="n"/>
      <c r="B120" s="19" t="n"/>
      <c r="C120" s="19" t="n"/>
      <c r="D120" s="19" t="n"/>
      <c r="E120" s="19" t="n"/>
      <c r="F120" s="19" t="n"/>
      <c r="G120" s="19" t="n"/>
      <c r="H120" s="19" t="n"/>
      <c r="I120" s="19" t="n"/>
      <c r="J120" s="19" t="n"/>
      <c r="K120" s="19" t="n"/>
      <c r="L120" s="19" t="n"/>
      <c r="M120" s="19" t="n"/>
      <c r="N120" s="19" t="n"/>
    </row>
    <row r="121" ht="15.75" customHeight="1" s="545">
      <c r="A121" s="19" t="n"/>
      <c r="B121" s="19" t="n"/>
      <c r="C121" s="19" t="n"/>
      <c r="D121" s="19" t="n"/>
      <c r="E121" s="19" t="n"/>
      <c r="F121" s="19" t="n"/>
      <c r="G121" s="19" t="n"/>
      <c r="H121" s="19" t="n"/>
      <c r="I121" s="19" t="n"/>
      <c r="J121" s="19" t="n"/>
      <c r="K121" s="19" t="n"/>
      <c r="L121" s="19" t="n"/>
      <c r="M121" s="19" t="n"/>
      <c r="N121" s="19" t="n"/>
    </row>
    <row r="122" ht="15.75" customHeight="1" s="545">
      <c r="A122" s="19" t="n"/>
      <c r="B122" s="19" t="n"/>
      <c r="C122" s="19" t="n"/>
      <c r="D122" s="19" t="n"/>
      <c r="E122" s="19" t="n"/>
      <c r="F122" s="19" t="n"/>
      <c r="G122" s="19" t="n"/>
      <c r="H122" s="19" t="n"/>
      <c r="I122" s="19" t="n"/>
      <c r="J122" s="19" t="n"/>
      <c r="K122" s="19" t="n"/>
      <c r="L122" s="19" t="n"/>
      <c r="M122" s="19" t="n"/>
      <c r="N122" s="19" t="n"/>
    </row>
    <row r="123" ht="15.75" customHeight="1" s="545">
      <c r="A123" s="19" t="n"/>
      <c r="B123" s="19" t="n"/>
      <c r="C123" s="19" t="n"/>
      <c r="D123" s="19" t="n"/>
      <c r="E123" s="19" t="n"/>
      <c r="F123" s="19" t="n"/>
      <c r="G123" s="19" t="n"/>
      <c r="H123" s="19" t="n"/>
      <c r="I123" s="19" t="n"/>
      <c r="J123" s="19" t="n"/>
      <c r="K123" s="19" t="n"/>
      <c r="L123" s="19" t="n"/>
      <c r="M123" s="19" t="n"/>
      <c r="N123" s="19" t="n"/>
    </row>
    <row r="124" ht="15.75" customHeight="1" s="545">
      <c r="A124" s="19" t="n"/>
      <c r="B124" s="19" t="n"/>
      <c r="C124" s="19" t="n"/>
      <c r="D124" s="19" t="n"/>
      <c r="E124" s="19" t="n"/>
      <c r="F124" s="19" t="n"/>
      <c r="G124" s="19" t="n"/>
      <c r="H124" s="19" t="n"/>
      <c r="I124" s="19" t="n"/>
      <c r="J124" s="19" t="n"/>
      <c r="K124" s="19" t="n"/>
      <c r="L124" s="19" t="n"/>
      <c r="M124" s="19" t="n"/>
      <c r="N124" s="19" t="n"/>
    </row>
    <row r="125" ht="15.75" customHeight="1" s="545">
      <c r="A125" s="19" t="n"/>
      <c r="B125" s="19" t="n"/>
      <c r="C125" s="19" t="n"/>
      <c r="D125" s="19" t="n"/>
      <c r="E125" s="19" t="n"/>
      <c r="F125" s="19" t="n"/>
      <c r="G125" s="19" t="n"/>
      <c r="H125" s="19" t="n"/>
      <c r="I125" s="19" t="n"/>
      <c r="J125" s="19" t="n"/>
      <c r="K125" s="19" t="n"/>
      <c r="L125" s="19" t="n"/>
      <c r="M125" s="19" t="n"/>
      <c r="N125" s="19" t="n"/>
    </row>
    <row r="126" ht="15.75" customHeight="1" s="545">
      <c r="A126" s="19" t="n"/>
      <c r="B126" s="19" t="n"/>
      <c r="C126" s="19" t="n"/>
      <c r="D126" s="19" t="n"/>
      <c r="E126" s="19" t="n"/>
      <c r="F126" s="19" t="n"/>
      <c r="G126" s="19" t="n"/>
      <c r="H126" s="19" t="n"/>
      <c r="I126" s="19" t="n"/>
      <c r="J126" s="19" t="n"/>
      <c r="K126" s="19" t="n"/>
      <c r="L126" s="19" t="n"/>
      <c r="M126" s="19" t="n"/>
      <c r="N126" s="19" t="n"/>
    </row>
    <row r="127" ht="15.75" customHeight="1" s="545">
      <c r="A127" s="19" t="n"/>
      <c r="B127" s="19" t="n"/>
      <c r="C127" s="19" t="n"/>
      <c r="D127" s="19" t="n"/>
      <c r="E127" s="19" t="n"/>
      <c r="F127" s="19" t="n"/>
      <c r="G127" s="19" t="n"/>
      <c r="H127" s="19" t="n"/>
      <c r="I127" s="19" t="n"/>
      <c r="J127" s="19" t="n"/>
      <c r="K127" s="19" t="n"/>
      <c r="L127" s="19" t="n"/>
      <c r="M127" s="19" t="n"/>
      <c r="N127" s="19" t="n"/>
    </row>
    <row r="128" ht="15.75" customHeight="1" s="545">
      <c r="A128" s="19" t="n"/>
      <c r="B128" s="19" t="n"/>
      <c r="C128" s="19" t="n"/>
      <c r="D128" s="19" t="n"/>
      <c r="E128" s="19" t="n"/>
      <c r="F128" s="19" t="n"/>
      <c r="G128" s="19" t="n"/>
      <c r="H128" s="19" t="n"/>
      <c r="I128" s="19" t="n"/>
      <c r="J128" s="19" t="n"/>
      <c r="K128" s="19" t="n"/>
      <c r="L128" s="19" t="n"/>
      <c r="M128" s="19" t="n"/>
      <c r="N128" s="19" t="n"/>
    </row>
    <row r="129" ht="15.75" customHeight="1" s="545">
      <c r="A129" s="19" t="n"/>
      <c r="B129" s="19" t="n"/>
      <c r="C129" s="19" t="n"/>
      <c r="D129" s="19" t="n"/>
      <c r="E129" s="19" t="n"/>
      <c r="F129" s="19" t="n"/>
      <c r="G129" s="19" t="n"/>
      <c r="H129" s="19" t="n"/>
      <c r="I129" s="19" t="n"/>
      <c r="J129" s="19" t="n"/>
      <c r="K129" s="19" t="n"/>
      <c r="L129" s="19" t="n"/>
      <c r="M129" s="19" t="n"/>
      <c r="N129" s="19" t="n"/>
    </row>
    <row r="130" ht="15.75" customHeight="1" s="545">
      <c r="A130" s="19" t="n"/>
      <c r="B130" s="19" t="n"/>
      <c r="C130" s="19" t="n"/>
      <c r="D130" s="19" t="n"/>
      <c r="E130" s="19" t="n"/>
      <c r="F130" s="19" t="n"/>
      <c r="G130" s="19" t="n"/>
      <c r="H130" s="19" t="n"/>
      <c r="I130" s="19" t="n"/>
      <c r="J130" s="19" t="n"/>
      <c r="K130" s="19" t="n"/>
      <c r="L130" s="19" t="n"/>
      <c r="M130" s="19" t="n"/>
      <c r="N130" s="19" t="n"/>
    </row>
    <row r="131" ht="15.75" customHeight="1" s="545">
      <c r="A131" s="19" t="n"/>
      <c r="B131" s="19" t="n"/>
      <c r="C131" s="19" t="n"/>
      <c r="D131" s="19" t="n"/>
      <c r="E131" s="19" t="n"/>
      <c r="F131" s="19" t="n"/>
      <c r="G131" s="19" t="n"/>
      <c r="H131" s="19" t="n"/>
      <c r="I131" s="19" t="n"/>
      <c r="J131" s="19" t="n"/>
      <c r="K131" s="19" t="n"/>
      <c r="L131" s="19" t="n"/>
      <c r="M131" s="19" t="n"/>
      <c r="N131" s="19" t="n"/>
    </row>
    <row r="132" ht="15.75" customHeight="1" s="545">
      <c r="A132" s="19" t="n"/>
      <c r="B132" s="19" t="n"/>
      <c r="C132" s="19" t="n"/>
      <c r="D132" s="19" t="n"/>
      <c r="E132" s="19" t="n"/>
      <c r="F132" s="19" t="n"/>
      <c r="G132" s="19" t="n"/>
      <c r="H132" s="19" t="n"/>
      <c r="I132" s="19" t="n"/>
      <c r="J132" s="19" t="n"/>
      <c r="K132" s="19" t="n"/>
      <c r="L132" s="19" t="n"/>
      <c r="M132" s="19" t="n"/>
      <c r="N132" s="19" t="n"/>
    </row>
    <row r="133" ht="15.75" customHeight="1" s="545">
      <c r="A133" s="19" t="n"/>
      <c r="B133" s="19" t="n"/>
      <c r="C133" s="19" t="n"/>
      <c r="D133" s="19" t="n"/>
      <c r="E133" s="19" t="n"/>
      <c r="F133" s="19" t="n"/>
      <c r="G133" s="19" t="n"/>
      <c r="H133" s="19" t="n"/>
      <c r="I133" s="19" t="n"/>
      <c r="J133" s="19" t="n"/>
      <c r="K133" s="19" t="n"/>
      <c r="L133" s="19" t="n"/>
      <c r="M133" s="19" t="n"/>
      <c r="N133" s="19" t="n"/>
    </row>
    <row r="134" ht="15.75" customHeight="1" s="545">
      <c r="A134" s="19" t="n"/>
      <c r="B134" s="19" t="n"/>
      <c r="C134" s="19" t="n"/>
      <c r="D134" s="19" t="n"/>
      <c r="E134" s="19" t="n"/>
      <c r="F134" s="19" t="n"/>
      <c r="G134" s="19" t="n"/>
      <c r="H134" s="19" t="n"/>
      <c r="I134" s="19" t="n"/>
      <c r="J134" s="19" t="n"/>
      <c r="K134" s="19" t="n"/>
      <c r="L134" s="19" t="n"/>
      <c r="M134" s="19" t="n"/>
      <c r="N134" s="19" t="n"/>
    </row>
    <row r="135" ht="15.75" customHeight="1" s="545">
      <c r="A135" s="19" t="n"/>
      <c r="B135" s="19" t="n"/>
      <c r="C135" s="19" t="n"/>
      <c r="D135" s="19" t="n"/>
      <c r="E135" s="19" t="n"/>
      <c r="F135" s="19" t="n"/>
      <c r="G135" s="19" t="n"/>
      <c r="H135" s="19" t="n"/>
      <c r="I135" s="19" t="n"/>
      <c r="J135" s="19" t="n"/>
      <c r="K135" s="19" t="n"/>
      <c r="L135" s="19" t="n"/>
      <c r="M135" s="19" t="n"/>
      <c r="N135" s="19" t="n"/>
    </row>
    <row r="136" ht="15.75" customHeight="1" s="545">
      <c r="A136" s="19" t="n"/>
      <c r="B136" s="19" t="n"/>
      <c r="C136" s="19" t="n"/>
      <c r="D136" s="19" t="n"/>
      <c r="E136" s="19" t="n"/>
      <c r="F136" s="19" t="n"/>
      <c r="G136" s="19" t="n"/>
      <c r="H136" s="19" t="n"/>
      <c r="I136" s="19" t="n"/>
      <c r="J136" s="19" t="n"/>
      <c r="K136" s="19" t="n"/>
      <c r="L136" s="19" t="n"/>
      <c r="M136" s="19" t="n"/>
      <c r="N136" s="19" t="n"/>
    </row>
    <row r="137" ht="15.75" customHeight="1" s="545">
      <c r="A137" s="19" t="n"/>
      <c r="B137" s="19" t="n"/>
      <c r="C137" s="19" t="n"/>
      <c r="D137" s="19" t="n"/>
      <c r="E137" s="19" t="n"/>
      <c r="F137" s="19" t="n"/>
      <c r="G137" s="19" t="n"/>
      <c r="H137" s="19" t="n"/>
      <c r="I137" s="19" t="n"/>
      <c r="J137" s="19" t="n"/>
      <c r="K137" s="19" t="n"/>
      <c r="L137" s="19" t="n"/>
      <c r="M137" s="19" t="n"/>
      <c r="N137" s="19" t="n"/>
    </row>
    <row r="138" ht="15.75" customHeight="1" s="545">
      <c r="A138" s="19" t="n"/>
      <c r="B138" s="19" t="n"/>
      <c r="C138" s="19" t="n"/>
      <c r="D138" s="19" t="n"/>
      <c r="E138" s="19" t="n"/>
      <c r="F138" s="19" t="n"/>
      <c r="G138" s="19" t="n"/>
      <c r="H138" s="19" t="n"/>
      <c r="I138" s="19" t="n"/>
      <c r="J138" s="19" t="n"/>
      <c r="K138" s="19" t="n"/>
      <c r="L138" s="19" t="n"/>
      <c r="M138" s="19" t="n"/>
      <c r="N138" s="19" t="n"/>
    </row>
    <row r="139" ht="15.75" customHeight="1" s="545">
      <c r="A139" s="19" t="n"/>
      <c r="B139" s="19" t="n"/>
      <c r="C139" s="19" t="n"/>
      <c r="D139" s="19" t="n"/>
      <c r="E139" s="19" t="n"/>
      <c r="F139" s="19" t="n"/>
      <c r="G139" s="19" t="n"/>
      <c r="H139" s="19" t="n"/>
      <c r="I139" s="19" t="n"/>
      <c r="J139" s="19" t="n"/>
      <c r="K139" s="19" t="n"/>
      <c r="L139" s="19" t="n"/>
      <c r="M139" s="19" t="n"/>
      <c r="N139" s="19" t="n"/>
    </row>
    <row r="140" ht="15.75" customHeight="1" s="545">
      <c r="A140" s="19" t="n"/>
      <c r="B140" s="19" t="n"/>
      <c r="C140" s="19" t="n"/>
      <c r="D140" s="19" t="n"/>
      <c r="E140" s="19" t="n"/>
      <c r="F140" s="19" t="n"/>
      <c r="G140" s="19" t="n"/>
      <c r="H140" s="19" t="n"/>
      <c r="I140" s="19" t="n"/>
      <c r="J140" s="19" t="n"/>
      <c r="K140" s="19" t="n"/>
      <c r="L140" s="19" t="n"/>
      <c r="M140" s="19" t="n"/>
      <c r="N140" s="19" t="n"/>
    </row>
    <row r="141" ht="15.75" customHeight="1" s="545">
      <c r="A141" s="19" t="n"/>
      <c r="B141" s="19" t="n"/>
      <c r="C141" s="19" t="n"/>
      <c r="D141" s="19" t="n"/>
      <c r="E141" s="19" t="n"/>
      <c r="F141" s="19" t="n"/>
      <c r="G141" s="19" t="n"/>
      <c r="H141" s="19" t="n"/>
      <c r="I141" s="19" t="n"/>
      <c r="J141" s="19" t="n"/>
      <c r="K141" s="19" t="n"/>
      <c r="L141" s="19" t="n"/>
      <c r="M141" s="19" t="n"/>
      <c r="N141" s="19" t="n"/>
    </row>
    <row r="142" ht="15.75" customHeight="1" s="545">
      <c r="A142" s="19" t="n"/>
      <c r="B142" s="19" t="n"/>
      <c r="C142" s="19" t="n"/>
      <c r="D142" s="19" t="n"/>
      <c r="E142" s="19" t="n"/>
      <c r="F142" s="19" t="n"/>
      <c r="G142" s="19" t="n"/>
      <c r="H142" s="19" t="n"/>
      <c r="I142" s="19" t="n"/>
      <c r="J142" s="19" t="n"/>
      <c r="K142" s="19" t="n"/>
      <c r="L142" s="19" t="n"/>
      <c r="M142" s="19" t="n"/>
      <c r="N142" s="19" t="n"/>
    </row>
    <row r="143" ht="15.75" customHeight="1" s="545">
      <c r="A143" s="19" t="n"/>
      <c r="B143" s="19" t="n"/>
      <c r="C143" s="19" t="n"/>
      <c r="D143" s="19" t="n"/>
      <c r="E143" s="19" t="n"/>
      <c r="F143" s="19" t="n"/>
      <c r="G143" s="19" t="n"/>
      <c r="H143" s="19" t="n"/>
      <c r="I143" s="19" t="n"/>
      <c r="J143" s="19" t="n"/>
      <c r="K143" s="19" t="n"/>
      <c r="L143" s="19" t="n"/>
      <c r="M143" s="19" t="n"/>
      <c r="N143" s="19" t="n"/>
    </row>
    <row r="144" ht="15.75" customHeight="1" s="545">
      <c r="A144" s="19" t="n"/>
      <c r="B144" s="19" t="n"/>
      <c r="C144" s="19" t="n"/>
      <c r="D144" s="19" t="n"/>
      <c r="E144" s="19" t="n"/>
      <c r="F144" s="19" t="n"/>
      <c r="G144" s="19" t="n"/>
      <c r="H144" s="19" t="n"/>
      <c r="I144" s="19" t="n"/>
      <c r="J144" s="19" t="n"/>
      <c r="K144" s="19" t="n"/>
      <c r="L144" s="19" t="n"/>
      <c r="M144" s="19" t="n"/>
      <c r="N144" s="19" t="n"/>
    </row>
    <row r="145" ht="15.75" customHeight="1" s="545">
      <c r="A145" s="19" t="n"/>
      <c r="B145" s="19" t="n"/>
      <c r="C145" s="19" t="n"/>
      <c r="D145" s="19" t="n"/>
      <c r="E145" s="19" t="n"/>
      <c r="F145" s="19" t="n"/>
      <c r="G145" s="19" t="n"/>
      <c r="H145" s="19" t="n"/>
      <c r="I145" s="19" t="n"/>
      <c r="J145" s="19" t="n"/>
      <c r="K145" s="19" t="n"/>
      <c r="L145" s="19" t="n"/>
      <c r="M145" s="19" t="n"/>
      <c r="N145" s="19" t="n"/>
    </row>
    <row r="146" ht="15.75" customHeight="1" s="545">
      <c r="A146" s="19" t="n"/>
      <c r="B146" s="19" t="n"/>
      <c r="C146" s="19" t="n"/>
      <c r="D146" s="19" t="n"/>
      <c r="E146" s="19" t="n"/>
      <c r="F146" s="19" t="n"/>
      <c r="G146" s="19" t="n"/>
      <c r="H146" s="19" t="n"/>
      <c r="I146" s="19" t="n"/>
      <c r="J146" s="19" t="n"/>
      <c r="K146" s="19" t="n"/>
      <c r="L146" s="19" t="n"/>
      <c r="M146" s="19" t="n"/>
      <c r="N146" s="19" t="n"/>
    </row>
    <row r="147" ht="15.75" customHeight="1" s="545">
      <c r="A147" s="19" t="n"/>
      <c r="B147" s="19" t="n"/>
      <c r="C147" s="19" t="n"/>
      <c r="D147" s="19" t="n"/>
      <c r="E147" s="19" t="n"/>
      <c r="F147" s="19" t="n"/>
      <c r="G147" s="19" t="n"/>
      <c r="H147" s="19" t="n"/>
      <c r="I147" s="19" t="n"/>
      <c r="J147" s="19" t="n"/>
      <c r="K147" s="19" t="n"/>
      <c r="L147" s="19" t="n"/>
      <c r="M147" s="19" t="n"/>
      <c r="N147" s="19" t="n"/>
    </row>
    <row r="148" ht="15.75" customHeight="1" s="545">
      <c r="A148" s="19" t="n"/>
      <c r="B148" s="19" t="n"/>
      <c r="C148" s="19" t="n"/>
      <c r="D148" s="19" t="n"/>
      <c r="E148" s="19" t="n"/>
      <c r="F148" s="19" t="n"/>
      <c r="G148" s="19" t="n"/>
      <c r="H148" s="19" t="n"/>
      <c r="I148" s="19" t="n"/>
      <c r="J148" s="19" t="n"/>
      <c r="K148" s="19" t="n"/>
      <c r="L148" s="19" t="n"/>
      <c r="M148" s="19" t="n"/>
      <c r="N148" s="19" t="n"/>
    </row>
    <row r="149" ht="15.75" customHeight="1" s="545">
      <c r="A149" s="19" t="n"/>
      <c r="B149" s="19" t="n"/>
      <c r="C149" s="19" t="n"/>
      <c r="D149" s="19" t="n"/>
      <c r="E149" s="19" t="n"/>
      <c r="F149" s="19" t="n"/>
      <c r="G149" s="19" t="n"/>
      <c r="H149" s="19" t="n"/>
      <c r="I149" s="19" t="n"/>
      <c r="J149" s="19" t="n"/>
      <c r="K149" s="19" t="n"/>
      <c r="L149" s="19" t="n"/>
      <c r="M149" s="19" t="n"/>
      <c r="N149" s="19" t="n"/>
    </row>
    <row r="150" ht="15.75" customHeight="1" s="545">
      <c r="A150" s="19" t="n"/>
      <c r="B150" s="19" t="n"/>
      <c r="C150" s="19" t="n"/>
      <c r="D150" s="19" t="n"/>
      <c r="E150" s="19" t="n"/>
      <c r="F150" s="19" t="n"/>
      <c r="G150" s="19" t="n"/>
      <c r="H150" s="19" t="n"/>
      <c r="I150" s="19" t="n"/>
      <c r="J150" s="19" t="n"/>
      <c r="K150" s="19" t="n"/>
      <c r="L150" s="19" t="n"/>
      <c r="M150" s="19" t="n"/>
      <c r="N150" s="19" t="n"/>
    </row>
    <row r="151" ht="15.75" customHeight="1" s="545">
      <c r="A151" s="19" t="n"/>
      <c r="B151" s="19" t="n"/>
      <c r="C151" s="19" t="n"/>
      <c r="D151" s="19" t="n"/>
      <c r="E151" s="19" t="n"/>
      <c r="F151" s="19" t="n"/>
      <c r="G151" s="19" t="n"/>
      <c r="H151" s="19" t="n"/>
      <c r="I151" s="19" t="n"/>
      <c r="J151" s="19" t="n"/>
      <c r="K151" s="19" t="n"/>
      <c r="L151" s="19" t="n"/>
      <c r="M151" s="19" t="n"/>
      <c r="N151" s="19" t="n"/>
    </row>
    <row r="152" ht="15.75" customHeight="1" s="545">
      <c r="A152" s="19" t="n"/>
      <c r="B152" s="19" t="n"/>
      <c r="C152" s="19" t="n"/>
      <c r="D152" s="19" t="n"/>
      <c r="E152" s="19" t="n"/>
      <c r="F152" s="19" t="n"/>
      <c r="G152" s="19" t="n"/>
      <c r="H152" s="19" t="n"/>
      <c r="I152" s="19" t="n"/>
      <c r="J152" s="19" t="n"/>
      <c r="K152" s="19" t="n"/>
      <c r="L152" s="19" t="n"/>
      <c r="M152" s="19" t="n"/>
      <c r="N152" s="19" t="n"/>
    </row>
    <row r="153" ht="15.75" customHeight="1" s="545">
      <c r="A153" s="19" t="n"/>
      <c r="B153" s="19" t="n"/>
      <c r="C153" s="19" t="n"/>
      <c r="D153" s="19" t="n"/>
      <c r="E153" s="19" t="n"/>
      <c r="F153" s="19" t="n"/>
      <c r="G153" s="19" t="n"/>
      <c r="H153" s="19" t="n"/>
      <c r="I153" s="19" t="n"/>
      <c r="J153" s="19" t="n"/>
      <c r="K153" s="19" t="n"/>
      <c r="L153" s="19" t="n"/>
      <c r="M153" s="19" t="n"/>
      <c r="N153" s="19" t="n"/>
    </row>
    <row r="154" ht="15.75" customHeight="1" s="545">
      <c r="A154" s="19" t="n"/>
      <c r="B154" s="19" t="n"/>
      <c r="C154" s="19" t="n"/>
      <c r="D154" s="19" t="n"/>
      <c r="E154" s="19" t="n"/>
      <c r="F154" s="19" t="n"/>
      <c r="G154" s="19" t="n"/>
      <c r="H154" s="19" t="n"/>
      <c r="I154" s="19" t="n"/>
      <c r="J154" s="19" t="n"/>
      <c r="K154" s="19" t="n"/>
      <c r="L154" s="19" t="n"/>
      <c r="M154" s="19" t="n"/>
      <c r="N154" s="19" t="n"/>
    </row>
    <row r="155" ht="15.75" customHeight="1" s="545">
      <c r="A155" s="19" t="n"/>
      <c r="B155" s="19" t="n"/>
      <c r="C155" s="19" t="n"/>
      <c r="D155" s="19" t="n"/>
      <c r="E155" s="19" t="n"/>
      <c r="F155" s="19" t="n"/>
      <c r="G155" s="19" t="n"/>
      <c r="H155" s="19" t="n"/>
      <c r="I155" s="19" t="n"/>
      <c r="J155" s="19" t="n"/>
      <c r="K155" s="19" t="n"/>
      <c r="L155" s="19" t="n"/>
      <c r="M155" s="19" t="n"/>
      <c r="N155" s="19" t="n"/>
    </row>
    <row r="156" ht="15.75" customHeight="1" s="545">
      <c r="A156" s="19" t="n"/>
      <c r="B156" s="19" t="n"/>
      <c r="C156" s="19" t="n"/>
      <c r="D156" s="19" t="n"/>
      <c r="E156" s="19" t="n"/>
      <c r="F156" s="19" t="n"/>
      <c r="G156" s="19" t="n"/>
      <c r="H156" s="19" t="n"/>
      <c r="I156" s="19" t="n"/>
      <c r="J156" s="19" t="n"/>
      <c r="K156" s="19" t="n"/>
      <c r="L156" s="19" t="n"/>
      <c r="M156" s="19" t="n"/>
      <c r="N156" s="19" t="n"/>
    </row>
    <row r="157" ht="15.75" customHeight="1" s="545">
      <c r="A157" s="19" t="n"/>
      <c r="B157" s="19" t="n"/>
      <c r="C157" s="19" t="n"/>
      <c r="D157" s="19" t="n"/>
      <c r="E157" s="19" t="n"/>
      <c r="F157" s="19" t="n"/>
      <c r="G157" s="19" t="n"/>
      <c r="H157" s="19" t="n"/>
      <c r="I157" s="19" t="n"/>
      <c r="J157" s="19" t="n"/>
      <c r="K157" s="19" t="n"/>
      <c r="L157" s="19" t="n"/>
      <c r="M157" s="19" t="n"/>
      <c r="N157" s="19" t="n"/>
    </row>
    <row r="158" ht="15.75" customHeight="1" s="545">
      <c r="A158" s="19" t="n"/>
      <c r="B158" s="19" t="n"/>
      <c r="C158" s="19" t="n"/>
      <c r="D158" s="19" t="n"/>
      <c r="E158" s="19" t="n"/>
      <c r="F158" s="19" t="n"/>
      <c r="G158" s="19" t="n"/>
      <c r="H158" s="19" t="n"/>
      <c r="I158" s="19" t="n"/>
      <c r="J158" s="19" t="n"/>
      <c r="K158" s="19" t="n"/>
      <c r="L158" s="19" t="n"/>
      <c r="M158" s="19" t="n"/>
      <c r="N158" s="19" t="n"/>
    </row>
    <row r="159" ht="15.75" customHeight="1" s="545">
      <c r="A159" s="19" t="n"/>
      <c r="B159" s="19" t="n"/>
      <c r="C159" s="19" t="n"/>
      <c r="D159" s="19" t="n"/>
      <c r="E159" s="19" t="n"/>
      <c r="F159" s="19" t="n"/>
      <c r="G159" s="19" t="n"/>
      <c r="H159" s="19" t="n"/>
      <c r="I159" s="19" t="n"/>
      <c r="J159" s="19" t="n"/>
      <c r="K159" s="19" t="n"/>
      <c r="L159" s="19" t="n"/>
      <c r="M159" s="19" t="n"/>
      <c r="N159" s="19" t="n"/>
    </row>
    <row r="160" ht="15.75" customHeight="1" s="545">
      <c r="A160" s="19" t="n"/>
      <c r="B160" s="19" t="n"/>
      <c r="C160" s="19" t="n"/>
      <c r="D160" s="19" t="n"/>
      <c r="E160" s="19" t="n"/>
      <c r="F160" s="19" t="n"/>
      <c r="G160" s="19" t="n"/>
      <c r="H160" s="19" t="n"/>
      <c r="I160" s="19" t="n"/>
      <c r="J160" s="19" t="n"/>
      <c r="K160" s="19" t="n"/>
      <c r="L160" s="19" t="n"/>
      <c r="M160" s="19" t="n"/>
      <c r="N160" s="19" t="n"/>
    </row>
    <row r="161" ht="15.75" customHeight="1" s="545">
      <c r="A161" s="19" t="n"/>
      <c r="B161" s="19" t="n"/>
      <c r="C161" s="19" t="n"/>
      <c r="D161" s="19" t="n"/>
      <c r="E161" s="19" t="n"/>
      <c r="F161" s="19" t="n"/>
      <c r="G161" s="19" t="n"/>
      <c r="H161" s="19" t="n"/>
      <c r="I161" s="19" t="n"/>
      <c r="J161" s="19" t="n"/>
      <c r="K161" s="19" t="n"/>
      <c r="L161" s="19" t="n"/>
      <c r="M161" s="19" t="n"/>
      <c r="N161" s="19" t="n"/>
    </row>
    <row r="162" ht="15.75" customHeight="1" s="545">
      <c r="A162" s="19" t="n"/>
      <c r="B162" s="19" t="n"/>
      <c r="C162" s="19" t="n"/>
      <c r="D162" s="19" t="n"/>
      <c r="E162" s="19" t="n"/>
      <c r="F162" s="19" t="n"/>
      <c r="G162" s="19" t="n"/>
      <c r="H162" s="19" t="n"/>
      <c r="I162" s="19" t="n"/>
      <c r="J162" s="19" t="n"/>
      <c r="K162" s="19" t="n"/>
      <c r="L162" s="19" t="n"/>
      <c r="M162" s="19" t="n"/>
      <c r="N162" s="19" t="n"/>
    </row>
    <row r="163" ht="15.75" customHeight="1" s="545">
      <c r="A163" s="19" t="n"/>
      <c r="B163" s="19" t="n"/>
      <c r="C163" s="19" t="n"/>
      <c r="D163" s="19" t="n"/>
      <c r="E163" s="19" t="n"/>
      <c r="F163" s="19" t="n"/>
      <c r="G163" s="19" t="n"/>
      <c r="H163" s="19" t="n"/>
      <c r="I163" s="19" t="n"/>
      <c r="J163" s="19" t="n"/>
      <c r="K163" s="19" t="n"/>
      <c r="L163" s="19" t="n"/>
      <c r="M163" s="19" t="n"/>
      <c r="N163" s="19" t="n"/>
    </row>
    <row r="164" ht="15.75" customHeight="1" s="545">
      <c r="A164" s="19" t="n"/>
      <c r="B164" s="19" t="n"/>
      <c r="C164" s="19" t="n"/>
      <c r="D164" s="19" t="n"/>
      <c r="E164" s="19" t="n"/>
      <c r="F164" s="19" t="n"/>
      <c r="G164" s="19" t="n"/>
      <c r="H164" s="19" t="n"/>
      <c r="I164" s="19" t="n"/>
      <c r="J164" s="19" t="n"/>
      <c r="K164" s="19" t="n"/>
      <c r="L164" s="19" t="n"/>
      <c r="M164" s="19" t="n"/>
      <c r="N164" s="19" t="n"/>
    </row>
    <row r="165" ht="15.75" customHeight="1" s="545">
      <c r="A165" s="19" t="n"/>
      <c r="B165" s="19" t="n"/>
      <c r="C165" s="19" t="n"/>
      <c r="D165" s="19" t="n"/>
      <c r="E165" s="19" t="n"/>
      <c r="F165" s="19" t="n"/>
      <c r="G165" s="19" t="n"/>
      <c r="H165" s="19" t="n"/>
      <c r="I165" s="19" t="n"/>
      <c r="J165" s="19" t="n"/>
      <c r="K165" s="19" t="n"/>
      <c r="L165" s="19" t="n"/>
      <c r="M165" s="19" t="n"/>
      <c r="N165" s="19" t="n"/>
    </row>
    <row r="166" ht="15.75" customHeight="1" s="545">
      <c r="A166" s="19" t="n"/>
      <c r="B166" s="19" t="n"/>
      <c r="C166" s="19" t="n"/>
      <c r="D166" s="19" t="n"/>
      <c r="E166" s="19" t="n"/>
      <c r="F166" s="19" t="n"/>
      <c r="G166" s="19" t="n"/>
      <c r="H166" s="19" t="n"/>
      <c r="I166" s="19" t="n"/>
      <c r="J166" s="19" t="n"/>
      <c r="K166" s="19" t="n"/>
      <c r="L166" s="19" t="n"/>
      <c r="M166" s="19" t="n"/>
      <c r="N166" s="19" t="n"/>
    </row>
    <row r="167" ht="15.75" customHeight="1" s="545">
      <c r="A167" s="19" t="n"/>
      <c r="B167" s="19" t="n"/>
      <c r="C167" s="19" t="n"/>
      <c r="D167" s="19" t="n"/>
      <c r="E167" s="19" t="n"/>
      <c r="F167" s="19" t="n"/>
      <c r="G167" s="19" t="n"/>
      <c r="H167" s="19" t="n"/>
      <c r="I167" s="19" t="n"/>
      <c r="J167" s="19" t="n"/>
      <c r="K167" s="19" t="n"/>
      <c r="L167" s="19" t="n"/>
      <c r="M167" s="19" t="n"/>
      <c r="N167" s="19" t="n"/>
    </row>
    <row r="168" ht="15.75" customHeight="1" s="545">
      <c r="A168" s="19" t="n"/>
      <c r="B168" s="19" t="n"/>
      <c r="C168" s="19" t="n"/>
      <c r="D168" s="19" t="n"/>
      <c r="E168" s="19" t="n"/>
      <c r="F168" s="19" t="n"/>
      <c r="G168" s="19" t="n"/>
      <c r="H168" s="19" t="n"/>
      <c r="I168" s="19" t="n"/>
      <c r="J168" s="19" t="n"/>
      <c r="K168" s="19" t="n"/>
      <c r="L168" s="19" t="n"/>
      <c r="M168" s="19" t="n"/>
      <c r="N168" s="19" t="n"/>
    </row>
    <row r="169" ht="15.75" customHeight="1" s="545">
      <c r="A169" s="19" t="n"/>
      <c r="B169" s="19" t="n"/>
      <c r="C169" s="19" t="n"/>
      <c r="D169" s="19" t="n"/>
      <c r="E169" s="19" t="n"/>
      <c r="F169" s="19" t="n"/>
      <c r="G169" s="19" t="n"/>
      <c r="H169" s="19" t="n"/>
      <c r="I169" s="19" t="n"/>
      <c r="J169" s="19" t="n"/>
      <c r="K169" s="19" t="n"/>
      <c r="L169" s="19" t="n"/>
      <c r="M169" s="19" t="n"/>
      <c r="N169" s="19" t="n"/>
    </row>
    <row r="170" ht="15.75" customHeight="1" s="545">
      <c r="A170" s="19" t="n"/>
      <c r="B170" s="19" t="n"/>
      <c r="C170" s="19" t="n"/>
      <c r="D170" s="19" t="n"/>
      <c r="E170" s="19" t="n"/>
      <c r="F170" s="19" t="n"/>
      <c r="G170" s="19" t="n"/>
      <c r="H170" s="19" t="n"/>
      <c r="I170" s="19" t="n"/>
      <c r="J170" s="19" t="n"/>
      <c r="K170" s="19" t="n"/>
      <c r="L170" s="19" t="n"/>
      <c r="M170" s="19" t="n"/>
      <c r="N170" s="19" t="n"/>
    </row>
    <row r="171" ht="15.75" customHeight="1" s="545">
      <c r="A171" s="19" t="n"/>
      <c r="B171" s="19" t="n"/>
      <c r="C171" s="19" t="n"/>
      <c r="D171" s="19" t="n"/>
      <c r="E171" s="19" t="n"/>
      <c r="F171" s="19" t="n"/>
      <c r="G171" s="19" t="n"/>
      <c r="H171" s="19" t="n"/>
      <c r="I171" s="19" t="n"/>
      <c r="J171" s="19" t="n"/>
      <c r="K171" s="19" t="n"/>
      <c r="L171" s="19" t="n"/>
      <c r="M171" s="19" t="n"/>
      <c r="N171" s="19" t="n"/>
    </row>
    <row r="172" ht="15.75" customHeight="1" s="545">
      <c r="A172" s="19" t="n"/>
      <c r="B172" s="19" t="n"/>
      <c r="C172" s="19" t="n"/>
      <c r="D172" s="19" t="n"/>
      <c r="E172" s="19" t="n"/>
      <c r="F172" s="19" t="n"/>
      <c r="G172" s="19" t="n"/>
      <c r="H172" s="19" t="n"/>
      <c r="I172" s="19" t="n"/>
      <c r="J172" s="19" t="n"/>
      <c r="K172" s="19" t="n"/>
      <c r="L172" s="19" t="n"/>
      <c r="M172" s="19" t="n"/>
      <c r="N172" s="19" t="n"/>
    </row>
    <row r="173" ht="15.75" customHeight="1" s="545">
      <c r="A173" s="19" t="n"/>
      <c r="B173" s="19" t="n"/>
      <c r="C173" s="19" t="n"/>
      <c r="D173" s="19" t="n"/>
      <c r="E173" s="19" t="n"/>
      <c r="F173" s="19" t="n"/>
      <c r="G173" s="19" t="n"/>
      <c r="H173" s="19" t="n"/>
      <c r="I173" s="19" t="n"/>
      <c r="J173" s="19" t="n"/>
      <c r="K173" s="19" t="n"/>
      <c r="L173" s="19" t="n"/>
      <c r="M173" s="19" t="n"/>
      <c r="N173" s="19" t="n"/>
    </row>
    <row r="174" ht="15.75" customHeight="1" s="545">
      <c r="A174" s="19" t="n"/>
      <c r="B174" s="19" t="n"/>
      <c r="C174" s="19" t="n"/>
      <c r="D174" s="19" t="n"/>
      <c r="E174" s="19" t="n"/>
      <c r="F174" s="19" t="n"/>
      <c r="G174" s="19" t="n"/>
      <c r="H174" s="19" t="n"/>
      <c r="I174" s="19" t="n"/>
      <c r="J174" s="19" t="n"/>
      <c r="K174" s="19" t="n"/>
      <c r="L174" s="19" t="n"/>
      <c r="M174" s="19" t="n"/>
      <c r="N174" s="19" t="n"/>
    </row>
    <row r="175" ht="15.75" customHeight="1" s="545">
      <c r="A175" s="19" t="n"/>
      <c r="B175" s="19" t="n"/>
      <c r="C175" s="19" t="n"/>
      <c r="D175" s="19" t="n"/>
      <c r="E175" s="19" t="n"/>
      <c r="F175" s="19" t="n"/>
      <c r="G175" s="19" t="n"/>
      <c r="H175" s="19" t="n"/>
      <c r="I175" s="19" t="n"/>
      <c r="J175" s="19" t="n"/>
      <c r="K175" s="19" t="n"/>
      <c r="L175" s="19" t="n"/>
      <c r="M175" s="19" t="n"/>
      <c r="N175" s="19" t="n"/>
    </row>
    <row r="176" ht="15.75" customHeight="1" s="545">
      <c r="A176" s="19" t="n"/>
      <c r="B176" s="19" t="n"/>
      <c r="C176" s="19" t="n"/>
      <c r="D176" s="19" t="n"/>
      <c r="E176" s="19" t="n"/>
      <c r="F176" s="19" t="n"/>
      <c r="G176" s="19" t="n"/>
      <c r="H176" s="19" t="n"/>
      <c r="I176" s="19" t="n"/>
      <c r="J176" s="19" t="n"/>
      <c r="K176" s="19" t="n"/>
      <c r="L176" s="19" t="n"/>
      <c r="M176" s="19" t="n"/>
      <c r="N176" s="19" t="n"/>
    </row>
    <row r="177" ht="15.75" customHeight="1" s="545">
      <c r="A177" s="19" t="n"/>
      <c r="B177" s="19" t="n"/>
      <c r="C177" s="19" t="n"/>
      <c r="D177" s="19" t="n"/>
      <c r="E177" s="19" t="n"/>
      <c r="F177" s="19" t="n"/>
      <c r="G177" s="19" t="n"/>
      <c r="H177" s="19" t="n"/>
      <c r="I177" s="19" t="n"/>
      <c r="J177" s="19" t="n"/>
      <c r="K177" s="19" t="n"/>
      <c r="L177" s="19" t="n"/>
      <c r="M177" s="19" t="n"/>
      <c r="N177" s="19" t="n"/>
    </row>
    <row r="178" ht="15.75" customHeight="1" s="545">
      <c r="A178" s="19" t="n"/>
      <c r="B178" s="19" t="n"/>
      <c r="C178" s="19" t="n"/>
      <c r="D178" s="19" t="n"/>
      <c r="E178" s="19" t="n"/>
      <c r="F178" s="19" t="n"/>
      <c r="G178" s="19" t="n"/>
      <c r="H178" s="19" t="n"/>
      <c r="I178" s="19" t="n"/>
      <c r="J178" s="19" t="n"/>
      <c r="K178" s="19" t="n"/>
      <c r="L178" s="19" t="n"/>
      <c r="M178" s="19" t="n"/>
      <c r="N178" s="19" t="n"/>
    </row>
    <row r="179" ht="15.75" customHeight="1" s="545">
      <c r="A179" s="19" t="n"/>
      <c r="B179" s="19" t="n"/>
      <c r="C179" s="19" t="n"/>
      <c r="D179" s="19" t="n"/>
      <c r="E179" s="19" t="n"/>
      <c r="F179" s="19" t="n"/>
      <c r="G179" s="19" t="n"/>
      <c r="H179" s="19" t="n"/>
      <c r="I179" s="19" t="n"/>
      <c r="J179" s="19" t="n"/>
      <c r="K179" s="19" t="n"/>
      <c r="L179" s="19" t="n"/>
      <c r="M179" s="19" t="n"/>
      <c r="N179" s="19" t="n"/>
    </row>
    <row r="180" ht="15.75" customHeight="1" s="545">
      <c r="A180" s="19" t="n"/>
      <c r="B180" s="19" t="n"/>
      <c r="C180" s="19" t="n"/>
      <c r="D180" s="19" t="n"/>
      <c r="E180" s="19" t="n"/>
      <c r="F180" s="19" t="n"/>
      <c r="G180" s="19" t="n"/>
      <c r="H180" s="19" t="n"/>
      <c r="I180" s="19" t="n"/>
      <c r="J180" s="19" t="n"/>
      <c r="K180" s="19" t="n"/>
      <c r="L180" s="19" t="n"/>
      <c r="M180" s="19" t="n"/>
      <c r="N180" s="19" t="n"/>
    </row>
    <row r="181" ht="15.75" customHeight="1" s="545">
      <c r="A181" s="19" t="n"/>
      <c r="B181" s="19" t="n"/>
      <c r="C181" s="19" t="n"/>
      <c r="D181" s="19" t="n"/>
      <c r="E181" s="19" t="n"/>
      <c r="F181" s="19" t="n"/>
      <c r="G181" s="19" t="n"/>
      <c r="H181" s="19" t="n"/>
      <c r="I181" s="19" t="n"/>
      <c r="J181" s="19" t="n"/>
      <c r="K181" s="19" t="n"/>
      <c r="L181" s="19" t="n"/>
      <c r="M181" s="19" t="n"/>
      <c r="N181" s="19" t="n"/>
    </row>
    <row r="182" ht="15.75" customHeight="1" s="545">
      <c r="A182" s="19" t="n"/>
      <c r="B182" s="19" t="n"/>
      <c r="C182" s="19" t="n"/>
      <c r="D182" s="19" t="n"/>
      <c r="E182" s="19" t="n"/>
      <c r="F182" s="19" t="n"/>
      <c r="G182" s="19" t="n"/>
      <c r="H182" s="19" t="n"/>
      <c r="I182" s="19" t="n"/>
      <c r="J182" s="19" t="n"/>
      <c r="K182" s="19" t="n"/>
      <c r="L182" s="19" t="n"/>
      <c r="M182" s="19" t="n"/>
      <c r="N182" s="19" t="n"/>
    </row>
    <row r="183" ht="15.75" customHeight="1" s="545">
      <c r="A183" s="19" t="n"/>
      <c r="B183" s="19" t="n"/>
      <c r="C183" s="19" t="n"/>
      <c r="D183" s="19" t="n"/>
      <c r="E183" s="19" t="n"/>
      <c r="F183" s="19" t="n"/>
      <c r="G183" s="19" t="n"/>
      <c r="H183" s="19" t="n"/>
      <c r="I183" s="19" t="n"/>
      <c r="J183" s="19" t="n"/>
      <c r="K183" s="19" t="n"/>
      <c r="L183" s="19" t="n"/>
      <c r="M183" s="19" t="n"/>
      <c r="N183" s="19" t="n"/>
    </row>
    <row r="184" ht="15.75" customHeight="1" s="545">
      <c r="A184" s="19" t="n"/>
      <c r="B184" s="19" t="n"/>
      <c r="C184" s="19" t="n"/>
      <c r="D184" s="19" t="n"/>
      <c r="E184" s="19" t="n"/>
      <c r="F184" s="19" t="n"/>
      <c r="G184" s="19" t="n"/>
      <c r="H184" s="19" t="n"/>
      <c r="I184" s="19" t="n"/>
      <c r="J184" s="19" t="n"/>
      <c r="K184" s="19" t="n"/>
      <c r="L184" s="19" t="n"/>
      <c r="M184" s="19" t="n"/>
      <c r="N184" s="19" t="n"/>
    </row>
    <row r="185" ht="15.75" customHeight="1" s="545">
      <c r="A185" s="19" t="n"/>
      <c r="B185" s="19" t="n"/>
      <c r="C185" s="19" t="n"/>
      <c r="D185" s="19" t="n"/>
      <c r="E185" s="19" t="n"/>
      <c r="F185" s="19" t="n"/>
      <c r="G185" s="19" t="n"/>
      <c r="H185" s="19" t="n"/>
      <c r="I185" s="19" t="n"/>
      <c r="J185" s="19" t="n"/>
      <c r="K185" s="19" t="n"/>
      <c r="L185" s="19" t="n"/>
      <c r="M185" s="19" t="n"/>
      <c r="N185" s="19" t="n"/>
    </row>
    <row r="186" ht="15.75" customHeight="1" s="545">
      <c r="A186" s="19" t="n"/>
      <c r="B186" s="19" t="n"/>
      <c r="C186" s="19" t="n"/>
      <c r="D186" s="19" t="n"/>
      <c r="E186" s="19" t="n"/>
      <c r="F186" s="19" t="n"/>
      <c r="G186" s="19" t="n"/>
      <c r="H186" s="19" t="n"/>
      <c r="I186" s="19" t="n"/>
      <c r="J186" s="19" t="n"/>
      <c r="K186" s="19" t="n"/>
      <c r="L186" s="19" t="n"/>
      <c r="M186" s="19" t="n"/>
      <c r="N186" s="19" t="n"/>
    </row>
    <row r="187" ht="15.75" customHeight="1" s="545">
      <c r="A187" s="19" t="n"/>
      <c r="B187" s="19" t="n"/>
      <c r="C187" s="19" t="n"/>
      <c r="D187" s="19" t="n"/>
      <c r="E187" s="19" t="n"/>
      <c r="F187" s="19" t="n"/>
      <c r="G187" s="19" t="n"/>
      <c r="H187" s="19" t="n"/>
      <c r="I187" s="19" t="n"/>
      <c r="J187" s="19" t="n"/>
      <c r="K187" s="19" t="n"/>
      <c r="L187" s="19" t="n"/>
      <c r="M187" s="19" t="n"/>
      <c r="N187" s="19" t="n"/>
    </row>
    <row r="188" ht="15.75" customHeight="1" s="545">
      <c r="A188" s="19" t="n"/>
      <c r="B188" s="19" t="n"/>
      <c r="C188" s="19" t="n"/>
      <c r="D188" s="19" t="n"/>
      <c r="E188" s="19" t="n"/>
      <c r="F188" s="19" t="n"/>
      <c r="G188" s="19" t="n"/>
      <c r="H188" s="19" t="n"/>
      <c r="I188" s="19" t="n"/>
      <c r="J188" s="19" t="n"/>
      <c r="K188" s="19" t="n"/>
      <c r="L188" s="19" t="n"/>
      <c r="M188" s="19" t="n"/>
      <c r="N188" s="19" t="n"/>
    </row>
    <row r="189" ht="15.75" customHeight="1" s="545">
      <c r="A189" s="19" t="n"/>
      <c r="B189" s="19" t="n"/>
      <c r="C189" s="19" t="n"/>
      <c r="D189" s="19" t="n"/>
      <c r="E189" s="19" t="n"/>
      <c r="F189" s="19" t="n"/>
      <c r="G189" s="19" t="n"/>
      <c r="H189" s="19" t="n"/>
      <c r="I189" s="19" t="n"/>
      <c r="J189" s="19" t="n"/>
      <c r="K189" s="19" t="n"/>
      <c r="L189" s="19" t="n"/>
      <c r="M189" s="19" t="n"/>
      <c r="N189" s="19" t="n"/>
    </row>
    <row r="190" ht="15.75" customHeight="1" s="545">
      <c r="A190" s="19" t="n"/>
      <c r="B190" s="19" t="n"/>
      <c r="C190" s="19" t="n"/>
      <c r="D190" s="19" t="n"/>
      <c r="E190" s="19" t="n"/>
      <c r="F190" s="19" t="n"/>
      <c r="G190" s="19" t="n"/>
      <c r="H190" s="19" t="n"/>
      <c r="I190" s="19" t="n"/>
      <c r="J190" s="19" t="n"/>
      <c r="K190" s="19" t="n"/>
      <c r="L190" s="19" t="n"/>
      <c r="M190" s="19" t="n"/>
      <c r="N190" s="19" t="n"/>
    </row>
    <row r="191" ht="15.75" customHeight="1" s="545">
      <c r="A191" s="19" t="n"/>
      <c r="B191" s="19" t="n"/>
      <c r="C191" s="19" t="n"/>
      <c r="D191" s="19" t="n"/>
      <c r="E191" s="19" t="n"/>
      <c r="F191" s="19" t="n"/>
      <c r="G191" s="19" t="n"/>
      <c r="H191" s="19" t="n"/>
      <c r="I191" s="19" t="n"/>
      <c r="J191" s="19" t="n"/>
      <c r="K191" s="19" t="n"/>
      <c r="L191" s="19" t="n"/>
      <c r="M191" s="19" t="n"/>
      <c r="N191" s="19" t="n"/>
    </row>
    <row r="192" ht="15.75" customHeight="1" s="545">
      <c r="A192" s="19" t="n"/>
      <c r="B192" s="19" t="n"/>
      <c r="C192" s="19" t="n"/>
      <c r="D192" s="19" t="n"/>
      <c r="E192" s="19" t="n"/>
      <c r="F192" s="19" t="n"/>
      <c r="G192" s="19" t="n"/>
      <c r="H192" s="19" t="n"/>
      <c r="I192" s="19" t="n"/>
      <c r="J192" s="19" t="n"/>
      <c r="K192" s="19" t="n"/>
      <c r="L192" s="19" t="n"/>
      <c r="M192" s="19" t="n"/>
      <c r="N192" s="19" t="n"/>
    </row>
    <row r="193" ht="15.75" customHeight="1" s="545">
      <c r="A193" s="19" t="n"/>
      <c r="B193" s="19" t="n"/>
      <c r="C193" s="19" t="n"/>
      <c r="D193" s="19" t="n"/>
      <c r="E193" s="19" t="n"/>
      <c r="F193" s="19" t="n"/>
      <c r="G193" s="19" t="n"/>
      <c r="H193" s="19" t="n"/>
      <c r="I193" s="19" t="n"/>
      <c r="J193" s="19" t="n"/>
      <c r="K193" s="19" t="n"/>
      <c r="L193" s="19" t="n"/>
      <c r="M193" s="19" t="n"/>
      <c r="N193" s="19" t="n"/>
    </row>
    <row r="194" ht="15.75" customHeight="1" s="545">
      <c r="A194" s="19" t="n"/>
      <c r="B194" s="19" t="n"/>
      <c r="C194" s="19" t="n"/>
      <c r="D194" s="19" t="n"/>
      <c r="E194" s="19" t="n"/>
      <c r="F194" s="19" t="n"/>
      <c r="G194" s="19" t="n"/>
      <c r="H194" s="19" t="n"/>
      <c r="I194" s="19" t="n"/>
      <c r="J194" s="19" t="n"/>
      <c r="K194" s="19" t="n"/>
      <c r="L194" s="19" t="n"/>
      <c r="M194" s="19" t="n"/>
      <c r="N194" s="19" t="n"/>
    </row>
    <row r="195" ht="15.75" customHeight="1" s="545">
      <c r="A195" s="19" t="n"/>
      <c r="B195" s="19" t="n"/>
      <c r="C195" s="19" t="n"/>
      <c r="D195" s="19" t="n"/>
      <c r="E195" s="19" t="n"/>
      <c r="F195" s="19" t="n"/>
      <c r="G195" s="19" t="n"/>
      <c r="H195" s="19" t="n"/>
      <c r="I195" s="19" t="n"/>
      <c r="J195" s="19" t="n"/>
      <c r="K195" s="19" t="n"/>
      <c r="L195" s="19" t="n"/>
      <c r="M195" s="19" t="n"/>
      <c r="N195" s="19" t="n"/>
    </row>
    <row r="196" ht="15.75" customHeight="1" s="545">
      <c r="A196" s="19" t="n"/>
      <c r="B196" s="19" t="n"/>
      <c r="C196" s="19" t="n"/>
      <c r="D196" s="19" t="n"/>
      <c r="E196" s="19" t="n"/>
      <c r="F196" s="19" t="n"/>
      <c r="G196" s="19" t="n"/>
      <c r="H196" s="19" t="n"/>
      <c r="I196" s="19" t="n"/>
      <c r="J196" s="19" t="n"/>
      <c r="K196" s="19" t="n"/>
      <c r="L196" s="19" t="n"/>
      <c r="M196" s="19" t="n"/>
      <c r="N196" s="19" t="n"/>
    </row>
    <row r="197" ht="15.75" customHeight="1" s="545">
      <c r="A197" s="19" t="n"/>
      <c r="B197" s="19" t="n"/>
      <c r="C197" s="19" t="n"/>
      <c r="D197" s="19" t="n"/>
      <c r="E197" s="19" t="n"/>
      <c r="F197" s="19" t="n"/>
      <c r="G197" s="19" t="n"/>
      <c r="H197" s="19" t="n"/>
      <c r="I197" s="19" t="n"/>
      <c r="J197" s="19" t="n"/>
      <c r="K197" s="19" t="n"/>
      <c r="L197" s="19" t="n"/>
      <c r="M197" s="19" t="n"/>
      <c r="N197" s="19" t="n"/>
    </row>
    <row r="198" ht="15.75" customHeight="1" s="545">
      <c r="A198" s="19" t="n"/>
      <c r="B198" s="19" t="n"/>
      <c r="C198" s="19" t="n"/>
      <c r="D198" s="19" t="n"/>
      <c r="E198" s="19" t="n"/>
      <c r="F198" s="19" t="n"/>
      <c r="G198" s="19" t="n"/>
      <c r="H198" s="19" t="n"/>
      <c r="I198" s="19" t="n"/>
      <c r="J198" s="19" t="n"/>
      <c r="K198" s="19" t="n"/>
      <c r="L198" s="19" t="n"/>
      <c r="M198" s="19" t="n"/>
      <c r="N198" s="19" t="n"/>
    </row>
    <row r="199" ht="15.75" customHeight="1" s="545">
      <c r="A199" s="19" t="n"/>
      <c r="B199" s="19" t="n"/>
      <c r="C199" s="19" t="n"/>
      <c r="D199" s="19" t="n"/>
      <c r="E199" s="19" t="n"/>
      <c r="F199" s="19" t="n"/>
      <c r="G199" s="19" t="n"/>
      <c r="H199" s="19" t="n"/>
      <c r="I199" s="19" t="n"/>
      <c r="J199" s="19" t="n"/>
      <c r="K199" s="19" t="n"/>
      <c r="L199" s="19" t="n"/>
      <c r="M199" s="19" t="n"/>
      <c r="N199" s="19" t="n"/>
    </row>
    <row r="200" ht="15.75" customHeight="1" s="545">
      <c r="A200" s="19" t="n"/>
      <c r="B200" s="19" t="n"/>
      <c r="C200" s="19" t="n"/>
      <c r="D200" s="19" t="n"/>
      <c r="E200" s="19" t="n"/>
      <c r="F200" s="19" t="n"/>
      <c r="G200" s="19" t="n"/>
      <c r="H200" s="19" t="n"/>
      <c r="I200" s="19" t="n"/>
      <c r="J200" s="19" t="n"/>
      <c r="K200" s="19" t="n"/>
      <c r="L200" s="19" t="n"/>
      <c r="M200" s="19" t="n"/>
      <c r="N200" s="19" t="n"/>
    </row>
    <row r="201" ht="15.75" customHeight="1" s="545">
      <c r="A201" s="19" t="n"/>
      <c r="B201" s="19" t="n"/>
      <c r="C201" s="19" t="n"/>
      <c r="D201" s="19" t="n"/>
      <c r="E201" s="19" t="n"/>
      <c r="F201" s="19" t="n"/>
      <c r="G201" s="19" t="n"/>
      <c r="H201" s="19" t="n"/>
      <c r="I201" s="19" t="n"/>
      <c r="J201" s="19" t="n"/>
      <c r="K201" s="19" t="n"/>
      <c r="L201" s="19" t="n"/>
      <c r="M201" s="19" t="n"/>
      <c r="N201" s="19" t="n"/>
    </row>
    <row r="202" ht="15.75" customHeight="1" s="545">
      <c r="A202" s="19" t="n"/>
      <c r="B202" s="19" t="n"/>
      <c r="C202" s="19" t="n"/>
      <c r="D202" s="19" t="n"/>
      <c r="E202" s="19" t="n"/>
      <c r="F202" s="19" t="n"/>
      <c r="G202" s="19" t="n"/>
      <c r="H202" s="19" t="n"/>
      <c r="I202" s="19" t="n"/>
      <c r="J202" s="19" t="n"/>
      <c r="K202" s="19" t="n"/>
      <c r="L202" s="19" t="n"/>
      <c r="M202" s="19" t="n"/>
      <c r="N202" s="19" t="n"/>
    </row>
    <row r="203" ht="15.75" customHeight="1" s="545">
      <c r="A203" s="19" t="n"/>
      <c r="B203" s="19" t="n"/>
      <c r="C203" s="19" t="n"/>
      <c r="D203" s="19" t="n"/>
      <c r="E203" s="19" t="n"/>
      <c r="F203" s="19" t="n"/>
      <c r="G203" s="19" t="n"/>
      <c r="H203" s="19" t="n"/>
      <c r="I203" s="19" t="n"/>
      <c r="J203" s="19" t="n"/>
      <c r="K203" s="19" t="n"/>
      <c r="L203" s="19" t="n"/>
      <c r="M203" s="19" t="n"/>
      <c r="N203" s="19" t="n"/>
    </row>
    <row r="204" ht="15.75" customHeight="1" s="545">
      <c r="A204" s="19" t="n"/>
      <c r="B204" s="19" t="n"/>
      <c r="C204" s="19" t="n"/>
      <c r="D204" s="19" t="n"/>
      <c r="E204" s="19" t="n"/>
      <c r="F204" s="19" t="n"/>
      <c r="G204" s="19" t="n"/>
      <c r="H204" s="19" t="n"/>
      <c r="I204" s="19" t="n"/>
      <c r="J204" s="19" t="n"/>
      <c r="K204" s="19" t="n"/>
      <c r="L204" s="19" t="n"/>
      <c r="M204" s="19" t="n"/>
      <c r="N204" s="19" t="n"/>
    </row>
    <row r="205" ht="15.75" customHeight="1" s="545">
      <c r="A205" s="19" t="n"/>
      <c r="B205" s="19" t="n"/>
      <c r="C205" s="19" t="n"/>
      <c r="D205" s="19" t="n"/>
      <c r="E205" s="19" t="n"/>
      <c r="F205" s="19" t="n"/>
      <c r="G205" s="19" t="n"/>
      <c r="H205" s="19" t="n"/>
      <c r="I205" s="19" t="n"/>
      <c r="J205" s="19" t="n"/>
      <c r="K205" s="19" t="n"/>
      <c r="L205" s="19" t="n"/>
      <c r="M205" s="19" t="n"/>
      <c r="N205" s="19" t="n"/>
    </row>
    <row r="206" ht="15.75" customHeight="1" s="545">
      <c r="A206" s="19" t="n"/>
      <c r="B206" s="19" t="n"/>
      <c r="C206" s="19" t="n"/>
      <c r="D206" s="19" t="n"/>
      <c r="E206" s="19" t="n"/>
      <c r="F206" s="19" t="n"/>
      <c r="G206" s="19" t="n"/>
      <c r="H206" s="19" t="n"/>
      <c r="I206" s="19" t="n"/>
      <c r="J206" s="19" t="n"/>
      <c r="K206" s="19" t="n"/>
      <c r="L206" s="19" t="n"/>
      <c r="M206" s="19" t="n"/>
      <c r="N206" s="19" t="n"/>
    </row>
    <row r="207" ht="15.75" customHeight="1" s="545">
      <c r="A207" s="19" t="n"/>
      <c r="B207" s="19" t="n"/>
      <c r="C207" s="19" t="n"/>
      <c r="D207" s="19" t="n"/>
      <c r="E207" s="19" t="n"/>
      <c r="F207" s="19" t="n"/>
      <c r="G207" s="19" t="n"/>
      <c r="H207" s="19" t="n"/>
      <c r="I207" s="19" t="n"/>
      <c r="J207" s="19" t="n"/>
      <c r="K207" s="19" t="n"/>
      <c r="L207" s="19" t="n"/>
      <c r="M207" s="19" t="n"/>
      <c r="N207" s="19" t="n"/>
    </row>
    <row r="208" ht="15.75" customHeight="1" s="545">
      <c r="A208" s="19" t="n"/>
      <c r="B208" s="19" t="n"/>
      <c r="C208" s="19" t="n"/>
      <c r="D208" s="19" t="n"/>
      <c r="E208" s="19" t="n"/>
      <c r="F208" s="19" t="n"/>
      <c r="G208" s="19" t="n"/>
      <c r="H208" s="19" t="n"/>
      <c r="I208" s="19" t="n"/>
      <c r="J208" s="19" t="n"/>
      <c r="K208" s="19" t="n"/>
      <c r="L208" s="19" t="n"/>
      <c r="M208" s="19" t="n"/>
      <c r="N208" s="19" t="n"/>
    </row>
    <row r="209" ht="15.75" customHeight="1" s="545">
      <c r="A209" s="19" t="n"/>
      <c r="B209" s="19" t="n"/>
      <c r="C209" s="19" t="n"/>
      <c r="D209" s="19" t="n"/>
      <c r="E209" s="19" t="n"/>
      <c r="F209" s="19" t="n"/>
      <c r="G209" s="19" t="n"/>
      <c r="H209" s="19" t="n"/>
      <c r="I209" s="19" t="n"/>
      <c r="J209" s="19" t="n"/>
      <c r="K209" s="19" t="n"/>
      <c r="L209" s="19" t="n"/>
      <c r="M209" s="19" t="n"/>
      <c r="N209" s="19" t="n"/>
    </row>
    <row r="210" ht="15.75" customHeight="1" s="545">
      <c r="A210" s="19" t="n"/>
      <c r="B210" s="19" t="n"/>
      <c r="C210" s="19" t="n"/>
      <c r="D210" s="19" t="n"/>
      <c r="E210" s="19" t="n"/>
      <c r="F210" s="19" t="n"/>
      <c r="G210" s="19" t="n"/>
      <c r="H210" s="19" t="n"/>
      <c r="I210" s="19" t="n"/>
      <c r="J210" s="19" t="n"/>
      <c r="K210" s="19" t="n"/>
      <c r="L210" s="19" t="n"/>
      <c r="M210" s="19" t="n"/>
      <c r="N210" s="19" t="n"/>
    </row>
    <row r="211" ht="15.75" customHeight="1" s="545">
      <c r="A211" s="19" t="n"/>
      <c r="B211" s="19" t="n"/>
      <c r="C211" s="19" t="n"/>
      <c r="D211" s="19" t="n"/>
      <c r="E211" s="19" t="n"/>
      <c r="F211" s="19" t="n"/>
      <c r="G211" s="19" t="n"/>
      <c r="H211" s="19" t="n"/>
      <c r="I211" s="19" t="n"/>
      <c r="J211" s="19" t="n"/>
      <c r="K211" s="19" t="n"/>
      <c r="L211" s="19" t="n"/>
      <c r="M211" s="19" t="n"/>
      <c r="N211" s="19" t="n"/>
    </row>
    <row r="212" ht="15.75" customHeight="1" s="545">
      <c r="A212" s="19" t="n"/>
      <c r="B212" s="19" t="n"/>
      <c r="C212" s="19" t="n"/>
      <c r="D212" s="19" t="n"/>
      <c r="E212" s="19" t="n"/>
      <c r="F212" s="19" t="n"/>
      <c r="G212" s="19" t="n"/>
      <c r="H212" s="19" t="n"/>
      <c r="I212" s="19" t="n"/>
      <c r="J212" s="19" t="n"/>
      <c r="K212" s="19" t="n"/>
      <c r="L212" s="19" t="n"/>
      <c r="M212" s="19" t="n"/>
      <c r="N212" s="19" t="n"/>
    </row>
    <row r="213" ht="15.75" customHeight="1" s="545">
      <c r="A213" s="19" t="n"/>
      <c r="B213" s="19" t="n"/>
      <c r="C213" s="19" t="n"/>
      <c r="D213" s="19" t="n"/>
      <c r="E213" s="19" t="n"/>
      <c r="F213" s="19" t="n"/>
      <c r="G213" s="19" t="n"/>
      <c r="H213" s="19" t="n"/>
      <c r="I213" s="19" t="n"/>
      <c r="J213" s="19" t="n"/>
      <c r="K213" s="19" t="n"/>
      <c r="L213" s="19" t="n"/>
      <c r="M213" s="19" t="n"/>
      <c r="N213" s="19" t="n"/>
    </row>
    <row r="214" ht="15.75" customHeight="1" s="545">
      <c r="A214" s="19" t="n"/>
      <c r="B214" s="19" t="n"/>
      <c r="C214" s="19" t="n"/>
      <c r="D214" s="19" t="n"/>
      <c r="E214" s="19" t="n"/>
      <c r="F214" s="19" t="n"/>
      <c r="G214" s="19" t="n"/>
      <c r="H214" s="19" t="n"/>
      <c r="I214" s="19" t="n"/>
      <c r="J214" s="19" t="n"/>
      <c r="K214" s="19" t="n"/>
      <c r="L214" s="19" t="n"/>
      <c r="M214" s="19" t="n"/>
      <c r="N214" s="19" t="n"/>
    </row>
    <row r="215" ht="15.75" customHeight="1" s="545">
      <c r="A215" s="19" t="n"/>
      <c r="B215" s="19" t="n"/>
      <c r="C215" s="19" t="n"/>
      <c r="D215" s="19" t="n"/>
      <c r="E215" s="19" t="n"/>
      <c r="F215" s="19" t="n"/>
      <c r="G215" s="19" t="n"/>
      <c r="H215" s="19" t="n"/>
      <c r="I215" s="19" t="n"/>
      <c r="J215" s="19" t="n"/>
      <c r="K215" s="19" t="n"/>
      <c r="L215" s="19" t="n"/>
      <c r="M215" s="19" t="n"/>
      <c r="N215" s="19" t="n"/>
    </row>
    <row r="216" ht="15.75" customHeight="1" s="545">
      <c r="A216" s="19" t="n"/>
      <c r="B216" s="19" t="n"/>
      <c r="C216" s="19" t="n"/>
      <c r="D216" s="19" t="n"/>
      <c r="E216" s="19" t="n"/>
      <c r="F216" s="19" t="n"/>
      <c r="G216" s="19" t="n"/>
      <c r="H216" s="19" t="n"/>
      <c r="I216" s="19" t="n"/>
      <c r="J216" s="19" t="n"/>
      <c r="K216" s="19" t="n"/>
      <c r="L216" s="19" t="n"/>
      <c r="M216" s="19" t="n"/>
      <c r="N216" s="19" t="n"/>
    </row>
    <row r="217" ht="15.75" customHeight="1" s="545">
      <c r="A217" s="19" t="n"/>
      <c r="B217" s="19" t="n"/>
      <c r="C217" s="19" t="n"/>
      <c r="D217" s="19" t="n"/>
      <c r="E217" s="19" t="n"/>
      <c r="F217" s="19" t="n"/>
      <c r="G217" s="19" t="n"/>
      <c r="H217" s="19" t="n"/>
      <c r="I217" s="19" t="n"/>
      <c r="J217" s="19" t="n"/>
      <c r="K217" s="19" t="n"/>
      <c r="L217" s="19" t="n"/>
      <c r="M217" s="19" t="n"/>
      <c r="N217" s="19" t="n"/>
    </row>
    <row r="218" ht="15.75" customHeight="1" s="545">
      <c r="A218" s="19" t="n"/>
      <c r="B218" s="19" t="n"/>
      <c r="C218" s="19" t="n"/>
      <c r="D218" s="19" t="n"/>
      <c r="E218" s="19" t="n"/>
      <c r="F218" s="19" t="n"/>
      <c r="G218" s="19" t="n"/>
      <c r="H218" s="19" t="n"/>
      <c r="I218" s="19" t="n"/>
      <c r="J218" s="19" t="n"/>
      <c r="K218" s="19" t="n"/>
      <c r="L218" s="19" t="n"/>
      <c r="M218" s="19" t="n"/>
      <c r="N218" s="19" t="n"/>
    </row>
    <row r="219" ht="15.75" customHeight="1" s="545">
      <c r="A219" s="19" t="n"/>
      <c r="B219" s="19" t="n"/>
      <c r="C219" s="19" t="n"/>
      <c r="D219" s="19" t="n"/>
      <c r="E219" s="19" t="n"/>
      <c r="F219" s="19" t="n"/>
      <c r="G219" s="19" t="n"/>
      <c r="H219" s="19" t="n"/>
      <c r="I219" s="19" t="n"/>
      <c r="J219" s="19" t="n"/>
      <c r="K219" s="19" t="n"/>
      <c r="L219" s="19" t="n"/>
      <c r="M219" s="19" t="n"/>
      <c r="N219" s="19" t="n"/>
    </row>
    <row r="220" ht="15.75" customHeight="1" s="545">
      <c r="A220" s="19" t="n"/>
      <c r="B220" s="19" t="n"/>
      <c r="C220" s="19" t="n"/>
      <c r="D220" s="19" t="n"/>
      <c r="E220" s="19" t="n"/>
      <c r="F220" s="19" t="n"/>
      <c r="G220" s="19" t="n"/>
      <c r="H220" s="19" t="n"/>
      <c r="I220" s="19" t="n"/>
      <c r="J220" s="19" t="n"/>
      <c r="K220" s="19" t="n"/>
      <c r="L220" s="19" t="n"/>
      <c r="M220" s="19" t="n"/>
      <c r="N220" s="19" t="n"/>
    </row>
    <row r="221" ht="15.75" customHeight="1" s="545">
      <c r="A221" s="19" t="n"/>
      <c r="B221" s="19" t="n"/>
      <c r="C221" s="19" t="n"/>
      <c r="D221" s="19" t="n"/>
      <c r="E221" s="19" t="n"/>
      <c r="F221" s="19" t="n"/>
      <c r="G221" s="19" t="n"/>
      <c r="H221" s="19" t="n"/>
      <c r="I221" s="19" t="n"/>
      <c r="J221" s="19" t="n"/>
      <c r="K221" s="19" t="n"/>
      <c r="L221" s="19" t="n"/>
      <c r="M221" s="19" t="n"/>
      <c r="N221" s="19" t="n"/>
    </row>
    <row r="222" ht="15.75" customHeight="1" s="545">
      <c r="A222" s="19" t="n"/>
      <c r="B222" s="19" t="n"/>
      <c r="C222" s="19" t="n"/>
      <c r="D222" s="19" t="n"/>
      <c r="E222" s="19" t="n"/>
      <c r="F222" s="19" t="n"/>
      <c r="G222" s="19" t="n"/>
      <c r="H222" s="19" t="n"/>
      <c r="I222" s="19" t="n"/>
      <c r="J222" s="19" t="n"/>
      <c r="K222" s="19" t="n"/>
      <c r="L222" s="19" t="n"/>
      <c r="M222" s="19" t="n"/>
      <c r="N222" s="19" t="n"/>
    </row>
    <row r="223" ht="15.75" customHeight="1" s="545">
      <c r="A223" s="19" t="n"/>
      <c r="B223" s="19" t="n"/>
      <c r="C223" s="19" t="n"/>
      <c r="D223" s="19" t="n"/>
      <c r="E223" s="19" t="n"/>
      <c r="F223" s="19" t="n"/>
      <c r="G223" s="19" t="n"/>
      <c r="H223" s="19" t="n"/>
      <c r="I223" s="19" t="n"/>
      <c r="J223" s="19" t="n"/>
      <c r="K223" s="19" t="n"/>
      <c r="L223" s="19" t="n"/>
      <c r="M223" s="19" t="n"/>
      <c r="N223" s="19" t="n"/>
    </row>
    <row r="224" ht="15.75" customHeight="1" s="545">
      <c r="A224" s="19" t="n"/>
      <c r="B224" s="19" t="n"/>
      <c r="C224" s="19" t="n"/>
      <c r="D224" s="19" t="n"/>
      <c r="E224" s="19" t="n"/>
      <c r="F224" s="19" t="n"/>
      <c r="G224" s="19" t="n"/>
      <c r="H224" s="19" t="n"/>
      <c r="I224" s="19" t="n"/>
      <c r="J224" s="19" t="n"/>
      <c r="K224" s="19" t="n"/>
      <c r="L224" s="19" t="n"/>
      <c r="M224" s="19" t="n"/>
      <c r="N224" s="19" t="n"/>
    </row>
    <row r="225" ht="15.75" customHeight="1" s="545">
      <c r="A225" s="19" t="n"/>
      <c r="B225" s="19" t="n"/>
      <c r="C225" s="19" t="n"/>
      <c r="D225" s="19" t="n"/>
      <c r="E225" s="19" t="n"/>
      <c r="F225" s="19" t="n"/>
      <c r="G225" s="19" t="n"/>
      <c r="H225" s="19" t="n"/>
      <c r="I225" s="19" t="n"/>
      <c r="J225" s="19" t="n"/>
      <c r="K225" s="19" t="n"/>
      <c r="L225" s="19" t="n"/>
      <c r="M225" s="19" t="n"/>
      <c r="N225" s="19" t="n"/>
    </row>
    <row r="226" ht="15.75" customHeight="1" s="545">
      <c r="A226" s="19" t="n"/>
      <c r="B226" s="19" t="n"/>
      <c r="C226" s="19" t="n"/>
      <c r="D226" s="19" t="n"/>
      <c r="E226" s="19" t="n"/>
      <c r="F226" s="19" t="n"/>
      <c r="G226" s="19" t="n"/>
      <c r="H226" s="19" t="n"/>
      <c r="I226" s="19" t="n"/>
      <c r="J226" s="19" t="n"/>
      <c r="K226" s="19" t="n"/>
      <c r="L226" s="19" t="n"/>
      <c r="M226" s="19" t="n"/>
      <c r="N226" s="19" t="n"/>
    </row>
    <row r="227" ht="15.75" customHeight="1" s="545">
      <c r="A227" s="19" t="n"/>
      <c r="B227" s="19" t="n"/>
      <c r="C227" s="19" t="n"/>
      <c r="D227" s="19" t="n"/>
      <c r="E227" s="19" t="n"/>
      <c r="F227" s="19" t="n"/>
      <c r="G227" s="19" t="n"/>
      <c r="H227" s="19" t="n"/>
      <c r="I227" s="19" t="n"/>
      <c r="J227" s="19" t="n"/>
      <c r="K227" s="19" t="n"/>
      <c r="L227" s="19" t="n"/>
      <c r="M227" s="19" t="n"/>
      <c r="N227" s="19" t="n"/>
    </row>
    <row r="228" ht="15.75" customHeight="1" s="545">
      <c r="A228" s="19" t="n"/>
      <c r="B228" s="19" t="n"/>
      <c r="C228" s="19" t="n"/>
      <c r="D228" s="19" t="n"/>
      <c r="E228" s="19" t="n"/>
      <c r="F228" s="19" t="n"/>
      <c r="G228" s="19" t="n"/>
      <c r="H228" s="19" t="n"/>
      <c r="I228" s="19" t="n"/>
      <c r="J228" s="19" t="n"/>
      <c r="K228" s="19" t="n"/>
      <c r="L228" s="19" t="n"/>
      <c r="M228" s="19" t="n"/>
      <c r="N228" s="19" t="n"/>
    </row>
    <row r="229" ht="15.75" customHeight="1" s="545">
      <c r="A229" s="19" t="n"/>
      <c r="B229" s="19" t="n"/>
      <c r="C229" s="19" t="n"/>
      <c r="D229" s="19" t="n"/>
      <c r="E229" s="19" t="n"/>
      <c r="F229" s="19" t="n"/>
      <c r="G229" s="19" t="n"/>
      <c r="H229" s="19" t="n"/>
      <c r="I229" s="19" t="n"/>
      <c r="J229" s="19" t="n"/>
      <c r="K229" s="19" t="n"/>
      <c r="L229" s="19" t="n"/>
      <c r="M229" s="19" t="n"/>
      <c r="N229" s="19" t="n"/>
    </row>
    <row r="230" ht="15.75" customHeight="1" s="545">
      <c r="A230" s="19" t="n"/>
      <c r="B230" s="19" t="n"/>
      <c r="C230" s="19" t="n"/>
      <c r="D230" s="19" t="n"/>
      <c r="E230" s="19" t="n"/>
      <c r="F230" s="19" t="n"/>
      <c r="G230" s="19" t="n"/>
      <c r="H230" s="19" t="n"/>
      <c r="I230" s="19" t="n"/>
      <c r="J230" s="19" t="n"/>
      <c r="K230" s="19" t="n"/>
      <c r="L230" s="19" t="n"/>
      <c r="M230" s="19" t="n"/>
      <c r="N230" s="19" t="n"/>
    </row>
    <row r="231" ht="15.75" customHeight="1" s="545">
      <c r="A231" s="19" t="n"/>
      <c r="B231" s="19" t="n"/>
      <c r="C231" s="19" t="n"/>
      <c r="D231" s="19" t="n"/>
      <c r="E231" s="19" t="n"/>
      <c r="F231" s="19" t="n"/>
      <c r="G231" s="19" t="n"/>
      <c r="H231" s="19" t="n"/>
      <c r="I231" s="19" t="n"/>
      <c r="J231" s="19" t="n"/>
      <c r="K231" s="19" t="n"/>
      <c r="L231" s="19" t="n"/>
      <c r="M231" s="19" t="n"/>
      <c r="N231" s="19" t="n"/>
    </row>
    <row r="232" ht="15.75" customHeight="1" s="545">
      <c r="A232" s="19" t="n"/>
      <c r="B232" s="19" t="n"/>
      <c r="C232" s="19" t="n"/>
      <c r="D232" s="19" t="n"/>
      <c r="E232" s="19" t="n"/>
      <c r="F232" s="19" t="n"/>
      <c r="G232" s="19" t="n"/>
      <c r="H232" s="19" t="n"/>
      <c r="I232" s="19" t="n"/>
      <c r="J232" s="19" t="n"/>
      <c r="K232" s="19" t="n"/>
      <c r="L232" s="19" t="n"/>
      <c r="M232" s="19" t="n"/>
      <c r="N232" s="19" t="n"/>
    </row>
    <row r="233" ht="15.75" customHeight="1" s="545">
      <c r="A233" s="19" t="n"/>
      <c r="B233" s="19" t="n"/>
      <c r="C233" s="19" t="n"/>
      <c r="D233" s="19" t="n"/>
      <c r="E233" s="19" t="n"/>
      <c r="F233" s="19" t="n"/>
      <c r="G233" s="19" t="n"/>
      <c r="H233" s="19" t="n"/>
      <c r="I233" s="19" t="n"/>
      <c r="J233" s="19" t="n"/>
      <c r="K233" s="19" t="n"/>
      <c r="L233" s="19" t="n"/>
      <c r="M233" s="19" t="n"/>
      <c r="N233" s="19" t="n"/>
    </row>
    <row r="234" ht="15.75" customHeight="1" s="545">
      <c r="A234" s="19" t="n"/>
      <c r="B234" s="19" t="n"/>
      <c r="C234" s="19" t="n"/>
      <c r="D234" s="19" t="n"/>
      <c r="E234" s="19" t="n"/>
      <c r="F234" s="19" t="n"/>
      <c r="G234" s="19" t="n"/>
      <c r="H234" s="19" t="n"/>
      <c r="I234" s="19" t="n"/>
      <c r="J234" s="19" t="n"/>
      <c r="K234" s="19" t="n"/>
      <c r="L234" s="19" t="n"/>
      <c r="M234" s="19" t="n"/>
      <c r="N234" s="19" t="n"/>
    </row>
    <row r="235" ht="15.75" customHeight="1" s="545">
      <c r="A235" s="19" t="n"/>
      <c r="B235" s="19" t="n"/>
      <c r="C235" s="19" t="n"/>
      <c r="D235" s="19" t="n"/>
      <c r="E235" s="19" t="n"/>
      <c r="F235" s="19" t="n"/>
      <c r="G235" s="19" t="n"/>
      <c r="H235" s="19" t="n"/>
      <c r="I235" s="19" t="n"/>
      <c r="J235" s="19" t="n"/>
      <c r="K235" s="19" t="n"/>
      <c r="L235" s="19" t="n"/>
      <c r="M235" s="19" t="n"/>
      <c r="N235" s="19" t="n"/>
    </row>
    <row r="236" ht="15.75" customHeight="1" s="545">
      <c r="A236" s="19" t="n"/>
      <c r="B236" s="19" t="n"/>
      <c r="C236" s="19" t="n"/>
      <c r="D236" s="19" t="n"/>
      <c r="E236" s="19" t="n"/>
      <c r="F236" s="19" t="n"/>
      <c r="G236" s="19" t="n"/>
      <c r="H236" s="19" t="n"/>
      <c r="I236" s="19" t="n"/>
      <c r="J236" s="19" t="n"/>
      <c r="K236" s="19" t="n"/>
      <c r="L236" s="19" t="n"/>
      <c r="M236" s="19" t="n"/>
      <c r="N236" s="19" t="n"/>
    </row>
    <row r="237" ht="15.75" customHeight="1" s="545">
      <c r="A237" s="19" t="n"/>
      <c r="B237" s="19" t="n"/>
      <c r="C237" s="19" t="n"/>
      <c r="D237" s="19" t="n"/>
      <c r="E237" s="19" t="n"/>
      <c r="F237" s="19" t="n"/>
      <c r="G237" s="19" t="n"/>
      <c r="H237" s="19" t="n"/>
      <c r="I237" s="19" t="n"/>
      <c r="J237" s="19" t="n"/>
      <c r="K237" s="19" t="n"/>
      <c r="L237" s="19" t="n"/>
      <c r="M237" s="19" t="n"/>
      <c r="N237" s="19" t="n"/>
    </row>
    <row r="238" ht="15.75" customHeight="1" s="545">
      <c r="A238" s="19" t="n"/>
      <c r="B238" s="19" t="n"/>
      <c r="C238" s="19" t="n"/>
      <c r="D238" s="19" t="n"/>
      <c r="E238" s="19" t="n"/>
      <c r="F238" s="19" t="n"/>
      <c r="G238" s="19" t="n"/>
      <c r="H238" s="19" t="n"/>
      <c r="I238" s="19" t="n"/>
      <c r="J238" s="19" t="n"/>
      <c r="K238" s="19" t="n"/>
      <c r="L238" s="19" t="n"/>
      <c r="M238" s="19" t="n"/>
      <c r="N238" s="19" t="n"/>
    </row>
    <row r="239" ht="15.75" customHeight="1" s="545">
      <c r="A239" s="19" t="n"/>
      <c r="B239" s="19" t="n"/>
      <c r="C239" s="19" t="n"/>
      <c r="D239" s="19" t="n"/>
      <c r="E239" s="19" t="n"/>
      <c r="F239" s="19" t="n"/>
      <c r="G239" s="19" t="n"/>
      <c r="H239" s="19" t="n"/>
      <c r="I239" s="19" t="n"/>
      <c r="J239" s="19" t="n"/>
      <c r="K239" s="19" t="n"/>
      <c r="L239" s="19" t="n"/>
      <c r="M239" s="19" t="n"/>
      <c r="N239" s="19" t="n"/>
    </row>
    <row r="240" ht="15.75" customHeight="1" s="545">
      <c r="A240" s="19" t="n"/>
      <c r="B240" s="19" t="n"/>
      <c r="C240" s="19" t="n"/>
      <c r="D240" s="19" t="n"/>
      <c r="E240" s="19" t="n"/>
      <c r="F240" s="19" t="n"/>
      <c r="G240" s="19" t="n"/>
      <c r="H240" s="19" t="n"/>
      <c r="I240" s="19" t="n"/>
      <c r="J240" s="19" t="n"/>
      <c r="K240" s="19" t="n"/>
      <c r="L240" s="19" t="n"/>
      <c r="M240" s="19" t="n"/>
      <c r="N240" s="19" t="n"/>
    </row>
    <row r="241" ht="15.75" customHeight="1" s="545">
      <c r="A241" s="19" t="n"/>
      <c r="B241" s="19" t="n"/>
      <c r="C241" s="19" t="n"/>
      <c r="D241" s="19" t="n"/>
      <c r="E241" s="19" t="n"/>
      <c r="F241" s="19" t="n"/>
      <c r="G241" s="19" t="n"/>
      <c r="H241" s="19" t="n"/>
      <c r="I241" s="19" t="n"/>
      <c r="J241" s="19" t="n"/>
      <c r="K241" s="19" t="n"/>
      <c r="L241" s="19" t="n"/>
      <c r="M241" s="19" t="n"/>
      <c r="N241" s="19" t="n"/>
    </row>
    <row r="242" ht="15.75" customHeight="1" s="545">
      <c r="A242" s="19" t="n"/>
      <c r="B242" s="19" t="n"/>
      <c r="C242" s="19" t="n"/>
      <c r="D242" s="19" t="n"/>
      <c r="E242" s="19" t="n"/>
      <c r="F242" s="19" t="n"/>
      <c r="G242" s="19" t="n"/>
      <c r="H242" s="19" t="n"/>
      <c r="I242" s="19" t="n"/>
      <c r="J242" s="19" t="n"/>
      <c r="K242" s="19" t="n"/>
      <c r="L242" s="19" t="n"/>
      <c r="M242" s="19" t="n"/>
      <c r="N242" s="19" t="n"/>
    </row>
    <row r="243" ht="15.75" customHeight="1" s="545">
      <c r="A243" s="19" t="n"/>
      <c r="B243" s="19" t="n"/>
      <c r="C243" s="19" t="n"/>
      <c r="D243" s="19" t="n"/>
      <c r="E243" s="19" t="n"/>
      <c r="F243" s="19" t="n"/>
      <c r="G243" s="19" t="n"/>
      <c r="H243" s="19" t="n"/>
      <c r="I243" s="19" t="n"/>
      <c r="J243" s="19" t="n"/>
      <c r="K243" s="19" t="n"/>
      <c r="L243" s="19" t="n"/>
      <c r="M243" s="19" t="n"/>
      <c r="N243" s="19" t="n"/>
    </row>
    <row r="244" ht="15.75" customHeight="1" s="545">
      <c r="A244" s="19" t="n"/>
      <c r="B244" s="19" t="n"/>
      <c r="C244" s="19" t="n"/>
      <c r="D244" s="19" t="n"/>
      <c r="E244" s="19" t="n"/>
      <c r="F244" s="19" t="n"/>
      <c r="G244" s="19" t="n"/>
      <c r="H244" s="19" t="n"/>
      <c r="I244" s="19" t="n"/>
      <c r="J244" s="19" t="n"/>
      <c r="K244" s="19" t="n"/>
      <c r="L244" s="19" t="n"/>
      <c r="M244" s="19" t="n"/>
      <c r="N244" s="19" t="n"/>
    </row>
    <row r="245" ht="15.75" customHeight="1" s="545">
      <c r="A245" s="19" t="n"/>
      <c r="B245" s="19" t="n"/>
      <c r="C245" s="19" t="n"/>
      <c r="D245" s="19" t="n"/>
      <c r="E245" s="19" t="n"/>
      <c r="F245" s="19" t="n"/>
      <c r="G245" s="19" t="n"/>
      <c r="H245" s="19" t="n"/>
      <c r="I245" s="19" t="n"/>
      <c r="J245" s="19" t="n"/>
      <c r="K245" s="19" t="n"/>
      <c r="L245" s="19" t="n"/>
      <c r="M245" s="19" t="n"/>
      <c r="N245" s="19" t="n"/>
    </row>
    <row r="246" ht="15.75" customHeight="1" s="545">
      <c r="A246" s="19" t="n"/>
      <c r="B246" s="19" t="n"/>
      <c r="C246" s="19" t="n"/>
      <c r="D246" s="19" t="n"/>
      <c r="E246" s="19" t="n"/>
      <c r="F246" s="19" t="n"/>
      <c r="G246" s="19" t="n"/>
      <c r="H246" s="19" t="n"/>
      <c r="I246" s="19" t="n"/>
      <c r="J246" s="19" t="n"/>
      <c r="K246" s="19" t="n"/>
      <c r="L246" s="19" t="n"/>
      <c r="M246" s="19" t="n"/>
      <c r="N246" s="19" t="n"/>
    </row>
    <row r="247" ht="15.75" customHeight="1" s="545">
      <c r="A247" s="19" t="n"/>
      <c r="B247" s="19" t="n"/>
      <c r="C247" s="19" t="n"/>
      <c r="D247" s="19" t="n"/>
      <c r="E247" s="19" t="n"/>
      <c r="F247" s="19" t="n"/>
      <c r="G247" s="19" t="n"/>
      <c r="H247" s="19" t="n"/>
      <c r="I247" s="19" t="n"/>
      <c r="J247" s="19" t="n"/>
      <c r="K247" s="19" t="n"/>
      <c r="L247" s="19" t="n"/>
      <c r="M247" s="19" t="n"/>
      <c r="N247" s="19" t="n"/>
    </row>
    <row r="248" ht="15.75" customHeight="1" s="545">
      <c r="A248" s="19" t="n"/>
      <c r="B248" s="19" t="n"/>
      <c r="C248" s="19" t="n"/>
      <c r="D248" s="19" t="n"/>
      <c r="E248" s="19" t="n"/>
      <c r="F248" s="19" t="n"/>
      <c r="G248" s="19" t="n"/>
      <c r="H248" s="19" t="n"/>
      <c r="I248" s="19" t="n"/>
      <c r="J248" s="19" t="n"/>
      <c r="K248" s="19" t="n"/>
      <c r="L248" s="19" t="n"/>
      <c r="M248" s="19" t="n"/>
      <c r="N248" s="19" t="n"/>
    </row>
    <row r="249" ht="15.75" customHeight="1" s="545">
      <c r="A249" s="19" t="n"/>
      <c r="B249" s="19" t="n"/>
      <c r="C249" s="19" t="n"/>
      <c r="D249" s="19" t="n"/>
      <c r="E249" s="19" t="n"/>
      <c r="F249" s="19" t="n"/>
      <c r="G249" s="19" t="n"/>
      <c r="H249" s="19" t="n"/>
      <c r="I249" s="19" t="n"/>
      <c r="J249" s="19" t="n"/>
      <c r="K249" s="19" t="n"/>
      <c r="L249" s="19" t="n"/>
      <c r="M249" s="19" t="n"/>
      <c r="N249" s="19" t="n"/>
    </row>
    <row r="250" ht="15.75" customHeight="1" s="545">
      <c r="A250" s="19" t="n"/>
      <c r="B250" s="19" t="n"/>
      <c r="C250" s="19" t="n"/>
      <c r="D250" s="19" t="n"/>
      <c r="E250" s="19" t="n"/>
      <c r="F250" s="19" t="n"/>
      <c r="G250" s="19" t="n"/>
      <c r="H250" s="19" t="n"/>
      <c r="I250" s="19" t="n"/>
      <c r="J250" s="19" t="n"/>
      <c r="K250" s="19" t="n"/>
      <c r="L250" s="19" t="n"/>
      <c r="M250" s="19" t="n"/>
      <c r="N250" s="19" t="n"/>
    </row>
    <row r="251" ht="15.75" customHeight="1" s="545">
      <c r="A251" s="19" t="n"/>
      <c r="B251" s="19" t="n"/>
      <c r="C251" s="19" t="n"/>
      <c r="D251" s="19" t="n"/>
      <c r="E251" s="19" t="n"/>
      <c r="F251" s="19" t="n"/>
      <c r="G251" s="19" t="n"/>
      <c r="H251" s="19" t="n"/>
      <c r="I251" s="19" t="n"/>
      <c r="J251" s="19" t="n"/>
      <c r="K251" s="19" t="n"/>
      <c r="L251" s="19" t="n"/>
      <c r="M251" s="19" t="n"/>
      <c r="N251" s="19" t="n"/>
    </row>
    <row r="252" ht="15.75" customHeight="1" s="545">
      <c r="A252" s="19" t="n"/>
      <c r="B252" s="19" t="n"/>
      <c r="C252" s="19" t="n"/>
      <c r="D252" s="19" t="n"/>
      <c r="E252" s="19" t="n"/>
      <c r="F252" s="19" t="n"/>
      <c r="G252" s="19" t="n"/>
      <c r="H252" s="19" t="n"/>
      <c r="I252" s="19" t="n"/>
      <c r="J252" s="19" t="n"/>
      <c r="K252" s="19" t="n"/>
      <c r="L252" s="19" t="n"/>
      <c r="M252" s="19" t="n"/>
      <c r="N252" s="19" t="n"/>
    </row>
    <row r="253" ht="15.75" customHeight="1" s="545">
      <c r="A253" s="19" t="n"/>
      <c r="B253" s="19" t="n"/>
      <c r="C253" s="19" t="n"/>
      <c r="D253" s="19" t="n"/>
      <c r="E253" s="19" t="n"/>
      <c r="F253" s="19" t="n"/>
      <c r="G253" s="19" t="n"/>
      <c r="H253" s="19" t="n"/>
      <c r="I253" s="19" t="n"/>
      <c r="J253" s="19" t="n"/>
      <c r="K253" s="19" t="n"/>
      <c r="L253" s="19" t="n"/>
      <c r="M253" s="19" t="n"/>
      <c r="N253" s="19" t="n"/>
    </row>
    <row r="254" ht="15.75" customHeight="1" s="545">
      <c r="A254" s="19" t="n"/>
      <c r="B254" s="19" t="n"/>
      <c r="C254" s="19" t="n"/>
      <c r="D254" s="19" t="n"/>
      <c r="E254" s="19" t="n"/>
      <c r="F254" s="19" t="n"/>
      <c r="G254" s="19" t="n"/>
      <c r="H254" s="19" t="n"/>
      <c r="I254" s="19" t="n"/>
      <c r="J254" s="19" t="n"/>
      <c r="K254" s="19" t="n"/>
      <c r="L254" s="19" t="n"/>
      <c r="M254" s="19" t="n"/>
      <c r="N254" s="19" t="n"/>
    </row>
    <row r="255" ht="15.75" customHeight="1" s="545">
      <c r="A255" s="19" t="n"/>
      <c r="B255" s="19" t="n"/>
      <c r="C255" s="19" t="n"/>
      <c r="D255" s="19" t="n"/>
      <c r="E255" s="19" t="n"/>
      <c r="F255" s="19" t="n"/>
      <c r="G255" s="19" t="n"/>
      <c r="H255" s="19" t="n"/>
      <c r="I255" s="19" t="n"/>
      <c r="J255" s="19" t="n"/>
      <c r="K255" s="19" t="n"/>
      <c r="L255" s="19" t="n"/>
      <c r="M255" s="19" t="n"/>
      <c r="N255" s="19" t="n"/>
    </row>
    <row r="256" ht="15.75" customHeight="1" s="545">
      <c r="A256" s="19" t="n"/>
      <c r="B256" s="19" t="n"/>
      <c r="C256" s="19" t="n"/>
      <c r="D256" s="19" t="n"/>
      <c r="E256" s="19" t="n"/>
      <c r="F256" s="19" t="n"/>
      <c r="G256" s="19" t="n"/>
      <c r="H256" s="19" t="n"/>
      <c r="I256" s="19" t="n"/>
      <c r="J256" s="19" t="n"/>
      <c r="K256" s="19" t="n"/>
      <c r="L256" s="19" t="n"/>
      <c r="M256" s="19" t="n"/>
      <c r="N256" s="19" t="n"/>
    </row>
    <row r="257" ht="15.75" customHeight="1" s="545">
      <c r="A257" s="19" t="n"/>
      <c r="B257" s="19" t="n"/>
      <c r="C257" s="19" t="n"/>
      <c r="D257" s="19" t="n"/>
      <c r="E257" s="19" t="n"/>
      <c r="F257" s="19" t="n"/>
      <c r="G257" s="19" t="n"/>
      <c r="H257" s="19" t="n"/>
      <c r="I257" s="19" t="n"/>
      <c r="J257" s="19" t="n"/>
      <c r="K257" s="19" t="n"/>
      <c r="L257" s="19" t="n"/>
      <c r="M257" s="19" t="n"/>
      <c r="N257" s="19" t="n"/>
    </row>
    <row r="258" ht="15.75" customHeight="1" s="545">
      <c r="A258" s="19" t="n"/>
      <c r="B258" s="19" t="n"/>
      <c r="C258" s="19" t="n"/>
      <c r="D258" s="19" t="n"/>
      <c r="E258" s="19" t="n"/>
      <c r="F258" s="19" t="n"/>
      <c r="G258" s="19" t="n"/>
      <c r="H258" s="19" t="n"/>
      <c r="I258" s="19" t="n"/>
      <c r="J258" s="19" t="n"/>
      <c r="K258" s="19" t="n"/>
      <c r="L258" s="19" t="n"/>
      <c r="M258" s="19" t="n"/>
      <c r="N258" s="19" t="n"/>
    </row>
    <row r="259" ht="15.75" customHeight="1" s="545">
      <c r="A259" s="19" t="n"/>
      <c r="B259" s="19" t="n"/>
      <c r="C259" s="19" t="n"/>
      <c r="D259" s="19" t="n"/>
      <c r="E259" s="19" t="n"/>
      <c r="F259" s="19" t="n"/>
      <c r="G259" s="19" t="n"/>
      <c r="H259" s="19" t="n"/>
      <c r="I259" s="19" t="n"/>
      <c r="J259" s="19" t="n"/>
      <c r="K259" s="19" t="n"/>
      <c r="L259" s="19" t="n"/>
      <c r="M259" s="19" t="n"/>
      <c r="N259" s="19" t="n"/>
    </row>
    <row r="260" ht="15.75" customHeight="1" s="545">
      <c r="A260" s="19" t="n"/>
      <c r="B260" s="19" t="n"/>
      <c r="C260" s="19" t="n"/>
      <c r="D260" s="19" t="n"/>
      <c r="E260" s="19" t="n"/>
      <c r="F260" s="19" t="n"/>
      <c r="G260" s="19" t="n"/>
      <c r="H260" s="19" t="n"/>
      <c r="I260" s="19" t="n"/>
      <c r="J260" s="19" t="n"/>
      <c r="K260" s="19" t="n"/>
      <c r="L260" s="19" t="n"/>
      <c r="M260" s="19" t="n"/>
      <c r="N260" s="19" t="n"/>
    </row>
    <row r="261" ht="15.75" customHeight="1" s="545">
      <c r="A261" s="19" t="n"/>
      <c r="B261" s="19" t="n"/>
      <c r="C261" s="19" t="n"/>
      <c r="D261" s="19" t="n"/>
      <c r="E261" s="19" t="n"/>
      <c r="F261" s="19" t="n"/>
      <c r="G261" s="19" t="n"/>
      <c r="H261" s="19" t="n"/>
      <c r="I261" s="19" t="n"/>
      <c r="J261" s="19" t="n"/>
      <c r="K261" s="19" t="n"/>
      <c r="L261" s="19" t="n"/>
      <c r="M261" s="19" t="n"/>
      <c r="N261" s="19" t="n"/>
    </row>
    <row r="262" ht="15.75" customHeight="1" s="545">
      <c r="A262" s="19" t="n"/>
      <c r="B262" s="19" t="n"/>
      <c r="C262" s="19" t="n"/>
      <c r="D262" s="19" t="n"/>
      <c r="E262" s="19" t="n"/>
      <c r="F262" s="19" t="n"/>
      <c r="G262" s="19" t="n"/>
      <c r="H262" s="19" t="n"/>
      <c r="I262" s="19" t="n"/>
      <c r="J262" s="19" t="n"/>
      <c r="K262" s="19" t="n"/>
      <c r="L262" s="19" t="n"/>
      <c r="M262" s="19" t="n"/>
      <c r="N262" s="19" t="n"/>
    </row>
    <row r="263" ht="15.75" customHeight="1" s="545">
      <c r="A263" s="19" t="n"/>
      <c r="B263" s="19" t="n"/>
      <c r="C263" s="19" t="n"/>
      <c r="D263" s="19" t="n"/>
      <c r="E263" s="19" t="n"/>
      <c r="F263" s="19" t="n"/>
      <c r="G263" s="19" t="n"/>
      <c r="H263" s="19" t="n"/>
      <c r="I263" s="19" t="n"/>
      <c r="J263" s="19" t="n"/>
      <c r="K263" s="19" t="n"/>
      <c r="L263" s="19" t="n"/>
      <c r="M263" s="19" t="n"/>
      <c r="N263" s="19" t="n"/>
    </row>
    <row r="264" ht="15.75" customHeight="1" s="545">
      <c r="A264" s="19" t="n"/>
      <c r="B264" s="19" t="n"/>
      <c r="C264" s="19" t="n"/>
      <c r="D264" s="19" t="n"/>
      <c r="E264" s="19" t="n"/>
      <c r="F264" s="19" t="n"/>
      <c r="G264" s="19" t="n"/>
      <c r="H264" s="19" t="n"/>
      <c r="I264" s="19" t="n"/>
      <c r="J264" s="19" t="n"/>
      <c r="K264" s="19" t="n"/>
      <c r="L264" s="19" t="n"/>
      <c r="M264" s="19" t="n"/>
      <c r="N264" s="19" t="n"/>
    </row>
    <row r="265" ht="15.75" customHeight="1" s="545">
      <c r="A265" s="19" t="n"/>
      <c r="B265" s="19" t="n"/>
      <c r="C265" s="19" t="n"/>
      <c r="D265" s="19" t="n"/>
      <c r="E265" s="19" t="n"/>
      <c r="F265" s="19" t="n"/>
      <c r="G265" s="19" t="n"/>
      <c r="H265" s="19" t="n"/>
      <c r="I265" s="19" t="n"/>
      <c r="J265" s="19" t="n"/>
      <c r="K265" s="19" t="n"/>
      <c r="L265" s="19" t="n"/>
      <c r="M265" s="19" t="n"/>
      <c r="N265" s="19" t="n"/>
    </row>
    <row r="266" ht="15.75" customHeight="1" s="545">
      <c r="A266" s="19" t="n"/>
      <c r="B266" s="19" t="n"/>
      <c r="C266" s="19" t="n"/>
      <c r="D266" s="19" t="n"/>
      <c r="E266" s="19" t="n"/>
      <c r="F266" s="19" t="n"/>
      <c r="G266" s="19" t="n"/>
      <c r="H266" s="19" t="n"/>
      <c r="I266" s="19" t="n"/>
      <c r="J266" s="19" t="n"/>
      <c r="K266" s="19" t="n"/>
      <c r="L266" s="19" t="n"/>
      <c r="M266" s="19" t="n"/>
      <c r="N266" s="19" t="n"/>
    </row>
    <row r="267" ht="15.75" customHeight="1" s="545">
      <c r="A267" s="19" t="n"/>
      <c r="B267" s="19" t="n"/>
      <c r="C267" s="19" t="n"/>
      <c r="D267" s="19" t="n"/>
      <c r="E267" s="19" t="n"/>
      <c r="F267" s="19" t="n"/>
      <c r="G267" s="19" t="n"/>
      <c r="H267" s="19" t="n"/>
      <c r="I267" s="19" t="n"/>
      <c r="J267" s="19" t="n"/>
      <c r="K267" s="19" t="n"/>
      <c r="L267" s="19" t="n"/>
      <c r="M267" s="19" t="n"/>
      <c r="N267" s="19" t="n"/>
    </row>
    <row r="268" ht="15.75" customHeight="1" s="545">
      <c r="A268" s="19" t="n"/>
      <c r="B268" s="19" t="n"/>
      <c r="C268" s="19" t="n"/>
      <c r="D268" s="19" t="n"/>
      <c r="E268" s="19" t="n"/>
      <c r="F268" s="19" t="n"/>
      <c r="G268" s="19" t="n"/>
      <c r="H268" s="19" t="n"/>
      <c r="I268" s="19" t="n"/>
      <c r="J268" s="19" t="n"/>
      <c r="K268" s="19" t="n"/>
      <c r="L268" s="19" t="n"/>
      <c r="M268" s="19" t="n"/>
      <c r="N268" s="19" t="n"/>
    </row>
    <row r="269" ht="15.75" customHeight="1" s="545">
      <c r="A269" s="19" t="n"/>
      <c r="B269" s="19" t="n"/>
      <c r="C269" s="19" t="n"/>
      <c r="D269" s="19" t="n"/>
      <c r="E269" s="19" t="n"/>
      <c r="F269" s="19" t="n"/>
      <c r="G269" s="19" t="n"/>
      <c r="H269" s="19" t="n"/>
      <c r="I269" s="19" t="n"/>
      <c r="J269" s="19" t="n"/>
      <c r="K269" s="19" t="n"/>
      <c r="L269" s="19" t="n"/>
      <c r="M269" s="19" t="n"/>
      <c r="N269" s="19" t="n"/>
    </row>
    <row r="270" ht="15.75" customHeight="1" s="545">
      <c r="A270" s="19" t="n"/>
      <c r="B270" s="19" t="n"/>
      <c r="C270" s="19" t="n"/>
      <c r="D270" s="19" t="n"/>
      <c r="E270" s="19" t="n"/>
      <c r="F270" s="19" t="n"/>
      <c r="G270" s="19" t="n"/>
      <c r="H270" s="19" t="n"/>
      <c r="I270" s="19" t="n"/>
      <c r="J270" s="19" t="n"/>
      <c r="K270" s="19" t="n"/>
      <c r="L270" s="19" t="n"/>
      <c r="M270" s="19" t="n"/>
      <c r="N270" s="19" t="n"/>
    </row>
    <row r="271" ht="15.75" customHeight="1" s="545">
      <c r="A271" s="19" t="n"/>
      <c r="B271" s="19" t="n"/>
      <c r="C271" s="19" t="n"/>
      <c r="D271" s="19" t="n"/>
      <c r="E271" s="19" t="n"/>
      <c r="F271" s="19" t="n"/>
      <c r="G271" s="19" t="n"/>
      <c r="H271" s="19" t="n"/>
      <c r="I271" s="19" t="n"/>
      <c r="J271" s="19" t="n"/>
      <c r="K271" s="19" t="n"/>
      <c r="L271" s="19" t="n"/>
      <c r="M271" s="19" t="n"/>
      <c r="N271" s="19" t="n"/>
    </row>
    <row r="272" ht="15.75" customHeight="1" s="545">
      <c r="A272" s="19" t="n"/>
      <c r="B272" s="19" t="n"/>
      <c r="C272" s="19" t="n"/>
      <c r="D272" s="19" t="n"/>
      <c r="E272" s="19" t="n"/>
      <c r="F272" s="19" t="n"/>
      <c r="G272" s="19" t="n"/>
      <c r="H272" s="19" t="n"/>
      <c r="I272" s="19" t="n"/>
      <c r="J272" s="19" t="n"/>
      <c r="K272" s="19" t="n"/>
      <c r="L272" s="19" t="n"/>
      <c r="M272" s="19" t="n"/>
      <c r="N272" s="19" t="n"/>
    </row>
    <row r="273" ht="15.75" customHeight="1" s="545">
      <c r="A273" s="19" t="n"/>
      <c r="B273" s="19" t="n"/>
      <c r="C273" s="19" t="n"/>
      <c r="D273" s="19" t="n"/>
      <c r="E273" s="19" t="n"/>
      <c r="F273" s="19" t="n"/>
      <c r="G273" s="19" t="n"/>
      <c r="H273" s="19" t="n"/>
      <c r="I273" s="19" t="n"/>
      <c r="J273" s="19" t="n"/>
      <c r="K273" s="19" t="n"/>
      <c r="L273" s="19" t="n"/>
      <c r="M273" s="19" t="n"/>
      <c r="N273" s="19" t="n"/>
    </row>
    <row r="274" ht="15.75" customHeight="1" s="545">
      <c r="A274" s="19" t="n"/>
      <c r="B274" s="19" t="n"/>
      <c r="C274" s="19" t="n"/>
      <c r="D274" s="19" t="n"/>
      <c r="E274" s="19" t="n"/>
      <c r="F274" s="19" t="n"/>
      <c r="G274" s="19" t="n"/>
      <c r="H274" s="19" t="n"/>
      <c r="I274" s="19" t="n"/>
      <c r="J274" s="19" t="n"/>
      <c r="K274" s="19" t="n"/>
      <c r="L274" s="19" t="n"/>
      <c r="M274" s="19" t="n"/>
      <c r="N274" s="19" t="n"/>
    </row>
    <row r="275" ht="15.75" customHeight="1" s="545">
      <c r="A275" s="19" t="n"/>
      <c r="B275" s="19" t="n"/>
      <c r="C275" s="19" t="n"/>
      <c r="D275" s="19" t="n"/>
      <c r="E275" s="19" t="n"/>
      <c r="F275" s="19" t="n"/>
      <c r="G275" s="19" t="n"/>
      <c r="H275" s="19" t="n"/>
      <c r="I275" s="19" t="n"/>
      <c r="J275" s="19" t="n"/>
      <c r="K275" s="19" t="n"/>
      <c r="L275" s="19" t="n"/>
      <c r="M275" s="19" t="n"/>
      <c r="N275" s="19" t="n"/>
    </row>
    <row r="276" ht="15.75" customHeight="1" s="545">
      <c r="A276" s="19" t="n"/>
      <c r="B276" s="19" t="n"/>
      <c r="C276" s="19" t="n"/>
      <c r="D276" s="19" t="n"/>
      <c r="E276" s="19" t="n"/>
      <c r="F276" s="19" t="n"/>
      <c r="G276" s="19" t="n"/>
      <c r="H276" s="19" t="n"/>
      <c r="I276" s="19" t="n"/>
      <c r="J276" s="19" t="n"/>
      <c r="K276" s="19" t="n"/>
      <c r="L276" s="19" t="n"/>
      <c r="M276" s="19" t="n"/>
      <c r="N276" s="19" t="n"/>
    </row>
    <row r="277" ht="15.75" customHeight="1" s="545">
      <c r="A277" s="19" t="n"/>
      <c r="B277" s="19" t="n"/>
      <c r="C277" s="19" t="n"/>
      <c r="D277" s="19" t="n"/>
      <c r="E277" s="19" t="n"/>
      <c r="F277" s="19" t="n"/>
      <c r="G277" s="19" t="n"/>
      <c r="H277" s="19" t="n"/>
      <c r="I277" s="19" t="n"/>
      <c r="J277" s="19" t="n"/>
      <c r="K277" s="19" t="n"/>
      <c r="L277" s="19" t="n"/>
      <c r="M277" s="19" t="n"/>
      <c r="N277" s="19" t="n"/>
    </row>
    <row r="278" ht="15.75" customHeight="1" s="545">
      <c r="A278" s="19" t="n"/>
      <c r="B278" s="19" t="n"/>
      <c r="C278" s="19" t="n"/>
      <c r="D278" s="19" t="n"/>
      <c r="E278" s="19" t="n"/>
      <c r="F278" s="19" t="n"/>
      <c r="G278" s="19" t="n"/>
      <c r="H278" s="19" t="n"/>
      <c r="I278" s="19" t="n"/>
      <c r="J278" s="19" t="n"/>
      <c r="K278" s="19" t="n"/>
      <c r="L278" s="19" t="n"/>
      <c r="M278" s="19" t="n"/>
      <c r="N278" s="19" t="n"/>
    </row>
    <row r="279" ht="15.75" customHeight="1" s="545">
      <c r="A279" s="19" t="n"/>
      <c r="B279" s="19" t="n"/>
      <c r="C279" s="19" t="n"/>
      <c r="D279" s="19" t="n"/>
      <c r="E279" s="19" t="n"/>
      <c r="F279" s="19" t="n"/>
      <c r="G279" s="19" t="n"/>
      <c r="H279" s="19" t="n"/>
      <c r="I279" s="19" t="n"/>
      <c r="J279" s="19" t="n"/>
      <c r="K279" s="19" t="n"/>
      <c r="L279" s="19" t="n"/>
      <c r="M279" s="19" t="n"/>
      <c r="N279" s="19" t="n"/>
    </row>
    <row r="280" ht="15.75" customHeight="1" s="545">
      <c r="A280" s="19" t="n"/>
      <c r="B280" s="19" t="n"/>
      <c r="C280" s="19" t="n"/>
      <c r="D280" s="19" t="n"/>
      <c r="E280" s="19" t="n"/>
      <c r="F280" s="19" t="n"/>
      <c r="G280" s="19" t="n"/>
      <c r="H280" s="19" t="n"/>
      <c r="I280" s="19" t="n"/>
      <c r="J280" s="19" t="n"/>
      <c r="K280" s="19" t="n"/>
      <c r="L280" s="19" t="n"/>
      <c r="M280" s="19" t="n"/>
      <c r="N280" s="19" t="n"/>
    </row>
    <row r="281" ht="15.75" customHeight="1" s="545">
      <c r="A281" s="19" t="n"/>
      <c r="B281" s="19" t="n"/>
      <c r="C281" s="19" t="n"/>
      <c r="D281" s="19" t="n"/>
      <c r="E281" s="19" t="n"/>
      <c r="F281" s="19" t="n"/>
      <c r="G281" s="19" t="n"/>
      <c r="H281" s="19" t="n"/>
      <c r="I281" s="19" t="n"/>
      <c r="J281" s="19" t="n"/>
      <c r="K281" s="19" t="n"/>
      <c r="L281" s="19" t="n"/>
      <c r="M281" s="19" t="n"/>
      <c r="N281" s="19" t="n"/>
    </row>
    <row r="282" ht="15.75" customHeight="1" s="545">
      <c r="A282" s="19" t="n"/>
      <c r="B282" s="19" t="n"/>
      <c r="C282" s="19" t="n"/>
      <c r="D282" s="19" t="n"/>
      <c r="E282" s="19" t="n"/>
      <c r="F282" s="19" t="n"/>
      <c r="G282" s="19" t="n"/>
      <c r="H282" s="19" t="n"/>
      <c r="I282" s="19" t="n"/>
      <c r="J282" s="19" t="n"/>
      <c r="K282" s="19" t="n"/>
      <c r="L282" s="19" t="n"/>
      <c r="M282" s="19" t="n"/>
      <c r="N282" s="19" t="n"/>
    </row>
    <row r="283" ht="15.75" customHeight="1" s="545">
      <c r="A283" s="19" t="n"/>
      <c r="B283" s="19" t="n"/>
      <c r="C283" s="19" t="n"/>
      <c r="D283" s="19" t="n"/>
      <c r="E283" s="19" t="n"/>
      <c r="F283" s="19" t="n"/>
      <c r="G283" s="19" t="n"/>
      <c r="H283" s="19" t="n"/>
      <c r="I283" s="19" t="n"/>
      <c r="J283" s="19" t="n"/>
      <c r="K283" s="19" t="n"/>
      <c r="L283" s="19" t="n"/>
      <c r="M283" s="19" t="n"/>
      <c r="N283" s="19" t="n"/>
    </row>
    <row r="284" ht="15.75" customHeight="1" s="545">
      <c r="A284" s="19" t="n"/>
      <c r="B284" s="19" t="n"/>
      <c r="C284" s="19" t="n"/>
      <c r="D284" s="19" t="n"/>
      <c r="E284" s="19" t="n"/>
      <c r="F284" s="19" t="n"/>
      <c r="G284" s="19" t="n"/>
      <c r="H284" s="19" t="n"/>
      <c r="I284" s="19" t="n"/>
      <c r="J284" s="19" t="n"/>
      <c r="K284" s="19" t="n"/>
      <c r="L284" s="19" t="n"/>
      <c r="M284" s="19" t="n"/>
      <c r="N284" s="19" t="n"/>
    </row>
    <row r="285" ht="15.75" customHeight="1" s="545">
      <c r="A285" s="19" t="n"/>
      <c r="B285" s="19" t="n"/>
      <c r="C285" s="19" t="n"/>
      <c r="D285" s="19" t="n"/>
      <c r="E285" s="19" t="n"/>
      <c r="F285" s="19" t="n"/>
      <c r="G285" s="19" t="n"/>
      <c r="H285" s="19" t="n"/>
      <c r="I285" s="19" t="n"/>
      <c r="J285" s="19" t="n"/>
      <c r="K285" s="19" t="n"/>
      <c r="L285" s="19" t="n"/>
      <c r="M285" s="19" t="n"/>
      <c r="N285" s="19" t="n"/>
    </row>
    <row r="286" ht="15.75" customHeight="1" s="545">
      <c r="A286" s="19" t="n"/>
      <c r="B286" s="19" t="n"/>
      <c r="C286" s="19" t="n"/>
      <c r="D286" s="19" t="n"/>
      <c r="E286" s="19" t="n"/>
      <c r="F286" s="19" t="n"/>
      <c r="G286" s="19" t="n"/>
      <c r="H286" s="19" t="n"/>
      <c r="I286" s="19" t="n"/>
      <c r="J286" s="19" t="n"/>
      <c r="K286" s="19" t="n"/>
      <c r="L286" s="19" t="n"/>
      <c r="M286" s="19" t="n"/>
      <c r="N286" s="19" t="n"/>
    </row>
    <row r="287" ht="15.75" customHeight="1" s="545">
      <c r="A287" s="19" t="n"/>
      <c r="B287" s="19" t="n"/>
      <c r="C287" s="19" t="n"/>
      <c r="D287" s="19" t="n"/>
      <c r="E287" s="19" t="n"/>
      <c r="F287" s="19" t="n"/>
      <c r="G287" s="19" t="n"/>
      <c r="H287" s="19" t="n"/>
      <c r="I287" s="19" t="n"/>
      <c r="J287" s="19" t="n"/>
      <c r="K287" s="19" t="n"/>
      <c r="L287" s="19" t="n"/>
      <c r="M287" s="19" t="n"/>
      <c r="N287" s="19" t="n"/>
    </row>
    <row r="288" ht="15.75" customHeight="1" s="545">
      <c r="A288" s="19" t="n"/>
      <c r="B288" s="19" t="n"/>
      <c r="C288" s="19" t="n"/>
      <c r="D288" s="19" t="n"/>
      <c r="E288" s="19" t="n"/>
      <c r="F288" s="19" t="n"/>
      <c r="G288" s="19" t="n"/>
      <c r="H288" s="19" t="n"/>
      <c r="I288" s="19" t="n"/>
      <c r="J288" s="19" t="n"/>
      <c r="K288" s="19" t="n"/>
      <c r="L288" s="19" t="n"/>
      <c r="M288" s="19" t="n"/>
      <c r="N288" s="19" t="n"/>
    </row>
    <row r="289" ht="15.75" customHeight="1" s="545">
      <c r="A289" s="19" t="n"/>
      <c r="B289" s="19" t="n"/>
      <c r="C289" s="19" t="n"/>
      <c r="D289" s="19" t="n"/>
      <c r="E289" s="19" t="n"/>
      <c r="F289" s="19" t="n"/>
      <c r="G289" s="19" t="n"/>
      <c r="H289" s="19" t="n"/>
      <c r="I289" s="19" t="n"/>
      <c r="J289" s="19" t="n"/>
      <c r="K289" s="19" t="n"/>
      <c r="L289" s="19" t="n"/>
      <c r="M289" s="19" t="n"/>
      <c r="N289" s="19" t="n"/>
    </row>
    <row r="290" ht="15.75" customHeight="1" s="545">
      <c r="A290" s="19" t="n"/>
      <c r="B290" s="19" t="n"/>
      <c r="C290" s="19" t="n"/>
      <c r="D290" s="19" t="n"/>
      <c r="E290" s="19" t="n"/>
      <c r="F290" s="19" t="n"/>
      <c r="G290" s="19" t="n"/>
      <c r="H290" s="19" t="n"/>
      <c r="I290" s="19" t="n"/>
      <c r="J290" s="19" t="n"/>
      <c r="K290" s="19" t="n"/>
      <c r="L290" s="19" t="n"/>
      <c r="M290" s="19" t="n"/>
      <c r="N290" s="19" t="n"/>
    </row>
    <row r="291" ht="15.75" customHeight="1" s="545">
      <c r="A291" s="19" t="n"/>
      <c r="B291" s="19" t="n"/>
      <c r="C291" s="19" t="n"/>
      <c r="D291" s="19" t="n"/>
      <c r="E291" s="19" t="n"/>
      <c r="F291" s="19" t="n"/>
      <c r="G291" s="19" t="n"/>
      <c r="H291" s="19" t="n"/>
      <c r="I291" s="19" t="n"/>
      <c r="J291" s="19" t="n"/>
      <c r="K291" s="19" t="n"/>
      <c r="L291" s="19" t="n"/>
      <c r="M291" s="19" t="n"/>
      <c r="N291" s="19" t="n"/>
    </row>
    <row r="292" ht="15.75" customHeight="1" s="545">
      <c r="A292" s="19" t="n"/>
      <c r="B292" s="19" t="n"/>
      <c r="C292" s="19" t="n"/>
      <c r="D292" s="19" t="n"/>
      <c r="E292" s="19" t="n"/>
      <c r="F292" s="19" t="n"/>
      <c r="G292" s="19" t="n"/>
      <c r="H292" s="19" t="n"/>
      <c r="I292" s="19" t="n"/>
      <c r="J292" s="19" t="n"/>
      <c r="K292" s="19" t="n"/>
      <c r="L292" s="19" t="n"/>
      <c r="M292" s="19" t="n"/>
      <c r="N292" s="19" t="n"/>
    </row>
    <row r="293" ht="15.75" customHeight="1" s="545">
      <c r="A293" s="19" t="n"/>
      <c r="B293" s="19" t="n"/>
      <c r="C293" s="19" t="n"/>
      <c r="D293" s="19" t="n"/>
      <c r="E293" s="19" t="n"/>
      <c r="F293" s="19" t="n"/>
      <c r="G293" s="19" t="n"/>
      <c r="H293" s="19" t="n"/>
      <c r="I293" s="19" t="n"/>
      <c r="J293" s="19" t="n"/>
      <c r="K293" s="19" t="n"/>
      <c r="L293" s="19" t="n"/>
      <c r="M293" s="19" t="n"/>
      <c r="N293" s="19" t="n"/>
    </row>
    <row r="294" ht="15.75" customHeight="1" s="545">
      <c r="A294" s="19" t="n"/>
      <c r="B294" s="19" t="n"/>
      <c r="C294" s="19" t="n"/>
      <c r="D294" s="19" t="n"/>
      <c r="E294" s="19" t="n"/>
      <c r="F294" s="19" t="n"/>
      <c r="G294" s="19" t="n"/>
      <c r="H294" s="19" t="n"/>
      <c r="I294" s="19" t="n"/>
      <c r="J294" s="19" t="n"/>
      <c r="K294" s="19" t="n"/>
      <c r="L294" s="19" t="n"/>
      <c r="M294" s="19" t="n"/>
      <c r="N294" s="19" t="n"/>
    </row>
    <row r="295" ht="15.75" customHeight="1" s="545">
      <c r="A295" s="19" t="n"/>
      <c r="B295" s="19" t="n"/>
      <c r="C295" s="19" t="n"/>
      <c r="D295" s="19" t="n"/>
      <c r="E295" s="19" t="n"/>
      <c r="F295" s="19" t="n"/>
      <c r="G295" s="19" t="n"/>
      <c r="H295" s="19" t="n"/>
      <c r="I295" s="19" t="n"/>
      <c r="J295" s="19" t="n"/>
      <c r="K295" s="19" t="n"/>
      <c r="L295" s="19" t="n"/>
      <c r="M295" s="19" t="n"/>
      <c r="N295" s="19" t="n"/>
    </row>
    <row r="296" ht="15.75" customHeight="1" s="545">
      <c r="A296" s="19" t="n"/>
      <c r="B296" s="19" t="n"/>
      <c r="C296" s="19" t="n"/>
      <c r="D296" s="19" t="n"/>
      <c r="E296" s="19" t="n"/>
      <c r="F296" s="19" t="n"/>
      <c r="G296" s="19" t="n"/>
      <c r="H296" s="19" t="n"/>
      <c r="I296" s="19" t="n"/>
      <c r="J296" s="19" t="n"/>
      <c r="K296" s="19" t="n"/>
      <c r="L296" s="19" t="n"/>
      <c r="M296" s="19" t="n"/>
      <c r="N296" s="19" t="n"/>
    </row>
    <row r="297" ht="15.75" customHeight="1" s="545">
      <c r="A297" s="19" t="n"/>
      <c r="B297" s="19" t="n"/>
      <c r="C297" s="19" t="n"/>
      <c r="D297" s="19" t="n"/>
      <c r="E297" s="19" t="n"/>
      <c r="F297" s="19" t="n"/>
      <c r="G297" s="19" t="n"/>
      <c r="H297" s="19" t="n"/>
      <c r="I297" s="19" t="n"/>
      <c r="J297" s="19" t="n"/>
      <c r="K297" s="19" t="n"/>
      <c r="L297" s="19" t="n"/>
      <c r="M297" s="19" t="n"/>
      <c r="N297" s="19" t="n"/>
    </row>
    <row r="298" ht="15.75" customHeight="1" s="545">
      <c r="A298" s="19" t="n"/>
      <c r="B298" s="19" t="n"/>
      <c r="C298" s="19" t="n"/>
      <c r="D298" s="19" t="n"/>
      <c r="E298" s="19" t="n"/>
      <c r="F298" s="19" t="n"/>
      <c r="G298" s="19" t="n"/>
      <c r="H298" s="19" t="n"/>
      <c r="I298" s="19" t="n"/>
      <c r="J298" s="19" t="n"/>
      <c r="K298" s="19" t="n"/>
      <c r="L298" s="19" t="n"/>
      <c r="M298" s="19" t="n"/>
      <c r="N298" s="19" t="n"/>
    </row>
    <row r="299" ht="15.75" customHeight="1" s="545">
      <c r="A299" s="19" t="n"/>
      <c r="B299" s="19" t="n"/>
      <c r="C299" s="19" t="n"/>
      <c r="D299" s="19" t="n"/>
      <c r="E299" s="19" t="n"/>
      <c r="F299" s="19" t="n"/>
      <c r="G299" s="19" t="n"/>
      <c r="H299" s="19" t="n"/>
      <c r="I299" s="19" t="n"/>
      <c r="J299" s="19" t="n"/>
      <c r="K299" s="19" t="n"/>
      <c r="L299" s="19" t="n"/>
      <c r="M299" s="19" t="n"/>
      <c r="N299" s="19" t="n"/>
    </row>
    <row r="300" ht="15.75" customHeight="1" s="545">
      <c r="A300" s="19" t="n"/>
      <c r="B300" s="19" t="n"/>
      <c r="C300" s="19" t="n"/>
      <c r="D300" s="19" t="n"/>
      <c r="E300" s="19" t="n"/>
      <c r="F300" s="19" t="n"/>
      <c r="G300" s="19" t="n"/>
      <c r="H300" s="19" t="n"/>
      <c r="I300" s="19" t="n"/>
      <c r="J300" s="19" t="n"/>
      <c r="K300" s="19" t="n"/>
      <c r="L300" s="19" t="n"/>
      <c r="M300" s="19" t="n"/>
      <c r="N300" s="19" t="n"/>
    </row>
    <row r="301" ht="15.75" customHeight="1" s="545">
      <c r="A301" s="19" t="n"/>
      <c r="B301" s="19" t="n"/>
      <c r="C301" s="19" t="n"/>
      <c r="D301" s="19" t="n"/>
      <c r="E301" s="19" t="n"/>
      <c r="F301" s="19" t="n"/>
      <c r="G301" s="19" t="n"/>
      <c r="H301" s="19" t="n"/>
      <c r="I301" s="19" t="n"/>
      <c r="J301" s="19" t="n"/>
      <c r="K301" s="19" t="n"/>
      <c r="L301" s="19" t="n"/>
      <c r="M301" s="19" t="n"/>
      <c r="N301" s="19" t="n"/>
    </row>
    <row r="302" ht="15.75" customHeight="1" s="545">
      <c r="A302" s="19" t="n"/>
      <c r="B302" s="19" t="n"/>
      <c r="C302" s="19" t="n"/>
      <c r="D302" s="19" t="n"/>
      <c r="E302" s="19" t="n"/>
      <c r="F302" s="19" t="n"/>
      <c r="G302" s="19" t="n"/>
      <c r="H302" s="19" t="n"/>
      <c r="I302" s="19" t="n"/>
      <c r="J302" s="19" t="n"/>
      <c r="K302" s="19" t="n"/>
      <c r="L302" s="19" t="n"/>
      <c r="M302" s="19" t="n"/>
      <c r="N302" s="19" t="n"/>
    </row>
    <row r="303" ht="15.75" customHeight="1" s="545">
      <c r="A303" s="19" t="n"/>
      <c r="B303" s="19" t="n"/>
      <c r="C303" s="19" t="n"/>
      <c r="D303" s="19" t="n"/>
      <c r="E303" s="19" t="n"/>
      <c r="F303" s="19" t="n"/>
      <c r="G303" s="19" t="n"/>
      <c r="H303" s="19" t="n"/>
      <c r="I303" s="19" t="n"/>
      <c r="J303" s="19" t="n"/>
      <c r="K303" s="19" t="n"/>
      <c r="L303" s="19" t="n"/>
      <c r="M303" s="19" t="n"/>
      <c r="N303" s="19" t="n"/>
    </row>
    <row r="304" ht="15.75" customHeight="1" s="545">
      <c r="A304" s="19" t="n"/>
      <c r="B304" s="19" t="n"/>
      <c r="C304" s="19" t="n"/>
      <c r="D304" s="19" t="n"/>
      <c r="E304" s="19" t="n"/>
      <c r="F304" s="19" t="n"/>
      <c r="G304" s="19" t="n"/>
      <c r="H304" s="19" t="n"/>
      <c r="I304" s="19" t="n"/>
      <c r="J304" s="19" t="n"/>
      <c r="K304" s="19" t="n"/>
      <c r="L304" s="19" t="n"/>
      <c r="M304" s="19" t="n"/>
      <c r="N304" s="19" t="n"/>
    </row>
    <row r="305" ht="15.75" customHeight="1" s="545">
      <c r="A305" s="19" t="n"/>
      <c r="B305" s="19" t="n"/>
      <c r="C305" s="19" t="n"/>
      <c r="D305" s="19" t="n"/>
      <c r="E305" s="19" t="n"/>
      <c r="F305" s="19" t="n"/>
      <c r="G305" s="19" t="n"/>
      <c r="H305" s="19" t="n"/>
      <c r="I305" s="19" t="n"/>
      <c r="J305" s="19" t="n"/>
      <c r="K305" s="19" t="n"/>
      <c r="L305" s="19" t="n"/>
      <c r="M305" s="19" t="n"/>
      <c r="N305" s="19" t="n"/>
    </row>
    <row r="306" ht="15.75" customHeight="1" s="545">
      <c r="A306" s="19" t="n"/>
      <c r="B306" s="19" t="n"/>
      <c r="C306" s="19" t="n"/>
      <c r="D306" s="19" t="n"/>
      <c r="E306" s="19" t="n"/>
      <c r="F306" s="19" t="n"/>
      <c r="G306" s="19" t="n"/>
      <c r="H306" s="19" t="n"/>
      <c r="I306" s="19" t="n"/>
      <c r="J306" s="19" t="n"/>
      <c r="K306" s="19" t="n"/>
      <c r="L306" s="19" t="n"/>
      <c r="M306" s="19" t="n"/>
      <c r="N306" s="19" t="n"/>
    </row>
    <row r="307" ht="15.75" customHeight="1" s="545">
      <c r="A307" s="19" t="n"/>
      <c r="B307" s="19" t="n"/>
      <c r="C307" s="19" t="n"/>
      <c r="D307" s="19" t="n"/>
      <c r="E307" s="19" t="n"/>
      <c r="F307" s="19" t="n"/>
      <c r="G307" s="19" t="n"/>
      <c r="H307" s="19" t="n"/>
      <c r="I307" s="19" t="n"/>
      <c r="J307" s="19" t="n"/>
      <c r="K307" s="19" t="n"/>
      <c r="L307" s="19" t="n"/>
      <c r="M307" s="19" t="n"/>
      <c r="N307" s="19" t="n"/>
    </row>
    <row r="308" ht="15.75" customHeight="1" s="545">
      <c r="A308" s="19" t="n"/>
      <c r="B308" s="19" t="n"/>
      <c r="C308" s="19" t="n"/>
      <c r="D308" s="19" t="n"/>
      <c r="E308" s="19" t="n"/>
      <c r="F308" s="19" t="n"/>
      <c r="G308" s="19" t="n"/>
      <c r="H308" s="19" t="n"/>
      <c r="I308" s="19" t="n"/>
      <c r="J308" s="19" t="n"/>
      <c r="K308" s="19" t="n"/>
      <c r="L308" s="19" t="n"/>
      <c r="M308" s="19" t="n"/>
      <c r="N308" s="19" t="n"/>
    </row>
    <row r="309" ht="15.75" customHeight="1" s="545">
      <c r="A309" s="19" t="n"/>
      <c r="B309" s="19" t="n"/>
      <c r="C309" s="19" t="n"/>
      <c r="D309" s="19" t="n"/>
      <c r="E309" s="19" t="n"/>
      <c r="F309" s="19" t="n"/>
      <c r="G309" s="19" t="n"/>
      <c r="H309" s="19" t="n"/>
      <c r="I309" s="19" t="n"/>
      <c r="J309" s="19" t="n"/>
      <c r="K309" s="19" t="n"/>
      <c r="L309" s="19" t="n"/>
      <c r="M309" s="19" t="n"/>
      <c r="N309" s="19" t="n"/>
    </row>
    <row r="310" ht="15.75" customHeight="1" s="545">
      <c r="A310" s="19" t="n"/>
      <c r="B310" s="19" t="n"/>
      <c r="C310" s="19" t="n"/>
      <c r="D310" s="19" t="n"/>
      <c r="E310" s="19" t="n"/>
      <c r="F310" s="19" t="n"/>
      <c r="G310" s="19" t="n"/>
      <c r="H310" s="19" t="n"/>
      <c r="I310" s="19" t="n"/>
      <c r="J310" s="19" t="n"/>
      <c r="K310" s="19" t="n"/>
      <c r="L310" s="19" t="n"/>
      <c r="M310" s="19" t="n"/>
      <c r="N310" s="19" t="n"/>
    </row>
    <row r="311" ht="15.75" customHeight="1" s="545">
      <c r="A311" s="19" t="n"/>
      <c r="B311" s="19" t="n"/>
      <c r="C311" s="19" t="n"/>
      <c r="D311" s="19" t="n"/>
      <c r="E311" s="19" t="n"/>
      <c r="F311" s="19" t="n"/>
      <c r="G311" s="19" t="n"/>
      <c r="H311" s="19" t="n"/>
      <c r="I311" s="19" t="n"/>
      <c r="J311" s="19" t="n"/>
      <c r="K311" s="19" t="n"/>
      <c r="L311" s="19" t="n"/>
      <c r="M311" s="19" t="n"/>
      <c r="N311" s="19" t="n"/>
    </row>
    <row r="312" ht="15.75" customHeight="1" s="545">
      <c r="A312" s="19" t="n"/>
      <c r="B312" s="19" t="n"/>
      <c r="C312" s="19" t="n"/>
      <c r="D312" s="19" t="n"/>
      <c r="E312" s="19" t="n"/>
      <c r="F312" s="19" t="n"/>
      <c r="G312" s="19" t="n"/>
      <c r="H312" s="19" t="n"/>
      <c r="I312" s="19" t="n"/>
      <c r="J312" s="19" t="n"/>
      <c r="K312" s="19" t="n"/>
      <c r="L312" s="19" t="n"/>
      <c r="M312" s="19" t="n"/>
      <c r="N312" s="19" t="n"/>
    </row>
    <row r="313" ht="15.75" customHeight="1" s="545">
      <c r="A313" s="19" t="n"/>
      <c r="B313" s="19" t="n"/>
      <c r="C313" s="19" t="n"/>
      <c r="D313" s="19" t="n"/>
      <c r="E313" s="19" t="n"/>
      <c r="F313" s="19" t="n"/>
      <c r="G313" s="19" t="n"/>
      <c r="H313" s="19" t="n"/>
      <c r="I313" s="19" t="n"/>
      <c r="J313" s="19" t="n"/>
      <c r="K313" s="19" t="n"/>
      <c r="L313" s="19" t="n"/>
      <c r="M313" s="19" t="n"/>
      <c r="N313" s="19" t="n"/>
    </row>
    <row r="314" ht="15.75" customHeight="1" s="545">
      <c r="A314" s="19" t="n"/>
      <c r="B314" s="19" t="n"/>
      <c r="C314" s="19" t="n"/>
      <c r="D314" s="19" t="n"/>
      <c r="E314" s="19" t="n"/>
      <c r="F314" s="19" t="n"/>
      <c r="G314" s="19" t="n"/>
      <c r="H314" s="19" t="n"/>
      <c r="I314" s="19" t="n"/>
      <c r="J314" s="19" t="n"/>
      <c r="K314" s="19" t="n"/>
      <c r="L314" s="19" t="n"/>
      <c r="M314" s="19" t="n"/>
      <c r="N314" s="19" t="n"/>
    </row>
    <row r="315" ht="15.75" customHeight="1" s="545">
      <c r="A315" s="19" t="n"/>
      <c r="B315" s="19" t="n"/>
      <c r="C315" s="19" t="n"/>
      <c r="D315" s="19" t="n"/>
      <c r="E315" s="19" t="n"/>
      <c r="F315" s="19" t="n"/>
      <c r="G315" s="19" t="n"/>
      <c r="H315" s="19" t="n"/>
      <c r="I315" s="19" t="n"/>
      <c r="J315" s="19" t="n"/>
      <c r="K315" s="19" t="n"/>
      <c r="L315" s="19" t="n"/>
      <c r="M315" s="19" t="n"/>
      <c r="N315" s="19" t="n"/>
    </row>
    <row r="316" ht="15.75" customHeight="1" s="545">
      <c r="A316" s="19" t="n"/>
      <c r="B316" s="19" t="n"/>
      <c r="C316" s="19" t="n"/>
      <c r="D316" s="19" t="n"/>
      <c r="E316" s="19" t="n"/>
      <c r="F316" s="19" t="n"/>
      <c r="G316" s="19" t="n"/>
      <c r="H316" s="19" t="n"/>
      <c r="I316" s="19" t="n"/>
      <c r="J316" s="19" t="n"/>
      <c r="K316" s="19" t="n"/>
      <c r="L316" s="19" t="n"/>
      <c r="M316" s="19" t="n"/>
      <c r="N316" s="19" t="n"/>
    </row>
    <row r="317" ht="15.75" customHeight="1" s="545">
      <c r="A317" s="19" t="n"/>
      <c r="B317" s="19" t="n"/>
      <c r="C317" s="19" t="n"/>
      <c r="D317" s="19" t="n"/>
      <c r="E317" s="19" t="n"/>
      <c r="F317" s="19" t="n"/>
      <c r="G317" s="19" t="n"/>
      <c r="H317" s="19" t="n"/>
      <c r="I317" s="19" t="n"/>
      <c r="J317" s="19" t="n"/>
      <c r="K317" s="19" t="n"/>
      <c r="L317" s="19" t="n"/>
      <c r="M317" s="19" t="n"/>
      <c r="N317" s="19" t="n"/>
    </row>
    <row r="318" ht="15.75" customHeight="1" s="545">
      <c r="A318" s="19" t="n"/>
      <c r="B318" s="19" t="n"/>
      <c r="C318" s="19" t="n"/>
      <c r="D318" s="19" t="n"/>
      <c r="E318" s="19" t="n"/>
      <c r="F318" s="19" t="n"/>
      <c r="G318" s="19" t="n"/>
      <c r="H318" s="19" t="n"/>
      <c r="I318" s="19" t="n"/>
      <c r="J318" s="19" t="n"/>
      <c r="K318" s="19" t="n"/>
      <c r="L318" s="19" t="n"/>
      <c r="M318" s="19" t="n"/>
      <c r="N318" s="19" t="n"/>
    </row>
    <row r="319" ht="15.75" customHeight="1" s="545">
      <c r="A319" s="19" t="n"/>
      <c r="B319" s="19" t="n"/>
      <c r="C319" s="19" t="n"/>
      <c r="D319" s="19" t="n"/>
      <c r="E319" s="19" t="n"/>
      <c r="F319" s="19" t="n"/>
      <c r="G319" s="19" t="n"/>
      <c r="H319" s="19" t="n"/>
      <c r="I319" s="19" t="n"/>
      <c r="J319" s="19" t="n"/>
      <c r="K319" s="19" t="n"/>
      <c r="L319" s="19" t="n"/>
      <c r="M319" s="19" t="n"/>
      <c r="N319" s="19" t="n"/>
    </row>
    <row r="320" ht="15.75" customHeight="1" s="545">
      <c r="A320" s="19" t="n"/>
      <c r="B320" s="19" t="n"/>
      <c r="C320" s="19" t="n"/>
      <c r="D320" s="19" t="n"/>
      <c r="E320" s="19" t="n"/>
      <c r="F320" s="19" t="n"/>
      <c r="G320" s="19" t="n"/>
      <c r="H320" s="19" t="n"/>
      <c r="I320" s="19" t="n"/>
      <c r="J320" s="19" t="n"/>
      <c r="K320" s="19" t="n"/>
      <c r="L320" s="19" t="n"/>
      <c r="M320" s="19" t="n"/>
      <c r="N320" s="19" t="n"/>
    </row>
    <row r="321" ht="15.75" customHeight="1" s="545">
      <c r="A321" s="19" t="n"/>
      <c r="B321" s="19" t="n"/>
      <c r="C321" s="19" t="n"/>
      <c r="D321" s="19" t="n"/>
      <c r="E321" s="19" t="n"/>
      <c r="F321" s="19" t="n"/>
      <c r="G321" s="19" t="n"/>
      <c r="H321" s="19" t="n"/>
      <c r="I321" s="19" t="n"/>
      <c r="J321" s="19" t="n"/>
      <c r="K321" s="19" t="n"/>
      <c r="L321" s="19" t="n"/>
      <c r="M321" s="19" t="n"/>
      <c r="N321" s="19" t="n"/>
    </row>
    <row r="322" ht="15.75" customHeight="1" s="545">
      <c r="A322" s="19" t="n"/>
      <c r="B322" s="19" t="n"/>
      <c r="C322" s="19" t="n"/>
      <c r="D322" s="19" t="n"/>
      <c r="E322" s="19" t="n"/>
      <c r="F322" s="19" t="n"/>
      <c r="G322" s="19" t="n"/>
      <c r="H322" s="19" t="n"/>
      <c r="I322" s="19" t="n"/>
      <c r="J322" s="19" t="n"/>
      <c r="K322" s="19" t="n"/>
      <c r="L322" s="19" t="n"/>
      <c r="M322" s="19" t="n"/>
      <c r="N322" s="19" t="n"/>
    </row>
    <row r="323" ht="15.75" customHeight="1" s="545">
      <c r="A323" s="19" t="n"/>
      <c r="B323" s="19" t="n"/>
      <c r="C323" s="19" t="n"/>
      <c r="D323" s="19" t="n"/>
      <c r="E323" s="19" t="n"/>
      <c r="F323" s="19" t="n"/>
      <c r="G323" s="19" t="n"/>
      <c r="H323" s="19" t="n"/>
      <c r="I323" s="19" t="n"/>
      <c r="J323" s="19" t="n"/>
      <c r="K323" s="19" t="n"/>
      <c r="L323" s="19" t="n"/>
      <c r="M323" s="19" t="n"/>
      <c r="N323" s="19" t="n"/>
    </row>
    <row r="324" ht="15.75" customHeight="1" s="545">
      <c r="A324" s="19" t="n"/>
      <c r="B324" s="19" t="n"/>
      <c r="C324" s="19" t="n"/>
      <c r="D324" s="19" t="n"/>
      <c r="E324" s="19" t="n"/>
      <c r="F324" s="19" t="n"/>
      <c r="G324" s="19" t="n"/>
      <c r="H324" s="19" t="n"/>
      <c r="I324" s="19" t="n"/>
      <c r="J324" s="19" t="n"/>
      <c r="K324" s="19" t="n"/>
      <c r="L324" s="19" t="n"/>
      <c r="M324" s="19" t="n"/>
      <c r="N324" s="19" t="n"/>
    </row>
    <row r="325" ht="15.75" customHeight="1" s="545">
      <c r="A325" s="19" t="n"/>
      <c r="B325" s="19" t="n"/>
      <c r="C325" s="19" t="n"/>
      <c r="D325" s="19" t="n"/>
      <c r="E325" s="19" t="n"/>
      <c r="F325" s="19" t="n"/>
      <c r="G325" s="19" t="n"/>
      <c r="H325" s="19" t="n"/>
      <c r="I325" s="19" t="n"/>
      <c r="J325" s="19" t="n"/>
      <c r="K325" s="19" t="n"/>
      <c r="L325" s="19" t="n"/>
      <c r="M325" s="19" t="n"/>
      <c r="N325" s="19" t="n"/>
    </row>
    <row r="326" ht="15.75" customHeight="1" s="545">
      <c r="A326" s="19" t="n"/>
      <c r="B326" s="19" t="n"/>
      <c r="C326" s="19" t="n"/>
      <c r="D326" s="19" t="n"/>
      <c r="E326" s="19" t="n"/>
      <c r="F326" s="19" t="n"/>
      <c r="G326" s="19" t="n"/>
      <c r="H326" s="19" t="n"/>
      <c r="I326" s="19" t="n"/>
      <c r="J326" s="19" t="n"/>
      <c r="K326" s="19" t="n"/>
      <c r="L326" s="19" t="n"/>
      <c r="M326" s="19" t="n"/>
      <c r="N326" s="19" t="n"/>
    </row>
    <row r="327" ht="15.75" customHeight="1" s="545">
      <c r="A327" s="19" t="n"/>
      <c r="B327" s="19" t="n"/>
      <c r="C327" s="19" t="n"/>
      <c r="D327" s="19" t="n"/>
      <c r="E327" s="19" t="n"/>
      <c r="F327" s="19" t="n"/>
      <c r="G327" s="19" t="n"/>
      <c r="H327" s="19" t="n"/>
      <c r="I327" s="19" t="n"/>
      <c r="J327" s="19" t="n"/>
      <c r="K327" s="19" t="n"/>
      <c r="L327" s="19" t="n"/>
      <c r="M327" s="19" t="n"/>
      <c r="N327" s="19" t="n"/>
    </row>
    <row r="328" ht="15.75" customHeight="1" s="545">
      <c r="A328" s="19" t="n"/>
      <c r="B328" s="19" t="n"/>
      <c r="C328" s="19" t="n"/>
      <c r="D328" s="19" t="n"/>
      <c r="E328" s="19" t="n"/>
      <c r="F328" s="19" t="n"/>
      <c r="G328" s="19" t="n"/>
      <c r="H328" s="19" t="n"/>
      <c r="I328" s="19" t="n"/>
      <c r="J328" s="19" t="n"/>
      <c r="K328" s="19" t="n"/>
      <c r="L328" s="19" t="n"/>
      <c r="M328" s="19" t="n"/>
      <c r="N328" s="19" t="n"/>
    </row>
    <row r="329" ht="15.75" customHeight="1" s="545">
      <c r="A329" s="19" t="n"/>
      <c r="B329" s="19" t="n"/>
      <c r="C329" s="19" t="n"/>
      <c r="D329" s="19" t="n"/>
      <c r="E329" s="19" t="n"/>
      <c r="F329" s="19" t="n"/>
      <c r="G329" s="19" t="n"/>
      <c r="H329" s="19" t="n"/>
      <c r="I329" s="19" t="n"/>
      <c r="J329" s="19" t="n"/>
      <c r="K329" s="19" t="n"/>
      <c r="L329" s="19" t="n"/>
      <c r="M329" s="19" t="n"/>
      <c r="N329" s="19" t="n"/>
    </row>
    <row r="330" ht="15.75" customHeight="1" s="545">
      <c r="A330" s="19" t="n"/>
      <c r="B330" s="19" t="n"/>
      <c r="C330" s="19" t="n"/>
      <c r="D330" s="19" t="n"/>
      <c r="E330" s="19" t="n"/>
      <c r="F330" s="19" t="n"/>
      <c r="G330" s="19" t="n"/>
      <c r="H330" s="19" t="n"/>
      <c r="I330" s="19" t="n"/>
      <c r="J330" s="19" t="n"/>
      <c r="K330" s="19" t="n"/>
      <c r="L330" s="19" t="n"/>
      <c r="M330" s="19" t="n"/>
      <c r="N330" s="19" t="n"/>
    </row>
    <row r="331" ht="15.75" customHeight="1" s="545">
      <c r="A331" s="19" t="n"/>
      <c r="B331" s="19" t="n"/>
      <c r="C331" s="19" t="n"/>
      <c r="D331" s="19" t="n"/>
      <c r="E331" s="19" t="n"/>
      <c r="F331" s="19" t="n"/>
      <c r="G331" s="19" t="n"/>
      <c r="H331" s="19" t="n"/>
      <c r="I331" s="19" t="n"/>
      <c r="J331" s="19" t="n"/>
      <c r="K331" s="19" t="n"/>
      <c r="L331" s="19" t="n"/>
      <c r="M331" s="19" t="n"/>
      <c r="N331" s="19" t="n"/>
    </row>
    <row r="332" ht="15.75" customHeight="1" s="545">
      <c r="A332" s="19" t="n"/>
      <c r="B332" s="19" t="n"/>
      <c r="C332" s="19" t="n"/>
      <c r="D332" s="19" t="n"/>
      <c r="E332" s="19" t="n"/>
      <c r="F332" s="19" t="n"/>
      <c r="G332" s="19" t="n"/>
      <c r="H332" s="19" t="n"/>
      <c r="I332" s="19" t="n"/>
      <c r="J332" s="19" t="n"/>
      <c r="K332" s="19" t="n"/>
      <c r="L332" s="19" t="n"/>
      <c r="M332" s="19" t="n"/>
      <c r="N332" s="19" t="n"/>
    </row>
    <row r="333" ht="15.75" customHeight="1" s="545">
      <c r="A333" s="19" t="n"/>
      <c r="B333" s="19" t="n"/>
      <c r="C333" s="19" t="n"/>
      <c r="D333" s="19" t="n"/>
      <c r="E333" s="19" t="n"/>
      <c r="F333" s="19" t="n"/>
      <c r="G333" s="19" t="n"/>
      <c r="H333" s="19" t="n"/>
      <c r="I333" s="19" t="n"/>
      <c r="J333" s="19" t="n"/>
      <c r="K333" s="19" t="n"/>
      <c r="L333" s="19" t="n"/>
      <c r="M333" s="19" t="n"/>
      <c r="N333" s="19" t="n"/>
    </row>
    <row r="334" ht="15.75" customHeight="1" s="545">
      <c r="A334" s="19" t="n"/>
      <c r="B334" s="19" t="n"/>
      <c r="C334" s="19" t="n"/>
      <c r="D334" s="19" t="n"/>
      <c r="E334" s="19" t="n"/>
      <c r="F334" s="19" t="n"/>
      <c r="G334" s="19" t="n"/>
      <c r="H334" s="19" t="n"/>
      <c r="I334" s="19" t="n"/>
      <c r="J334" s="19" t="n"/>
      <c r="K334" s="19" t="n"/>
      <c r="L334" s="19" t="n"/>
      <c r="M334" s="19" t="n"/>
      <c r="N334" s="19" t="n"/>
    </row>
    <row r="335" ht="15.75" customHeight="1" s="545">
      <c r="A335" s="19" t="n"/>
      <c r="B335" s="19" t="n"/>
      <c r="C335" s="19" t="n"/>
      <c r="D335" s="19" t="n"/>
      <c r="E335" s="19" t="n"/>
      <c r="F335" s="19" t="n"/>
      <c r="G335" s="19" t="n"/>
      <c r="H335" s="19" t="n"/>
      <c r="I335" s="19" t="n"/>
      <c r="J335" s="19" t="n"/>
      <c r="K335" s="19" t="n"/>
      <c r="L335" s="19" t="n"/>
      <c r="M335" s="19" t="n"/>
      <c r="N335" s="19" t="n"/>
    </row>
    <row r="336" ht="15.75" customHeight="1" s="545">
      <c r="A336" s="19" t="n"/>
      <c r="B336" s="19" t="n"/>
      <c r="C336" s="19" t="n"/>
      <c r="D336" s="19" t="n"/>
      <c r="E336" s="19" t="n"/>
      <c r="F336" s="19" t="n"/>
      <c r="G336" s="19" t="n"/>
      <c r="H336" s="19" t="n"/>
      <c r="I336" s="19" t="n"/>
      <c r="J336" s="19" t="n"/>
      <c r="K336" s="19" t="n"/>
      <c r="L336" s="19" t="n"/>
      <c r="M336" s="19" t="n"/>
      <c r="N336" s="19" t="n"/>
    </row>
    <row r="337" ht="15.75" customHeight="1" s="545">
      <c r="A337" s="19" t="n"/>
      <c r="B337" s="19" t="n"/>
      <c r="C337" s="19" t="n"/>
      <c r="D337" s="19" t="n"/>
      <c r="E337" s="19" t="n"/>
      <c r="F337" s="19" t="n"/>
      <c r="G337" s="19" t="n"/>
      <c r="H337" s="19" t="n"/>
      <c r="I337" s="19" t="n"/>
      <c r="J337" s="19" t="n"/>
      <c r="K337" s="19" t="n"/>
      <c r="L337" s="19" t="n"/>
      <c r="M337" s="19" t="n"/>
      <c r="N337" s="19" t="n"/>
    </row>
    <row r="338" ht="15.75" customHeight="1" s="545">
      <c r="A338" s="19" t="n"/>
      <c r="B338" s="19" t="n"/>
      <c r="C338" s="19" t="n"/>
      <c r="D338" s="19" t="n"/>
      <c r="E338" s="19" t="n"/>
      <c r="F338" s="19" t="n"/>
      <c r="G338" s="19" t="n"/>
      <c r="H338" s="19" t="n"/>
      <c r="I338" s="19" t="n"/>
      <c r="J338" s="19" t="n"/>
      <c r="K338" s="19" t="n"/>
      <c r="L338" s="19" t="n"/>
      <c r="M338" s="19" t="n"/>
      <c r="N338" s="19" t="n"/>
    </row>
    <row r="339" ht="15.75" customHeight="1" s="545">
      <c r="A339" s="19" t="n"/>
      <c r="B339" s="19" t="n"/>
      <c r="C339" s="19" t="n"/>
      <c r="D339" s="19" t="n"/>
      <c r="E339" s="19" t="n"/>
      <c r="F339" s="19" t="n"/>
      <c r="G339" s="19" t="n"/>
      <c r="H339" s="19" t="n"/>
      <c r="I339" s="19" t="n"/>
      <c r="J339" s="19" t="n"/>
      <c r="K339" s="19" t="n"/>
      <c r="L339" s="19" t="n"/>
      <c r="M339" s="19" t="n"/>
      <c r="N339" s="19" t="n"/>
    </row>
    <row r="340" ht="15.75" customHeight="1" s="545">
      <c r="A340" s="19" t="n"/>
      <c r="B340" s="19" t="n"/>
      <c r="C340" s="19" t="n"/>
      <c r="D340" s="19" t="n"/>
      <c r="E340" s="19" t="n"/>
      <c r="F340" s="19" t="n"/>
      <c r="G340" s="19" t="n"/>
      <c r="H340" s="19" t="n"/>
      <c r="I340" s="19" t="n"/>
      <c r="J340" s="19" t="n"/>
      <c r="K340" s="19" t="n"/>
      <c r="L340" s="19" t="n"/>
      <c r="M340" s="19" t="n"/>
      <c r="N340" s="19" t="n"/>
    </row>
    <row r="341" ht="15.75" customHeight="1" s="545">
      <c r="A341" s="19" t="n"/>
      <c r="B341" s="19" t="n"/>
      <c r="C341" s="19" t="n"/>
      <c r="D341" s="19" t="n"/>
      <c r="E341" s="19" t="n"/>
      <c r="F341" s="19" t="n"/>
      <c r="G341" s="19" t="n"/>
      <c r="H341" s="19" t="n"/>
      <c r="I341" s="19" t="n"/>
      <c r="J341" s="19" t="n"/>
      <c r="K341" s="19" t="n"/>
      <c r="L341" s="19" t="n"/>
      <c r="M341" s="19" t="n"/>
      <c r="N341" s="19" t="n"/>
    </row>
    <row r="342" ht="15.75" customHeight="1" s="545">
      <c r="A342" s="19" t="n"/>
      <c r="B342" s="19" t="n"/>
      <c r="C342" s="19" t="n"/>
      <c r="D342" s="19" t="n"/>
      <c r="E342" s="19" t="n"/>
      <c r="F342" s="19" t="n"/>
      <c r="G342" s="19" t="n"/>
      <c r="H342" s="19" t="n"/>
      <c r="I342" s="19" t="n"/>
      <c r="J342" s="19" t="n"/>
      <c r="K342" s="19" t="n"/>
      <c r="L342" s="19" t="n"/>
      <c r="M342" s="19" t="n"/>
      <c r="N342" s="19" t="n"/>
    </row>
    <row r="343" ht="15.75" customHeight="1" s="545">
      <c r="A343" s="19" t="n"/>
      <c r="B343" s="19" t="n"/>
      <c r="C343" s="19" t="n"/>
      <c r="D343" s="19" t="n"/>
      <c r="E343" s="19" t="n"/>
      <c r="F343" s="19" t="n"/>
      <c r="G343" s="19" t="n"/>
      <c r="H343" s="19" t="n"/>
      <c r="I343" s="19" t="n"/>
      <c r="J343" s="19" t="n"/>
      <c r="K343" s="19" t="n"/>
      <c r="L343" s="19" t="n"/>
      <c r="M343" s="19" t="n"/>
      <c r="N343" s="19" t="n"/>
    </row>
    <row r="344" ht="15.75" customHeight="1" s="545">
      <c r="A344" s="19" t="n"/>
      <c r="B344" s="19" t="n"/>
      <c r="C344" s="19" t="n"/>
      <c r="D344" s="19" t="n"/>
      <c r="E344" s="19" t="n"/>
      <c r="F344" s="19" t="n"/>
      <c r="G344" s="19" t="n"/>
      <c r="H344" s="19" t="n"/>
      <c r="I344" s="19" t="n"/>
      <c r="J344" s="19" t="n"/>
      <c r="K344" s="19" t="n"/>
      <c r="L344" s="19" t="n"/>
      <c r="M344" s="19" t="n"/>
      <c r="N344" s="19" t="n"/>
    </row>
    <row r="345" ht="15.75" customHeight="1" s="545">
      <c r="A345" s="19" t="n"/>
      <c r="B345" s="19" t="n"/>
      <c r="C345" s="19" t="n"/>
      <c r="D345" s="19" t="n"/>
      <c r="E345" s="19" t="n"/>
      <c r="F345" s="19" t="n"/>
      <c r="G345" s="19" t="n"/>
      <c r="H345" s="19" t="n"/>
      <c r="I345" s="19" t="n"/>
      <c r="J345" s="19" t="n"/>
      <c r="K345" s="19" t="n"/>
      <c r="L345" s="19" t="n"/>
      <c r="M345" s="19" t="n"/>
      <c r="N345" s="19" t="n"/>
    </row>
    <row r="346" ht="15.75" customHeight="1" s="545">
      <c r="A346" s="19" t="n"/>
      <c r="B346" s="19" t="n"/>
      <c r="C346" s="19" t="n"/>
      <c r="D346" s="19" t="n"/>
      <c r="E346" s="19" t="n"/>
      <c r="F346" s="19" t="n"/>
      <c r="G346" s="19" t="n"/>
      <c r="H346" s="19" t="n"/>
      <c r="I346" s="19" t="n"/>
      <c r="J346" s="19" t="n"/>
      <c r="K346" s="19" t="n"/>
      <c r="L346" s="19" t="n"/>
      <c r="M346" s="19" t="n"/>
      <c r="N346" s="19" t="n"/>
    </row>
    <row r="347" ht="15.75" customHeight="1" s="545">
      <c r="A347" s="19" t="n"/>
      <c r="B347" s="19" t="n"/>
      <c r="C347" s="19" t="n"/>
      <c r="D347" s="19" t="n"/>
      <c r="E347" s="19" t="n"/>
      <c r="F347" s="19" t="n"/>
      <c r="G347" s="19" t="n"/>
      <c r="H347" s="19" t="n"/>
      <c r="I347" s="19" t="n"/>
      <c r="J347" s="19" t="n"/>
      <c r="K347" s="19" t="n"/>
      <c r="L347" s="19" t="n"/>
      <c r="M347" s="19" t="n"/>
      <c r="N347" s="19" t="n"/>
    </row>
    <row r="348" ht="15.75" customHeight="1" s="545">
      <c r="A348" s="19" t="n"/>
      <c r="B348" s="19" t="n"/>
      <c r="C348" s="19" t="n"/>
      <c r="D348" s="19" t="n"/>
      <c r="E348" s="19" t="n"/>
      <c r="F348" s="19" t="n"/>
      <c r="G348" s="19" t="n"/>
      <c r="H348" s="19" t="n"/>
      <c r="I348" s="19" t="n"/>
      <c r="J348" s="19" t="n"/>
      <c r="K348" s="19" t="n"/>
      <c r="L348" s="19" t="n"/>
      <c r="M348" s="19" t="n"/>
      <c r="N348" s="19" t="n"/>
    </row>
    <row r="349" ht="15.75" customHeight="1" s="545">
      <c r="A349" s="19" t="n"/>
      <c r="B349" s="19" t="n"/>
      <c r="C349" s="19" t="n"/>
      <c r="D349" s="19" t="n"/>
      <c r="E349" s="19" t="n"/>
      <c r="F349" s="19" t="n"/>
      <c r="G349" s="19" t="n"/>
      <c r="H349" s="19" t="n"/>
      <c r="I349" s="19" t="n"/>
      <c r="J349" s="19" t="n"/>
      <c r="K349" s="19" t="n"/>
      <c r="L349" s="19" t="n"/>
      <c r="M349" s="19" t="n"/>
      <c r="N349" s="19" t="n"/>
    </row>
    <row r="350" ht="15.75" customHeight="1" s="545">
      <c r="A350" s="19" t="n"/>
      <c r="B350" s="19" t="n"/>
      <c r="C350" s="19" t="n"/>
      <c r="D350" s="19" t="n"/>
      <c r="E350" s="19" t="n"/>
      <c r="F350" s="19" t="n"/>
      <c r="G350" s="19" t="n"/>
      <c r="H350" s="19" t="n"/>
      <c r="I350" s="19" t="n"/>
      <c r="J350" s="19" t="n"/>
      <c r="K350" s="19" t="n"/>
      <c r="L350" s="19" t="n"/>
      <c r="M350" s="19" t="n"/>
      <c r="N350" s="19" t="n"/>
    </row>
    <row r="351" ht="15.75" customHeight="1" s="545">
      <c r="A351" s="19" t="n"/>
      <c r="B351" s="19" t="n"/>
      <c r="C351" s="19" t="n"/>
      <c r="D351" s="19" t="n"/>
      <c r="E351" s="19" t="n"/>
      <c r="F351" s="19" t="n"/>
      <c r="G351" s="19" t="n"/>
      <c r="H351" s="19" t="n"/>
      <c r="I351" s="19" t="n"/>
      <c r="J351" s="19" t="n"/>
      <c r="K351" s="19" t="n"/>
      <c r="L351" s="19" t="n"/>
      <c r="M351" s="19" t="n"/>
      <c r="N351" s="19" t="n"/>
    </row>
    <row r="352" ht="15.75" customHeight="1" s="545">
      <c r="A352" s="19" t="n"/>
      <c r="B352" s="19" t="n"/>
      <c r="C352" s="19" t="n"/>
      <c r="D352" s="19" t="n"/>
      <c r="E352" s="19" t="n"/>
      <c r="F352" s="19" t="n"/>
      <c r="G352" s="19" t="n"/>
      <c r="H352" s="19" t="n"/>
      <c r="I352" s="19" t="n"/>
      <c r="J352" s="19" t="n"/>
      <c r="K352" s="19" t="n"/>
      <c r="L352" s="19" t="n"/>
      <c r="M352" s="19" t="n"/>
      <c r="N352" s="19" t="n"/>
    </row>
    <row r="353" ht="15.75" customHeight="1" s="545">
      <c r="A353" s="19" t="n"/>
      <c r="B353" s="19" t="n"/>
      <c r="C353" s="19" t="n"/>
      <c r="D353" s="19" t="n"/>
      <c r="E353" s="19" t="n"/>
      <c r="F353" s="19" t="n"/>
      <c r="G353" s="19" t="n"/>
      <c r="H353" s="19" t="n"/>
      <c r="I353" s="19" t="n"/>
      <c r="J353" s="19" t="n"/>
      <c r="K353" s="19" t="n"/>
      <c r="L353" s="19" t="n"/>
      <c r="M353" s="19" t="n"/>
      <c r="N353" s="19" t="n"/>
    </row>
    <row r="354" ht="15.75" customHeight="1" s="545">
      <c r="A354" s="19" t="n"/>
      <c r="B354" s="19" t="n"/>
      <c r="C354" s="19" t="n"/>
      <c r="D354" s="19" t="n"/>
      <c r="E354" s="19" t="n"/>
      <c r="F354" s="19" t="n"/>
      <c r="G354" s="19" t="n"/>
      <c r="H354" s="19" t="n"/>
      <c r="I354" s="19" t="n"/>
      <c r="J354" s="19" t="n"/>
      <c r="K354" s="19" t="n"/>
      <c r="L354" s="19" t="n"/>
      <c r="M354" s="19" t="n"/>
      <c r="N354" s="19" t="n"/>
    </row>
    <row r="355" ht="15.75" customHeight="1" s="545">
      <c r="A355" s="19" t="n"/>
      <c r="B355" s="19" t="n"/>
      <c r="C355" s="19" t="n"/>
      <c r="D355" s="19" t="n"/>
      <c r="E355" s="19" t="n"/>
      <c r="F355" s="19" t="n"/>
      <c r="G355" s="19" t="n"/>
      <c r="H355" s="19" t="n"/>
      <c r="I355" s="19" t="n"/>
      <c r="J355" s="19" t="n"/>
      <c r="K355" s="19" t="n"/>
      <c r="L355" s="19" t="n"/>
      <c r="M355" s="19" t="n"/>
      <c r="N355" s="19" t="n"/>
    </row>
    <row r="356" ht="15.75" customHeight="1" s="545">
      <c r="A356" s="19" t="n"/>
      <c r="B356" s="19" t="n"/>
      <c r="C356" s="19" t="n"/>
      <c r="D356" s="19" t="n"/>
      <c r="E356" s="19" t="n"/>
      <c r="F356" s="19" t="n"/>
      <c r="G356" s="19" t="n"/>
      <c r="H356" s="19" t="n"/>
      <c r="I356" s="19" t="n"/>
      <c r="J356" s="19" t="n"/>
      <c r="K356" s="19" t="n"/>
      <c r="L356" s="19" t="n"/>
      <c r="M356" s="19" t="n"/>
      <c r="N356" s="19" t="n"/>
    </row>
    <row r="357" ht="15.75" customHeight="1" s="545">
      <c r="A357" s="19" t="n"/>
      <c r="B357" s="19" t="n"/>
      <c r="C357" s="19" t="n"/>
      <c r="D357" s="19" t="n"/>
      <c r="E357" s="19" t="n"/>
      <c r="F357" s="19" t="n"/>
      <c r="G357" s="19" t="n"/>
      <c r="H357" s="19" t="n"/>
      <c r="I357" s="19" t="n"/>
      <c r="J357" s="19" t="n"/>
      <c r="K357" s="19" t="n"/>
      <c r="L357" s="19" t="n"/>
      <c r="M357" s="19" t="n"/>
      <c r="N357" s="19" t="n"/>
    </row>
    <row r="358" ht="15.75" customHeight="1" s="545">
      <c r="A358" s="19" t="n"/>
      <c r="B358" s="19" t="n"/>
      <c r="C358" s="19" t="n"/>
      <c r="D358" s="19" t="n"/>
      <c r="E358" s="19" t="n"/>
      <c r="F358" s="19" t="n"/>
      <c r="G358" s="19" t="n"/>
      <c r="H358" s="19" t="n"/>
      <c r="I358" s="19" t="n"/>
      <c r="J358" s="19" t="n"/>
      <c r="K358" s="19" t="n"/>
      <c r="L358" s="19" t="n"/>
      <c r="M358" s="19" t="n"/>
      <c r="N358" s="19" t="n"/>
    </row>
    <row r="359" ht="15.75" customHeight="1" s="545">
      <c r="A359" s="19" t="n"/>
      <c r="B359" s="19" t="n"/>
      <c r="C359" s="19" t="n"/>
      <c r="D359" s="19" t="n"/>
      <c r="E359" s="19" t="n"/>
      <c r="F359" s="19" t="n"/>
      <c r="G359" s="19" t="n"/>
      <c r="H359" s="19" t="n"/>
      <c r="I359" s="19" t="n"/>
      <c r="J359" s="19" t="n"/>
      <c r="K359" s="19" t="n"/>
      <c r="L359" s="19" t="n"/>
      <c r="M359" s="19" t="n"/>
      <c r="N359" s="19" t="n"/>
    </row>
    <row r="360" ht="15.75" customHeight="1" s="545">
      <c r="A360" s="19" t="n"/>
      <c r="B360" s="19" t="n"/>
      <c r="C360" s="19" t="n"/>
      <c r="D360" s="19" t="n"/>
      <c r="E360" s="19" t="n"/>
      <c r="F360" s="19" t="n"/>
      <c r="G360" s="19" t="n"/>
      <c r="H360" s="19" t="n"/>
      <c r="I360" s="19" t="n"/>
      <c r="J360" s="19" t="n"/>
      <c r="K360" s="19" t="n"/>
      <c r="L360" s="19" t="n"/>
      <c r="M360" s="19" t="n"/>
      <c r="N360" s="19" t="n"/>
    </row>
    <row r="361" ht="15.75" customHeight="1" s="545">
      <c r="A361" s="19" t="n"/>
      <c r="B361" s="19" t="n"/>
      <c r="C361" s="19" t="n"/>
      <c r="D361" s="19" t="n"/>
      <c r="E361" s="19" t="n"/>
      <c r="F361" s="19" t="n"/>
      <c r="G361" s="19" t="n"/>
      <c r="H361" s="19" t="n"/>
      <c r="I361" s="19" t="n"/>
      <c r="J361" s="19" t="n"/>
      <c r="K361" s="19" t="n"/>
      <c r="L361" s="19" t="n"/>
      <c r="M361" s="19" t="n"/>
      <c r="N361" s="19" t="n"/>
    </row>
    <row r="362" ht="15.75" customHeight="1" s="545">
      <c r="A362" s="19" t="n"/>
      <c r="B362" s="19" t="n"/>
      <c r="C362" s="19" t="n"/>
      <c r="D362" s="19" t="n"/>
      <c r="E362" s="19" t="n"/>
      <c r="F362" s="19" t="n"/>
      <c r="G362" s="19" t="n"/>
      <c r="H362" s="19" t="n"/>
      <c r="I362" s="19" t="n"/>
      <c r="J362" s="19" t="n"/>
      <c r="K362" s="19" t="n"/>
      <c r="L362" s="19" t="n"/>
      <c r="M362" s="19" t="n"/>
      <c r="N362" s="19" t="n"/>
    </row>
    <row r="363" ht="15.75" customHeight="1" s="545">
      <c r="A363" s="19" t="n"/>
      <c r="B363" s="19" t="n"/>
      <c r="C363" s="19" t="n"/>
      <c r="D363" s="19" t="n"/>
      <c r="E363" s="19" t="n"/>
      <c r="F363" s="19" t="n"/>
      <c r="G363" s="19" t="n"/>
      <c r="H363" s="19" t="n"/>
      <c r="I363" s="19" t="n"/>
      <c r="J363" s="19" t="n"/>
      <c r="K363" s="19" t="n"/>
      <c r="L363" s="19" t="n"/>
      <c r="M363" s="19" t="n"/>
      <c r="N363" s="19" t="n"/>
    </row>
    <row r="364" ht="15.75" customHeight="1" s="545">
      <c r="A364" s="19" t="n"/>
      <c r="B364" s="19" t="n"/>
      <c r="C364" s="19" t="n"/>
      <c r="D364" s="19" t="n"/>
      <c r="E364" s="19" t="n"/>
      <c r="F364" s="19" t="n"/>
      <c r="G364" s="19" t="n"/>
      <c r="H364" s="19" t="n"/>
      <c r="I364" s="19" t="n"/>
      <c r="J364" s="19" t="n"/>
      <c r="K364" s="19" t="n"/>
      <c r="L364" s="19" t="n"/>
      <c r="M364" s="19" t="n"/>
      <c r="N364" s="19" t="n"/>
    </row>
    <row r="365" ht="15.75" customHeight="1" s="545">
      <c r="A365" s="19" t="n"/>
      <c r="B365" s="19" t="n"/>
      <c r="C365" s="19" t="n"/>
      <c r="D365" s="19" t="n"/>
      <c r="E365" s="19" t="n"/>
      <c r="F365" s="19" t="n"/>
      <c r="G365" s="19" t="n"/>
      <c r="H365" s="19" t="n"/>
      <c r="I365" s="19" t="n"/>
      <c r="J365" s="19" t="n"/>
      <c r="K365" s="19" t="n"/>
      <c r="L365" s="19" t="n"/>
      <c r="M365" s="19" t="n"/>
      <c r="N365" s="19" t="n"/>
    </row>
    <row r="366" ht="15.75" customHeight="1" s="545">
      <c r="A366" s="19" t="n"/>
      <c r="B366" s="19" t="n"/>
      <c r="C366" s="19" t="n"/>
      <c r="D366" s="19" t="n"/>
      <c r="E366" s="19" t="n"/>
      <c r="F366" s="19" t="n"/>
      <c r="G366" s="19" t="n"/>
      <c r="H366" s="19" t="n"/>
      <c r="I366" s="19" t="n"/>
      <c r="J366" s="19" t="n"/>
      <c r="K366" s="19" t="n"/>
      <c r="L366" s="19" t="n"/>
      <c r="M366" s="19" t="n"/>
      <c r="N366" s="19" t="n"/>
    </row>
    <row r="367" ht="15.75" customHeight="1" s="545">
      <c r="A367" s="19" t="n"/>
      <c r="B367" s="19" t="n"/>
      <c r="C367" s="19" t="n"/>
      <c r="D367" s="19" t="n"/>
      <c r="E367" s="19" t="n"/>
      <c r="F367" s="19" t="n"/>
      <c r="G367" s="19" t="n"/>
      <c r="H367" s="19" t="n"/>
      <c r="I367" s="19" t="n"/>
      <c r="J367" s="19" t="n"/>
      <c r="K367" s="19" t="n"/>
      <c r="L367" s="19" t="n"/>
      <c r="M367" s="19" t="n"/>
      <c r="N367" s="19" t="n"/>
    </row>
    <row r="368" ht="15.75" customHeight="1" s="545">
      <c r="A368" s="19" t="n"/>
      <c r="B368" s="19" t="n"/>
      <c r="C368" s="19" t="n"/>
      <c r="D368" s="19" t="n"/>
      <c r="E368" s="19" t="n"/>
      <c r="F368" s="19" t="n"/>
      <c r="G368" s="19" t="n"/>
      <c r="H368" s="19" t="n"/>
      <c r="I368" s="19" t="n"/>
      <c r="J368" s="19" t="n"/>
      <c r="K368" s="19" t="n"/>
      <c r="L368" s="19" t="n"/>
      <c r="M368" s="19" t="n"/>
      <c r="N368" s="19" t="n"/>
    </row>
    <row r="369" ht="15.75" customHeight="1" s="545">
      <c r="A369" s="19" t="n"/>
      <c r="B369" s="19" t="n"/>
      <c r="C369" s="19" t="n"/>
      <c r="D369" s="19" t="n"/>
      <c r="E369" s="19" t="n"/>
      <c r="F369" s="19" t="n"/>
      <c r="G369" s="19" t="n"/>
      <c r="H369" s="19" t="n"/>
      <c r="I369" s="19" t="n"/>
      <c r="J369" s="19" t="n"/>
      <c r="K369" s="19" t="n"/>
      <c r="L369" s="19" t="n"/>
      <c r="M369" s="19" t="n"/>
      <c r="N369" s="19" t="n"/>
    </row>
    <row r="370" ht="15.75" customHeight="1" s="545">
      <c r="A370" s="19" t="n"/>
      <c r="B370" s="19" t="n"/>
      <c r="C370" s="19" t="n"/>
      <c r="D370" s="19" t="n"/>
      <c r="E370" s="19" t="n"/>
      <c r="F370" s="19" t="n"/>
      <c r="G370" s="19" t="n"/>
      <c r="H370" s="19" t="n"/>
      <c r="I370" s="19" t="n"/>
      <c r="J370" s="19" t="n"/>
      <c r="K370" s="19" t="n"/>
      <c r="L370" s="19" t="n"/>
      <c r="M370" s="19" t="n"/>
      <c r="N370" s="19" t="n"/>
    </row>
    <row r="371" ht="15.75" customHeight="1" s="545">
      <c r="A371" s="19" t="n"/>
      <c r="B371" s="19" t="n"/>
      <c r="C371" s="19" t="n"/>
      <c r="D371" s="19" t="n"/>
      <c r="E371" s="19" t="n"/>
      <c r="F371" s="19" t="n"/>
      <c r="G371" s="19" t="n"/>
      <c r="H371" s="19" t="n"/>
      <c r="I371" s="19" t="n"/>
      <c r="J371" s="19" t="n"/>
      <c r="K371" s="19" t="n"/>
      <c r="L371" s="19" t="n"/>
      <c r="M371" s="19" t="n"/>
      <c r="N371" s="19" t="n"/>
    </row>
    <row r="372" ht="15.75" customHeight="1" s="545">
      <c r="A372" s="19" t="n"/>
      <c r="B372" s="19" t="n"/>
      <c r="C372" s="19" t="n"/>
      <c r="D372" s="19" t="n"/>
      <c r="E372" s="19" t="n"/>
      <c r="F372" s="19" t="n"/>
      <c r="G372" s="19" t="n"/>
      <c r="H372" s="19" t="n"/>
      <c r="I372" s="19" t="n"/>
      <c r="J372" s="19" t="n"/>
      <c r="K372" s="19" t="n"/>
      <c r="L372" s="19" t="n"/>
      <c r="M372" s="19" t="n"/>
      <c r="N372" s="19" t="n"/>
    </row>
    <row r="373" ht="15.75" customHeight="1" s="545">
      <c r="A373" s="19" t="n"/>
      <c r="B373" s="19" t="n"/>
      <c r="C373" s="19" t="n"/>
      <c r="D373" s="19" t="n"/>
      <c r="E373" s="19" t="n"/>
      <c r="F373" s="19" t="n"/>
      <c r="G373" s="19" t="n"/>
      <c r="H373" s="19" t="n"/>
      <c r="I373" s="19" t="n"/>
      <c r="J373" s="19" t="n"/>
      <c r="K373" s="19" t="n"/>
      <c r="L373" s="19" t="n"/>
      <c r="M373" s="19" t="n"/>
      <c r="N373" s="19" t="n"/>
    </row>
    <row r="374" ht="15.75" customHeight="1" s="545">
      <c r="A374" s="19" t="n"/>
      <c r="B374" s="19" t="n"/>
      <c r="C374" s="19" t="n"/>
      <c r="D374" s="19" t="n"/>
      <c r="E374" s="19" t="n"/>
      <c r="F374" s="19" t="n"/>
      <c r="G374" s="19" t="n"/>
      <c r="H374" s="19" t="n"/>
      <c r="I374" s="19" t="n"/>
      <c r="J374" s="19" t="n"/>
      <c r="K374" s="19" t="n"/>
      <c r="L374" s="19" t="n"/>
      <c r="M374" s="19" t="n"/>
      <c r="N374" s="19" t="n"/>
    </row>
    <row r="375" ht="15.75" customHeight="1" s="545">
      <c r="A375" s="19" t="n"/>
      <c r="B375" s="19" t="n"/>
      <c r="C375" s="19" t="n"/>
      <c r="D375" s="19" t="n"/>
      <c r="E375" s="19" t="n"/>
      <c r="F375" s="19" t="n"/>
      <c r="G375" s="19" t="n"/>
      <c r="H375" s="19" t="n"/>
      <c r="I375" s="19" t="n"/>
      <c r="J375" s="19" t="n"/>
      <c r="K375" s="19" t="n"/>
      <c r="L375" s="19" t="n"/>
      <c r="M375" s="19" t="n"/>
      <c r="N375" s="19" t="n"/>
    </row>
    <row r="376" ht="15.75" customHeight="1" s="545">
      <c r="A376" s="19" t="n"/>
      <c r="B376" s="19" t="n"/>
      <c r="C376" s="19" t="n"/>
      <c r="D376" s="19" t="n"/>
      <c r="E376" s="19" t="n"/>
      <c r="F376" s="19" t="n"/>
      <c r="G376" s="19" t="n"/>
      <c r="H376" s="19" t="n"/>
      <c r="I376" s="19" t="n"/>
      <c r="J376" s="19" t="n"/>
      <c r="K376" s="19" t="n"/>
      <c r="L376" s="19" t="n"/>
      <c r="M376" s="19" t="n"/>
      <c r="N376" s="19" t="n"/>
    </row>
    <row r="377" ht="15.75" customHeight="1" s="545">
      <c r="A377" s="19" t="n"/>
      <c r="B377" s="19" t="n"/>
      <c r="C377" s="19" t="n"/>
      <c r="D377" s="19" t="n"/>
      <c r="E377" s="19" t="n"/>
      <c r="F377" s="19" t="n"/>
      <c r="G377" s="19" t="n"/>
      <c r="H377" s="19" t="n"/>
      <c r="I377" s="19" t="n"/>
      <c r="J377" s="19" t="n"/>
      <c r="K377" s="19" t="n"/>
      <c r="L377" s="19" t="n"/>
      <c r="M377" s="19" t="n"/>
      <c r="N377" s="19" t="n"/>
    </row>
    <row r="378" ht="15.75" customHeight="1" s="545">
      <c r="A378" s="19" t="n"/>
      <c r="B378" s="19" t="n"/>
      <c r="C378" s="19" t="n"/>
      <c r="D378" s="19" t="n"/>
      <c r="E378" s="19" t="n"/>
      <c r="F378" s="19" t="n"/>
      <c r="G378" s="19" t="n"/>
      <c r="H378" s="19" t="n"/>
      <c r="I378" s="19" t="n"/>
      <c r="J378" s="19" t="n"/>
      <c r="K378" s="19" t="n"/>
      <c r="L378" s="19" t="n"/>
      <c r="M378" s="19" t="n"/>
      <c r="N378" s="19" t="n"/>
    </row>
    <row r="379" ht="15.75" customHeight="1" s="545">
      <c r="A379" s="19" t="n"/>
      <c r="B379" s="19" t="n"/>
      <c r="C379" s="19" t="n"/>
      <c r="D379" s="19" t="n"/>
      <c r="E379" s="19" t="n"/>
      <c r="F379" s="19" t="n"/>
      <c r="G379" s="19" t="n"/>
      <c r="H379" s="19" t="n"/>
      <c r="I379" s="19" t="n"/>
      <c r="J379" s="19" t="n"/>
      <c r="K379" s="19" t="n"/>
      <c r="L379" s="19" t="n"/>
      <c r="M379" s="19" t="n"/>
      <c r="N379" s="19" t="n"/>
    </row>
    <row r="380" ht="15.75" customHeight="1" s="545">
      <c r="A380" s="19" t="n"/>
      <c r="B380" s="19" t="n"/>
      <c r="C380" s="19" t="n"/>
      <c r="D380" s="19" t="n"/>
      <c r="E380" s="19" t="n"/>
      <c r="F380" s="19" t="n"/>
      <c r="G380" s="19" t="n"/>
      <c r="H380" s="19" t="n"/>
      <c r="I380" s="19" t="n"/>
      <c r="J380" s="19" t="n"/>
      <c r="K380" s="19" t="n"/>
      <c r="L380" s="19" t="n"/>
      <c r="M380" s="19" t="n"/>
      <c r="N380" s="19" t="n"/>
    </row>
    <row r="381" ht="15.75" customHeight="1" s="545">
      <c r="A381" s="19" t="n"/>
      <c r="B381" s="19" t="n"/>
      <c r="C381" s="19" t="n"/>
      <c r="D381" s="19" t="n"/>
      <c r="E381" s="19" t="n"/>
      <c r="F381" s="19" t="n"/>
      <c r="G381" s="19" t="n"/>
      <c r="H381" s="19" t="n"/>
      <c r="I381" s="19" t="n"/>
      <c r="J381" s="19" t="n"/>
      <c r="K381" s="19" t="n"/>
      <c r="L381" s="19" t="n"/>
      <c r="M381" s="19" t="n"/>
      <c r="N381" s="19" t="n"/>
    </row>
    <row r="382" ht="15.75" customHeight="1" s="545">
      <c r="A382" s="19" t="n"/>
      <c r="B382" s="19" t="n"/>
      <c r="C382" s="19" t="n"/>
      <c r="D382" s="19" t="n"/>
      <c r="E382" s="19" t="n"/>
      <c r="F382" s="19" t="n"/>
      <c r="G382" s="19" t="n"/>
      <c r="H382" s="19" t="n"/>
      <c r="I382" s="19" t="n"/>
      <c r="J382" s="19" t="n"/>
      <c r="K382" s="19" t="n"/>
      <c r="L382" s="19" t="n"/>
      <c r="M382" s="19" t="n"/>
      <c r="N382" s="19" t="n"/>
    </row>
    <row r="383" ht="15.75" customHeight="1" s="545">
      <c r="A383" s="19" t="n"/>
      <c r="B383" s="19" t="n"/>
      <c r="C383" s="19" t="n"/>
      <c r="D383" s="19" t="n"/>
      <c r="E383" s="19" t="n"/>
      <c r="F383" s="19" t="n"/>
      <c r="G383" s="19" t="n"/>
      <c r="H383" s="19" t="n"/>
      <c r="I383" s="19" t="n"/>
      <c r="J383" s="19" t="n"/>
      <c r="K383" s="19" t="n"/>
      <c r="L383" s="19" t="n"/>
      <c r="M383" s="19" t="n"/>
      <c r="N383" s="19" t="n"/>
    </row>
    <row r="384" ht="15.75" customHeight="1" s="545">
      <c r="A384" s="19" t="n"/>
      <c r="B384" s="19" t="n"/>
      <c r="C384" s="19" t="n"/>
      <c r="D384" s="19" t="n"/>
      <c r="E384" s="19" t="n"/>
      <c r="F384" s="19" t="n"/>
      <c r="G384" s="19" t="n"/>
      <c r="H384" s="19" t="n"/>
      <c r="I384" s="19" t="n"/>
      <c r="J384" s="19" t="n"/>
      <c r="K384" s="19" t="n"/>
      <c r="L384" s="19" t="n"/>
      <c r="M384" s="19" t="n"/>
      <c r="N384" s="19" t="n"/>
    </row>
    <row r="385" ht="15.75" customHeight="1" s="545">
      <c r="A385" s="19" t="n"/>
      <c r="B385" s="19" t="n"/>
      <c r="C385" s="19" t="n"/>
      <c r="D385" s="19" t="n"/>
      <c r="E385" s="19" t="n"/>
      <c r="F385" s="19" t="n"/>
      <c r="G385" s="19" t="n"/>
      <c r="H385" s="19" t="n"/>
      <c r="I385" s="19" t="n"/>
      <c r="J385" s="19" t="n"/>
      <c r="K385" s="19" t="n"/>
      <c r="L385" s="19" t="n"/>
      <c r="M385" s="19" t="n"/>
      <c r="N385" s="19" t="n"/>
    </row>
    <row r="386" ht="15.75" customHeight="1" s="545">
      <c r="A386" s="19" t="n"/>
      <c r="B386" s="19" t="n"/>
      <c r="C386" s="19" t="n"/>
      <c r="D386" s="19" t="n"/>
      <c r="E386" s="19" t="n"/>
      <c r="F386" s="19" t="n"/>
      <c r="G386" s="19" t="n"/>
      <c r="H386" s="19" t="n"/>
      <c r="I386" s="19" t="n"/>
      <c r="J386" s="19" t="n"/>
      <c r="K386" s="19" t="n"/>
      <c r="L386" s="19" t="n"/>
      <c r="M386" s="19" t="n"/>
      <c r="N386" s="19" t="n"/>
    </row>
    <row r="387" ht="15.75" customHeight="1" s="545">
      <c r="A387" s="19" t="n"/>
      <c r="B387" s="19" t="n"/>
      <c r="C387" s="19" t="n"/>
      <c r="D387" s="19" t="n"/>
      <c r="E387" s="19" t="n"/>
      <c r="F387" s="19" t="n"/>
      <c r="G387" s="19" t="n"/>
      <c r="H387" s="19" t="n"/>
      <c r="I387" s="19" t="n"/>
      <c r="J387" s="19" t="n"/>
      <c r="K387" s="19" t="n"/>
      <c r="L387" s="19" t="n"/>
      <c r="M387" s="19" t="n"/>
      <c r="N387" s="19" t="n"/>
    </row>
    <row r="388" ht="15.75" customHeight="1" s="545">
      <c r="A388" s="19" t="n"/>
      <c r="B388" s="19" t="n"/>
      <c r="C388" s="19" t="n"/>
      <c r="D388" s="19" t="n"/>
      <c r="E388" s="19" t="n"/>
      <c r="F388" s="19" t="n"/>
      <c r="G388" s="19" t="n"/>
      <c r="H388" s="19" t="n"/>
      <c r="I388" s="19" t="n"/>
      <c r="J388" s="19" t="n"/>
      <c r="K388" s="19" t="n"/>
      <c r="L388" s="19" t="n"/>
      <c r="M388" s="19" t="n"/>
      <c r="N388" s="19" t="n"/>
    </row>
    <row r="389" ht="15.75" customHeight="1" s="545">
      <c r="A389" s="19" t="n"/>
      <c r="B389" s="19" t="n"/>
      <c r="C389" s="19" t="n"/>
      <c r="D389" s="19" t="n"/>
      <c r="E389" s="19" t="n"/>
      <c r="F389" s="19" t="n"/>
      <c r="G389" s="19" t="n"/>
      <c r="H389" s="19" t="n"/>
      <c r="I389" s="19" t="n"/>
      <c r="J389" s="19" t="n"/>
      <c r="K389" s="19" t="n"/>
      <c r="L389" s="19" t="n"/>
      <c r="M389" s="19" t="n"/>
      <c r="N389" s="19" t="n"/>
    </row>
    <row r="390" ht="15.75" customHeight="1" s="545">
      <c r="A390" s="19" t="n"/>
      <c r="B390" s="19" t="n"/>
      <c r="C390" s="19" t="n"/>
      <c r="D390" s="19" t="n"/>
      <c r="E390" s="19" t="n"/>
      <c r="F390" s="19" t="n"/>
      <c r="G390" s="19" t="n"/>
      <c r="H390" s="19" t="n"/>
      <c r="I390" s="19" t="n"/>
      <c r="J390" s="19" t="n"/>
      <c r="K390" s="19" t="n"/>
      <c r="L390" s="19" t="n"/>
      <c r="M390" s="19" t="n"/>
      <c r="N390" s="19" t="n"/>
    </row>
    <row r="391" ht="15.75" customHeight="1" s="545">
      <c r="A391" s="19" t="n"/>
      <c r="B391" s="19" t="n"/>
      <c r="C391" s="19" t="n"/>
      <c r="D391" s="19" t="n"/>
      <c r="E391" s="19" t="n"/>
      <c r="F391" s="19" t="n"/>
      <c r="G391" s="19" t="n"/>
      <c r="H391" s="19" t="n"/>
      <c r="I391" s="19" t="n"/>
      <c r="J391" s="19" t="n"/>
      <c r="K391" s="19" t="n"/>
      <c r="L391" s="19" t="n"/>
      <c r="M391" s="19" t="n"/>
      <c r="N391" s="19" t="n"/>
    </row>
    <row r="392" ht="15.75" customHeight="1" s="545">
      <c r="A392" s="19" t="n"/>
      <c r="B392" s="19" t="n"/>
      <c r="C392" s="19" t="n"/>
      <c r="D392" s="19" t="n"/>
      <c r="E392" s="19" t="n"/>
      <c r="F392" s="19" t="n"/>
      <c r="G392" s="19" t="n"/>
      <c r="H392" s="19" t="n"/>
      <c r="I392" s="19" t="n"/>
      <c r="J392" s="19" t="n"/>
      <c r="K392" s="19" t="n"/>
      <c r="L392" s="19" t="n"/>
      <c r="M392" s="19" t="n"/>
      <c r="N392" s="19" t="n"/>
    </row>
    <row r="393" ht="15.75" customHeight="1" s="545">
      <c r="A393" s="19" t="n"/>
      <c r="B393" s="19" t="n"/>
      <c r="C393" s="19" t="n"/>
      <c r="D393" s="19" t="n"/>
      <c r="E393" s="19" t="n"/>
      <c r="F393" s="19" t="n"/>
      <c r="G393" s="19" t="n"/>
      <c r="H393" s="19" t="n"/>
      <c r="I393" s="19" t="n"/>
      <c r="J393" s="19" t="n"/>
      <c r="K393" s="19" t="n"/>
      <c r="L393" s="19" t="n"/>
      <c r="M393" s="19" t="n"/>
      <c r="N393" s="19" t="n"/>
    </row>
    <row r="394" ht="15.75" customHeight="1" s="545">
      <c r="A394" s="19" t="n"/>
      <c r="B394" s="19" t="n"/>
      <c r="C394" s="19" t="n"/>
      <c r="D394" s="19" t="n"/>
      <c r="E394" s="19" t="n"/>
      <c r="F394" s="19" t="n"/>
      <c r="G394" s="19" t="n"/>
      <c r="H394" s="19" t="n"/>
      <c r="I394" s="19" t="n"/>
      <c r="J394" s="19" t="n"/>
      <c r="K394" s="19" t="n"/>
      <c r="L394" s="19" t="n"/>
      <c r="M394" s="19" t="n"/>
      <c r="N394" s="19" t="n"/>
    </row>
    <row r="395" ht="15.75" customHeight="1" s="545">
      <c r="A395" s="19" t="n"/>
      <c r="B395" s="19" t="n"/>
      <c r="C395" s="19" t="n"/>
      <c r="D395" s="19" t="n"/>
      <c r="E395" s="19" t="n"/>
      <c r="F395" s="19" t="n"/>
      <c r="G395" s="19" t="n"/>
      <c r="H395" s="19" t="n"/>
      <c r="I395" s="19" t="n"/>
      <c r="J395" s="19" t="n"/>
      <c r="K395" s="19" t="n"/>
      <c r="L395" s="19" t="n"/>
      <c r="M395" s="19" t="n"/>
      <c r="N395" s="19" t="n"/>
    </row>
    <row r="396" ht="15.75" customHeight="1" s="545">
      <c r="A396" s="19" t="n"/>
      <c r="B396" s="19" t="n"/>
      <c r="C396" s="19" t="n"/>
      <c r="D396" s="19" t="n"/>
      <c r="E396" s="19" t="n"/>
      <c r="F396" s="19" t="n"/>
      <c r="G396" s="19" t="n"/>
      <c r="H396" s="19" t="n"/>
      <c r="I396" s="19" t="n"/>
      <c r="J396" s="19" t="n"/>
      <c r="K396" s="19" t="n"/>
      <c r="L396" s="19" t="n"/>
      <c r="M396" s="19" t="n"/>
      <c r="N396" s="19" t="n"/>
    </row>
    <row r="397" ht="15.75" customHeight="1" s="545">
      <c r="A397" s="19" t="n"/>
      <c r="B397" s="19" t="n"/>
      <c r="C397" s="19" t="n"/>
      <c r="D397" s="19" t="n"/>
      <c r="E397" s="19" t="n"/>
      <c r="F397" s="19" t="n"/>
      <c r="G397" s="19" t="n"/>
      <c r="H397" s="19" t="n"/>
      <c r="I397" s="19" t="n"/>
      <c r="J397" s="19" t="n"/>
      <c r="K397" s="19" t="n"/>
      <c r="L397" s="19" t="n"/>
      <c r="M397" s="19" t="n"/>
      <c r="N397" s="19" t="n"/>
    </row>
    <row r="398" ht="15.75" customHeight="1" s="545">
      <c r="A398" s="19" t="n"/>
      <c r="B398" s="19" t="n"/>
      <c r="C398" s="19" t="n"/>
      <c r="D398" s="19" t="n"/>
      <c r="E398" s="19" t="n"/>
      <c r="F398" s="19" t="n"/>
      <c r="G398" s="19" t="n"/>
      <c r="H398" s="19" t="n"/>
      <c r="I398" s="19" t="n"/>
      <c r="J398" s="19" t="n"/>
      <c r="K398" s="19" t="n"/>
      <c r="L398" s="19" t="n"/>
      <c r="M398" s="19" t="n"/>
      <c r="N398" s="19" t="n"/>
    </row>
    <row r="399" ht="15.75" customHeight="1" s="545">
      <c r="A399" s="19" t="n"/>
      <c r="B399" s="19" t="n"/>
      <c r="C399" s="19" t="n"/>
      <c r="D399" s="19" t="n"/>
      <c r="E399" s="19" t="n"/>
      <c r="F399" s="19" t="n"/>
      <c r="G399" s="19" t="n"/>
      <c r="H399" s="19" t="n"/>
      <c r="I399" s="19" t="n"/>
      <c r="J399" s="19" t="n"/>
      <c r="K399" s="19" t="n"/>
      <c r="L399" s="19" t="n"/>
      <c r="M399" s="19" t="n"/>
      <c r="N399" s="19" t="n"/>
    </row>
    <row r="400" ht="15.75" customHeight="1" s="545">
      <c r="A400" s="19" t="n"/>
      <c r="B400" s="19" t="n"/>
      <c r="C400" s="19" t="n"/>
      <c r="D400" s="19" t="n"/>
      <c r="E400" s="19" t="n"/>
      <c r="F400" s="19" t="n"/>
      <c r="G400" s="19" t="n"/>
      <c r="H400" s="19" t="n"/>
      <c r="I400" s="19" t="n"/>
      <c r="J400" s="19" t="n"/>
      <c r="K400" s="19" t="n"/>
      <c r="L400" s="19" t="n"/>
      <c r="M400" s="19" t="n"/>
      <c r="N400" s="19" t="n"/>
    </row>
    <row r="401" ht="15.75" customHeight="1" s="545">
      <c r="A401" s="19" t="n"/>
      <c r="B401" s="19" t="n"/>
      <c r="C401" s="19" t="n"/>
      <c r="D401" s="19" t="n"/>
      <c r="E401" s="19" t="n"/>
      <c r="F401" s="19" t="n"/>
      <c r="G401" s="19" t="n"/>
      <c r="H401" s="19" t="n"/>
      <c r="I401" s="19" t="n"/>
      <c r="J401" s="19" t="n"/>
      <c r="K401" s="19" t="n"/>
      <c r="L401" s="19" t="n"/>
      <c r="M401" s="19" t="n"/>
      <c r="N401" s="19" t="n"/>
    </row>
    <row r="402" ht="15.75" customHeight="1" s="545">
      <c r="A402" s="19" t="n"/>
      <c r="B402" s="19" t="n"/>
      <c r="C402" s="19" t="n"/>
      <c r="D402" s="19" t="n"/>
      <c r="E402" s="19" t="n"/>
      <c r="F402" s="19" t="n"/>
      <c r="G402" s="19" t="n"/>
      <c r="H402" s="19" t="n"/>
      <c r="I402" s="19" t="n"/>
      <c r="J402" s="19" t="n"/>
      <c r="K402" s="19" t="n"/>
      <c r="L402" s="19" t="n"/>
      <c r="M402" s="19" t="n"/>
      <c r="N402" s="19" t="n"/>
    </row>
    <row r="403" ht="15.75" customHeight="1" s="545">
      <c r="A403" s="19" t="n"/>
      <c r="B403" s="19" t="n"/>
      <c r="C403" s="19" t="n"/>
      <c r="D403" s="19" t="n"/>
      <c r="E403" s="19" t="n"/>
      <c r="F403" s="19" t="n"/>
      <c r="G403" s="19" t="n"/>
      <c r="H403" s="19" t="n"/>
      <c r="I403" s="19" t="n"/>
      <c r="J403" s="19" t="n"/>
      <c r="K403" s="19" t="n"/>
      <c r="L403" s="19" t="n"/>
      <c r="M403" s="19" t="n"/>
      <c r="N403" s="19" t="n"/>
    </row>
    <row r="404" ht="15.75" customHeight="1" s="545">
      <c r="A404" s="19" t="n"/>
      <c r="B404" s="19" t="n"/>
      <c r="C404" s="19" t="n"/>
      <c r="D404" s="19" t="n"/>
      <c r="E404" s="19" t="n"/>
      <c r="F404" s="19" t="n"/>
      <c r="G404" s="19" t="n"/>
      <c r="H404" s="19" t="n"/>
      <c r="I404" s="19" t="n"/>
      <c r="J404" s="19" t="n"/>
      <c r="K404" s="19" t="n"/>
      <c r="L404" s="19" t="n"/>
      <c r="M404" s="19" t="n"/>
      <c r="N404" s="19" t="n"/>
    </row>
    <row r="405" ht="15.75" customHeight="1" s="545">
      <c r="A405" s="19" t="n"/>
      <c r="B405" s="19" t="n"/>
      <c r="C405" s="19" t="n"/>
      <c r="D405" s="19" t="n"/>
      <c r="E405" s="19" t="n"/>
      <c r="F405" s="19" t="n"/>
      <c r="G405" s="19" t="n"/>
      <c r="H405" s="19" t="n"/>
      <c r="I405" s="19" t="n"/>
      <c r="J405" s="19" t="n"/>
      <c r="K405" s="19" t="n"/>
      <c r="L405" s="19" t="n"/>
      <c r="M405" s="19" t="n"/>
      <c r="N405" s="19" t="n"/>
    </row>
    <row r="406" ht="15.75" customHeight="1" s="545">
      <c r="A406" s="19" t="n"/>
      <c r="B406" s="19" t="n"/>
      <c r="C406" s="19" t="n"/>
      <c r="D406" s="19" t="n"/>
      <c r="E406" s="19" t="n"/>
      <c r="F406" s="19" t="n"/>
      <c r="G406" s="19" t="n"/>
      <c r="H406" s="19" t="n"/>
      <c r="I406" s="19" t="n"/>
      <c r="J406" s="19" t="n"/>
      <c r="K406" s="19" t="n"/>
      <c r="L406" s="19" t="n"/>
      <c r="M406" s="19" t="n"/>
      <c r="N406" s="19" t="n"/>
    </row>
    <row r="407" ht="15.75" customHeight="1" s="545">
      <c r="A407" s="19" t="n"/>
      <c r="B407" s="19" t="n"/>
      <c r="C407" s="19" t="n"/>
      <c r="D407" s="19" t="n"/>
      <c r="E407" s="19" t="n"/>
      <c r="F407" s="19" t="n"/>
      <c r="G407" s="19" t="n"/>
      <c r="H407" s="19" t="n"/>
      <c r="I407" s="19" t="n"/>
      <c r="J407" s="19" t="n"/>
      <c r="K407" s="19" t="n"/>
      <c r="L407" s="19" t="n"/>
      <c r="M407" s="19" t="n"/>
      <c r="N407" s="19" t="n"/>
    </row>
    <row r="408" ht="15.75" customHeight="1" s="545">
      <c r="A408" s="19" t="n"/>
      <c r="B408" s="19" t="n"/>
      <c r="C408" s="19" t="n"/>
      <c r="D408" s="19" t="n"/>
      <c r="E408" s="19" t="n"/>
      <c r="F408" s="19" t="n"/>
      <c r="G408" s="19" t="n"/>
      <c r="H408" s="19" t="n"/>
      <c r="I408" s="19" t="n"/>
      <c r="J408" s="19" t="n"/>
      <c r="K408" s="19" t="n"/>
      <c r="L408" s="19" t="n"/>
      <c r="M408" s="19" t="n"/>
      <c r="N408" s="19" t="n"/>
    </row>
    <row r="409" ht="15.75" customHeight="1" s="545">
      <c r="A409" s="19" t="n"/>
      <c r="B409" s="19" t="n"/>
      <c r="C409" s="19" t="n"/>
      <c r="D409" s="19" t="n"/>
      <c r="E409" s="19" t="n"/>
      <c r="F409" s="19" t="n"/>
      <c r="G409" s="19" t="n"/>
      <c r="H409" s="19" t="n"/>
      <c r="I409" s="19" t="n"/>
      <c r="J409" s="19" t="n"/>
      <c r="K409" s="19" t="n"/>
      <c r="L409" s="19" t="n"/>
      <c r="M409" s="19" t="n"/>
      <c r="N409" s="19" t="n"/>
    </row>
    <row r="410" ht="15.75" customHeight="1" s="545">
      <c r="A410" s="19" t="n"/>
      <c r="B410" s="19" t="n"/>
      <c r="C410" s="19" t="n"/>
      <c r="D410" s="19" t="n"/>
      <c r="E410" s="19" t="n"/>
      <c r="F410" s="19" t="n"/>
      <c r="G410" s="19" t="n"/>
      <c r="H410" s="19" t="n"/>
      <c r="I410" s="19" t="n"/>
      <c r="J410" s="19" t="n"/>
      <c r="K410" s="19" t="n"/>
      <c r="L410" s="19" t="n"/>
      <c r="M410" s="19" t="n"/>
      <c r="N410" s="19" t="n"/>
    </row>
    <row r="411" ht="15.75" customHeight="1" s="545">
      <c r="A411" s="19" t="n"/>
      <c r="B411" s="19" t="n"/>
      <c r="C411" s="19" t="n"/>
      <c r="D411" s="19" t="n"/>
      <c r="E411" s="19" t="n"/>
      <c r="F411" s="19" t="n"/>
      <c r="G411" s="19" t="n"/>
      <c r="H411" s="19" t="n"/>
      <c r="I411" s="19" t="n"/>
      <c r="J411" s="19" t="n"/>
      <c r="K411" s="19" t="n"/>
      <c r="L411" s="19" t="n"/>
      <c r="M411" s="19" t="n"/>
      <c r="N411" s="19" t="n"/>
    </row>
    <row r="412" ht="15.75" customHeight="1" s="545">
      <c r="A412" s="19" t="n"/>
      <c r="B412" s="19" t="n"/>
      <c r="C412" s="19" t="n"/>
      <c r="D412" s="19" t="n"/>
      <c r="E412" s="19" t="n"/>
      <c r="F412" s="19" t="n"/>
      <c r="G412" s="19" t="n"/>
      <c r="H412" s="19" t="n"/>
      <c r="I412" s="19" t="n"/>
      <c r="J412" s="19" t="n"/>
      <c r="K412" s="19" t="n"/>
      <c r="L412" s="19" t="n"/>
      <c r="M412" s="19" t="n"/>
      <c r="N412" s="19" t="n"/>
    </row>
    <row r="413" ht="15.75" customHeight="1" s="545">
      <c r="A413" s="19" t="n"/>
      <c r="B413" s="19" t="n"/>
      <c r="C413" s="19" t="n"/>
      <c r="D413" s="19" t="n"/>
      <c r="E413" s="19" t="n"/>
      <c r="F413" s="19" t="n"/>
      <c r="G413" s="19" t="n"/>
      <c r="H413" s="19" t="n"/>
      <c r="I413" s="19" t="n"/>
      <c r="J413" s="19" t="n"/>
      <c r="K413" s="19" t="n"/>
      <c r="L413" s="19" t="n"/>
      <c r="M413" s="19" t="n"/>
      <c r="N413" s="19" t="n"/>
    </row>
    <row r="414" ht="15.75" customHeight="1" s="545">
      <c r="A414" s="19" t="n"/>
      <c r="B414" s="19" t="n"/>
      <c r="C414" s="19" t="n"/>
      <c r="D414" s="19" t="n"/>
      <c r="E414" s="19" t="n"/>
      <c r="F414" s="19" t="n"/>
      <c r="G414" s="19" t="n"/>
      <c r="H414" s="19" t="n"/>
      <c r="I414" s="19" t="n"/>
      <c r="J414" s="19" t="n"/>
      <c r="K414" s="19" t="n"/>
      <c r="L414" s="19" t="n"/>
      <c r="M414" s="19" t="n"/>
      <c r="N414" s="19" t="n"/>
    </row>
    <row r="415" ht="15.75" customHeight="1" s="545">
      <c r="A415" s="19" t="n"/>
      <c r="B415" s="19" t="n"/>
      <c r="C415" s="19" t="n"/>
      <c r="D415" s="19" t="n"/>
      <c r="E415" s="19" t="n"/>
      <c r="F415" s="19" t="n"/>
      <c r="G415" s="19" t="n"/>
      <c r="H415" s="19" t="n"/>
      <c r="I415" s="19" t="n"/>
      <c r="J415" s="19" t="n"/>
      <c r="K415" s="19" t="n"/>
      <c r="L415" s="19" t="n"/>
      <c r="M415" s="19" t="n"/>
      <c r="N415" s="19" t="n"/>
    </row>
    <row r="416" ht="15.75" customHeight="1" s="545">
      <c r="A416" s="19" t="n"/>
      <c r="B416" s="19" t="n"/>
      <c r="C416" s="19" t="n"/>
      <c r="D416" s="19" t="n"/>
      <c r="E416" s="19" t="n"/>
      <c r="F416" s="19" t="n"/>
      <c r="G416" s="19" t="n"/>
      <c r="H416" s="19" t="n"/>
      <c r="I416" s="19" t="n"/>
      <c r="J416" s="19" t="n"/>
      <c r="K416" s="19" t="n"/>
      <c r="L416" s="19" t="n"/>
      <c r="M416" s="19" t="n"/>
      <c r="N416" s="19" t="n"/>
    </row>
    <row r="417" ht="15.75" customHeight="1" s="545">
      <c r="A417" s="19" t="n"/>
      <c r="B417" s="19" t="n"/>
      <c r="C417" s="19" t="n"/>
      <c r="D417" s="19" t="n"/>
      <c r="E417" s="19" t="n"/>
      <c r="F417" s="19" t="n"/>
      <c r="G417" s="19" t="n"/>
      <c r="H417" s="19" t="n"/>
      <c r="I417" s="19" t="n"/>
      <c r="J417" s="19" t="n"/>
      <c r="K417" s="19" t="n"/>
      <c r="L417" s="19" t="n"/>
      <c r="M417" s="19" t="n"/>
      <c r="N417" s="19" t="n"/>
    </row>
    <row r="418" ht="15.75" customHeight="1" s="545">
      <c r="A418" s="19" t="n"/>
      <c r="B418" s="19" t="n"/>
      <c r="C418" s="19" t="n"/>
      <c r="D418" s="19" t="n"/>
      <c r="E418" s="19" t="n"/>
      <c r="F418" s="19" t="n"/>
      <c r="G418" s="19" t="n"/>
      <c r="H418" s="19" t="n"/>
      <c r="I418" s="19" t="n"/>
      <c r="J418" s="19" t="n"/>
      <c r="K418" s="19" t="n"/>
      <c r="L418" s="19" t="n"/>
      <c r="M418" s="19" t="n"/>
      <c r="N418" s="19" t="n"/>
    </row>
    <row r="419" ht="15.75" customHeight="1" s="545">
      <c r="A419" s="19" t="n"/>
      <c r="B419" s="19" t="n"/>
      <c r="C419" s="19" t="n"/>
      <c r="D419" s="19" t="n"/>
      <c r="E419" s="19" t="n"/>
      <c r="F419" s="19" t="n"/>
      <c r="G419" s="19" t="n"/>
      <c r="H419" s="19" t="n"/>
      <c r="I419" s="19" t="n"/>
      <c r="J419" s="19" t="n"/>
      <c r="K419" s="19" t="n"/>
      <c r="L419" s="19" t="n"/>
      <c r="M419" s="19" t="n"/>
      <c r="N419" s="19" t="n"/>
    </row>
    <row r="420" ht="15.75" customHeight="1" s="545">
      <c r="A420" s="19" t="n"/>
      <c r="B420" s="19" t="n"/>
      <c r="C420" s="19" t="n"/>
      <c r="D420" s="19" t="n"/>
      <c r="E420" s="19" t="n"/>
      <c r="F420" s="19" t="n"/>
      <c r="G420" s="19" t="n"/>
      <c r="H420" s="19" t="n"/>
      <c r="I420" s="19" t="n"/>
      <c r="J420" s="19" t="n"/>
      <c r="K420" s="19" t="n"/>
      <c r="L420" s="19" t="n"/>
      <c r="M420" s="19" t="n"/>
      <c r="N420" s="19" t="n"/>
    </row>
    <row r="421" ht="15.75" customHeight="1" s="545">
      <c r="A421" s="19" t="n"/>
      <c r="B421" s="19" t="n"/>
      <c r="C421" s="19" t="n"/>
      <c r="D421" s="19" t="n"/>
      <c r="E421" s="19" t="n"/>
      <c r="F421" s="19" t="n"/>
      <c r="G421" s="19" t="n"/>
      <c r="H421" s="19" t="n"/>
      <c r="I421" s="19" t="n"/>
      <c r="J421" s="19" t="n"/>
      <c r="K421" s="19" t="n"/>
      <c r="L421" s="19" t="n"/>
      <c r="M421" s="19" t="n"/>
      <c r="N421" s="19" t="n"/>
    </row>
    <row r="422" ht="15.75" customHeight="1" s="545">
      <c r="A422" s="19" t="n"/>
      <c r="B422" s="19" t="n"/>
      <c r="C422" s="19" t="n"/>
      <c r="D422" s="19" t="n"/>
      <c r="E422" s="19" t="n"/>
      <c r="F422" s="19" t="n"/>
      <c r="G422" s="19" t="n"/>
      <c r="H422" s="19" t="n"/>
      <c r="I422" s="19" t="n"/>
      <c r="J422" s="19" t="n"/>
      <c r="K422" s="19" t="n"/>
      <c r="L422" s="19" t="n"/>
      <c r="M422" s="19" t="n"/>
      <c r="N422" s="19" t="n"/>
    </row>
    <row r="423" ht="15.75" customHeight="1" s="545">
      <c r="A423" s="19" t="n"/>
      <c r="B423" s="19" t="n"/>
      <c r="C423" s="19" t="n"/>
      <c r="D423" s="19" t="n"/>
      <c r="E423" s="19" t="n"/>
      <c r="F423" s="19" t="n"/>
      <c r="G423" s="19" t="n"/>
      <c r="H423" s="19" t="n"/>
      <c r="I423" s="19" t="n"/>
      <c r="J423" s="19" t="n"/>
      <c r="K423" s="19" t="n"/>
      <c r="L423" s="19" t="n"/>
      <c r="M423" s="19" t="n"/>
      <c r="N423" s="19" t="n"/>
    </row>
    <row r="424" ht="15.75" customHeight="1" s="545">
      <c r="A424" s="19" t="n"/>
      <c r="B424" s="19" t="n"/>
      <c r="C424" s="19" t="n"/>
      <c r="D424" s="19" t="n"/>
      <c r="E424" s="19" t="n"/>
      <c r="F424" s="19" t="n"/>
      <c r="G424" s="19" t="n"/>
      <c r="H424" s="19" t="n"/>
      <c r="I424" s="19" t="n"/>
      <c r="J424" s="19" t="n"/>
      <c r="K424" s="19" t="n"/>
      <c r="L424" s="19" t="n"/>
      <c r="M424" s="19" t="n"/>
      <c r="N424" s="19" t="n"/>
    </row>
    <row r="425" ht="15.75" customHeight="1" s="545">
      <c r="A425" s="19" t="n"/>
      <c r="B425" s="19" t="n"/>
      <c r="C425" s="19" t="n"/>
      <c r="D425" s="19" t="n"/>
      <c r="E425" s="19" t="n"/>
      <c r="F425" s="19" t="n"/>
      <c r="G425" s="19" t="n"/>
      <c r="H425" s="19" t="n"/>
      <c r="I425" s="19" t="n"/>
      <c r="J425" s="19" t="n"/>
      <c r="K425" s="19" t="n"/>
      <c r="L425" s="19" t="n"/>
      <c r="M425" s="19" t="n"/>
      <c r="N425" s="19" t="n"/>
    </row>
    <row r="426" ht="15.75" customHeight="1" s="545">
      <c r="A426" s="19" t="n"/>
      <c r="B426" s="19" t="n"/>
      <c r="C426" s="19" t="n"/>
      <c r="D426" s="19" t="n"/>
      <c r="E426" s="19" t="n"/>
      <c r="F426" s="19" t="n"/>
      <c r="G426" s="19" t="n"/>
      <c r="H426" s="19" t="n"/>
      <c r="I426" s="19" t="n"/>
      <c r="J426" s="19" t="n"/>
      <c r="K426" s="19" t="n"/>
      <c r="L426" s="19" t="n"/>
      <c r="M426" s="19" t="n"/>
      <c r="N426" s="19" t="n"/>
    </row>
    <row r="427" ht="15.75" customHeight="1" s="545">
      <c r="A427" s="19" t="n"/>
      <c r="B427" s="19" t="n"/>
      <c r="C427" s="19" t="n"/>
      <c r="D427" s="19" t="n"/>
      <c r="E427" s="19" t="n"/>
      <c r="F427" s="19" t="n"/>
      <c r="G427" s="19" t="n"/>
      <c r="H427" s="19" t="n"/>
      <c r="I427" s="19" t="n"/>
      <c r="J427" s="19" t="n"/>
      <c r="K427" s="19" t="n"/>
      <c r="L427" s="19" t="n"/>
      <c r="M427" s="19" t="n"/>
      <c r="N427" s="19" t="n"/>
    </row>
    <row r="428" ht="15.75" customHeight="1" s="545">
      <c r="A428" s="19" t="n"/>
      <c r="B428" s="19" t="n"/>
      <c r="C428" s="19" t="n"/>
      <c r="D428" s="19" t="n"/>
      <c r="E428" s="19" t="n"/>
      <c r="F428" s="19" t="n"/>
      <c r="G428" s="19" t="n"/>
      <c r="H428" s="19" t="n"/>
      <c r="I428" s="19" t="n"/>
      <c r="J428" s="19" t="n"/>
      <c r="K428" s="19" t="n"/>
      <c r="L428" s="19" t="n"/>
      <c r="M428" s="19" t="n"/>
      <c r="N428" s="19" t="n"/>
    </row>
    <row r="429" ht="15.75" customHeight="1" s="545">
      <c r="A429" s="19" t="n"/>
      <c r="B429" s="19" t="n"/>
      <c r="C429" s="19" t="n"/>
      <c r="D429" s="19" t="n"/>
      <c r="E429" s="19" t="n"/>
      <c r="F429" s="19" t="n"/>
      <c r="G429" s="19" t="n"/>
      <c r="H429" s="19" t="n"/>
      <c r="I429" s="19" t="n"/>
      <c r="J429" s="19" t="n"/>
      <c r="K429" s="19" t="n"/>
      <c r="L429" s="19" t="n"/>
      <c r="M429" s="19" t="n"/>
      <c r="N429" s="19" t="n"/>
    </row>
    <row r="430" ht="15.75" customHeight="1" s="545">
      <c r="A430" s="19" t="n"/>
      <c r="B430" s="19" t="n"/>
      <c r="C430" s="19" t="n"/>
      <c r="D430" s="19" t="n"/>
      <c r="E430" s="19" t="n"/>
      <c r="F430" s="19" t="n"/>
      <c r="G430" s="19" t="n"/>
      <c r="H430" s="19" t="n"/>
      <c r="I430" s="19" t="n"/>
      <c r="J430" s="19" t="n"/>
      <c r="K430" s="19" t="n"/>
      <c r="L430" s="19" t="n"/>
      <c r="M430" s="19" t="n"/>
      <c r="N430" s="19" t="n"/>
    </row>
    <row r="431" ht="15.75" customHeight="1" s="545">
      <c r="A431" s="19" t="n"/>
      <c r="B431" s="19" t="n"/>
      <c r="C431" s="19" t="n"/>
      <c r="D431" s="19" t="n"/>
      <c r="E431" s="19" t="n"/>
      <c r="F431" s="19" t="n"/>
      <c r="G431" s="19" t="n"/>
      <c r="H431" s="19" t="n"/>
      <c r="I431" s="19" t="n"/>
      <c r="J431" s="19" t="n"/>
      <c r="K431" s="19" t="n"/>
      <c r="L431" s="19" t="n"/>
      <c r="M431" s="19" t="n"/>
      <c r="N431" s="19" t="n"/>
    </row>
    <row r="432" ht="15.75" customHeight="1" s="545">
      <c r="A432" s="19" t="n"/>
      <c r="B432" s="19" t="n"/>
      <c r="C432" s="19" t="n"/>
      <c r="D432" s="19" t="n"/>
      <c r="E432" s="19" t="n"/>
      <c r="F432" s="19" t="n"/>
      <c r="G432" s="19" t="n"/>
      <c r="H432" s="19" t="n"/>
      <c r="I432" s="19" t="n"/>
      <c r="J432" s="19" t="n"/>
      <c r="K432" s="19" t="n"/>
      <c r="L432" s="19" t="n"/>
      <c r="M432" s="19" t="n"/>
      <c r="N432" s="19" t="n"/>
    </row>
    <row r="433" ht="15.75" customHeight="1" s="545">
      <c r="A433" s="19" t="n"/>
      <c r="B433" s="19" t="n"/>
      <c r="C433" s="19" t="n"/>
      <c r="D433" s="19" t="n"/>
      <c r="E433" s="19" t="n"/>
      <c r="F433" s="19" t="n"/>
      <c r="G433" s="19" t="n"/>
      <c r="H433" s="19" t="n"/>
      <c r="I433" s="19" t="n"/>
      <c r="J433" s="19" t="n"/>
      <c r="K433" s="19" t="n"/>
      <c r="L433" s="19" t="n"/>
      <c r="M433" s="19" t="n"/>
      <c r="N433" s="19" t="n"/>
    </row>
    <row r="434" ht="15.75" customHeight="1" s="545">
      <c r="A434" s="19" t="n"/>
      <c r="B434" s="19" t="n"/>
      <c r="C434" s="19" t="n"/>
      <c r="D434" s="19" t="n"/>
      <c r="E434" s="19" t="n"/>
      <c r="F434" s="19" t="n"/>
      <c r="G434" s="19" t="n"/>
      <c r="H434" s="19" t="n"/>
      <c r="I434" s="19" t="n"/>
      <c r="J434" s="19" t="n"/>
      <c r="K434" s="19" t="n"/>
      <c r="L434" s="19" t="n"/>
      <c r="M434" s="19" t="n"/>
      <c r="N434" s="19" t="n"/>
    </row>
    <row r="435" ht="15.75" customHeight="1" s="545">
      <c r="A435" s="19" t="n"/>
      <c r="B435" s="19" t="n"/>
      <c r="C435" s="19" t="n"/>
      <c r="D435" s="19" t="n"/>
      <c r="E435" s="19" t="n"/>
      <c r="F435" s="19" t="n"/>
      <c r="G435" s="19" t="n"/>
      <c r="H435" s="19" t="n"/>
      <c r="I435" s="19" t="n"/>
      <c r="J435" s="19" t="n"/>
      <c r="K435" s="19" t="n"/>
      <c r="L435" s="19" t="n"/>
      <c r="M435" s="19" t="n"/>
      <c r="N435" s="19" t="n"/>
    </row>
    <row r="436" ht="15.75" customHeight="1" s="545">
      <c r="A436" s="19" t="n"/>
      <c r="B436" s="19" t="n"/>
      <c r="C436" s="19" t="n"/>
      <c r="D436" s="19" t="n"/>
      <c r="E436" s="19" t="n"/>
      <c r="F436" s="19" t="n"/>
      <c r="G436" s="19" t="n"/>
      <c r="H436" s="19" t="n"/>
      <c r="I436" s="19" t="n"/>
      <c r="J436" s="19" t="n"/>
      <c r="K436" s="19" t="n"/>
      <c r="L436" s="19" t="n"/>
      <c r="M436" s="19" t="n"/>
      <c r="N436" s="19" t="n"/>
    </row>
    <row r="437" ht="15.75" customHeight="1" s="545">
      <c r="A437" s="19" t="n"/>
      <c r="B437" s="19" t="n"/>
      <c r="C437" s="19" t="n"/>
      <c r="D437" s="19" t="n"/>
      <c r="E437" s="19" t="n"/>
      <c r="F437" s="19" t="n"/>
      <c r="G437" s="19" t="n"/>
      <c r="H437" s="19" t="n"/>
      <c r="I437" s="19" t="n"/>
      <c r="J437" s="19" t="n"/>
      <c r="K437" s="19" t="n"/>
      <c r="L437" s="19" t="n"/>
      <c r="M437" s="19" t="n"/>
      <c r="N437" s="19" t="n"/>
    </row>
    <row r="438" ht="15.75" customHeight="1" s="545">
      <c r="A438" s="19" t="n"/>
      <c r="B438" s="19" t="n"/>
      <c r="C438" s="19" t="n"/>
      <c r="D438" s="19" t="n"/>
      <c r="E438" s="19" t="n"/>
      <c r="F438" s="19" t="n"/>
      <c r="G438" s="19" t="n"/>
      <c r="H438" s="19" t="n"/>
      <c r="I438" s="19" t="n"/>
      <c r="J438" s="19" t="n"/>
      <c r="K438" s="19" t="n"/>
      <c r="L438" s="19" t="n"/>
      <c r="M438" s="19" t="n"/>
      <c r="N438" s="19" t="n"/>
    </row>
    <row r="439" ht="15.75" customHeight="1" s="545">
      <c r="A439" s="19" t="n"/>
      <c r="B439" s="19" t="n"/>
      <c r="C439" s="19" t="n"/>
      <c r="D439" s="19" t="n"/>
      <c r="E439" s="19" t="n"/>
      <c r="F439" s="19" t="n"/>
      <c r="G439" s="19" t="n"/>
      <c r="H439" s="19" t="n"/>
      <c r="I439" s="19" t="n"/>
      <c r="J439" s="19" t="n"/>
      <c r="K439" s="19" t="n"/>
      <c r="L439" s="19" t="n"/>
      <c r="M439" s="19" t="n"/>
      <c r="N439" s="19" t="n"/>
    </row>
    <row r="440" ht="15.75" customHeight="1" s="545">
      <c r="A440" s="19" t="n"/>
      <c r="B440" s="19" t="n"/>
      <c r="C440" s="19" t="n"/>
      <c r="D440" s="19" t="n"/>
      <c r="E440" s="19" t="n"/>
      <c r="F440" s="19" t="n"/>
      <c r="G440" s="19" t="n"/>
      <c r="H440" s="19" t="n"/>
      <c r="I440" s="19" t="n"/>
      <c r="J440" s="19" t="n"/>
      <c r="K440" s="19" t="n"/>
      <c r="L440" s="19" t="n"/>
      <c r="M440" s="19" t="n"/>
      <c r="N440" s="19" t="n"/>
    </row>
    <row r="441" ht="15.75" customHeight="1" s="545">
      <c r="A441" s="19" t="n"/>
      <c r="B441" s="19" t="n"/>
      <c r="C441" s="19" t="n"/>
      <c r="D441" s="19" t="n"/>
      <c r="E441" s="19" t="n"/>
      <c r="F441" s="19" t="n"/>
      <c r="G441" s="19" t="n"/>
      <c r="H441" s="19" t="n"/>
      <c r="I441" s="19" t="n"/>
      <c r="J441" s="19" t="n"/>
      <c r="K441" s="19" t="n"/>
      <c r="L441" s="19" t="n"/>
      <c r="M441" s="19" t="n"/>
      <c r="N441" s="19" t="n"/>
    </row>
    <row r="442" ht="15.75" customHeight="1" s="545">
      <c r="A442" s="19" t="n"/>
      <c r="B442" s="19" t="n"/>
      <c r="C442" s="19" t="n"/>
      <c r="D442" s="19" t="n"/>
      <c r="E442" s="19" t="n"/>
      <c r="F442" s="19" t="n"/>
      <c r="G442" s="19" t="n"/>
      <c r="H442" s="19" t="n"/>
      <c r="I442" s="19" t="n"/>
      <c r="J442" s="19" t="n"/>
      <c r="K442" s="19" t="n"/>
      <c r="L442" s="19" t="n"/>
      <c r="M442" s="19" t="n"/>
      <c r="N442" s="19" t="n"/>
    </row>
    <row r="443" ht="15.75" customHeight="1" s="545">
      <c r="A443" s="19" t="n"/>
      <c r="B443" s="19" t="n"/>
      <c r="C443" s="19" t="n"/>
      <c r="D443" s="19" t="n"/>
      <c r="E443" s="19" t="n"/>
      <c r="F443" s="19" t="n"/>
      <c r="G443" s="19" t="n"/>
      <c r="H443" s="19" t="n"/>
      <c r="I443" s="19" t="n"/>
      <c r="J443" s="19" t="n"/>
      <c r="K443" s="19" t="n"/>
      <c r="L443" s="19" t="n"/>
      <c r="M443" s="19" t="n"/>
      <c r="N443" s="19" t="n"/>
    </row>
    <row r="444" ht="15.75" customHeight="1" s="545">
      <c r="A444" s="19" t="n"/>
      <c r="B444" s="19" t="n"/>
      <c r="C444" s="19" t="n"/>
      <c r="D444" s="19" t="n"/>
      <c r="E444" s="19" t="n"/>
      <c r="F444" s="19" t="n"/>
      <c r="G444" s="19" t="n"/>
      <c r="H444" s="19" t="n"/>
      <c r="I444" s="19" t="n"/>
      <c r="J444" s="19" t="n"/>
      <c r="K444" s="19" t="n"/>
      <c r="L444" s="19" t="n"/>
      <c r="M444" s="19" t="n"/>
      <c r="N444" s="19" t="n"/>
    </row>
    <row r="445" ht="15.75" customHeight="1" s="545">
      <c r="A445" s="19" t="n"/>
      <c r="B445" s="19" t="n"/>
      <c r="C445" s="19" t="n"/>
      <c r="D445" s="19" t="n"/>
      <c r="E445" s="19" t="n"/>
      <c r="F445" s="19" t="n"/>
      <c r="G445" s="19" t="n"/>
      <c r="H445" s="19" t="n"/>
      <c r="I445" s="19" t="n"/>
      <c r="J445" s="19" t="n"/>
      <c r="K445" s="19" t="n"/>
      <c r="L445" s="19" t="n"/>
      <c r="M445" s="19" t="n"/>
      <c r="N445" s="19" t="n"/>
    </row>
    <row r="446" ht="15.75" customHeight="1" s="545">
      <c r="A446" s="19" t="n"/>
      <c r="B446" s="19" t="n"/>
      <c r="C446" s="19" t="n"/>
      <c r="D446" s="19" t="n"/>
      <c r="E446" s="19" t="n"/>
      <c r="F446" s="19" t="n"/>
      <c r="G446" s="19" t="n"/>
      <c r="H446" s="19" t="n"/>
      <c r="I446" s="19" t="n"/>
      <c r="J446" s="19" t="n"/>
      <c r="K446" s="19" t="n"/>
      <c r="L446" s="19" t="n"/>
      <c r="M446" s="19" t="n"/>
      <c r="N446" s="19" t="n"/>
    </row>
    <row r="447" ht="15.75" customHeight="1" s="545">
      <c r="A447" s="19" t="n"/>
      <c r="B447" s="19" t="n"/>
      <c r="C447" s="19" t="n"/>
      <c r="D447" s="19" t="n"/>
      <c r="E447" s="19" t="n"/>
      <c r="F447" s="19" t="n"/>
      <c r="G447" s="19" t="n"/>
      <c r="H447" s="19" t="n"/>
      <c r="I447" s="19" t="n"/>
      <c r="J447" s="19" t="n"/>
      <c r="K447" s="19" t="n"/>
      <c r="L447" s="19" t="n"/>
      <c r="M447" s="19" t="n"/>
      <c r="N447" s="19" t="n"/>
    </row>
    <row r="448" ht="15.75" customHeight="1" s="545">
      <c r="A448" s="19" t="n"/>
      <c r="B448" s="19" t="n"/>
      <c r="C448" s="19" t="n"/>
      <c r="D448" s="19" t="n"/>
      <c r="E448" s="19" t="n"/>
      <c r="F448" s="19" t="n"/>
      <c r="G448" s="19" t="n"/>
      <c r="H448" s="19" t="n"/>
      <c r="I448" s="19" t="n"/>
      <c r="J448" s="19" t="n"/>
      <c r="K448" s="19" t="n"/>
      <c r="L448" s="19" t="n"/>
      <c r="M448" s="19" t="n"/>
      <c r="N448" s="19" t="n"/>
    </row>
    <row r="449" ht="15.75" customHeight="1" s="545">
      <c r="A449" s="19" t="n"/>
      <c r="B449" s="19" t="n"/>
      <c r="C449" s="19" t="n"/>
      <c r="D449" s="19" t="n"/>
      <c r="E449" s="19" t="n"/>
      <c r="F449" s="19" t="n"/>
      <c r="G449" s="19" t="n"/>
      <c r="H449" s="19" t="n"/>
      <c r="I449" s="19" t="n"/>
      <c r="J449" s="19" t="n"/>
      <c r="K449" s="19" t="n"/>
      <c r="L449" s="19" t="n"/>
      <c r="M449" s="19" t="n"/>
      <c r="N449" s="19" t="n"/>
    </row>
    <row r="450" ht="15.75" customHeight="1" s="545">
      <c r="A450" s="19" t="n"/>
      <c r="B450" s="19" t="n"/>
      <c r="C450" s="19" t="n"/>
      <c r="D450" s="19" t="n"/>
      <c r="E450" s="19" t="n"/>
      <c r="F450" s="19" t="n"/>
      <c r="G450" s="19" t="n"/>
      <c r="H450" s="19" t="n"/>
      <c r="I450" s="19" t="n"/>
      <c r="J450" s="19" t="n"/>
      <c r="K450" s="19" t="n"/>
      <c r="L450" s="19" t="n"/>
      <c r="M450" s="19" t="n"/>
      <c r="N450" s="19" t="n"/>
    </row>
    <row r="451" ht="15.75" customHeight="1" s="545">
      <c r="A451" s="19" t="n"/>
      <c r="B451" s="19" t="n"/>
      <c r="C451" s="19" t="n"/>
      <c r="D451" s="19" t="n"/>
      <c r="E451" s="19" t="n"/>
      <c r="F451" s="19" t="n"/>
      <c r="G451" s="19" t="n"/>
      <c r="H451" s="19" t="n"/>
      <c r="I451" s="19" t="n"/>
      <c r="J451" s="19" t="n"/>
      <c r="K451" s="19" t="n"/>
      <c r="L451" s="19" t="n"/>
      <c r="M451" s="19" t="n"/>
      <c r="N451" s="19" t="n"/>
    </row>
    <row r="452" ht="15.75" customHeight="1" s="545">
      <c r="A452" s="19" t="n"/>
      <c r="B452" s="19" t="n"/>
      <c r="C452" s="19" t="n"/>
      <c r="D452" s="19" t="n"/>
      <c r="E452" s="19" t="n"/>
      <c r="F452" s="19" t="n"/>
      <c r="G452" s="19" t="n"/>
      <c r="H452" s="19" t="n"/>
      <c r="I452" s="19" t="n"/>
      <c r="J452" s="19" t="n"/>
      <c r="K452" s="19" t="n"/>
      <c r="L452" s="19" t="n"/>
      <c r="M452" s="19" t="n"/>
      <c r="N452" s="19" t="n"/>
    </row>
    <row r="453" ht="15.75" customHeight="1" s="545">
      <c r="A453" s="19" t="n"/>
      <c r="B453" s="19" t="n"/>
      <c r="C453" s="19" t="n"/>
      <c r="D453" s="19" t="n"/>
      <c r="E453" s="19" t="n"/>
      <c r="F453" s="19" t="n"/>
      <c r="G453" s="19" t="n"/>
      <c r="H453" s="19" t="n"/>
      <c r="I453" s="19" t="n"/>
      <c r="J453" s="19" t="n"/>
      <c r="K453" s="19" t="n"/>
      <c r="L453" s="19" t="n"/>
      <c r="M453" s="19" t="n"/>
      <c r="N453" s="19" t="n"/>
    </row>
    <row r="454" ht="15.75" customHeight="1" s="545">
      <c r="A454" s="19" t="n"/>
      <c r="B454" s="19" t="n"/>
      <c r="C454" s="19" t="n"/>
      <c r="D454" s="19" t="n"/>
      <c r="E454" s="19" t="n"/>
      <c r="F454" s="19" t="n"/>
      <c r="G454" s="19" t="n"/>
      <c r="H454" s="19" t="n"/>
      <c r="I454" s="19" t="n"/>
      <c r="J454" s="19" t="n"/>
      <c r="K454" s="19" t="n"/>
      <c r="L454" s="19" t="n"/>
      <c r="M454" s="19" t="n"/>
      <c r="N454" s="19" t="n"/>
    </row>
    <row r="455" ht="15.75" customHeight="1" s="545">
      <c r="A455" s="19" t="n"/>
      <c r="B455" s="19" t="n"/>
      <c r="C455" s="19" t="n"/>
      <c r="D455" s="19" t="n"/>
      <c r="E455" s="19" t="n"/>
      <c r="F455" s="19" t="n"/>
      <c r="G455" s="19" t="n"/>
      <c r="H455" s="19" t="n"/>
      <c r="I455" s="19" t="n"/>
      <c r="J455" s="19" t="n"/>
      <c r="K455" s="19" t="n"/>
      <c r="L455" s="19" t="n"/>
      <c r="M455" s="19" t="n"/>
      <c r="N455" s="19" t="n"/>
    </row>
    <row r="456" ht="15.75" customHeight="1" s="545">
      <c r="A456" s="19" t="n"/>
      <c r="B456" s="19" t="n"/>
      <c r="C456" s="19" t="n"/>
      <c r="D456" s="19" t="n"/>
      <c r="E456" s="19" t="n"/>
      <c r="F456" s="19" t="n"/>
      <c r="G456" s="19" t="n"/>
      <c r="H456" s="19" t="n"/>
      <c r="I456" s="19" t="n"/>
      <c r="J456" s="19" t="n"/>
      <c r="K456" s="19" t="n"/>
      <c r="L456" s="19" t="n"/>
      <c r="M456" s="19" t="n"/>
      <c r="N456" s="19" t="n"/>
    </row>
    <row r="457" ht="15.75" customHeight="1" s="545">
      <c r="A457" s="19" t="n"/>
      <c r="B457" s="19" t="n"/>
      <c r="C457" s="19" t="n"/>
      <c r="D457" s="19" t="n"/>
      <c r="E457" s="19" t="n"/>
      <c r="F457" s="19" t="n"/>
      <c r="G457" s="19" t="n"/>
      <c r="H457" s="19" t="n"/>
      <c r="I457" s="19" t="n"/>
      <c r="J457" s="19" t="n"/>
      <c r="K457" s="19" t="n"/>
      <c r="L457" s="19" t="n"/>
      <c r="M457" s="19" t="n"/>
      <c r="N457" s="19" t="n"/>
    </row>
    <row r="458" ht="15.75" customHeight="1" s="545">
      <c r="A458" s="19" t="n"/>
      <c r="B458" s="19" t="n"/>
      <c r="C458" s="19" t="n"/>
      <c r="D458" s="19" t="n"/>
      <c r="E458" s="19" t="n"/>
      <c r="F458" s="19" t="n"/>
      <c r="G458" s="19" t="n"/>
      <c r="H458" s="19" t="n"/>
      <c r="I458" s="19" t="n"/>
      <c r="J458" s="19" t="n"/>
      <c r="K458" s="19" t="n"/>
      <c r="L458" s="19" t="n"/>
      <c r="M458" s="19" t="n"/>
      <c r="N458" s="19" t="n"/>
    </row>
    <row r="459" ht="15.75" customHeight="1" s="545">
      <c r="A459" s="19" t="n"/>
      <c r="B459" s="19" t="n"/>
      <c r="C459" s="19" t="n"/>
      <c r="D459" s="19" t="n"/>
      <c r="E459" s="19" t="n"/>
      <c r="F459" s="19" t="n"/>
      <c r="G459" s="19" t="n"/>
      <c r="H459" s="19" t="n"/>
      <c r="I459" s="19" t="n"/>
      <c r="J459" s="19" t="n"/>
      <c r="K459" s="19" t="n"/>
      <c r="L459" s="19" t="n"/>
      <c r="M459" s="19" t="n"/>
      <c r="N459" s="19" t="n"/>
    </row>
    <row r="460" ht="15.75" customHeight="1" s="545">
      <c r="A460" s="19" t="n"/>
      <c r="B460" s="19" t="n"/>
      <c r="C460" s="19" t="n"/>
      <c r="D460" s="19" t="n"/>
      <c r="E460" s="19" t="n"/>
      <c r="F460" s="19" t="n"/>
      <c r="G460" s="19" t="n"/>
      <c r="H460" s="19" t="n"/>
      <c r="I460" s="19" t="n"/>
      <c r="J460" s="19" t="n"/>
      <c r="K460" s="19" t="n"/>
      <c r="L460" s="19" t="n"/>
      <c r="M460" s="19" t="n"/>
      <c r="N460" s="19" t="n"/>
    </row>
    <row r="461" ht="15.75" customHeight="1" s="545">
      <c r="A461" s="19" t="n"/>
      <c r="B461" s="19" t="n"/>
      <c r="C461" s="19" t="n"/>
      <c r="D461" s="19" t="n"/>
      <c r="E461" s="19" t="n"/>
      <c r="F461" s="19" t="n"/>
      <c r="G461" s="19" t="n"/>
      <c r="H461" s="19" t="n"/>
      <c r="I461" s="19" t="n"/>
      <c r="J461" s="19" t="n"/>
      <c r="K461" s="19" t="n"/>
      <c r="L461" s="19" t="n"/>
      <c r="M461" s="19" t="n"/>
      <c r="N461" s="19" t="n"/>
    </row>
    <row r="462" ht="15.75" customHeight="1" s="545">
      <c r="A462" s="19" t="n"/>
      <c r="B462" s="19" t="n"/>
      <c r="C462" s="19" t="n"/>
      <c r="D462" s="19" t="n"/>
      <c r="E462" s="19" t="n"/>
      <c r="F462" s="19" t="n"/>
      <c r="G462" s="19" t="n"/>
      <c r="H462" s="19" t="n"/>
      <c r="I462" s="19" t="n"/>
      <c r="J462" s="19" t="n"/>
      <c r="K462" s="19" t="n"/>
      <c r="L462" s="19" t="n"/>
      <c r="M462" s="19" t="n"/>
      <c r="N462" s="19" t="n"/>
    </row>
    <row r="463" ht="15.75" customHeight="1" s="545">
      <c r="A463" s="19" t="n"/>
      <c r="B463" s="19" t="n"/>
      <c r="C463" s="19" t="n"/>
      <c r="D463" s="19" t="n"/>
      <c r="E463" s="19" t="n"/>
      <c r="F463" s="19" t="n"/>
      <c r="G463" s="19" t="n"/>
      <c r="H463" s="19" t="n"/>
      <c r="I463" s="19" t="n"/>
      <c r="J463" s="19" t="n"/>
      <c r="K463" s="19" t="n"/>
      <c r="L463" s="19" t="n"/>
      <c r="M463" s="19" t="n"/>
      <c r="N463" s="19" t="n"/>
    </row>
    <row r="464" ht="15.75" customHeight="1" s="545">
      <c r="A464" s="19" t="n"/>
      <c r="B464" s="19" t="n"/>
      <c r="C464" s="19" t="n"/>
      <c r="D464" s="19" t="n"/>
      <c r="E464" s="19" t="n"/>
      <c r="F464" s="19" t="n"/>
      <c r="G464" s="19" t="n"/>
      <c r="H464" s="19" t="n"/>
      <c r="I464" s="19" t="n"/>
      <c r="J464" s="19" t="n"/>
      <c r="K464" s="19" t="n"/>
      <c r="L464" s="19" t="n"/>
      <c r="M464" s="19" t="n"/>
      <c r="N464" s="19" t="n"/>
    </row>
    <row r="465" ht="15.75" customHeight="1" s="545">
      <c r="A465" s="19" t="n"/>
      <c r="B465" s="19" t="n"/>
      <c r="C465" s="19" t="n"/>
      <c r="D465" s="19" t="n"/>
      <c r="E465" s="19" t="n"/>
      <c r="F465" s="19" t="n"/>
      <c r="G465" s="19" t="n"/>
      <c r="H465" s="19" t="n"/>
      <c r="I465" s="19" t="n"/>
      <c r="J465" s="19" t="n"/>
      <c r="K465" s="19" t="n"/>
      <c r="L465" s="19" t="n"/>
      <c r="M465" s="19" t="n"/>
      <c r="N465" s="19" t="n"/>
    </row>
    <row r="466" ht="15.75" customHeight="1" s="545">
      <c r="A466" s="19" t="n"/>
      <c r="B466" s="19" t="n"/>
      <c r="C466" s="19" t="n"/>
      <c r="D466" s="19" t="n"/>
      <c r="E466" s="19" t="n"/>
      <c r="F466" s="19" t="n"/>
      <c r="G466" s="19" t="n"/>
      <c r="H466" s="19" t="n"/>
      <c r="I466" s="19" t="n"/>
      <c r="J466" s="19" t="n"/>
      <c r="K466" s="19" t="n"/>
      <c r="L466" s="19" t="n"/>
      <c r="M466" s="19" t="n"/>
      <c r="N466" s="19" t="n"/>
    </row>
    <row r="467" ht="15.75" customHeight="1" s="545">
      <c r="A467" s="19" t="n"/>
      <c r="B467" s="19" t="n"/>
      <c r="C467" s="19" t="n"/>
      <c r="D467" s="19" t="n"/>
      <c r="E467" s="19" t="n"/>
      <c r="F467" s="19" t="n"/>
      <c r="G467" s="19" t="n"/>
      <c r="H467" s="19" t="n"/>
      <c r="I467" s="19" t="n"/>
      <c r="J467" s="19" t="n"/>
      <c r="K467" s="19" t="n"/>
      <c r="L467" s="19" t="n"/>
      <c r="M467" s="19" t="n"/>
      <c r="N467" s="19" t="n"/>
    </row>
    <row r="468" ht="15.75" customHeight="1" s="545">
      <c r="A468" s="19" t="n"/>
      <c r="B468" s="19" t="n"/>
      <c r="C468" s="19" t="n"/>
      <c r="D468" s="19" t="n"/>
      <c r="E468" s="19" t="n"/>
      <c r="F468" s="19" t="n"/>
      <c r="G468" s="19" t="n"/>
      <c r="H468" s="19" t="n"/>
      <c r="I468" s="19" t="n"/>
      <c r="J468" s="19" t="n"/>
      <c r="K468" s="19" t="n"/>
      <c r="L468" s="19" t="n"/>
      <c r="M468" s="19" t="n"/>
      <c r="N468" s="19" t="n"/>
    </row>
    <row r="469" ht="15.75" customHeight="1" s="545">
      <c r="A469" s="19" t="n"/>
      <c r="B469" s="19" t="n"/>
      <c r="C469" s="19" t="n"/>
      <c r="D469" s="19" t="n"/>
      <c r="E469" s="19" t="n"/>
      <c r="F469" s="19" t="n"/>
      <c r="G469" s="19" t="n"/>
      <c r="H469" s="19" t="n"/>
      <c r="I469" s="19" t="n"/>
      <c r="J469" s="19" t="n"/>
      <c r="K469" s="19" t="n"/>
      <c r="L469" s="19" t="n"/>
      <c r="M469" s="19" t="n"/>
      <c r="N469" s="19" t="n"/>
    </row>
    <row r="470" ht="15.75" customHeight="1" s="545">
      <c r="A470" s="19" t="n"/>
      <c r="B470" s="19" t="n"/>
      <c r="C470" s="19" t="n"/>
      <c r="D470" s="19" t="n"/>
      <c r="E470" s="19" t="n"/>
      <c r="F470" s="19" t="n"/>
      <c r="G470" s="19" t="n"/>
      <c r="H470" s="19" t="n"/>
      <c r="I470" s="19" t="n"/>
      <c r="J470" s="19" t="n"/>
      <c r="K470" s="19" t="n"/>
      <c r="L470" s="19" t="n"/>
      <c r="M470" s="19" t="n"/>
      <c r="N470" s="19" t="n"/>
    </row>
    <row r="471" ht="15.75" customHeight="1" s="545">
      <c r="A471" s="19" t="n"/>
      <c r="B471" s="19" t="n"/>
      <c r="C471" s="19" t="n"/>
      <c r="D471" s="19" t="n"/>
      <c r="E471" s="19" t="n"/>
      <c r="F471" s="19" t="n"/>
      <c r="G471" s="19" t="n"/>
      <c r="H471" s="19" t="n"/>
      <c r="I471" s="19" t="n"/>
      <c r="J471" s="19" t="n"/>
      <c r="K471" s="19" t="n"/>
      <c r="L471" s="19" t="n"/>
      <c r="M471" s="19" t="n"/>
      <c r="N471" s="19" t="n"/>
    </row>
    <row r="472" ht="15.75" customHeight="1" s="545">
      <c r="A472" s="19" t="n"/>
      <c r="B472" s="19" t="n"/>
      <c r="C472" s="19" t="n"/>
      <c r="D472" s="19" t="n"/>
      <c r="E472" s="19" t="n"/>
      <c r="F472" s="19" t="n"/>
      <c r="G472" s="19" t="n"/>
      <c r="H472" s="19" t="n"/>
      <c r="I472" s="19" t="n"/>
      <c r="J472" s="19" t="n"/>
      <c r="K472" s="19" t="n"/>
      <c r="L472" s="19" t="n"/>
      <c r="M472" s="19" t="n"/>
      <c r="N472" s="19" t="n"/>
    </row>
    <row r="473" ht="15.75" customHeight="1" s="545">
      <c r="A473" s="19" t="n"/>
      <c r="B473" s="19" t="n"/>
      <c r="C473" s="19" t="n"/>
      <c r="D473" s="19" t="n"/>
      <c r="E473" s="19" t="n"/>
      <c r="F473" s="19" t="n"/>
      <c r="G473" s="19" t="n"/>
      <c r="H473" s="19" t="n"/>
      <c r="I473" s="19" t="n"/>
      <c r="J473" s="19" t="n"/>
      <c r="K473" s="19" t="n"/>
      <c r="L473" s="19" t="n"/>
      <c r="M473" s="19" t="n"/>
      <c r="N473" s="19" t="n"/>
    </row>
    <row r="474" ht="15.75" customHeight="1" s="545">
      <c r="A474" s="19" t="n"/>
      <c r="B474" s="19" t="n"/>
      <c r="C474" s="19" t="n"/>
      <c r="D474" s="19" t="n"/>
      <c r="E474" s="19" t="n"/>
      <c r="F474" s="19" t="n"/>
      <c r="G474" s="19" t="n"/>
      <c r="H474" s="19" t="n"/>
      <c r="I474" s="19" t="n"/>
      <c r="J474" s="19" t="n"/>
      <c r="K474" s="19" t="n"/>
      <c r="L474" s="19" t="n"/>
      <c r="M474" s="19" t="n"/>
      <c r="N474" s="19" t="n"/>
    </row>
    <row r="475" ht="15.75" customHeight="1" s="545">
      <c r="A475" s="19" t="n"/>
      <c r="B475" s="19" t="n"/>
      <c r="C475" s="19" t="n"/>
      <c r="D475" s="19" t="n"/>
      <c r="E475" s="19" t="n"/>
      <c r="F475" s="19" t="n"/>
      <c r="G475" s="19" t="n"/>
      <c r="H475" s="19" t="n"/>
      <c r="I475" s="19" t="n"/>
      <c r="J475" s="19" t="n"/>
      <c r="K475" s="19" t="n"/>
      <c r="L475" s="19" t="n"/>
      <c r="M475" s="19" t="n"/>
      <c r="N475" s="19" t="n"/>
    </row>
    <row r="476" ht="15.75" customHeight="1" s="545">
      <c r="A476" s="19" t="n"/>
      <c r="B476" s="19" t="n"/>
      <c r="C476" s="19" t="n"/>
      <c r="D476" s="19" t="n"/>
      <c r="E476" s="19" t="n"/>
      <c r="F476" s="19" t="n"/>
      <c r="G476" s="19" t="n"/>
      <c r="H476" s="19" t="n"/>
      <c r="I476" s="19" t="n"/>
      <c r="J476" s="19" t="n"/>
      <c r="K476" s="19" t="n"/>
      <c r="L476" s="19" t="n"/>
      <c r="M476" s="19" t="n"/>
      <c r="N476" s="19" t="n"/>
    </row>
    <row r="477" ht="15.75" customHeight="1" s="545">
      <c r="A477" s="19" t="n"/>
      <c r="B477" s="19" t="n"/>
      <c r="C477" s="19" t="n"/>
      <c r="D477" s="19" t="n"/>
      <c r="E477" s="19" t="n"/>
      <c r="F477" s="19" t="n"/>
      <c r="G477" s="19" t="n"/>
      <c r="H477" s="19" t="n"/>
      <c r="I477" s="19" t="n"/>
      <c r="J477" s="19" t="n"/>
      <c r="K477" s="19" t="n"/>
      <c r="L477" s="19" t="n"/>
      <c r="M477" s="19" t="n"/>
      <c r="N477" s="19" t="n"/>
    </row>
    <row r="478" ht="15.75" customHeight="1" s="545">
      <c r="A478" s="19" t="n"/>
      <c r="B478" s="19" t="n"/>
      <c r="C478" s="19" t="n"/>
      <c r="D478" s="19" t="n"/>
      <c r="E478" s="19" t="n"/>
      <c r="F478" s="19" t="n"/>
      <c r="G478" s="19" t="n"/>
      <c r="H478" s="19" t="n"/>
      <c r="I478" s="19" t="n"/>
      <c r="J478" s="19" t="n"/>
      <c r="K478" s="19" t="n"/>
      <c r="L478" s="19" t="n"/>
      <c r="M478" s="19" t="n"/>
      <c r="N478" s="19" t="n"/>
    </row>
    <row r="479" ht="15.75" customHeight="1" s="545">
      <c r="A479" s="19" t="n"/>
      <c r="B479" s="19" t="n"/>
      <c r="C479" s="19" t="n"/>
      <c r="D479" s="19" t="n"/>
      <c r="E479" s="19" t="n"/>
      <c r="F479" s="19" t="n"/>
      <c r="G479" s="19" t="n"/>
      <c r="H479" s="19" t="n"/>
      <c r="I479" s="19" t="n"/>
      <c r="J479" s="19" t="n"/>
      <c r="K479" s="19" t="n"/>
      <c r="L479" s="19" t="n"/>
      <c r="M479" s="19" t="n"/>
      <c r="N479" s="19" t="n"/>
    </row>
    <row r="480" ht="15.75" customHeight="1" s="545">
      <c r="A480" s="19" t="n"/>
      <c r="B480" s="19" t="n"/>
      <c r="C480" s="19" t="n"/>
      <c r="D480" s="19" t="n"/>
      <c r="E480" s="19" t="n"/>
      <c r="F480" s="19" t="n"/>
      <c r="G480" s="19" t="n"/>
      <c r="H480" s="19" t="n"/>
      <c r="I480" s="19" t="n"/>
      <c r="J480" s="19" t="n"/>
      <c r="K480" s="19" t="n"/>
      <c r="L480" s="19" t="n"/>
      <c r="M480" s="19" t="n"/>
      <c r="N480" s="19" t="n"/>
    </row>
    <row r="481" ht="15.75" customHeight="1" s="545">
      <c r="A481" s="19" t="n"/>
      <c r="B481" s="19" t="n"/>
      <c r="C481" s="19" t="n"/>
      <c r="D481" s="19" t="n"/>
      <c r="E481" s="19" t="n"/>
      <c r="F481" s="19" t="n"/>
      <c r="G481" s="19" t="n"/>
      <c r="H481" s="19" t="n"/>
      <c r="I481" s="19" t="n"/>
      <c r="J481" s="19" t="n"/>
      <c r="K481" s="19" t="n"/>
      <c r="L481" s="19" t="n"/>
      <c r="M481" s="19" t="n"/>
      <c r="N481" s="19" t="n"/>
    </row>
    <row r="482" ht="15.75" customHeight="1" s="545">
      <c r="A482" s="19" t="n"/>
      <c r="B482" s="19" t="n"/>
      <c r="C482" s="19" t="n"/>
      <c r="D482" s="19" t="n"/>
      <c r="E482" s="19" t="n"/>
      <c r="F482" s="19" t="n"/>
      <c r="G482" s="19" t="n"/>
      <c r="H482" s="19" t="n"/>
      <c r="I482" s="19" t="n"/>
      <c r="J482" s="19" t="n"/>
      <c r="K482" s="19" t="n"/>
      <c r="L482" s="19" t="n"/>
      <c r="M482" s="19" t="n"/>
      <c r="N482" s="19" t="n"/>
    </row>
    <row r="483" ht="15.75" customHeight="1" s="545">
      <c r="A483" s="19" t="n"/>
      <c r="B483" s="19" t="n"/>
      <c r="C483" s="19" t="n"/>
      <c r="D483" s="19" t="n"/>
      <c r="E483" s="19" t="n"/>
      <c r="F483" s="19" t="n"/>
      <c r="G483" s="19" t="n"/>
      <c r="H483" s="19" t="n"/>
      <c r="I483" s="19" t="n"/>
      <c r="J483" s="19" t="n"/>
      <c r="K483" s="19" t="n"/>
      <c r="L483" s="19" t="n"/>
      <c r="M483" s="19" t="n"/>
      <c r="N483" s="19" t="n"/>
    </row>
    <row r="484" ht="15.75" customHeight="1" s="545">
      <c r="A484" s="19" t="n"/>
      <c r="B484" s="19" t="n"/>
      <c r="C484" s="19" t="n"/>
      <c r="D484" s="19" t="n"/>
      <c r="E484" s="19" t="n"/>
      <c r="F484" s="19" t="n"/>
      <c r="G484" s="19" t="n"/>
      <c r="H484" s="19" t="n"/>
      <c r="I484" s="19" t="n"/>
      <c r="J484" s="19" t="n"/>
      <c r="K484" s="19" t="n"/>
      <c r="L484" s="19" t="n"/>
      <c r="M484" s="19" t="n"/>
      <c r="N484" s="19" t="n"/>
    </row>
    <row r="485" ht="15.75" customHeight="1" s="545">
      <c r="A485" s="19" t="n"/>
      <c r="B485" s="19" t="n"/>
      <c r="C485" s="19" t="n"/>
      <c r="D485" s="19" t="n"/>
      <c r="E485" s="19" t="n"/>
      <c r="F485" s="19" t="n"/>
      <c r="G485" s="19" t="n"/>
      <c r="H485" s="19" t="n"/>
      <c r="I485" s="19" t="n"/>
      <c r="J485" s="19" t="n"/>
      <c r="K485" s="19" t="n"/>
      <c r="L485" s="19" t="n"/>
      <c r="M485" s="19" t="n"/>
      <c r="N485" s="19" t="n"/>
    </row>
    <row r="486" ht="15.75" customHeight="1" s="545">
      <c r="A486" s="19" t="n"/>
      <c r="B486" s="19" t="n"/>
      <c r="C486" s="19" t="n"/>
      <c r="D486" s="19" t="n"/>
      <c r="E486" s="19" t="n"/>
      <c r="F486" s="19" t="n"/>
      <c r="G486" s="19" t="n"/>
      <c r="H486" s="19" t="n"/>
      <c r="I486" s="19" t="n"/>
      <c r="J486" s="19" t="n"/>
      <c r="K486" s="19" t="n"/>
      <c r="L486" s="19" t="n"/>
      <c r="M486" s="19" t="n"/>
      <c r="N486" s="19" t="n"/>
    </row>
    <row r="487" ht="15.75" customHeight="1" s="545">
      <c r="A487" s="19" t="n"/>
      <c r="B487" s="19" t="n"/>
      <c r="C487" s="19" t="n"/>
      <c r="D487" s="19" t="n"/>
      <c r="E487" s="19" t="n"/>
      <c r="F487" s="19" t="n"/>
      <c r="G487" s="19" t="n"/>
      <c r="H487" s="19" t="n"/>
      <c r="I487" s="19" t="n"/>
      <c r="J487" s="19" t="n"/>
      <c r="K487" s="19" t="n"/>
      <c r="L487" s="19" t="n"/>
      <c r="M487" s="19" t="n"/>
      <c r="N487" s="19" t="n"/>
    </row>
    <row r="488" ht="15.75" customHeight="1" s="545">
      <c r="A488" s="19" t="n"/>
      <c r="B488" s="19" t="n"/>
      <c r="C488" s="19" t="n"/>
      <c r="D488" s="19" t="n"/>
      <c r="E488" s="19" t="n"/>
      <c r="F488" s="19" t="n"/>
      <c r="G488" s="19" t="n"/>
      <c r="H488" s="19" t="n"/>
      <c r="I488" s="19" t="n"/>
      <c r="J488" s="19" t="n"/>
      <c r="K488" s="19" t="n"/>
      <c r="L488" s="19" t="n"/>
      <c r="M488" s="19" t="n"/>
      <c r="N488" s="19" t="n"/>
    </row>
    <row r="489" ht="15.75" customHeight="1" s="545">
      <c r="A489" s="19" t="n"/>
      <c r="B489" s="19" t="n"/>
      <c r="C489" s="19" t="n"/>
      <c r="D489" s="19" t="n"/>
      <c r="E489" s="19" t="n"/>
      <c r="F489" s="19" t="n"/>
      <c r="G489" s="19" t="n"/>
      <c r="H489" s="19" t="n"/>
      <c r="I489" s="19" t="n"/>
      <c r="J489" s="19" t="n"/>
      <c r="K489" s="19" t="n"/>
      <c r="L489" s="19" t="n"/>
      <c r="M489" s="19" t="n"/>
      <c r="N489" s="19" t="n"/>
    </row>
    <row r="490" ht="15.75" customHeight="1" s="545">
      <c r="A490" s="19" t="n"/>
      <c r="B490" s="19" t="n"/>
      <c r="C490" s="19" t="n"/>
      <c r="D490" s="19" t="n"/>
      <c r="E490" s="19" t="n"/>
      <c r="F490" s="19" t="n"/>
      <c r="G490" s="19" t="n"/>
      <c r="H490" s="19" t="n"/>
      <c r="I490" s="19" t="n"/>
      <c r="J490" s="19" t="n"/>
      <c r="K490" s="19" t="n"/>
      <c r="L490" s="19" t="n"/>
      <c r="M490" s="19" t="n"/>
      <c r="N490" s="19" t="n"/>
    </row>
    <row r="491" ht="15.75" customHeight="1" s="545">
      <c r="A491" s="19" t="n"/>
      <c r="B491" s="19" t="n"/>
      <c r="C491" s="19" t="n"/>
      <c r="D491" s="19" t="n"/>
      <c r="E491" s="19" t="n"/>
      <c r="F491" s="19" t="n"/>
      <c r="G491" s="19" t="n"/>
      <c r="H491" s="19" t="n"/>
      <c r="I491" s="19" t="n"/>
      <c r="J491" s="19" t="n"/>
      <c r="K491" s="19" t="n"/>
      <c r="L491" s="19" t="n"/>
      <c r="M491" s="19" t="n"/>
      <c r="N491" s="19" t="n"/>
    </row>
    <row r="492" ht="15.75" customHeight="1" s="545">
      <c r="A492" s="19" t="n"/>
      <c r="B492" s="19" t="n"/>
      <c r="C492" s="19" t="n"/>
      <c r="D492" s="19" t="n"/>
      <c r="E492" s="19" t="n"/>
      <c r="F492" s="19" t="n"/>
      <c r="G492" s="19" t="n"/>
      <c r="H492" s="19" t="n"/>
      <c r="I492" s="19" t="n"/>
      <c r="J492" s="19" t="n"/>
      <c r="K492" s="19" t="n"/>
      <c r="L492" s="19" t="n"/>
      <c r="M492" s="19" t="n"/>
      <c r="N492" s="19" t="n"/>
    </row>
    <row r="493" ht="15.75" customHeight="1" s="545">
      <c r="A493" s="19" t="n"/>
      <c r="B493" s="19" t="n"/>
      <c r="C493" s="19" t="n"/>
      <c r="D493" s="19" t="n"/>
      <c r="E493" s="19" t="n"/>
      <c r="F493" s="19" t="n"/>
      <c r="G493" s="19" t="n"/>
      <c r="H493" s="19" t="n"/>
      <c r="I493" s="19" t="n"/>
      <c r="J493" s="19" t="n"/>
      <c r="K493" s="19" t="n"/>
      <c r="L493" s="19" t="n"/>
      <c r="M493" s="19" t="n"/>
      <c r="N493" s="19" t="n"/>
    </row>
    <row r="494" ht="15.75" customHeight="1" s="545">
      <c r="A494" s="19" t="n"/>
      <c r="B494" s="19" t="n"/>
      <c r="C494" s="19" t="n"/>
      <c r="D494" s="19" t="n"/>
      <c r="E494" s="19" t="n"/>
      <c r="F494" s="19" t="n"/>
      <c r="G494" s="19" t="n"/>
      <c r="H494" s="19" t="n"/>
      <c r="I494" s="19" t="n"/>
      <c r="J494" s="19" t="n"/>
      <c r="K494" s="19" t="n"/>
      <c r="L494" s="19" t="n"/>
      <c r="M494" s="19" t="n"/>
      <c r="N494" s="19" t="n"/>
    </row>
    <row r="495" ht="15.75" customHeight="1" s="545">
      <c r="A495" s="19" t="n"/>
      <c r="B495" s="19" t="n"/>
      <c r="C495" s="19" t="n"/>
      <c r="D495" s="19" t="n"/>
      <c r="E495" s="19" t="n"/>
      <c r="F495" s="19" t="n"/>
      <c r="G495" s="19" t="n"/>
      <c r="H495" s="19" t="n"/>
      <c r="I495" s="19" t="n"/>
      <c r="J495" s="19" t="n"/>
      <c r="K495" s="19" t="n"/>
      <c r="L495" s="19" t="n"/>
      <c r="M495" s="19" t="n"/>
      <c r="N495" s="19" t="n"/>
    </row>
    <row r="496" ht="15.75" customHeight="1" s="545">
      <c r="A496" s="19" t="n"/>
      <c r="B496" s="19" t="n"/>
      <c r="C496" s="19" t="n"/>
      <c r="D496" s="19" t="n"/>
      <c r="E496" s="19" t="n"/>
      <c r="F496" s="19" t="n"/>
      <c r="G496" s="19" t="n"/>
      <c r="H496" s="19" t="n"/>
      <c r="I496" s="19" t="n"/>
      <c r="J496" s="19" t="n"/>
      <c r="K496" s="19" t="n"/>
      <c r="L496" s="19" t="n"/>
      <c r="M496" s="19" t="n"/>
      <c r="N496" s="19" t="n"/>
    </row>
    <row r="497" ht="15.75" customHeight="1" s="545">
      <c r="A497" s="19" t="n"/>
      <c r="B497" s="19" t="n"/>
      <c r="C497" s="19" t="n"/>
      <c r="D497" s="19" t="n"/>
      <c r="E497" s="19" t="n"/>
      <c r="F497" s="19" t="n"/>
      <c r="G497" s="19" t="n"/>
      <c r="H497" s="19" t="n"/>
      <c r="I497" s="19" t="n"/>
      <c r="J497" s="19" t="n"/>
      <c r="K497" s="19" t="n"/>
      <c r="L497" s="19" t="n"/>
      <c r="M497" s="19" t="n"/>
      <c r="N497" s="19" t="n"/>
    </row>
    <row r="498" ht="15.75" customHeight="1" s="545">
      <c r="A498" s="19" t="n"/>
      <c r="B498" s="19" t="n"/>
      <c r="C498" s="19" t="n"/>
      <c r="D498" s="19" t="n"/>
      <c r="E498" s="19" t="n"/>
      <c r="F498" s="19" t="n"/>
      <c r="G498" s="19" t="n"/>
      <c r="H498" s="19" t="n"/>
      <c r="I498" s="19" t="n"/>
      <c r="J498" s="19" t="n"/>
      <c r="K498" s="19" t="n"/>
      <c r="L498" s="19" t="n"/>
      <c r="M498" s="19" t="n"/>
      <c r="N498" s="19" t="n"/>
    </row>
    <row r="499" ht="15.75" customHeight="1" s="545">
      <c r="A499" s="19" t="n"/>
      <c r="B499" s="19" t="n"/>
      <c r="C499" s="19" t="n"/>
      <c r="D499" s="19" t="n"/>
      <c r="E499" s="19" t="n"/>
      <c r="F499" s="19" t="n"/>
      <c r="G499" s="19" t="n"/>
      <c r="H499" s="19" t="n"/>
      <c r="I499" s="19" t="n"/>
      <c r="J499" s="19" t="n"/>
      <c r="K499" s="19" t="n"/>
      <c r="L499" s="19" t="n"/>
      <c r="M499" s="19" t="n"/>
      <c r="N499" s="19" t="n"/>
    </row>
    <row r="500" ht="15.75" customHeight="1" s="545">
      <c r="A500" s="19" t="n"/>
      <c r="B500" s="19" t="n"/>
      <c r="C500" s="19" t="n"/>
      <c r="D500" s="19" t="n"/>
      <c r="E500" s="19" t="n"/>
      <c r="F500" s="19" t="n"/>
      <c r="G500" s="19" t="n"/>
      <c r="H500" s="19" t="n"/>
      <c r="I500" s="19" t="n"/>
      <c r="J500" s="19" t="n"/>
      <c r="K500" s="19" t="n"/>
      <c r="L500" s="19" t="n"/>
      <c r="M500" s="19" t="n"/>
      <c r="N500" s="19" t="n"/>
    </row>
    <row r="501" ht="15.75" customHeight="1" s="545">
      <c r="A501" s="19" t="n"/>
      <c r="B501" s="19" t="n"/>
      <c r="C501" s="19" t="n"/>
      <c r="D501" s="19" t="n"/>
      <c r="E501" s="19" t="n"/>
      <c r="F501" s="19" t="n"/>
      <c r="G501" s="19" t="n"/>
      <c r="H501" s="19" t="n"/>
      <c r="I501" s="19" t="n"/>
      <c r="J501" s="19" t="n"/>
      <c r="K501" s="19" t="n"/>
      <c r="L501" s="19" t="n"/>
      <c r="M501" s="19" t="n"/>
      <c r="N501" s="19" t="n"/>
    </row>
    <row r="502" ht="15.75" customHeight="1" s="545">
      <c r="A502" s="19" t="n"/>
      <c r="B502" s="19" t="n"/>
      <c r="C502" s="19" t="n"/>
      <c r="D502" s="19" t="n"/>
      <c r="E502" s="19" t="n"/>
      <c r="F502" s="19" t="n"/>
      <c r="G502" s="19" t="n"/>
      <c r="H502" s="19" t="n"/>
      <c r="I502" s="19" t="n"/>
      <c r="J502" s="19" t="n"/>
      <c r="K502" s="19" t="n"/>
      <c r="L502" s="19" t="n"/>
      <c r="M502" s="19" t="n"/>
      <c r="N502" s="19" t="n"/>
    </row>
    <row r="503" ht="15.75" customHeight="1" s="545">
      <c r="A503" s="19" t="n"/>
      <c r="B503" s="19" t="n"/>
      <c r="C503" s="19" t="n"/>
      <c r="D503" s="19" t="n"/>
      <c r="E503" s="19" t="n"/>
      <c r="F503" s="19" t="n"/>
      <c r="G503" s="19" t="n"/>
      <c r="H503" s="19" t="n"/>
      <c r="I503" s="19" t="n"/>
      <c r="J503" s="19" t="n"/>
      <c r="K503" s="19" t="n"/>
      <c r="L503" s="19" t="n"/>
      <c r="M503" s="19" t="n"/>
      <c r="N503" s="19" t="n"/>
    </row>
    <row r="504" ht="15.75" customHeight="1" s="545">
      <c r="A504" s="19" t="n"/>
      <c r="B504" s="19" t="n"/>
      <c r="C504" s="19" t="n"/>
      <c r="D504" s="19" t="n"/>
      <c r="E504" s="19" t="n"/>
      <c r="F504" s="19" t="n"/>
      <c r="G504" s="19" t="n"/>
      <c r="H504" s="19" t="n"/>
      <c r="I504" s="19" t="n"/>
      <c r="J504" s="19" t="n"/>
      <c r="K504" s="19" t="n"/>
      <c r="L504" s="19" t="n"/>
      <c r="M504" s="19" t="n"/>
      <c r="N504" s="19" t="n"/>
    </row>
    <row r="505" ht="15.75" customHeight="1" s="545">
      <c r="A505" s="19" t="n"/>
      <c r="B505" s="19" t="n"/>
      <c r="C505" s="19" t="n"/>
      <c r="D505" s="19" t="n"/>
      <c r="E505" s="19" t="n"/>
      <c r="F505" s="19" t="n"/>
      <c r="G505" s="19" t="n"/>
      <c r="H505" s="19" t="n"/>
      <c r="I505" s="19" t="n"/>
      <c r="J505" s="19" t="n"/>
      <c r="K505" s="19" t="n"/>
      <c r="L505" s="19" t="n"/>
      <c r="M505" s="19" t="n"/>
      <c r="N505" s="19" t="n"/>
    </row>
    <row r="506" ht="15.75" customHeight="1" s="545">
      <c r="A506" s="19" t="n"/>
      <c r="B506" s="19" t="n"/>
      <c r="C506" s="19" t="n"/>
      <c r="D506" s="19" t="n"/>
      <c r="E506" s="19" t="n"/>
      <c r="F506" s="19" t="n"/>
      <c r="G506" s="19" t="n"/>
      <c r="H506" s="19" t="n"/>
      <c r="I506" s="19" t="n"/>
      <c r="J506" s="19" t="n"/>
      <c r="K506" s="19" t="n"/>
      <c r="L506" s="19" t="n"/>
      <c r="M506" s="19" t="n"/>
      <c r="N506" s="19" t="n"/>
    </row>
    <row r="507" ht="15.75" customHeight="1" s="545">
      <c r="A507" s="19" t="n"/>
      <c r="B507" s="19" t="n"/>
      <c r="C507" s="19" t="n"/>
      <c r="D507" s="19" t="n"/>
      <c r="E507" s="19" t="n"/>
      <c r="F507" s="19" t="n"/>
      <c r="G507" s="19" t="n"/>
      <c r="H507" s="19" t="n"/>
      <c r="I507" s="19" t="n"/>
      <c r="J507" s="19" t="n"/>
      <c r="K507" s="19" t="n"/>
      <c r="L507" s="19" t="n"/>
      <c r="M507" s="19" t="n"/>
      <c r="N507" s="19" t="n"/>
    </row>
    <row r="508" ht="15.75" customHeight="1" s="545">
      <c r="A508" s="19" t="n"/>
      <c r="B508" s="19" t="n"/>
      <c r="C508" s="19" t="n"/>
      <c r="D508" s="19" t="n"/>
      <c r="E508" s="19" t="n"/>
      <c r="F508" s="19" t="n"/>
      <c r="G508" s="19" t="n"/>
      <c r="H508" s="19" t="n"/>
      <c r="I508" s="19" t="n"/>
      <c r="J508" s="19" t="n"/>
      <c r="K508" s="19" t="n"/>
      <c r="L508" s="19" t="n"/>
      <c r="M508" s="19" t="n"/>
      <c r="N508" s="19" t="n"/>
    </row>
    <row r="509" ht="15.75" customHeight="1" s="545">
      <c r="A509" s="19" t="n"/>
      <c r="B509" s="19" t="n"/>
      <c r="C509" s="19" t="n"/>
      <c r="D509" s="19" t="n"/>
      <c r="E509" s="19" t="n"/>
      <c r="F509" s="19" t="n"/>
      <c r="G509" s="19" t="n"/>
      <c r="H509" s="19" t="n"/>
      <c r="I509" s="19" t="n"/>
      <c r="J509" s="19" t="n"/>
      <c r="K509" s="19" t="n"/>
      <c r="L509" s="19" t="n"/>
      <c r="M509" s="19" t="n"/>
      <c r="N509" s="19" t="n"/>
    </row>
    <row r="510" ht="15.75" customHeight="1" s="545">
      <c r="A510" s="19" t="n"/>
      <c r="B510" s="19" t="n"/>
      <c r="C510" s="19" t="n"/>
      <c r="D510" s="19" t="n"/>
      <c r="E510" s="19" t="n"/>
      <c r="F510" s="19" t="n"/>
      <c r="G510" s="19" t="n"/>
      <c r="H510" s="19" t="n"/>
      <c r="I510" s="19" t="n"/>
      <c r="J510" s="19" t="n"/>
      <c r="K510" s="19" t="n"/>
      <c r="L510" s="19" t="n"/>
      <c r="M510" s="19" t="n"/>
      <c r="N510" s="19" t="n"/>
    </row>
    <row r="511" ht="15.75" customHeight="1" s="545">
      <c r="A511" s="19" t="n"/>
      <c r="B511" s="19" t="n"/>
      <c r="C511" s="19" t="n"/>
      <c r="D511" s="19" t="n"/>
      <c r="E511" s="19" t="n"/>
      <c r="F511" s="19" t="n"/>
      <c r="G511" s="19" t="n"/>
      <c r="H511" s="19" t="n"/>
      <c r="I511" s="19" t="n"/>
      <c r="J511" s="19" t="n"/>
      <c r="K511" s="19" t="n"/>
      <c r="L511" s="19" t="n"/>
      <c r="M511" s="19" t="n"/>
      <c r="N511" s="19" t="n"/>
    </row>
    <row r="512" ht="15.75" customHeight="1" s="545">
      <c r="A512" s="19" t="n"/>
      <c r="B512" s="19" t="n"/>
      <c r="C512" s="19" t="n"/>
      <c r="D512" s="19" t="n"/>
      <c r="E512" s="19" t="n"/>
      <c r="F512" s="19" t="n"/>
      <c r="G512" s="19" t="n"/>
      <c r="H512" s="19" t="n"/>
      <c r="I512" s="19" t="n"/>
      <c r="J512" s="19" t="n"/>
      <c r="K512" s="19" t="n"/>
      <c r="L512" s="19" t="n"/>
      <c r="M512" s="19" t="n"/>
      <c r="N512" s="19" t="n"/>
    </row>
    <row r="513" ht="15.75" customHeight="1" s="545">
      <c r="A513" s="19" t="n"/>
      <c r="B513" s="19" t="n"/>
      <c r="C513" s="19" t="n"/>
      <c r="D513" s="19" t="n"/>
      <c r="E513" s="19" t="n"/>
      <c r="F513" s="19" t="n"/>
      <c r="G513" s="19" t="n"/>
      <c r="H513" s="19" t="n"/>
      <c r="I513" s="19" t="n"/>
      <c r="J513" s="19" t="n"/>
      <c r="K513" s="19" t="n"/>
      <c r="L513" s="19" t="n"/>
      <c r="M513" s="19" t="n"/>
      <c r="N513" s="19" t="n"/>
    </row>
    <row r="514" ht="15.75" customHeight="1" s="545">
      <c r="A514" s="19" t="n"/>
      <c r="B514" s="19" t="n"/>
      <c r="C514" s="19" t="n"/>
      <c r="D514" s="19" t="n"/>
      <c r="E514" s="19" t="n"/>
      <c r="F514" s="19" t="n"/>
      <c r="G514" s="19" t="n"/>
      <c r="H514" s="19" t="n"/>
      <c r="I514" s="19" t="n"/>
      <c r="J514" s="19" t="n"/>
      <c r="K514" s="19" t="n"/>
      <c r="L514" s="19" t="n"/>
      <c r="M514" s="19" t="n"/>
      <c r="N514" s="19" t="n"/>
    </row>
    <row r="515" ht="15.75" customHeight="1" s="545">
      <c r="A515" s="19" t="n"/>
      <c r="B515" s="19" t="n"/>
      <c r="C515" s="19" t="n"/>
      <c r="D515" s="19" t="n"/>
      <c r="E515" s="19" t="n"/>
      <c r="F515" s="19" t="n"/>
      <c r="G515" s="19" t="n"/>
      <c r="H515" s="19" t="n"/>
      <c r="I515" s="19" t="n"/>
      <c r="J515" s="19" t="n"/>
      <c r="K515" s="19" t="n"/>
      <c r="L515" s="19" t="n"/>
      <c r="M515" s="19" t="n"/>
      <c r="N515" s="19" t="n"/>
    </row>
    <row r="516" ht="15.75" customHeight="1" s="545">
      <c r="A516" s="19" t="n"/>
      <c r="B516" s="19" t="n"/>
      <c r="C516" s="19" t="n"/>
      <c r="D516" s="19" t="n"/>
      <c r="E516" s="19" t="n"/>
      <c r="F516" s="19" t="n"/>
      <c r="G516" s="19" t="n"/>
      <c r="H516" s="19" t="n"/>
      <c r="I516" s="19" t="n"/>
      <c r="J516" s="19" t="n"/>
      <c r="K516" s="19" t="n"/>
      <c r="L516" s="19" t="n"/>
      <c r="M516" s="19" t="n"/>
      <c r="N516" s="19" t="n"/>
    </row>
    <row r="517" ht="15.75" customHeight="1" s="545">
      <c r="A517" s="19" t="n"/>
      <c r="B517" s="19" t="n"/>
      <c r="C517" s="19" t="n"/>
      <c r="D517" s="19" t="n"/>
      <c r="E517" s="19" t="n"/>
      <c r="F517" s="19" t="n"/>
      <c r="G517" s="19" t="n"/>
      <c r="H517" s="19" t="n"/>
      <c r="I517" s="19" t="n"/>
      <c r="J517" s="19" t="n"/>
      <c r="K517" s="19" t="n"/>
      <c r="L517" s="19" t="n"/>
      <c r="M517" s="19" t="n"/>
      <c r="N517" s="19" t="n"/>
    </row>
    <row r="518" ht="15.75" customHeight="1" s="545">
      <c r="A518" s="19" t="n"/>
      <c r="B518" s="19" t="n"/>
      <c r="C518" s="19" t="n"/>
      <c r="D518" s="19" t="n"/>
      <c r="E518" s="19" t="n"/>
      <c r="F518" s="19" t="n"/>
      <c r="G518" s="19" t="n"/>
      <c r="H518" s="19" t="n"/>
      <c r="I518" s="19" t="n"/>
      <c r="J518" s="19" t="n"/>
      <c r="K518" s="19" t="n"/>
      <c r="L518" s="19" t="n"/>
      <c r="M518" s="19" t="n"/>
      <c r="N518" s="19" t="n"/>
    </row>
    <row r="519" ht="15.75" customHeight="1" s="545">
      <c r="A519" s="19" t="n"/>
      <c r="B519" s="19" t="n"/>
      <c r="C519" s="19" t="n"/>
      <c r="D519" s="19" t="n"/>
      <c r="E519" s="19" t="n"/>
      <c r="F519" s="19" t="n"/>
      <c r="G519" s="19" t="n"/>
      <c r="H519" s="19" t="n"/>
      <c r="I519" s="19" t="n"/>
      <c r="J519" s="19" t="n"/>
      <c r="K519" s="19" t="n"/>
      <c r="L519" s="19" t="n"/>
      <c r="M519" s="19" t="n"/>
      <c r="N519" s="19" t="n"/>
    </row>
    <row r="520" ht="15.75" customHeight="1" s="545">
      <c r="A520" s="19" t="n"/>
      <c r="B520" s="19" t="n"/>
      <c r="C520" s="19" t="n"/>
      <c r="D520" s="19" t="n"/>
      <c r="E520" s="19" t="n"/>
      <c r="F520" s="19" t="n"/>
      <c r="G520" s="19" t="n"/>
      <c r="H520" s="19" t="n"/>
      <c r="I520" s="19" t="n"/>
      <c r="J520" s="19" t="n"/>
      <c r="K520" s="19" t="n"/>
      <c r="L520" s="19" t="n"/>
      <c r="M520" s="19" t="n"/>
      <c r="N520" s="19" t="n"/>
    </row>
    <row r="521" ht="15.75" customHeight="1" s="545">
      <c r="A521" s="19" t="n"/>
      <c r="B521" s="19" t="n"/>
      <c r="C521" s="19" t="n"/>
      <c r="D521" s="19" t="n"/>
      <c r="E521" s="19" t="n"/>
      <c r="F521" s="19" t="n"/>
      <c r="G521" s="19" t="n"/>
      <c r="H521" s="19" t="n"/>
      <c r="I521" s="19" t="n"/>
      <c r="J521" s="19" t="n"/>
      <c r="K521" s="19" t="n"/>
      <c r="L521" s="19" t="n"/>
      <c r="M521" s="19" t="n"/>
      <c r="N521" s="19" t="n"/>
    </row>
    <row r="522" ht="15.75" customHeight="1" s="545">
      <c r="A522" s="19" t="n"/>
      <c r="B522" s="19" t="n"/>
      <c r="C522" s="19" t="n"/>
      <c r="D522" s="19" t="n"/>
      <c r="E522" s="19" t="n"/>
      <c r="F522" s="19" t="n"/>
      <c r="G522" s="19" t="n"/>
      <c r="H522" s="19" t="n"/>
      <c r="I522" s="19" t="n"/>
      <c r="J522" s="19" t="n"/>
      <c r="K522" s="19" t="n"/>
      <c r="L522" s="19" t="n"/>
      <c r="M522" s="19" t="n"/>
      <c r="N522" s="19" t="n"/>
    </row>
    <row r="523" ht="15.75" customHeight="1" s="545">
      <c r="A523" s="19" t="n"/>
      <c r="B523" s="19" t="n"/>
      <c r="C523" s="19" t="n"/>
      <c r="D523" s="19" t="n"/>
      <c r="E523" s="19" t="n"/>
      <c r="F523" s="19" t="n"/>
      <c r="G523" s="19" t="n"/>
      <c r="H523" s="19" t="n"/>
      <c r="I523" s="19" t="n"/>
      <c r="J523" s="19" t="n"/>
      <c r="K523" s="19" t="n"/>
      <c r="L523" s="19" t="n"/>
      <c r="M523" s="19" t="n"/>
      <c r="N523" s="19" t="n"/>
    </row>
    <row r="524" ht="15.75" customHeight="1" s="545">
      <c r="A524" s="19" t="n"/>
      <c r="B524" s="19" t="n"/>
      <c r="C524" s="19" t="n"/>
      <c r="D524" s="19" t="n"/>
      <c r="E524" s="19" t="n"/>
      <c r="F524" s="19" t="n"/>
      <c r="G524" s="19" t="n"/>
      <c r="H524" s="19" t="n"/>
      <c r="I524" s="19" t="n"/>
      <c r="J524" s="19" t="n"/>
      <c r="K524" s="19" t="n"/>
      <c r="L524" s="19" t="n"/>
      <c r="M524" s="19" t="n"/>
      <c r="N524" s="19" t="n"/>
    </row>
    <row r="525" ht="15.75" customHeight="1" s="545">
      <c r="A525" s="19" t="n"/>
      <c r="B525" s="19" t="n"/>
      <c r="C525" s="19" t="n"/>
      <c r="D525" s="19" t="n"/>
      <c r="E525" s="19" t="n"/>
      <c r="F525" s="19" t="n"/>
      <c r="G525" s="19" t="n"/>
      <c r="H525" s="19" t="n"/>
      <c r="I525" s="19" t="n"/>
      <c r="J525" s="19" t="n"/>
      <c r="K525" s="19" t="n"/>
      <c r="L525" s="19" t="n"/>
      <c r="M525" s="19" t="n"/>
      <c r="N525" s="19" t="n"/>
    </row>
    <row r="526" ht="15.75" customHeight="1" s="545">
      <c r="A526" s="19" t="n"/>
      <c r="B526" s="19" t="n"/>
      <c r="C526" s="19" t="n"/>
      <c r="D526" s="19" t="n"/>
      <c r="E526" s="19" t="n"/>
      <c r="F526" s="19" t="n"/>
      <c r="G526" s="19" t="n"/>
      <c r="H526" s="19" t="n"/>
      <c r="I526" s="19" t="n"/>
      <c r="J526" s="19" t="n"/>
      <c r="K526" s="19" t="n"/>
      <c r="L526" s="19" t="n"/>
      <c r="M526" s="19" t="n"/>
      <c r="N526" s="19" t="n"/>
    </row>
    <row r="527" ht="15.75" customHeight="1" s="545">
      <c r="A527" s="19" t="n"/>
      <c r="B527" s="19" t="n"/>
      <c r="C527" s="19" t="n"/>
      <c r="D527" s="19" t="n"/>
      <c r="E527" s="19" t="n"/>
      <c r="F527" s="19" t="n"/>
      <c r="G527" s="19" t="n"/>
      <c r="H527" s="19" t="n"/>
      <c r="I527" s="19" t="n"/>
      <c r="J527" s="19" t="n"/>
      <c r="K527" s="19" t="n"/>
      <c r="L527" s="19" t="n"/>
      <c r="M527" s="19" t="n"/>
      <c r="N527" s="19" t="n"/>
    </row>
    <row r="528" ht="15.75" customHeight="1" s="545">
      <c r="A528" s="19" t="n"/>
      <c r="B528" s="19" t="n"/>
      <c r="C528" s="19" t="n"/>
      <c r="D528" s="19" t="n"/>
      <c r="E528" s="19" t="n"/>
      <c r="F528" s="19" t="n"/>
      <c r="G528" s="19" t="n"/>
      <c r="H528" s="19" t="n"/>
      <c r="I528" s="19" t="n"/>
      <c r="J528" s="19" t="n"/>
      <c r="K528" s="19" t="n"/>
      <c r="L528" s="19" t="n"/>
      <c r="M528" s="19" t="n"/>
      <c r="N528" s="19" t="n"/>
    </row>
    <row r="529" ht="15.75" customHeight="1" s="545">
      <c r="A529" s="19" t="n"/>
      <c r="B529" s="19" t="n"/>
      <c r="C529" s="19" t="n"/>
      <c r="D529" s="19" t="n"/>
      <c r="E529" s="19" t="n"/>
      <c r="F529" s="19" t="n"/>
      <c r="G529" s="19" t="n"/>
      <c r="H529" s="19" t="n"/>
      <c r="I529" s="19" t="n"/>
      <c r="J529" s="19" t="n"/>
      <c r="K529" s="19" t="n"/>
      <c r="L529" s="19" t="n"/>
      <c r="M529" s="19" t="n"/>
      <c r="N529" s="19" t="n"/>
    </row>
    <row r="530" ht="15.75" customHeight="1" s="545">
      <c r="A530" s="19" t="n"/>
      <c r="B530" s="19" t="n"/>
      <c r="C530" s="19" t="n"/>
      <c r="D530" s="19" t="n"/>
      <c r="E530" s="19" t="n"/>
      <c r="F530" s="19" t="n"/>
      <c r="G530" s="19" t="n"/>
      <c r="H530" s="19" t="n"/>
      <c r="I530" s="19" t="n"/>
      <c r="J530" s="19" t="n"/>
      <c r="K530" s="19" t="n"/>
      <c r="L530" s="19" t="n"/>
      <c r="M530" s="19" t="n"/>
      <c r="N530" s="19" t="n"/>
    </row>
    <row r="531" ht="15.75" customHeight="1" s="545">
      <c r="A531" s="19" t="n"/>
      <c r="B531" s="19" t="n"/>
      <c r="C531" s="19" t="n"/>
      <c r="D531" s="19" t="n"/>
      <c r="E531" s="19" t="n"/>
      <c r="F531" s="19" t="n"/>
      <c r="G531" s="19" t="n"/>
      <c r="H531" s="19" t="n"/>
      <c r="I531" s="19" t="n"/>
      <c r="J531" s="19" t="n"/>
      <c r="K531" s="19" t="n"/>
      <c r="L531" s="19" t="n"/>
      <c r="M531" s="19" t="n"/>
      <c r="N531" s="19" t="n"/>
    </row>
    <row r="532" ht="15.75" customHeight="1" s="545">
      <c r="A532" s="19" t="n"/>
      <c r="B532" s="19" t="n"/>
      <c r="C532" s="19" t="n"/>
      <c r="D532" s="19" t="n"/>
      <c r="E532" s="19" t="n"/>
      <c r="F532" s="19" t="n"/>
      <c r="G532" s="19" t="n"/>
      <c r="H532" s="19" t="n"/>
      <c r="I532" s="19" t="n"/>
      <c r="J532" s="19" t="n"/>
      <c r="K532" s="19" t="n"/>
      <c r="L532" s="19" t="n"/>
      <c r="M532" s="19" t="n"/>
      <c r="N532" s="19" t="n"/>
    </row>
    <row r="533" ht="15.75" customHeight="1" s="545">
      <c r="A533" s="19" t="n"/>
      <c r="B533" s="19" t="n"/>
      <c r="C533" s="19" t="n"/>
      <c r="D533" s="19" t="n"/>
      <c r="E533" s="19" t="n"/>
      <c r="F533" s="19" t="n"/>
      <c r="G533" s="19" t="n"/>
      <c r="H533" s="19" t="n"/>
      <c r="I533" s="19" t="n"/>
      <c r="J533" s="19" t="n"/>
      <c r="K533" s="19" t="n"/>
      <c r="L533" s="19" t="n"/>
      <c r="M533" s="19" t="n"/>
      <c r="N533" s="19" t="n"/>
    </row>
    <row r="534" ht="15.75" customHeight="1" s="545">
      <c r="A534" s="19" t="n"/>
      <c r="B534" s="19" t="n"/>
      <c r="C534" s="19" t="n"/>
      <c r="D534" s="19" t="n"/>
      <c r="E534" s="19" t="n"/>
      <c r="F534" s="19" t="n"/>
      <c r="G534" s="19" t="n"/>
      <c r="H534" s="19" t="n"/>
      <c r="I534" s="19" t="n"/>
      <c r="J534" s="19" t="n"/>
      <c r="K534" s="19" t="n"/>
      <c r="L534" s="19" t="n"/>
      <c r="M534" s="19" t="n"/>
      <c r="N534" s="19" t="n"/>
    </row>
    <row r="535" ht="15.75" customHeight="1" s="545">
      <c r="A535" s="19" t="n"/>
      <c r="B535" s="19" t="n"/>
      <c r="C535" s="19" t="n"/>
      <c r="D535" s="19" t="n"/>
      <c r="E535" s="19" t="n"/>
      <c r="F535" s="19" t="n"/>
      <c r="G535" s="19" t="n"/>
      <c r="H535" s="19" t="n"/>
      <c r="I535" s="19" t="n"/>
      <c r="J535" s="19" t="n"/>
      <c r="K535" s="19" t="n"/>
      <c r="L535" s="19" t="n"/>
      <c r="M535" s="19" t="n"/>
      <c r="N535" s="19" t="n"/>
    </row>
    <row r="536" ht="15.75" customHeight="1" s="545">
      <c r="A536" s="19" t="n"/>
      <c r="B536" s="19" t="n"/>
      <c r="C536" s="19" t="n"/>
      <c r="D536" s="19" t="n"/>
      <c r="E536" s="19" t="n"/>
      <c r="F536" s="19" t="n"/>
      <c r="G536" s="19" t="n"/>
      <c r="H536" s="19" t="n"/>
      <c r="I536" s="19" t="n"/>
      <c r="J536" s="19" t="n"/>
      <c r="K536" s="19" t="n"/>
      <c r="L536" s="19" t="n"/>
      <c r="M536" s="19" t="n"/>
      <c r="N536" s="19" t="n"/>
    </row>
    <row r="537" ht="15.75" customHeight="1" s="545">
      <c r="A537" s="19" t="n"/>
      <c r="B537" s="19" t="n"/>
      <c r="C537" s="19" t="n"/>
      <c r="D537" s="19" t="n"/>
      <c r="E537" s="19" t="n"/>
      <c r="F537" s="19" t="n"/>
      <c r="G537" s="19" t="n"/>
      <c r="H537" s="19" t="n"/>
      <c r="I537" s="19" t="n"/>
      <c r="J537" s="19" t="n"/>
      <c r="K537" s="19" t="n"/>
      <c r="L537" s="19" t="n"/>
      <c r="M537" s="19" t="n"/>
      <c r="N537" s="19" t="n"/>
    </row>
    <row r="538" ht="15.75" customHeight="1" s="545">
      <c r="A538" s="19" t="n"/>
      <c r="B538" s="19" t="n"/>
      <c r="C538" s="19" t="n"/>
      <c r="D538" s="19" t="n"/>
      <c r="E538" s="19" t="n"/>
      <c r="F538" s="19" t="n"/>
      <c r="G538" s="19" t="n"/>
      <c r="H538" s="19" t="n"/>
      <c r="I538" s="19" t="n"/>
      <c r="J538" s="19" t="n"/>
      <c r="K538" s="19" t="n"/>
      <c r="L538" s="19" t="n"/>
      <c r="M538" s="19" t="n"/>
      <c r="N538" s="19" t="n"/>
    </row>
    <row r="539" ht="15.75" customHeight="1" s="545">
      <c r="A539" s="19" t="n"/>
      <c r="B539" s="19" t="n"/>
      <c r="C539" s="19" t="n"/>
      <c r="D539" s="19" t="n"/>
      <c r="E539" s="19" t="n"/>
      <c r="F539" s="19" t="n"/>
      <c r="G539" s="19" t="n"/>
      <c r="H539" s="19" t="n"/>
      <c r="I539" s="19" t="n"/>
      <c r="J539" s="19" t="n"/>
      <c r="K539" s="19" t="n"/>
      <c r="L539" s="19" t="n"/>
      <c r="M539" s="19" t="n"/>
      <c r="N539" s="19" t="n"/>
    </row>
    <row r="540" ht="15.75" customHeight="1" s="545">
      <c r="A540" s="19" t="n"/>
      <c r="B540" s="19" t="n"/>
      <c r="C540" s="19" t="n"/>
      <c r="D540" s="19" t="n"/>
      <c r="E540" s="19" t="n"/>
      <c r="F540" s="19" t="n"/>
      <c r="G540" s="19" t="n"/>
      <c r="H540" s="19" t="n"/>
      <c r="I540" s="19" t="n"/>
      <c r="J540" s="19" t="n"/>
      <c r="K540" s="19" t="n"/>
      <c r="L540" s="19" t="n"/>
      <c r="M540" s="19" t="n"/>
      <c r="N540" s="19" t="n"/>
    </row>
    <row r="541" ht="15.75" customHeight="1" s="545">
      <c r="A541" s="19" t="n"/>
      <c r="B541" s="19" t="n"/>
      <c r="C541" s="19" t="n"/>
      <c r="D541" s="19" t="n"/>
      <c r="E541" s="19" t="n"/>
      <c r="F541" s="19" t="n"/>
      <c r="G541" s="19" t="n"/>
      <c r="H541" s="19" t="n"/>
      <c r="I541" s="19" t="n"/>
      <c r="J541" s="19" t="n"/>
      <c r="K541" s="19" t="n"/>
      <c r="L541" s="19" t="n"/>
      <c r="M541" s="19" t="n"/>
      <c r="N541" s="19" t="n"/>
    </row>
    <row r="542" ht="15.75" customHeight="1" s="545">
      <c r="A542" s="19" t="n"/>
      <c r="B542" s="19" t="n"/>
      <c r="C542" s="19" t="n"/>
      <c r="D542" s="19" t="n"/>
      <c r="E542" s="19" t="n"/>
      <c r="F542" s="19" t="n"/>
      <c r="G542" s="19" t="n"/>
      <c r="H542" s="19" t="n"/>
      <c r="I542" s="19" t="n"/>
      <c r="J542" s="19" t="n"/>
      <c r="K542" s="19" t="n"/>
      <c r="L542" s="19" t="n"/>
      <c r="M542" s="19" t="n"/>
      <c r="N542" s="19" t="n"/>
    </row>
    <row r="543" ht="15.75" customHeight="1" s="545">
      <c r="A543" s="19" t="n"/>
      <c r="B543" s="19" t="n"/>
      <c r="C543" s="19" t="n"/>
      <c r="D543" s="19" t="n"/>
      <c r="E543" s="19" t="n"/>
      <c r="F543" s="19" t="n"/>
      <c r="G543" s="19" t="n"/>
      <c r="H543" s="19" t="n"/>
      <c r="I543" s="19" t="n"/>
      <c r="J543" s="19" t="n"/>
      <c r="K543" s="19" t="n"/>
      <c r="L543" s="19" t="n"/>
      <c r="M543" s="19" t="n"/>
      <c r="N543" s="19" t="n"/>
    </row>
    <row r="544" ht="15.75" customHeight="1" s="545">
      <c r="A544" s="19" t="n"/>
      <c r="B544" s="19" t="n"/>
      <c r="C544" s="19" t="n"/>
      <c r="D544" s="19" t="n"/>
      <c r="E544" s="19" t="n"/>
      <c r="F544" s="19" t="n"/>
      <c r="G544" s="19" t="n"/>
      <c r="H544" s="19" t="n"/>
      <c r="I544" s="19" t="n"/>
      <c r="J544" s="19" t="n"/>
      <c r="K544" s="19" t="n"/>
      <c r="L544" s="19" t="n"/>
      <c r="M544" s="19" t="n"/>
      <c r="N544" s="19" t="n"/>
    </row>
    <row r="545" ht="15.75" customHeight="1" s="545">
      <c r="A545" s="19" t="n"/>
      <c r="B545" s="19" t="n"/>
      <c r="C545" s="19" t="n"/>
      <c r="D545" s="19" t="n"/>
      <c r="E545" s="19" t="n"/>
      <c r="F545" s="19" t="n"/>
      <c r="G545" s="19" t="n"/>
      <c r="H545" s="19" t="n"/>
      <c r="I545" s="19" t="n"/>
      <c r="J545" s="19" t="n"/>
      <c r="K545" s="19" t="n"/>
      <c r="L545" s="19" t="n"/>
      <c r="M545" s="19" t="n"/>
      <c r="N545" s="19" t="n"/>
    </row>
    <row r="546" ht="15.75" customHeight="1" s="545">
      <c r="A546" s="19" t="n"/>
      <c r="B546" s="19" t="n"/>
      <c r="C546" s="19" t="n"/>
      <c r="D546" s="19" t="n"/>
      <c r="E546" s="19" t="n"/>
      <c r="F546" s="19" t="n"/>
      <c r="G546" s="19" t="n"/>
      <c r="H546" s="19" t="n"/>
      <c r="I546" s="19" t="n"/>
      <c r="J546" s="19" t="n"/>
      <c r="K546" s="19" t="n"/>
      <c r="L546" s="19" t="n"/>
      <c r="M546" s="19" t="n"/>
      <c r="N546" s="19" t="n"/>
    </row>
    <row r="547" ht="15.75" customHeight="1" s="545">
      <c r="A547" s="19" t="n"/>
      <c r="B547" s="19" t="n"/>
      <c r="C547" s="19" t="n"/>
      <c r="D547" s="19" t="n"/>
      <c r="E547" s="19" t="n"/>
      <c r="F547" s="19" t="n"/>
      <c r="G547" s="19" t="n"/>
      <c r="H547" s="19" t="n"/>
      <c r="I547" s="19" t="n"/>
      <c r="J547" s="19" t="n"/>
      <c r="K547" s="19" t="n"/>
      <c r="L547" s="19" t="n"/>
      <c r="M547" s="19" t="n"/>
      <c r="N547" s="19" t="n"/>
    </row>
    <row r="548" ht="15.75" customHeight="1" s="545">
      <c r="A548" s="19" t="n"/>
      <c r="B548" s="19" t="n"/>
      <c r="C548" s="19" t="n"/>
      <c r="D548" s="19" t="n"/>
      <c r="E548" s="19" t="n"/>
      <c r="F548" s="19" t="n"/>
      <c r="G548" s="19" t="n"/>
      <c r="H548" s="19" t="n"/>
      <c r="I548" s="19" t="n"/>
      <c r="J548" s="19" t="n"/>
      <c r="K548" s="19" t="n"/>
      <c r="L548" s="19" t="n"/>
      <c r="M548" s="19" t="n"/>
      <c r="N548" s="19" t="n"/>
    </row>
    <row r="549" ht="15.75" customHeight="1" s="545">
      <c r="A549" s="19" t="n"/>
      <c r="B549" s="19" t="n"/>
      <c r="C549" s="19" t="n"/>
      <c r="D549" s="19" t="n"/>
      <c r="E549" s="19" t="n"/>
      <c r="F549" s="19" t="n"/>
      <c r="G549" s="19" t="n"/>
      <c r="H549" s="19" t="n"/>
      <c r="I549" s="19" t="n"/>
      <c r="J549" s="19" t="n"/>
      <c r="K549" s="19" t="n"/>
      <c r="L549" s="19" t="n"/>
      <c r="M549" s="19" t="n"/>
      <c r="N549" s="19" t="n"/>
    </row>
    <row r="550" ht="15.75" customHeight="1" s="545">
      <c r="A550" s="19" t="n"/>
      <c r="B550" s="19" t="n"/>
      <c r="C550" s="19" t="n"/>
      <c r="D550" s="19" t="n"/>
      <c r="E550" s="19" t="n"/>
      <c r="F550" s="19" t="n"/>
      <c r="G550" s="19" t="n"/>
      <c r="H550" s="19" t="n"/>
      <c r="I550" s="19" t="n"/>
      <c r="J550" s="19" t="n"/>
      <c r="K550" s="19" t="n"/>
      <c r="L550" s="19" t="n"/>
      <c r="M550" s="19" t="n"/>
      <c r="N550" s="19" t="n"/>
    </row>
    <row r="551" ht="15.75" customHeight="1" s="545">
      <c r="A551" s="19" t="n"/>
      <c r="B551" s="19" t="n"/>
      <c r="C551" s="19" t="n"/>
      <c r="D551" s="19" t="n"/>
      <c r="E551" s="19" t="n"/>
      <c r="F551" s="19" t="n"/>
      <c r="G551" s="19" t="n"/>
      <c r="H551" s="19" t="n"/>
      <c r="I551" s="19" t="n"/>
      <c r="J551" s="19" t="n"/>
      <c r="K551" s="19" t="n"/>
      <c r="L551" s="19" t="n"/>
      <c r="M551" s="19" t="n"/>
      <c r="N551" s="19" t="n"/>
    </row>
    <row r="552" ht="15.75" customHeight="1" s="545">
      <c r="A552" s="19" t="n"/>
      <c r="B552" s="19" t="n"/>
      <c r="C552" s="19" t="n"/>
      <c r="D552" s="19" t="n"/>
      <c r="E552" s="19" t="n"/>
      <c r="F552" s="19" t="n"/>
      <c r="G552" s="19" t="n"/>
      <c r="H552" s="19" t="n"/>
      <c r="I552" s="19" t="n"/>
      <c r="J552" s="19" t="n"/>
      <c r="K552" s="19" t="n"/>
      <c r="L552" s="19" t="n"/>
      <c r="M552" s="19" t="n"/>
      <c r="N552" s="19" t="n"/>
    </row>
    <row r="553" ht="15.75" customHeight="1" s="545">
      <c r="A553" s="19" t="n"/>
      <c r="B553" s="19" t="n"/>
      <c r="C553" s="19" t="n"/>
      <c r="D553" s="19" t="n"/>
      <c r="E553" s="19" t="n"/>
      <c r="F553" s="19" t="n"/>
      <c r="G553" s="19" t="n"/>
      <c r="H553" s="19" t="n"/>
      <c r="I553" s="19" t="n"/>
      <c r="J553" s="19" t="n"/>
      <c r="K553" s="19" t="n"/>
      <c r="L553" s="19" t="n"/>
      <c r="M553" s="19" t="n"/>
      <c r="N553" s="19" t="n"/>
    </row>
    <row r="554" ht="15.75" customHeight="1" s="545">
      <c r="A554" s="19" t="n"/>
      <c r="B554" s="19" t="n"/>
      <c r="C554" s="19" t="n"/>
      <c r="D554" s="19" t="n"/>
      <c r="E554" s="19" t="n"/>
      <c r="F554" s="19" t="n"/>
      <c r="G554" s="19" t="n"/>
      <c r="H554" s="19" t="n"/>
      <c r="I554" s="19" t="n"/>
      <c r="J554" s="19" t="n"/>
      <c r="K554" s="19" t="n"/>
      <c r="L554" s="19" t="n"/>
      <c r="M554" s="19" t="n"/>
      <c r="N554" s="19" t="n"/>
    </row>
    <row r="555" ht="15.75" customHeight="1" s="545">
      <c r="A555" s="19" t="n"/>
      <c r="B555" s="19" t="n"/>
      <c r="C555" s="19" t="n"/>
      <c r="D555" s="19" t="n"/>
      <c r="E555" s="19" t="n"/>
      <c r="F555" s="19" t="n"/>
      <c r="G555" s="19" t="n"/>
      <c r="H555" s="19" t="n"/>
      <c r="I555" s="19" t="n"/>
      <c r="J555" s="19" t="n"/>
      <c r="K555" s="19" t="n"/>
      <c r="L555" s="19" t="n"/>
      <c r="M555" s="19" t="n"/>
      <c r="N555" s="19" t="n"/>
    </row>
    <row r="556" ht="15.75" customHeight="1" s="545">
      <c r="A556" s="19" t="n"/>
      <c r="B556" s="19" t="n"/>
      <c r="C556" s="19" t="n"/>
      <c r="D556" s="19" t="n"/>
      <c r="E556" s="19" t="n"/>
      <c r="F556" s="19" t="n"/>
      <c r="G556" s="19" t="n"/>
      <c r="H556" s="19" t="n"/>
      <c r="I556" s="19" t="n"/>
      <c r="J556" s="19" t="n"/>
      <c r="K556" s="19" t="n"/>
      <c r="L556" s="19" t="n"/>
      <c r="M556" s="19" t="n"/>
      <c r="N556" s="19" t="n"/>
    </row>
    <row r="557" ht="15.75" customHeight="1" s="545">
      <c r="A557" s="19" t="n"/>
      <c r="B557" s="19" t="n"/>
      <c r="C557" s="19" t="n"/>
      <c r="D557" s="19" t="n"/>
      <c r="E557" s="19" t="n"/>
      <c r="F557" s="19" t="n"/>
      <c r="G557" s="19" t="n"/>
      <c r="H557" s="19" t="n"/>
      <c r="I557" s="19" t="n"/>
      <c r="J557" s="19" t="n"/>
      <c r="K557" s="19" t="n"/>
      <c r="L557" s="19" t="n"/>
      <c r="M557" s="19" t="n"/>
      <c r="N557" s="19" t="n"/>
    </row>
    <row r="558" ht="15.75" customHeight="1" s="545">
      <c r="A558" s="19" t="n"/>
      <c r="B558" s="19" t="n"/>
      <c r="C558" s="19" t="n"/>
      <c r="D558" s="19" t="n"/>
      <c r="E558" s="19" t="n"/>
      <c r="F558" s="19" t="n"/>
      <c r="G558" s="19" t="n"/>
      <c r="H558" s="19" t="n"/>
      <c r="I558" s="19" t="n"/>
      <c r="J558" s="19" t="n"/>
      <c r="K558" s="19" t="n"/>
      <c r="L558" s="19" t="n"/>
      <c r="M558" s="19" t="n"/>
      <c r="N558" s="19" t="n"/>
    </row>
    <row r="559" ht="15.75" customHeight="1" s="545">
      <c r="A559" s="19" t="n"/>
      <c r="B559" s="19" t="n"/>
      <c r="C559" s="19" t="n"/>
      <c r="D559" s="19" t="n"/>
      <c r="E559" s="19" t="n"/>
      <c r="F559" s="19" t="n"/>
      <c r="G559" s="19" t="n"/>
      <c r="H559" s="19" t="n"/>
      <c r="I559" s="19" t="n"/>
      <c r="J559" s="19" t="n"/>
      <c r="K559" s="19" t="n"/>
      <c r="L559" s="19" t="n"/>
      <c r="M559" s="19" t="n"/>
      <c r="N559" s="19" t="n"/>
    </row>
    <row r="560" ht="15.75" customHeight="1" s="545">
      <c r="A560" s="19" t="n"/>
      <c r="B560" s="19" t="n"/>
      <c r="C560" s="19" t="n"/>
      <c r="D560" s="19" t="n"/>
      <c r="E560" s="19" t="n"/>
      <c r="F560" s="19" t="n"/>
      <c r="G560" s="19" t="n"/>
      <c r="H560" s="19" t="n"/>
      <c r="I560" s="19" t="n"/>
      <c r="J560" s="19" t="n"/>
      <c r="K560" s="19" t="n"/>
      <c r="L560" s="19" t="n"/>
      <c r="M560" s="19" t="n"/>
      <c r="N560" s="19" t="n"/>
    </row>
    <row r="561" ht="15.75" customHeight="1" s="545">
      <c r="A561" s="19" t="n"/>
      <c r="B561" s="19" t="n"/>
      <c r="C561" s="19" t="n"/>
      <c r="D561" s="19" t="n"/>
      <c r="E561" s="19" t="n"/>
      <c r="F561" s="19" t="n"/>
      <c r="G561" s="19" t="n"/>
      <c r="H561" s="19" t="n"/>
      <c r="I561" s="19" t="n"/>
      <c r="J561" s="19" t="n"/>
      <c r="K561" s="19" t="n"/>
      <c r="L561" s="19" t="n"/>
      <c r="M561" s="19" t="n"/>
      <c r="N561" s="19" t="n"/>
    </row>
    <row r="562" ht="15.75" customHeight="1" s="545">
      <c r="A562" s="19" t="n"/>
      <c r="B562" s="19" t="n"/>
      <c r="C562" s="19" t="n"/>
      <c r="D562" s="19" t="n"/>
      <c r="E562" s="19" t="n"/>
      <c r="F562" s="19" t="n"/>
      <c r="G562" s="19" t="n"/>
      <c r="H562" s="19" t="n"/>
      <c r="I562" s="19" t="n"/>
      <c r="J562" s="19" t="n"/>
      <c r="K562" s="19" t="n"/>
      <c r="L562" s="19" t="n"/>
      <c r="M562" s="19" t="n"/>
      <c r="N562" s="19" t="n"/>
    </row>
    <row r="563" ht="15.75" customHeight="1" s="545">
      <c r="A563" s="19" t="n"/>
      <c r="B563" s="19" t="n"/>
      <c r="C563" s="19" t="n"/>
      <c r="D563" s="19" t="n"/>
      <c r="E563" s="19" t="n"/>
      <c r="F563" s="19" t="n"/>
      <c r="G563" s="19" t="n"/>
      <c r="H563" s="19" t="n"/>
      <c r="I563" s="19" t="n"/>
      <c r="J563" s="19" t="n"/>
      <c r="K563" s="19" t="n"/>
      <c r="L563" s="19" t="n"/>
      <c r="M563" s="19" t="n"/>
      <c r="N563" s="19" t="n"/>
    </row>
    <row r="564" ht="15.75" customHeight="1" s="545">
      <c r="A564" s="19" t="n"/>
      <c r="B564" s="19" t="n"/>
      <c r="C564" s="19" t="n"/>
      <c r="D564" s="19" t="n"/>
      <c r="E564" s="19" t="n"/>
      <c r="F564" s="19" t="n"/>
      <c r="G564" s="19" t="n"/>
      <c r="H564" s="19" t="n"/>
      <c r="I564" s="19" t="n"/>
      <c r="J564" s="19" t="n"/>
      <c r="K564" s="19" t="n"/>
      <c r="L564" s="19" t="n"/>
      <c r="M564" s="19" t="n"/>
      <c r="N564" s="19" t="n"/>
    </row>
    <row r="565" ht="15.75" customHeight="1" s="545">
      <c r="A565" s="19" t="n"/>
      <c r="B565" s="19" t="n"/>
      <c r="C565" s="19" t="n"/>
      <c r="D565" s="19" t="n"/>
      <c r="E565" s="19" t="n"/>
      <c r="F565" s="19" t="n"/>
      <c r="G565" s="19" t="n"/>
      <c r="H565" s="19" t="n"/>
      <c r="I565" s="19" t="n"/>
      <c r="J565" s="19" t="n"/>
      <c r="K565" s="19" t="n"/>
      <c r="L565" s="19" t="n"/>
      <c r="M565" s="19" t="n"/>
      <c r="N565" s="19" t="n"/>
    </row>
    <row r="566" ht="15.75" customHeight="1" s="545">
      <c r="A566" s="19" t="n"/>
      <c r="B566" s="19" t="n"/>
      <c r="C566" s="19" t="n"/>
      <c r="D566" s="19" t="n"/>
      <c r="E566" s="19" t="n"/>
      <c r="F566" s="19" t="n"/>
      <c r="G566" s="19" t="n"/>
      <c r="H566" s="19" t="n"/>
      <c r="I566" s="19" t="n"/>
      <c r="J566" s="19" t="n"/>
      <c r="K566" s="19" t="n"/>
      <c r="L566" s="19" t="n"/>
      <c r="M566" s="19" t="n"/>
      <c r="N566" s="19" t="n"/>
    </row>
    <row r="567" ht="15.75" customHeight="1" s="545">
      <c r="A567" s="19" t="n"/>
      <c r="B567" s="19" t="n"/>
      <c r="C567" s="19" t="n"/>
      <c r="D567" s="19" t="n"/>
      <c r="E567" s="19" t="n"/>
      <c r="F567" s="19" t="n"/>
      <c r="G567" s="19" t="n"/>
      <c r="H567" s="19" t="n"/>
      <c r="I567" s="19" t="n"/>
      <c r="J567" s="19" t="n"/>
      <c r="K567" s="19" t="n"/>
      <c r="L567" s="19" t="n"/>
      <c r="M567" s="19" t="n"/>
      <c r="N567" s="19" t="n"/>
    </row>
    <row r="568" ht="15.75" customHeight="1" s="545">
      <c r="A568" s="19" t="n"/>
      <c r="B568" s="19" t="n"/>
      <c r="C568" s="19" t="n"/>
      <c r="D568" s="19" t="n"/>
      <c r="E568" s="19" t="n"/>
      <c r="F568" s="19" t="n"/>
      <c r="G568" s="19" t="n"/>
      <c r="H568" s="19" t="n"/>
      <c r="I568" s="19" t="n"/>
      <c r="J568" s="19" t="n"/>
      <c r="K568" s="19" t="n"/>
      <c r="L568" s="19" t="n"/>
      <c r="M568" s="19" t="n"/>
      <c r="N568" s="19" t="n"/>
    </row>
    <row r="569" ht="15.75" customHeight="1" s="545">
      <c r="A569" s="19" t="n"/>
      <c r="B569" s="19" t="n"/>
      <c r="C569" s="19" t="n"/>
      <c r="D569" s="19" t="n"/>
      <c r="E569" s="19" t="n"/>
      <c r="F569" s="19" t="n"/>
      <c r="G569" s="19" t="n"/>
      <c r="H569" s="19" t="n"/>
      <c r="I569" s="19" t="n"/>
      <c r="J569" s="19" t="n"/>
      <c r="K569" s="19" t="n"/>
      <c r="L569" s="19" t="n"/>
      <c r="M569" s="19" t="n"/>
      <c r="N569" s="19" t="n"/>
    </row>
    <row r="570" ht="15.75" customHeight="1" s="545">
      <c r="A570" s="19" t="n"/>
      <c r="B570" s="19" t="n"/>
      <c r="C570" s="19" t="n"/>
      <c r="D570" s="19" t="n"/>
      <c r="E570" s="19" t="n"/>
      <c r="F570" s="19" t="n"/>
      <c r="G570" s="19" t="n"/>
      <c r="H570" s="19" t="n"/>
      <c r="I570" s="19" t="n"/>
      <c r="J570" s="19" t="n"/>
      <c r="K570" s="19" t="n"/>
      <c r="L570" s="19" t="n"/>
      <c r="M570" s="19" t="n"/>
      <c r="N570" s="19" t="n"/>
    </row>
    <row r="571" ht="15.75" customHeight="1" s="545">
      <c r="A571" s="19" t="n"/>
      <c r="B571" s="19" t="n"/>
      <c r="C571" s="19" t="n"/>
      <c r="D571" s="19" t="n"/>
      <c r="E571" s="19" t="n"/>
      <c r="F571" s="19" t="n"/>
      <c r="G571" s="19" t="n"/>
      <c r="H571" s="19" t="n"/>
      <c r="I571" s="19" t="n"/>
      <c r="J571" s="19" t="n"/>
      <c r="K571" s="19" t="n"/>
      <c r="L571" s="19" t="n"/>
      <c r="M571" s="19" t="n"/>
      <c r="N571" s="19" t="n"/>
    </row>
    <row r="572" ht="15.75" customHeight="1" s="545">
      <c r="A572" s="19" t="n"/>
      <c r="B572" s="19" t="n"/>
      <c r="C572" s="19" t="n"/>
      <c r="D572" s="19" t="n"/>
      <c r="E572" s="19" t="n"/>
      <c r="F572" s="19" t="n"/>
      <c r="G572" s="19" t="n"/>
      <c r="H572" s="19" t="n"/>
      <c r="I572" s="19" t="n"/>
      <c r="J572" s="19" t="n"/>
      <c r="K572" s="19" t="n"/>
      <c r="L572" s="19" t="n"/>
      <c r="M572" s="19" t="n"/>
      <c r="N572" s="19" t="n"/>
    </row>
    <row r="573" ht="15.75" customHeight="1" s="545">
      <c r="A573" s="19" t="n"/>
      <c r="B573" s="19" t="n"/>
      <c r="C573" s="19" t="n"/>
      <c r="D573" s="19" t="n"/>
      <c r="E573" s="19" t="n"/>
      <c r="F573" s="19" t="n"/>
      <c r="G573" s="19" t="n"/>
      <c r="H573" s="19" t="n"/>
      <c r="I573" s="19" t="n"/>
      <c r="J573" s="19" t="n"/>
      <c r="K573" s="19" t="n"/>
      <c r="L573" s="19" t="n"/>
      <c r="M573" s="19" t="n"/>
      <c r="N573" s="19" t="n"/>
    </row>
    <row r="574" ht="15.75" customHeight="1" s="545">
      <c r="A574" s="19" t="n"/>
      <c r="B574" s="19" t="n"/>
      <c r="C574" s="19" t="n"/>
      <c r="D574" s="19" t="n"/>
      <c r="E574" s="19" t="n"/>
      <c r="F574" s="19" t="n"/>
      <c r="G574" s="19" t="n"/>
      <c r="H574" s="19" t="n"/>
      <c r="I574" s="19" t="n"/>
      <c r="J574" s="19" t="n"/>
      <c r="K574" s="19" t="n"/>
      <c r="L574" s="19" t="n"/>
      <c r="M574" s="19" t="n"/>
      <c r="N574" s="19" t="n"/>
    </row>
    <row r="575" ht="15.75" customHeight="1" s="545">
      <c r="A575" s="19" t="n"/>
      <c r="B575" s="19" t="n"/>
      <c r="C575" s="19" t="n"/>
      <c r="D575" s="19" t="n"/>
      <c r="E575" s="19" t="n"/>
      <c r="F575" s="19" t="n"/>
      <c r="G575" s="19" t="n"/>
      <c r="H575" s="19" t="n"/>
      <c r="I575" s="19" t="n"/>
      <c r="J575" s="19" t="n"/>
      <c r="K575" s="19" t="n"/>
      <c r="L575" s="19" t="n"/>
      <c r="M575" s="19" t="n"/>
      <c r="N575" s="19" t="n"/>
    </row>
    <row r="576" ht="15.75" customHeight="1" s="545">
      <c r="A576" s="19" t="n"/>
      <c r="B576" s="19" t="n"/>
      <c r="C576" s="19" t="n"/>
      <c r="D576" s="19" t="n"/>
      <c r="E576" s="19" t="n"/>
      <c r="F576" s="19" t="n"/>
      <c r="G576" s="19" t="n"/>
      <c r="H576" s="19" t="n"/>
      <c r="I576" s="19" t="n"/>
      <c r="J576" s="19" t="n"/>
      <c r="K576" s="19" t="n"/>
      <c r="L576" s="19" t="n"/>
      <c r="M576" s="19" t="n"/>
      <c r="N576" s="19" t="n"/>
    </row>
    <row r="577" ht="15.75" customHeight="1" s="545">
      <c r="A577" s="19" t="n"/>
      <c r="B577" s="19" t="n"/>
      <c r="C577" s="19" t="n"/>
      <c r="D577" s="19" t="n"/>
      <c r="E577" s="19" t="n"/>
      <c r="F577" s="19" t="n"/>
      <c r="G577" s="19" t="n"/>
      <c r="H577" s="19" t="n"/>
      <c r="I577" s="19" t="n"/>
      <c r="J577" s="19" t="n"/>
      <c r="K577" s="19" t="n"/>
      <c r="L577" s="19" t="n"/>
      <c r="M577" s="19" t="n"/>
      <c r="N577" s="19" t="n"/>
    </row>
    <row r="578" ht="15.75" customHeight="1" s="545">
      <c r="A578" s="19" t="n"/>
      <c r="B578" s="19" t="n"/>
      <c r="C578" s="19" t="n"/>
      <c r="D578" s="19" t="n"/>
      <c r="E578" s="19" t="n"/>
      <c r="F578" s="19" t="n"/>
      <c r="G578" s="19" t="n"/>
      <c r="H578" s="19" t="n"/>
      <c r="I578" s="19" t="n"/>
      <c r="J578" s="19" t="n"/>
      <c r="K578" s="19" t="n"/>
      <c r="L578" s="19" t="n"/>
      <c r="M578" s="19" t="n"/>
      <c r="N578" s="19" t="n"/>
    </row>
    <row r="579" ht="15.75" customHeight="1" s="545">
      <c r="A579" s="19" t="n"/>
      <c r="B579" s="19" t="n"/>
      <c r="C579" s="19" t="n"/>
      <c r="D579" s="19" t="n"/>
      <c r="E579" s="19" t="n"/>
      <c r="F579" s="19" t="n"/>
      <c r="G579" s="19" t="n"/>
      <c r="H579" s="19" t="n"/>
      <c r="I579" s="19" t="n"/>
      <c r="J579" s="19" t="n"/>
      <c r="K579" s="19" t="n"/>
      <c r="L579" s="19" t="n"/>
      <c r="M579" s="19" t="n"/>
      <c r="N579" s="19" t="n"/>
    </row>
    <row r="580" ht="15.75" customHeight="1" s="545">
      <c r="A580" s="19" t="n"/>
      <c r="B580" s="19" t="n"/>
      <c r="C580" s="19" t="n"/>
      <c r="D580" s="19" t="n"/>
      <c r="E580" s="19" t="n"/>
      <c r="F580" s="19" t="n"/>
      <c r="G580" s="19" t="n"/>
      <c r="H580" s="19" t="n"/>
      <c r="I580" s="19" t="n"/>
      <c r="J580" s="19" t="n"/>
      <c r="K580" s="19" t="n"/>
      <c r="L580" s="19" t="n"/>
      <c r="M580" s="19" t="n"/>
      <c r="N580" s="19" t="n"/>
    </row>
    <row r="581" ht="15.75" customHeight="1" s="545">
      <c r="A581" s="19" t="n"/>
      <c r="B581" s="19" t="n"/>
      <c r="C581" s="19" t="n"/>
      <c r="D581" s="19" t="n"/>
      <c r="E581" s="19" t="n"/>
      <c r="F581" s="19" t="n"/>
      <c r="G581" s="19" t="n"/>
      <c r="H581" s="19" t="n"/>
      <c r="I581" s="19" t="n"/>
      <c r="J581" s="19" t="n"/>
      <c r="K581" s="19" t="n"/>
      <c r="L581" s="19" t="n"/>
      <c r="M581" s="19" t="n"/>
      <c r="N581" s="19" t="n"/>
    </row>
    <row r="582" ht="15.75" customHeight="1" s="545">
      <c r="A582" s="19" t="n"/>
      <c r="B582" s="19" t="n"/>
      <c r="C582" s="19" t="n"/>
      <c r="D582" s="19" t="n"/>
      <c r="E582" s="19" t="n"/>
      <c r="F582" s="19" t="n"/>
      <c r="G582" s="19" t="n"/>
      <c r="H582" s="19" t="n"/>
      <c r="I582" s="19" t="n"/>
      <c r="J582" s="19" t="n"/>
      <c r="K582" s="19" t="n"/>
      <c r="L582" s="19" t="n"/>
      <c r="M582" s="19" t="n"/>
      <c r="N582" s="19" t="n"/>
    </row>
    <row r="583" ht="15.75" customHeight="1" s="545">
      <c r="A583" s="19" t="n"/>
      <c r="B583" s="19" t="n"/>
      <c r="C583" s="19" t="n"/>
      <c r="D583" s="19" t="n"/>
      <c r="E583" s="19" t="n"/>
      <c r="F583" s="19" t="n"/>
      <c r="G583" s="19" t="n"/>
      <c r="H583" s="19" t="n"/>
      <c r="I583" s="19" t="n"/>
      <c r="J583" s="19" t="n"/>
      <c r="K583" s="19" t="n"/>
      <c r="L583" s="19" t="n"/>
      <c r="M583" s="19" t="n"/>
      <c r="N583" s="19" t="n"/>
    </row>
    <row r="584" ht="15.75" customHeight="1" s="545">
      <c r="A584" s="19" t="n"/>
      <c r="B584" s="19" t="n"/>
      <c r="C584" s="19" t="n"/>
      <c r="D584" s="19" t="n"/>
      <c r="E584" s="19" t="n"/>
      <c r="F584" s="19" t="n"/>
      <c r="G584" s="19" t="n"/>
      <c r="H584" s="19" t="n"/>
      <c r="I584" s="19" t="n"/>
      <c r="J584" s="19" t="n"/>
      <c r="K584" s="19" t="n"/>
      <c r="L584" s="19" t="n"/>
      <c r="M584" s="19" t="n"/>
      <c r="N584" s="19" t="n"/>
    </row>
    <row r="585" ht="15.75" customHeight="1" s="545">
      <c r="A585" s="19" t="n"/>
      <c r="B585" s="19" t="n"/>
      <c r="C585" s="19" t="n"/>
      <c r="D585" s="19" t="n"/>
      <c r="E585" s="19" t="n"/>
      <c r="F585" s="19" t="n"/>
      <c r="G585" s="19" t="n"/>
      <c r="H585" s="19" t="n"/>
      <c r="I585" s="19" t="n"/>
      <c r="J585" s="19" t="n"/>
      <c r="K585" s="19" t="n"/>
      <c r="L585" s="19" t="n"/>
      <c r="M585" s="19" t="n"/>
      <c r="N585" s="19" t="n"/>
    </row>
    <row r="586" ht="15.75" customHeight="1" s="545">
      <c r="A586" s="19" t="n"/>
      <c r="B586" s="19" t="n"/>
      <c r="C586" s="19" t="n"/>
      <c r="D586" s="19" t="n"/>
      <c r="E586" s="19" t="n"/>
      <c r="F586" s="19" t="n"/>
      <c r="G586" s="19" t="n"/>
      <c r="H586" s="19" t="n"/>
      <c r="I586" s="19" t="n"/>
      <c r="J586" s="19" t="n"/>
      <c r="K586" s="19" t="n"/>
      <c r="L586" s="19" t="n"/>
      <c r="M586" s="19" t="n"/>
      <c r="N586" s="19" t="n"/>
    </row>
    <row r="587" ht="15.75" customHeight="1" s="545">
      <c r="A587" s="19" t="n"/>
      <c r="B587" s="19" t="n"/>
      <c r="C587" s="19" t="n"/>
      <c r="D587" s="19" t="n"/>
      <c r="E587" s="19" t="n"/>
      <c r="F587" s="19" t="n"/>
      <c r="G587" s="19" t="n"/>
      <c r="H587" s="19" t="n"/>
      <c r="I587" s="19" t="n"/>
      <c r="J587" s="19" t="n"/>
      <c r="K587" s="19" t="n"/>
      <c r="L587" s="19" t="n"/>
      <c r="M587" s="19" t="n"/>
      <c r="N587" s="19" t="n"/>
    </row>
    <row r="588" ht="15.75" customHeight="1" s="545">
      <c r="A588" s="19" t="n"/>
      <c r="B588" s="19" t="n"/>
      <c r="C588" s="19" t="n"/>
      <c r="D588" s="19" t="n"/>
      <c r="E588" s="19" t="n"/>
      <c r="F588" s="19" t="n"/>
      <c r="G588" s="19" t="n"/>
      <c r="H588" s="19" t="n"/>
      <c r="I588" s="19" t="n"/>
      <c r="J588" s="19" t="n"/>
      <c r="K588" s="19" t="n"/>
      <c r="L588" s="19" t="n"/>
      <c r="M588" s="19" t="n"/>
      <c r="N588" s="19" t="n"/>
    </row>
    <row r="589" ht="15.75" customHeight="1" s="545">
      <c r="A589" s="19" t="n"/>
      <c r="B589" s="19" t="n"/>
      <c r="C589" s="19" t="n"/>
      <c r="D589" s="19" t="n"/>
      <c r="E589" s="19" t="n"/>
      <c r="F589" s="19" t="n"/>
      <c r="G589" s="19" t="n"/>
      <c r="H589" s="19" t="n"/>
      <c r="I589" s="19" t="n"/>
      <c r="J589" s="19" t="n"/>
      <c r="K589" s="19" t="n"/>
      <c r="L589" s="19" t="n"/>
      <c r="M589" s="19" t="n"/>
      <c r="N589" s="19" t="n"/>
    </row>
    <row r="590" ht="15.75" customHeight="1" s="545">
      <c r="A590" s="19" t="n"/>
      <c r="B590" s="19" t="n"/>
      <c r="C590" s="19" t="n"/>
      <c r="D590" s="19" t="n"/>
      <c r="E590" s="19" t="n"/>
      <c r="F590" s="19" t="n"/>
      <c r="G590" s="19" t="n"/>
      <c r="H590" s="19" t="n"/>
      <c r="I590" s="19" t="n"/>
      <c r="J590" s="19" t="n"/>
      <c r="K590" s="19" t="n"/>
      <c r="L590" s="19" t="n"/>
      <c r="M590" s="19" t="n"/>
      <c r="N590" s="19" t="n"/>
    </row>
    <row r="591" ht="15.75" customHeight="1" s="545">
      <c r="A591" s="19" t="n"/>
      <c r="B591" s="19" t="n"/>
      <c r="C591" s="19" t="n"/>
      <c r="D591" s="19" t="n"/>
      <c r="E591" s="19" t="n"/>
      <c r="F591" s="19" t="n"/>
      <c r="G591" s="19" t="n"/>
      <c r="H591" s="19" t="n"/>
      <c r="I591" s="19" t="n"/>
      <c r="J591" s="19" t="n"/>
      <c r="K591" s="19" t="n"/>
      <c r="L591" s="19" t="n"/>
      <c r="M591" s="19" t="n"/>
      <c r="N591" s="19" t="n"/>
    </row>
    <row r="592" ht="15.75" customHeight="1" s="545">
      <c r="A592" s="19" t="n"/>
      <c r="B592" s="19" t="n"/>
      <c r="C592" s="19" t="n"/>
      <c r="D592" s="19" t="n"/>
      <c r="E592" s="19" t="n"/>
      <c r="F592" s="19" t="n"/>
      <c r="G592" s="19" t="n"/>
      <c r="H592" s="19" t="n"/>
      <c r="I592" s="19" t="n"/>
      <c r="J592" s="19" t="n"/>
      <c r="K592" s="19" t="n"/>
      <c r="L592" s="19" t="n"/>
      <c r="M592" s="19" t="n"/>
      <c r="N592" s="19" t="n"/>
    </row>
    <row r="593" ht="15.75" customHeight="1" s="545">
      <c r="A593" s="19" t="n"/>
      <c r="B593" s="19" t="n"/>
      <c r="C593" s="19" t="n"/>
      <c r="D593" s="19" t="n"/>
      <c r="E593" s="19" t="n"/>
      <c r="F593" s="19" t="n"/>
      <c r="G593" s="19" t="n"/>
      <c r="H593" s="19" t="n"/>
      <c r="I593" s="19" t="n"/>
      <c r="J593" s="19" t="n"/>
      <c r="K593" s="19" t="n"/>
      <c r="L593" s="19" t="n"/>
      <c r="M593" s="19" t="n"/>
      <c r="N593" s="19" t="n"/>
    </row>
    <row r="594" ht="15.75" customHeight="1" s="545">
      <c r="A594" s="19" t="n"/>
      <c r="B594" s="19" t="n"/>
      <c r="C594" s="19" t="n"/>
      <c r="D594" s="19" t="n"/>
      <c r="E594" s="19" t="n"/>
      <c r="F594" s="19" t="n"/>
      <c r="G594" s="19" t="n"/>
      <c r="H594" s="19" t="n"/>
      <c r="I594" s="19" t="n"/>
      <c r="J594" s="19" t="n"/>
      <c r="K594" s="19" t="n"/>
      <c r="L594" s="19" t="n"/>
      <c r="M594" s="19" t="n"/>
      <c r="N594" s="19" t="n"/>
    </row>
    <row r="595" ht="15.75" customHeight="1" s="545">
      <c r="A595" s="19" t="n"/>
      <c r="B595" s="19" t="n"/>
      <c r="C595" s="19" t="n"/>
      <c r="D595" s="19" t="n"/>
      <c r="E595" s="19" t="n"/>
      <c r="F595" s="19" t="n"/>
      <c r="G595" s="19" t="n"/>
      <c r="H595" s="19" t="n"/>
      <c r="I595" s="19" t="n"/>
      <c r="J595" s="19" t="n"/>
      <c r="K595" s="19" t="n"/>
      <c r="L595" s="19" t="n"/>
      <c r="M595" s="19" t="n"/>
      <c r="N595" s="19" t="n"/>
    </row>
    <row r="596" ht="15.75" customHeight="1" s="545">
      <c r="A596" s="19" t="n"/>
      <c r="B596" s="19" t="n"/>
      <c r="C596" s="19" t="n"/>
      <c r="D596" s="19" t="n"/>
      <c r="E596" s="19" t="n"/>
      <c r="F596" s="19" t="n"/>
      <c r="G596" s="19" t="n"/>
      <c r="H596" s="19" t="n"/>
      <c r="I596" s="19" t="n"/>
      <c r="J596" s="19" t="n"/>
      <c r="K596" s="19" t="n"/>
      <c r="L596" s="19" t="n"/>
      <c r="M596" s="19" t="n"/>
      <c r="N596" s="19" t="n"/>
    </row>
    <row r="597" ht="15.75" customHeight="1" s="545">
      <c r="A597" s="19" t="n"/>
      <c r="B597" s="19" t="n"/>
      <c r="C597" s="19" t="n"/>
      <c r="D597" s="19" t="n"/>
      <c r="E597" s="19" t="n"/>
      <c r="F597" s="19" t="n"/>
      <c r="G597" s="19" t="n"/>
      <c r="H597" s="19" t="n"/>
      <c r="I597" s="19" t="n"/>
      <c r="J597" s="19" t="n"/>
      <c r="K597" s="19" t="n"/>
      <c r="L597" s="19" t="n"/>
      <c r="M597" s="19" t="n"/>
      <c r="N597" s="19" t="n"/>
    </row>
    <row r="598" ht="15.75" customHeight="1" s="545">
      <c r="A598" s="19" t="n"/>
      <c r="B598" s="19" t="n"/>
      <c r="C598" s="19" t="n"/>
      <c r="D598" s="19" t="n"/>
      <c r="E598" s="19" t="n"/>
      <c r="F598" s="19" t="n"/>
      <c r="G598" s="19" t="n"/>
      <c r="H598" s="19" t="n"/>
      <c r="I598" s="19" t="n"/>
      <c r="J598" s="19" t="n"/>
      <c r="K598" s="19" t="n"/>
      <c r="L598" s="19" t="n"/>
      <c r="M598" s="19" t="n"/>
      <c r="N598" s="19" t="n"/>
    </row>
    <row r="599" ht="15.75" customHeight="1" s="545">
      <c r="A599" s="19" t="n"/>
      <c r="B599" s="19" t="n"/>
      <c r="C599" s="19" t="n"/>
      <c r="D599" s="19" t="n"/>
      <c r="E599" s="19" t="n"/>
      <c r="F599" s="19" t="n"/>
      <c r="G599" s="19" t="n"/>
      <c r="H599" s="19" t="n"/>
      <c r="I599" s="19" t="n"/>
      <c r="J599" s="19" t="n"/>
      <c r="K599" s="19" t="n"/>
      <c r="L599" s="19" t="n"/>
      <c r="M599" s="19" t="n"/>
      <c r="N599" s="19" t="n"/>
    </row>
    <row r="600" ht="15.75" customHeight="1" s="545">
      <c r="A600" s="19" t="n"/>
      <c r="B600" s="19" t="n"/>
      <c r="C600" s="19" t="n"/>
      <c r="D600" s="19" t="n"/>
      <c r="E600" s="19" t="n"/>
      <c r="F600" s="19" t="n"/>
      <c r="G600" s="19" t="n"/>
      <c r="H600" s="19" t="n"/>
      <c r="I600" s="19" t="n"/>
      <c r="J600" s="19" t="n"/>
      <c r="K600" s="19" t="n"/>
      <c r="L600" s="19" t="n"/>
      <c r="M600" s="19" t="n"/>
      <c r="N600" s="19" t="n"/>
    </row>
    <row r="601" ht="15.75" customHeight="1" s="545">
      <c r="A601" s="19" t="n"/>
      <c r="B601" s="19" t="n"/>
      <c r="C601" s="19" t="n"/>
      <c r="D601" s="19" t="n"/>
      <c r="E601" s="19" t="n"/>
      <c r="F601" s="19" t="n"/>
      <c r="G601" s="19" t="n"/>
      <c r="H601" s="19" t="n"/>
      <c r="I601" s="19" t="n"/>
      <c r="J601" s="19" t="n"/>
      <c r="K601" s="19" t="n"/>
      <c r="L601" s="19" t="n"/>
      <c r="M601" s="19" t="n"/>
      <c r="N601" s="19" t="n"/>
    </row>
    <row r="602" ht="15.75" customHeight="1" s="545">
      <c r="A602" s="19" t="n"/>
      <c r="B602" s="19" t="n"/>
      <c r="C602" s="19" t="n"/>
      <c r="D602" s="19" t="n"/>
      <c r="E602" s="19" t="n"/>
      <c r="F602" s="19" t="n"/>
      <c r="G602" s="19" t="n"/>
      <c r="H602" s="19" t="n"/>
      <c r="I602" s="19" t="n"/>
      <c r="J602" s="19" t="n"/>
      <c r="K602" s="19" t="n"/>
      <c r="L602" s="19" t="n"/>
      <c r="M602" s="19" t="n"/>
      <c r="N602" s="19" t="n"/>
    </row>
    <row r="603" ht="15.75" customHeight="1" s="545">
      <c r="A603" s="19" t="n"/>
      <c r="B603" s="19" t="n"/>
      <c r="C603" s="19" t="n"/>
      <c r="D603" s="19" t="n"/>
      <c r="E603" s="19" t="n"/>
      <c r="F603" s="19" t="n"/>
      <c r="G603" s="19" t="n"/>
      <c r="H603" s="19" t="n"/>
      <c r="I603" s="19" t="n"/>
      <c r="J603" s="19" t="n"/>
      <c r="K603" s="19" t="n"/>
      <c r="L603" s="19" t="n"/>
      <c r="M603" s="19" t="n"/>
      <c r="N603" s="19" t="n"/>
    </row>
    <row r="604" ht="15.75" customHeight="1" s="545">
      <c r="A604" s="19" t="n"/>
      <c r="B604" s="19" t="n"/>
      <c r="C604" s="19" t="n"/>
      <c r="D604" s="19" t="n"/>
      <c r="E604" s="19" t="n"/>
      <c r="F604" s="19" t="n"/>
      <c r="G604" s="19" t="n"/>
      <c r="H604" s="19" t="n"/>
      <c r="I604" s="19" t="n"/>
      <c r="J604" s="19" t="n"/>
      <c r="K604" s="19" t="n"/>
      <c r="L604" s="19" t="n"/>
      <c r="M604" s="19" t="n"/>
      <c r="N604" s="19" t="n"/>
    </row>
    <row r="605" ht="15.75" customHeight="1" s="545">
      <c r="A605" s="19" t="n"/>
      <c r="B605" s="19" t="n"/>
      <c r="C605" s="19" t="n"/>
      <c r="D605" s="19" t="n"/>
      <c r="E605" s="19" t="n"/>
      <c r="F605" s="19" t="n"/>
      <c r="G605" s="19" t="n"/>
      <c r="H605" s="19" t="n"/>
      <c r="I605" s="19" t="n"/>
      <c r="J605" s="19" t="n"/>
      <c r="K605" s="19" t="n"/>
      <c r="L605" s="19" t="n"/>
      <c r="M605" s="19" t="n"/>
      <c r="N605" s="19" t="n"/>
    </row>
    <row r="606" ht="15.75" customHeight="1" s="545">
      <c r="A606" s="19" t="n"/>
      <c r="B606" s="19" t="n"/>
      <c r="C606" s="19" t="n"/>
      <c r="D606" s="19" t="n"/>
      <c r="E606" s="19" t="n"/>
      <c r="F606" s="19" t="n"/>
      <c r="G606" s="19" t="n"/>
      <c r="H606" s="19" t="n"/>
      <c r="I606" s="19" t="n"/>
      <c r="J606" s="19" t="n"/>
      <c r="K606" s="19" t="n"/>
      <c r="L606" s="19" t="n"/>
      <c r="M606" s="19" t="n"/>
      <c r="N606" s="19" t="n"/>
    </row>
    <row r="607" ht="15.75" customHeight="1" s="545">
      <c r="A607" s="19" t="n"/>
      <c r="B607" s="19" t="n"/>
      <c r="C607" s="19" t="n"/>
      <c r="D607" s="19" t="n"/>
      <c r="E607" s="19" t="n"/>
      <c r="F607" s="19" t="n"/>
      <c r="G607" s="19" t="n"/>
      <c r="H607" s="19" t="n"/>
      <c r="I607" s="19" t="n"/>
      <c r="J607" s="19" t="n"/>
      <c r="K607" s="19" t="n"/>
      <c r="L607" s="19" t="n"/>
      <c r="M607" s="19" t="n"/>
      <c r="N607" s="19" t="n"/>
    </row>
    <row r="608" ht="15.75" customHeight="1" s="545">
      <c r="A608" s="19" t="n"/>
      <c r="B608" s="19" t="n"/>
      <c r="C608" s="19" t="n"/>
      <c r="D608" s="19" t="n"/>
      <c r="E608" s="19" t="n"/>
      <c r="F608" s="19" t="n"/>
      <c r="G608" s="19" t="n"/>
      <c r="H608" s="19" t="n"/>
      <c r="I608" s="19" t="n"/>
      <c r="J608" s="19" t="n"/>
      <c r="K608" s="19" t="n"/>
      <c r="L608" s="19" t="n"/>
      <c r="M608" s="19" t="n"/>
      <c r="N608" s="19" t="n"/>
    </row>
    <row r="609" ht="15.75" customHeight="1" s="545">
      <c r="A609" s="19" t="n"/>
      <c r="B609" s="19" t="n"/>
      <c r="C609" s="19" t="n"/>
      <c r="D609" s="19" t="n"/>
      <c r="E609" s="19" t="n"/>
      <c r="F609" s="19" t="n"/>
      <c r="G609" s="19" t="n"/>
      <c r="H609" s="19" t="n"/>
      <c r="I609" s="19" t="n"/>
      <c r="J609" s="19" t="n"/>
      <c r="K609" s="19" t="n"/>
      <c r="L609" s="19" t="n"/>
      <c r="M609" s="19" t="n"/>
      <c r="N609" s="19" t="n"/>
    </row>
    <row r="610" ht="15.75" customHeight="1" s="545">
      <c r="A610" s="19" t="n"/>
      <c r="B610" s="19" t="n"/>
      <c r="C610" s="19" t="n"/>
      <c r="D610" s="19" t="n"/>
      <c r="E610" s="19" t="n"/>
      <c r="F610" s="19" t="n"/>
      <c r="G610" s="19" t="n"/>
      <c r="H610" s="19" t="n"/>
      <c r="I610" s="19" t="n"/>
      <c r="J610" s="19" t="n"/>
      <c r="K610" s="19" t="n"/>
      <c r="L610" s="19" t="n"/>
      <c r="M610" s="19" t="n"/>
      <c r="N610" s="19" t="n"/>
    </row>
    <row r="611" ht="15.75" customHeight="1" s="545">
      <c r="A611" s="19" t="n"/>
      <c r="B611" s="19" t="n"/>
      <c r="C611" s="19" t="n"/>
      <c r="D611" s="19" t="n"/>
      <c r="E611" s="19" t="n"/>
      <c r="F611" s="19" t="n"/>
      <c r="G611" s="19" t="n"/>
      <c r="H611" s="19" t="n"/>
      <c r="I611" s="19" t="n"/>
      <c r="J611" s="19" t="n"/>
      <c r="K611" s="19" t="n"/>
      <c r="L611" s="19" t="n"/>
      <c r="M611" s="19" t="n"/>
      <c r="N611" s="19" t="n"/>
    </row>
    <row r="612" ht="15.75" customHeight="1" s="545">
      <c r="A612" s="19" t="n"/>
      <c r="B612" s="19" t="n"/>
      <c r="C612" s="19" t="n"/>
      <c r="D612" s="19" t="n"/>
      <c r="E612" s="19" t="n"/>
      <c r="F612" s="19" t="n"/>
      <c r="G612" s="19" t="n"/>
      <c r="H612" s="19" t="n"/>
      <c r="I612" s="19" t="n"/>
      <c r="J612" s="19" t="n"/>
      <c r="K612" s="19" t="n"/>
      <c r="L612" s="19" t="n"/>
      <c r="M612" s="19" t="n"/>
      <c r="N612" s="19" t="n"/>
    </row>
    <row r="613" ht="15.75" customHeight="1" s="545">
      <c r="A613" s="19" t="n"/>
      <c r="B613" s="19" t="n"/>
      <c r="C613" s="19" t="n"/>
      <c r="D613" s="19" t="n"/>
      <c r="E613" s="19" t="n"/>
      <c r="F613" s="19" t="n"/>
      <c r="G613" s="19" t="n"/>
      <c r="H613" s="19" t="n"/>
      <c r="I613" s="19" t="n"/>
      <c r="J613" s="19" t="n"/>
      <c r="K613" s="19" t="n"/>
      <c r="L613" s="19" t="n"/>
      <c r="M613" s="19" t="n"/>
      <c r="N613" s="19" t="n"/>
    </row>
    <row r="614" ht="15.75" customHeight="1" s="545">
      <c r="A614" s="19" t="n"/>
      <c r="B614" s="19" t="n"/>
      <c r="C614" s="19" t="n"/>
      <c r="D614" s="19" t="n"/>
      <c r="E614" s="19" t="n"/>
      <c r="F614" s="19" t="n"/>
      <c r="G614" s="19" t="n"/>
      <c r="H614" s="19" t="n"/>
      <c r="I614" s="19" t="n"/>
      <c r="J614" s="19" t="n"/>
      <c r="K614" s="19" t="n"/>
      <c r="L614" s="19" t="n"/>
      <c r="M614" s="19" t="n"/>
      <c r="N614" s="19" t="n"/>
    </row>
    <row r="615" ht="15.75" customHeight="1" s="545">
      <c r="A615" s="19" t="n"/>
      <c r="B615" s="19" t="n"/>
      <c r="C615" s="19" t="n"/>
      <c r="D615" s="19" t="n"/>
      <c r="E615" s="19" t="n"/>
      <c r="F615" s="19" t="n"/>
      <c r="G615" s="19" t="n"/>
      <c r="H615" s="19" t="n"/>
      <c r="I615" s="19" t="n"/>
      <c r="J615" s="19" t="n"/>
      <c r="K615" s="19" t="n"/>
      <c r="L615" s="19" t="n"/>
      <c r="M615" s="19" t="n"/>
      <c r="N615" s="19" t="n"/>
    </row>
    <row r="616" ht="15.75" customHeight="1" s="545">
      <c r="A616" s="19" t="n"/>
      <c r="B616" s="19" t="n"/>
      <c r="C616" s="19" t="n"/>
      <c r="D616" s="19" t="n"/>
      <c r="E616" s="19" t="n"/>
      <c r="F616" s="19" t="n"/>
      <c r="G616" s="19" t="n"/>
      <c r="H616" s="19" t="n"/>
      <c r="I616" s="19" t="n"/>
      <c r="J616" s="19" t="n"/>
      <c r="K616" s="19" t="n"/>
      <c r="L616" s="19" t="n"/>
      <c r="M616" s="19" t="n"/>
      <c r="N616" s="19" t="n"/>
    </row>
    <row r="617" ht="15.75" customHeight="1" s="545">
      <c r="A617" s="19" t="n"/>
      <c r="B617" s="19" t="n"/>
      <c r="C617" s="19" t="n"/>
      <c r="D617" s="19" t="n"/>
      <c r="E617" s="19" t="n"/>
      <c r="F617" s="19" t="n"/>
      <c r="G617" s="19" t="n"/>
      <c r="H617" s="19" t="n"/>
      <c r="I617" s="19" t="n"/>
      <c r="J617" s="19" t="n"/>
      <c r="K617" s="19" t="n"/>
      <c r="L617" s="19" t="n"/>
      <c r="M617" s="19" t="n"/>
      <c r="N617" s="19" t="n"/>
    </row>
    <row r="618" ht="15.75" customHeight="1" s="545">
      <c r="A618" s="19" t="n"/>
      <c r="B618" s="19" t="n"/>
      <c r="C618" s="19" t="n"/>
      <c r="D618" s="19" t="n"/>
      <c r="E618" s="19" t="n"/>
      <c r="F618" s="19" t="n"/>
      <c r="G618" s="19" t="n"/>
      <c r="H618" s="19" t="n"/>
      <c r="I618" s="19" t="n"/>
      <c r="J618" s="19" t="n"/>
      <c r="K618" s="19" t="n"/>
      <c r="L618" s="19" t="n"/>
      <c r="M618" s="19" t="n"/>
      <c r="N618" s="19" t="n"/>
    </row>
    <row r="619" ht="15.75" customHeight="1" s="545">
      <c r="A619" s="19" t="n"/>
      <c r="B619" s="19" t="n"/>
      <c r="C619" s="19" t="n"/>
      <c r="D619" s="19" t="n"/>
      <c r="E619" s="19" t="n"/>
      <c r="F619" s="19" t="n"/>
      <c r="G619" s="19" t="n"/>
      <c r="H619" s="19" t="n"/>
      <c r="I619" s="19" t="n"/>
      <c r="J619" s="19" t="n"/>
      <c r="K619" s="19" t="n"/>
      <c r="L619" s="19" t="n"/>
      <c r="M619" s="19" t="n"/>
      <c r="N619" s="19" t="n"/>
    </row>
    <row r="620" ht="15.75" customHeight="1" s="545">
      <c r="A620" s="19" t="n"/>
      <c r="B620" s="19" t="n"/>
      <c r="C620" s="19" t="n"/>
      <c r="D620" s="19" t="n"/>
      <c r="E620" s="19" t="n"/>
      <c r="F620" s="19" t="n"/>
      <c r="G620" s="19" t="n"/>
      <c r="H620" s="19" t="n"/>
      <c r="I620" s="19" t="n"/>
      <c r="J620" s="19" t="n"/>
      <c r="K620" s="19" t="n"/>
      <c r="L620" s="19" t="n"/>
      <c r="M620" s="19" t="n"/>
      <c r="N620" s="19" t="n"/>
    </row>
    <row r="621" ht="15.75" customHeight="1" s="545">
      <c r="A621" s="19" t="n"/>
      <c r="B621" s="19" t="n"/>
      <c r="C621" s="19" t="n"/>
      <c r="D621" s="19" t="n"/>
      <c r="E621" s="19" t="n"/>
      <c r="F621" s="19" t="n"/>
      <c r="G621" s="19" t="n"/>
      <c r="H621" s="19" t="n"/>
      <c r="I621" s="19" t="n"/>
      <c r="J621" s="19" t="n"/>
      <c r="K621" s="19" t="n"/>
      <c r="L621" s="19" t="n"/>
      <c r="M621" s="19" t="n"/>
      <c r="N621" s="19" t="n"/>
    </row>
    <row r="622" ht="15.75" customHeight="1" s="545">
      <c r="A622" s="19" t="n"/>
      <c r="B622" s="19" t="n"/>
      <c r="C622" s="19" t="n"/>
      <c r="D622" s="19" t="n"/>
      <c r="E622" s="19" t="n"/>
      <c r="F622" s="19" t="n"/>
      <c r="G622" s="19" t="n"/>
      <c r="H622" s="19" t="n"/>
      <c r="I622" s="19" t="n"/>
      <c r="J622" s="19" t="n"/>
      <c r="K622" s="19" t="n"/>
      <c r="L622" s="19" t="n"/>
      <c r="M622" s="19" t="n"/>
      <c r="N622" s="19" t="n"/>
    </row>
    <row r="623" ht="15.75" customHeight="1" s="545">
      <c r="A623" s="19" t="n"/>
      <c r="B623" s="19" t="n"/>
      <c r="C623" s="19" t="n"/>
      <c r="D623" s="19" t="n"/>
      <c r="E623" s="19" t="n"/>
      <c r="F623" s="19" t="n"/>
      <c r="G623" s="19" t="n"/>
      <c r="H623" s="19" t="n"/>
      <c r="I623" s="19" t="n"/>
      <c r="J623" s="19" t="n"/>
      <c r="K623" s="19" t="n"/>
      <c r="L623" s="19" t="n"/>
      <c r="M623" s="19" t="n"/>
      <c r="N623" s="19" t="n"/>
    </row>
    <row r="624" ht="15.75" customHeight="1" s="545">
      <c r="A624" s="19" t="n"/>
      <c r="B624" s="19" t="n"/>
      <c r="C624" s="19" t="n"/>
      <c r="D624" s="19" t="n"/>
      <c r="E624" s="19" t="n"/>
      <c r="F624" s="19" t="n"/>
      <c r="G624" s="19" t="n"/>
      <c r="H624" s="19" t="n"/>
      <c r="I624" s="19" t="n"/>
      <c r="J624" s="19" t="n"/>
      <c r="K624" s="19" t="n"/>
      <c r="L624" s="19" t="n"/>
      <c r="M624" s="19" t="n"/>
      <c r="N624" s="19" t="n"/>
    </row>
    <row r="625" ht="15.75" customHeight="1" s="545">
      <c r="A625" s="19" t="n"/>
      <c r="B625" s="19" t="n"/>
      <c r="C625" s="19" t="n"/>
      <c r="D625" s="19" t="n"/>
      <c r="E625" s="19" t="n"/>
      <c r="F625" s="19" t="n"/>
      <c r="G625" s="19" t="n"/>
      <c r="H625" s="19" t="n"/>
      <c r="I625" s="19" t="n"/>
      <c r="J625" s="19" t="n"/>
      <c r="K625" s="19" t="n"/>
      <c r="L625" s="19" t="n"/>
      <c r="M625" s="19" t="n"/>
      <c r="N625" s="19" t="n"/>
    </row>
    <row r="626" ht="15.75" customHeight="1" s="545">
      <c r="A626" s="19" t="n"/>
      <c r="B626" s="19" t="n"/>
      <c r="C626" s="19" t="n"/>
      <c r="D626" s="19" t="n"/>
      <c r="E626" s="19" t="n"/>
      <c r="F626" s="19" t="n"/>
      <c r="G626" s="19" t="n"/>
      <c r="H626" s="19" t="n"/>
      <c r="I626" s="19" t="n"/>
      <c r="J626" s="19" t="n"/>
      <c r="K626" s="19" t="n"/>
      <c r="L626" s="19" t="n"/>
      <c r="M626" s="19" t="n"/>
      <c r="N626" s="19" t="n"/>
    </row>
    <row r="627" ht="15.75" customHeight="1" s="545">
      <c r="A627" s="19" t="n"/>
      <c r="B627" s="19" t="n"/>
      <c r="C627" s="19" t="n"/>
      <c r="D627" s="19" t="n"/>
      <c r="E627" s="19" t="n"/>
      <c r="F627" s="19" t="n"/>
      <c r="G627" s="19" t="n"/>
      <c r="H627" s="19" t="n"/>
      <c r="I627" s="19" t="n"/>
      <c r="J627" s="19" t="n"/>
      <c r="K627" s="19" t="n"/>
      <c r="L627" s="19" t="n"/>
      <c r="M627" s="19" t="n"/>
      <c r="N627" s="19" t="n"/>
    </row>
    <row r="628" ht="15.75" customHeight="1" s="545">
      <c r="A628" s="19" t="n"/>
      <c r="B628" s="19" t="n"/>
      <c r="C628" s="19" t="n"/>
      <c r="D628" s="19" t="n"/>
      <c r="E628" s="19" t="n"/>
      <c r="F628" s="19" t="n"/>
      <c r="G628" s="19" t="n"/>
      <c r="H628" s="19" t="n"/>
      <c r="I628" s="19" t="n"/>
      <c r="J628" s="19" t="n"/>
      <c r="K628" s="19" t="n"/>
      <c r="L628" s="19" t="n"/>
      <c r="M628" s="19" t="n"/>
      <c r="N628" s="19" t="n"/>
    </row>
    <row r="629" ht="15.75" customHeight="1" s="545">
      <c r="A629" s="19" t="n"/>
      <c r="B629" s="19" t="n"/>
      <c r="C629" s="19" t="n"/>
      <c r="D629" s="19" t="n"/>
      <c r="E629" s="19" t="n"/>
      <c r="F629" s="19" t="n"/>
      <c r="G629" s="19" t="n"/>
      <c r="H629" s="19" t="n"/>
      <c r="I629" s="19" t="n"/>
      <c r="J629" s="19" t="n"/>
      <c r="K629" s="19" t="n"/>
      <c r="L629" s="19" t="n"/>
      <c r="M629" s="19" t="n"/>
      <c r="N629" s="19" t="n"/>
    </row>
    <row r="630" ht="15.75" customHeight="1" s="545">
      <c r="A630" s="19" t="n"/>
      <c r="B630" s="19" t="n"/>
      <c r="C630" s="19" t="n"/>
      <c r="D630" s="19" t="n"/>
      <c r="E630" s="19" t="n"/>
      <c r="F630" s="19" t="n"/>
      <c r="G630" s="19" t="n"/>
      <c r="H630" s="19" t="n"/>
      <c r="I630" s="19" t="n"/>
      <c r="J630" s="19" t="n"/>
      <c r="K630" s="19" t="n"/>
      <c r="L630" s="19" t="n"/>
      <c r="M630" s="19" t="n"/>
      <c r="N630" s="19" t="n"/>
    </row>
    <row r="631" ht="15.75" customHeight="1" s="545">
      <c r="A631" s="19" t="n"/>
      <c r="B631" s="19" t="n"/>
      <c r="C631" s="19" t="n"/>
      <c r="D631" s="19" t="n"/>
      <c r="E631" s="19" t="n"/>
      <c r="F631" s="19" t="n"/>
      <c r="G631" s="19" t="n"/>
      <c r="H631" s="19" t="n"/>
      <c r="I631" s="19" t="n"/>
      <c r="J631" s="19" t="n"/>
      <c r="K631" s="19" t="n"/>
      <c r="L631" s="19" t="n"/>
      <c r="M631" s="19" t="n"/>
      <c r="N631" s="19" t="n"/>
    </row>
    <row r="632" ht="15.75" customHeight="1" s="545">
      <c r="A632" s="19" t="n"/>
      <c r="B632" s="19" t="n"/>
      <c r="C632" s="19" t="n"/>
      <c r="D632" s="19" t="n"/>
      <c r="E632" s="19" t="n"/>
      <c r="F632" s="19" t="n"/>
      <c r="G632" s="19" t="n"/>
      <c r="H632" s="19" t="n"/>
      <c r="I632" s="19" t="n"/>
      <c r="J632" s="19" t="n"/>
      <c r="K632" s="19" t="n"/>
      <c r="L632" s="19" t="n"/>
      <c r="M632" s="19" t="n"/>
      <c r="N632" s="19" t="n"/>
    </row>
    <row r="633" ht="15.75" customHeight="1" s="545">
      <c r="A633" s="19" t="n"/>
      <c r="B633" s="19" t="n"/>
      <c r="C633" s="19" t="n"/>
      <c r="D633" s="19" t="n"/>
      <c r="E633" s="19" t="n"/>
      <c r="F633" s="19" t="n"/>
      <c r="G633" s="19" t="n"/>
      <c r="H633" s="19" t="n"/>
      <c r="I633" s="19" t="n"/>
      <c r="J633" s="19" t="n"/>
      <c r="K633" s="19" t="n"/>
      <c r="L633" s="19" t="n"/>
      <c r="M633" s="19" t="n"/>
      <c r="N633" s="19" t="n"/>
    </row>
    <row r="634" ht="15.75" customHeight="1" s="545">
      <c r="A634" s="19" t="n"/>
      <c r="B634" s="19" t="n"/>
      <c r="C634" s="19" t="n"/>
      <c r="D634" s="19" t="n"/>
      <c r="E634" s="19" t="n"/>
      <c r="F634" s="19" t="n"/>
      <c r="G634" s="19" t="n"/>
      <c r="H634" s="19" t="n"/>
      <c r="I634" s="19" t="n"/>
      <c r="J634" s="19" t="n"/>
      <c r="K634" s="19" t="n"/>
      <c r="L634" s="19" t="n"/>
      <c r="M634" s="19" t="n"/>
      <c r="N634" s="19" t="n"/>
    </row>
    <row r="635" ht="15.75" customHeight="1" s="545">
      <c r="A635" s="19" t="n"/>
      <c r="B635" s="19" t="n"/>
      <c r="C635" s="19" t="n"/>
      <c r="D635" s="19" t="n"/>
      <c r="E635" s="19" t="n"/>
      <c r="F635" s="19" t="n"/>
      <c r="G635" s="19" t="n"/>
      <c r="H635" s="19" t="n"/>
      <c r="I635" s="19" t="n"/>
      <c r="J635" s="19" t="n"/>
      <c r="K635" s="19" t="n"/>
      <c r="L635" s="19" t="n"/>
      <c r="M635" s="19" t="n"/>
      <c r="N635" s="19" t="n"/>
    </row>
    <row r="636" ht="15.75" customHeight="1" s="545">
      <c r="A636" s="19" t="n"/>
      <c r="B636" s="19" t="n"/>
      <c r="C636" s="19" t="n"/>
      <c r="D636" s="19" t="n"/>
      <c r="E636" s="19" t="n"/>
      <c r="F636" s="19" t="n"/>
      <c r="G636" s="19" t="n"/>
      <c r="H636" s="19" t="n"/>
      <c r="I636" s="19" t="n"/>
      <c r="J636" s="19" t="n"/>
      <c r="K636" s="19" t="n"/>
      <c r="L636" s="19" t="n"/>
      <c r="M636" s="19" t="n"/>
      <c r="N636" s="19" t="n"/>
    </row>
    <row r="637" ht="15.75" customHeight="1" s="545">
      <c r="A637" s="19" t="n"/>
      <c r="B637" s="19" t="n"/>
      <c r="C637" s="19" t="n"/>
      <c r="D637" s="19" t="n"/>
      <c r="E637" s="19" t="n"/>
      <c r="F637" s="19" t="n"/>
      <c r="G637" s="19" t="n"/>
      <c r="H637" s="19" t="n"/>
      <c r="I637" s="19" t="n"/>
      <c r="J637" s="19" t="n"/>
      <c r="K637" s="19" t="n"/>
      <c r="L637" s="19" t="n"/>
      <c r="M637" s="19" t="n"/>
      <c r="N637" s="19" t="n"/>
    </row>
    <row r="638" ht="15.75" customHeight="1" s="545">
      <c r="A638" s="19" t="n"/>
      <c r="B638" s="19" t="n"/>
      <c r="C638" s="19" t="n"/>
      <c r="D638" s="19" t="n"/>
      <c r="E638" s="19" t="n"/>
      <c r="F638" s="19" t="n"/>
      <c r="G638" s="19" t="n"/>
      <c r="H638" s="19" t="n"/>
      <c r="I638" s="19" t="n"/>
      <c r="J638" s="19" t="n"/>
      <c r="K638" s="19" t="n"/>
      <c r="L638" s="19" t="n"/>
      <c r="M638" s="19" t="n"/>
      <c r="N638" s="19" t="n"/>
    </row>
    <row r="639" ht="15.75" customHeight="1" s="545">
      <c r="A639" s="19" t="n"/>
      <c r="B639" s="19" t="n"/>
      <c r="C639" s="19" t="n"/>
      <c r="D639" s="19" t="n"/>
      <c r="E639" s="19" t="n"/>
      <c r="F639" s="19" t="n"/>
      <c r="G639" s="19" t="n"/>
      <c r="H639" s="19" t="n"/>
      <c r="I639" s="19" t="n"/>
      <c r="J639" s="19" t="n"/>
      <c r="K639" s="19" t="n"/>
      <c r="L639" s="19" t="n"/>
      <c r="M639" s="19" t="n"/>
      <c r="N639" s="19" t="n"/>
    </row>
    <row r="640" ht="15.75" customHeight="1" s="545">
      <c r="A640" s="19" t="n"/>
      <c r="B640" s="19" t="n"/>
      <c r="C640" s="19" t="n"/>
      <c r="D640" s="19" t="n"/>
      <c r="E640" s="19" t="n"/>
      <c r="F640" s="19" t="n"/>
      <c r="G640" s="19" t="n"/>
      <c r="H640" s="19" t="n"/>
      <c r="I640" s="19" t="n"/>
      <c r="J640" s="19" t="n"/>
      <c r="K640" s="19" t="n"/>
      <c r="L640" s="19" t="n"/>
      <c r="M640" s="19" t="n"/>
      <c r="N640" s="19" t="n"/>
    </row>
    <row r="641" ht="15.75" customHeight="1" s="545">
      <c r="A641" s="19" t="n"/>
      <c r="B641" s="19" t="n"/>
      <c r="C641" s="19" t="n"/>
      <c r="D641" s="19" t="n"/>
      <c r="E641" s="19" t="n"/>
      <c r="F641" s="19" t="n"/>
      <c r="G641" s="19" t="n"/>
      <c r="H641" s="19" t="n"/>
      <c r="I641" s="19" t="n"/>
      <c r="J641" s="19" t="n"/>
      <c r="K641" s="19" t="n"/>
      <c r="L641" s="19" t="n"/>
      <c r="M641" s="19" t="n"/>
      <c r="N641" s="19" t="n"/>
    </row>
    <row r="642" ht="15.75" customHeight="1" s="545">
      <c r="A642" s="19" t="n"/>
      <c r="B642" s="19" t="n"/>
      <c r="C642" s="19" t="n"/>
      <c r="D642" s="19" t="n"/>
      <c r="E642" s="19" t="n"/>
      <c r="F642" s="19" t="n"/>
      <c r="G642" s="19" t="n"/>
      <c r="H642" s="19" t="n"/>
      <c r="I642" s="19" t="n"/>
      <c r="J642" s="19" t="n"/>
      <c r="K642" s="19" t="n"/>
      <c r="L642" s="19" t="n"/>
      <c r="M642" s="19" t="n"/>
      <c r="N642" s="19" t="n"/>
    </row>
    <row r="643" ht="15.75" customHeight="1" s="545">
      <c r="A643" s="19" t="n"/>
      <c r="B643" s="19" t="n"/>
      <c r="C643" s="19" t="n"/>
      <c r="D643" s="19" t="n"/>
      <c r="E643" s="19" t="n"/>
      <c r="F643" s="19" t="n"/>
      <c r="G643" s="19" t="n"/>
      <c r="H643" s="19" t="n"/>
      <c r="I643" s="19" t="n"/>
      <c r="J643" s="19" t="n"/>
      <c r="K643" s="19" t="n"/>
      <c r="L643" s="19" t="n"/>
      <c r="M643" s="19" t="n"/>
      <c r="N643" s="19" t="n"/>
    </row>
    <row r="644" ht="15.75" customHeight="1" s="545">
      <c r="A644" s="19" t="n"/>
      <c r="B644" s="19" t="n"/>
      <c r="C644" s="19" t="n"/>
      <c r="D644" s="19" t="n"/>
      <c r="E644" s="19" t="n"/>
      <c r="F644" s="19" t="n"/>
      <c r="G644" s="19" t="n"/>
      <c r="H644" s="19" t="n"/>
      <c r="I644" s="19" t="n"/>
      <c r="J644" s="19" t="n"/>
      <c r="K644" s="19" t="n"/>
      <c r="L644" s="19" t="n"/>
      <c r="M644" s="19" t="n"/>
      <c r="N644" s="19" t="n"/>
    </row>
    <row r="645" ht="15.75" customHeight="1" s="545">
      <c r="A645" s="19" t="n"/>
      <c r="B645" s="19" t="n"/>
      <c r="C645" s="19" t="n"/>
      <c r="D645" s="19" t="n"/>
      <c r="E645" s="19" t="n"/>
      <c r="F645" s="19" t="n"/>
      <c r="G645" s="19" t="n"/>
      <c r="H645" s="19" t="n"/>
      <c r="I645" s="19" t="n"/>
      <c r="J645" s="19" t="n"/>
      <c r="K645" s="19" t="n"/>
      <c r="L645" s="19" t="n"/>
      <c r="M645" s="19" t="n"/>
      <c r="N645" s="19" t="n"/>
    </row>
    <row r="646" ht="15.75" customHeight="1" s="545">
      <c r="A646" s="19" t="n"/>
      <c r="B646" s="19" t="n"/>
      <c r="C646" s="19" t="n"/>
      <c r="D646" s="19" t="n"/>
      <c r="E646" s="19" t="n"/>
      <c r="F646" s="19" t="n"/>
      <c r="G646" s="19" t="n"/>
      <c r="H646" s="19" t="n"/>
      <c r="I646" s="19" t="n"/>
      <c r="J646" s="19" t="n"/>
      <c r="K646" s="19" t="n"/>
      <c r="L646" s="19" t="n"/>
      <c r="M646" s="19" t="n"/>
      <c r="N646" s="19" t="n"/>
    </row>
    <row r="647" ht="15.75" customHeight="1" s="545">
      <c r="A647" s="19" t="n"/>
      <c r="B647" s="19" t="n"/>
      <c r="C647" s="19" t="n"/>
      <c r="D647" s="19" t="n"/>
      <c r="E647" s="19" t="n"/>
      <c r="F647" s="19" t="n"/>
      <c r="G647" s="19" t="n"/>
      <c r="H647" s="19" t="n"/>
      <c r="I647" s="19" t="n"/>
      <c r="J647" s="19" t="n"/>
      <c r="K647" s="19" t="n"/>
      <c r="L647" s="19" t="n"/>
      <c r="M647" s="19" t="n"/>
      <c r="N647" s="19" t="n"/>
    </row>
    <row r="648" ht="15.75" customHeight="1" s="545">
      <c r="A648" s="19" t="n"/>
      <c r="B648" s="19" t="n"/>
      <c r="C648" s="19" t="n"/>
      <c r="D648" s="19" t="n"/>
      <c r="E648" s="19" t="n"/>
      <c r="F648" s="19" t="n"/>
      <c r="G648" s="19" t="n"/>
      <c r="H648" s="19" t="n"/>
      <c r="I648" s="19" t="n"/>
      <c r="J648" s="19" t="n"/>
      <c r="K648" s="19" t="n"/>
      <c r="L648" s="19" t="n"/>
      <c r="M648" s="19" t="n"/>
      <c r="N648" s="19" t="n"/>
    </row>
    <row r="649" ht="15.75" customHeight="1" s="545">
      <c r="A649" s="19" t="n"/>
      <c r="B649" s="19" t="n"/>
      <c r="C649" s="19" t="n"/>
      <c r="D649" s="19" t="n"/>
      <c r="E649" s="19" t="n"/>
      <c r="F649" s="19" t="n"/>
      <c r="G649" s="19" t="n"/>
      <c r="H649" s="19" t="n"/>
      <c r="I649" s="19" t="n"/>
      <c r="J649" s="19" t="n"/>
      <c r="K649" s="19" t="n"/>
      <c r="L649" s="19" t="n"/>
      <c r="M649" s="19" t="n"/>
      <c r="N649" s="19" t="n"/>
    </row>
    <row r="650" ht="15.75" customHeight="1" s="545">
      <c r="A650" s="19" t="n"/>
      <c r="B650" s="19" t="n"/>
      <c r="C650" s="19" t="n"/>
      <c r="D650" s="19" t="n"/>
      <c r="E650" s="19" t="n"/>
      <c r="F650" s="19" t="n"/>
      <c r="G650" s="19" t="n"/>
      <c r="H650" s="19" t="n"/>
      <c r="I650" s="19" t="n"/>
      <c r="J650" s="19" t="n"/>
      <c r="K650" s="19" t="n"/>
      <c r="L650" s="19" t="n"/>
      <c r="M650" s="19" t="n"/>
      <c r="N650" s="19" t="n"/>
    </row>
    <row r="651" ht="15.75" customHeight="1" s="545">
      <c r="A651" s="19" t="n"/>
      <c r="B651" s="19" t="n"/>
      <c r="C651" s="19" t="n"/>
      <c r="D651" s="19" t="n"/>
      <c r="E651" s="19" t="n"/>
      <c r="F651" s="19" t="n"/>
      <c r="G651" s="19" t="n"/>
      <c r="H651" s="19" t="n"/>
      <c r="I651" s="19" t="n"/>
      <c r="J651" s="19" t="n"/>
      <c r="K651" s="19" t="n"/>
      <c r="L651" s="19" t="n"/>
      <c r="M651" s="19" t="n"/>
      <c r="N651" s="19" t="n"/>
    </row>
    <row r="652" ht="15.75" customHeight="1" s="545">
      <c r="A652" s="19" t="n"/>
      <c r="B652" s="19" t="n"/>
      <c r="C652" s="19" t="n"/>
      <c r="D652" s="19" t="n"/>
      <c r="E652" s="19" t="n"/>
      <c r="F652" s="19" t="n"/>
      <c r="G652" s="19" t="n"/>
      <c r="H652" s="19" t="n"/>
      <c r="I652" s="19" t="n"/>
      <c r="J652" s="19" t="n"/>
      <c r="K652" s="19" t="n"/>
      <c r="L652" s="19" t="n"/>
      <c r="M652" s="19" t="n"/>
      <c r="N652" s="19" t="n"/>
    </row>
    <row r="653" ht="15.75" customHeight="1" s="545">
      <c r="A653" s="19" t="n"/>
      <c r="B653" s="19" t="n"/>
      <c r="C653" s="19" t="n"/>
      <c r="D653" s="19" t="n"/>
      <c r="E653" s="19" t="n"/>
      <c r="F653" s="19" t="n"/>
      <c r="G653" s="19" t="n"/>
      <c r="H653" s="19" t="n"/>
      <c r="I653" s="19" t="n"/>
      <c r="J653" s="19" t="n"/>
      <c r="K653" s="19" t="n"/>
      <c r="L653" s="19" t="n"/>
      <c r="M653" s="19" t="n"/>
      <c r="N653" s="19" t="n"/>
    </row>
    <row r="654" ht="15.75" customHeight="1" s="545">
      <c r="A654" s="19" t="n"/>
      <c r="B654" s="19" t="n"/>
      <c r="C654" s="19" t="n"/>
      <c r="D654" s="19" t="n"/>
      <c r="E654" s="19" t="n"/>
      <c r="F654" s="19" t="n"/>
      <c r="G654" s="19" t="n"/>
      <c r="H654" s="19" t="n"/>
      <c r="I654" s="19" t="n"/>
      <c r="J654" s="19" t="n"/>
      <c r="K654" s="19" t="n"/>
      <c r="L654" s="19" t="n"/>
      <c r="M654" s="19" t="n"/>
      <c r="N654" s="19" t="n"/>
    </row>
    <row r="655" ht="15.75" customHeight="1" s="545">
      <c r="A655" s="19" t="n"/>
      <c r="B655" s="19" t="n"/>
      <c r="C655" s="19" t="n"/>
      <c r="D655" s="19" t="n"/>
      <c r="E655" s="19" t="n"/>
      <c r="F655" s="19" t="n"/>
      <c r="G655" s="19" t="n"/>
      <c r="H655" s="19" t="n"/>
      <c r="I655" s="19" t="n"/>
      <c r="J655" s="19" t="n"/>
      <c r="K655" s="19" t="n"/>
      <c r="L655" s="19" t="n"/>
      <c r="M655" s="19" t="n"/>
      <c r="N655" s="19" t="n"/>
    </row>
    <row r="656" ht="15.75" customHeight="1" s="545">
      <c r="A656" s="19" t="n"/>
      <c r="B656" s="19" t="n"/>
      <c r="C656" s="19" t="n"/>
      <c r="D656" s="19" t="n"/>
      <c r="E656" s="19" t="n"/>
      <c r="F656" s="19" t="n"/>
      <c r="G656" s="19" t="n"/>
      <c r="H656" s="19" t="n"/>
      <c r="I656" s="19" t="n"/>
      <c r="J656" s="19" t="n"/>
      <c r="K656" s="19" t="n"/>
      <c r="L656" s="19" t="n"/>
      <c r="M656" s="19" t="n"/>
      <c r="N656" s="19" t="n"/>
    </row>
    <row r="657" ht="15.75" customHeight="1" s="545">
      <c r="A657" s="19" t="n"/>
      <c r="B657" s="19" t="n"/>
      <c r="C657" s="19" t="n"/>
      <c r="D657" s="19" t="n"/>
      <c r="E657" s="19" t="n"/>
      <c r="F657" s="19" t="n"/>
      <c r="G657" s="19" t="n"/>
      <c r="H657" s="19" t="n"/>
      <c r="I657" s="19" t="n"/>
      <c r="J657" s="19" t="n"/>
      <c r="K657" s="19" t="n"/>
      <c r="L657" s="19" t="n"/>
      <c r="M657" s="19" t="n"/>
      <c r="N657" s="19" t="n"/>
    </row>
    <row r="658" ht="15.75" customHeight="1" s="545">
      <c r="A658" s="19" t="n"/>
      <c r="B658" s="19" t="n"/>
      <c r="C658" s="19" t="n"/>
      <c r="D658" s="19" t="n"/>
      <c r="E658" s="19" t="n"/>
      <c r="F658" s="19" t="n"/>
      <c r="G658" s="19" t="n"/>
      <c r="H658" s="19" t="n"/>
      <c r="I658" s="19" t="n"/>
      <c r="J658" s="19" t="n"/>
      <c r="K658" s="19" t="n"/>
      <c r="L658" s="19" t="n"/>
      <c r="M658" s="19" t="n"/>
      <c r="N658" s="19" t="n"/>
    </row>
    <row r="659" ht="15.75" customHeight="1" s="545">
      <c r="A659" s="19" t="n"/>
      <c r="B659" s="19" t="n"/>
      <c r="C659" s="19" t="n"/>
      <c r="D659" s="19" t="n"/>
      <c r="E659" s="19" t="n"/>
      <c r="F659" s="19" t="n"/>
      <c r="G659" s="19" t="n"/>
      <c r="H659" s="19" t="n"/>
      <c r="I659" s="19" t="n"/>
      <c r="J659" s="19" t="n"/>
      <c r="K659" s="19" t="n"/>
      <c r="L659" s="19" t="n"/>
      <c r="M659" s="19" t="n"/>
      <c r="N659" s="19" t="n"/>
    </row>
    <row r="660" ht="15.75" customHeight="1" s="545">
      <c r="A660" s="19" t="n"/>
      <c r="B660" s="19" t="n"/>
      <c r="C660" s="19" t="n"/>
      <c r="D660" s="19" t="n"/>
      <c r="E660" s="19" t="n"/>
      <c r="F660" s="19" t="n"/>
      <c r="G660" s="19" t="n"/>
      <c r="H660" s="19" t="n"/>
      <c r="I660" s="19" t="n"/>
      <c r="J660" s="19" t="n"/>
      <c r="K660" s="19" t="n"/>
      <c r="L660" s="19" t="n"/>
      <c r="M660" s="19" t="n"/>
      <c r="N660" s="19" t="n"/>
    </row>
    <row r="661" ht="15.75" customHeight="1" s="545">
      <c r="A661" s="19" t="n"/>
      <c r="B661" s="19" t="n"/>
      <c r="C661" s="19" t="n"/>
      <c r="D661" s="19" t="n"/>
      <c r="E661" s="19" t="n"/>
      <c r="F661" s="19" t="n"/>
      <c r="G661" s="19" t="n"/>
      <c r="H661" s="19" t="n"/>
      <c r="I661" s="19" t="n"/>
      <c r="J661" s="19" t="n"/>
      <c r="K661" s="19" t="n"/>
      <c r="L661" s="19" t="n"/>
      <c r="M661" s="19" t="n"/>
      <c r="N661" s="19" t="n"/>
    </row>
    <row r="662" ht="15.75" customHeight="1" s="545">
      <c r="A662" s="19" t="n"/>
      <c r="B662" s="19" t="n"/>
      <c r="C662" s="19" t="n"/>
      <c r="D662" s="19" t="n"/>
      <c r="E662" s="19" t="n"/>
      <c r="F662" s="19" t="n"/>
      <c r="G662" s="19" t="n"/>
      <c r="H662" s="19" t="n"/>
      <c r="I662" s="19" t="n"/>
      <c r="J662" s="19" t="n"/>
      <c r="K662" s="19" t="n"/>
      <c r="L662" s="19" t="n"/>
      <c r="M662" s="19" t="n"/>
      <c r="N662" s="19" t="n"/>
    </row>
    <row r="663" ht="15.75" customHeight="1" s="545">
      <c r="A663" s="19" t="n"/>
      <c r="B663" s="19" t="n"/>
      <c r="C663" s="19" t="n"/>
      <c r="D663" s="19" t="n"/>
      <c r="E663" s="19" t="n"/>
      <c r="F663" s="19" t="n"/>
      <c r="G663" s="19" t="n"/>
      <c r="H663" s="19" t="n"/>
      <c r="I663" s="19" t="n"/>
      <c r="J663" s="19" t="n"/>
      <c r="K663" s="19" t="n"/>
      <c r="L663" s="19" t="n"/>
      <c r="M663" s="19" t="n"/>
      <c r="N663" s="19" t="n"/>
    </row>
    <row r="664" ht="15.75" customHeight="1" s="545">
      <c r="A664" s="19" t="n"/>
      <c r="B664" s="19" t="n"/>
      <c r="C664" s="19" t="n"/>
      <c r="D664" s="19" t="n"/>
      <c r="E664" s="19" t="n"/>
      <c r="F664" s="19" t="n"/>
      <c r="G664" s="19" t="n"/>
      <c r="H664" s="19" t="n"/>
      <c r="I664" s="19" t="n"/>
      <c r="J664" s="19" t="n"/>
      <c r="K664" s="19" t="n"/>
      <c r="L664" s="19" t="n"/>
      <c r="M664" s="19" t="n"/>
      <c r="N664" s="19" t="n"/>
    </row>
    <row r="665" ht="15.75" customHeight="1" s="545">
      <c r="A665" s="19" t="n"/>
      <c r="B665" s="19" t="n"/>
      <c r="C665" s="19" t="n"/>
      <c r="D665" s="19" t="n"/>
      <c r="E665" s="19" t="n"/>
      <c r="F665" s="19" t="n"/>
      <c r="G665" s="19" t="n"/>
      <c r="H665" s="19" t="n"/>
      <c r="I665" s="19" t="n"/>
      <c r="J665" s="19" t="n"/>
      <c r="K665" s="19" t="n"/>
      <c r="L665" s="19" t="n"/>
      <c r="M665" s="19" t="n"/>
      <c r="N665" s="19" t="n"/>
    </row>
    <row r="666" ht="15.75" customHeight="1" s="545">
      <c r="A666" s="19" t="n"/>
      <c r="B666" s="19" t="n"/>
      <c r="C666" s="19" t="n"/>
      <c r="D666" s="19" t="n"/>
      <c r="E666" s="19" t="n"/>
      <c r="F666" s="19" t="n"/>
      <c r="G666" s="19" t="n"/>
      <c r="H666" s="19" t="n"/>
      <c r="I666" s="19" t="n"/>
      <c r="J666" s="19" t="n"/>
      <c r="K666" s="19" t="n"/>
      <c r="L666" s="19" t="n"/>
      <c r="M666" s="19" t="n"/>
      <c r="N666" s="19" t="n"/>
    </row>
    <row r="667" ht="15.75" customHeight="1" s="545">
      <c r="A667" s="19" t="n"/>
      <c r="B667" s="19" t="n"/>
      <c r="C667" s="19" t="n"/>
      <c r="D667" s="19" t="n"/>
      <c r="E667" s="19" t="n"/>
      <c r="F667" s="19" t="n"/>
      <c r="G667" s="19" t="n"/>
      <c r="H667" s="19" t="n"/>
      <c r="I667" s="19" t="n"/>
      <c r="J667" s="19" t="n"/>
      <c r="K667" s="19" t="n"/>
      <c r="L667" s="19" t="n"/>
      <c r="M667" s="19" t="n"/>
      <c r="N667" s="19" t="n"/>
    </row>
    <row r="668" ht="15.75" customHeight="1" s="545">
      <c r="A668" s="19" t="n"/>
      <c r="B668" s="19" t="n"/>
      <c r="C668" s="19" t="n"/>
      <c r="D668" s="19" t="n"/>
      <c r="E668" s="19" t="n"/>
      <c r="F668" s="19" t="n"/>
      <c r="G668" s="19" t="n"/>
      <c r="H668" s="19" t="n"/>
      <c r="I668" s="19" t="n"/>
      <c r="J668" s="19" t="n"/>
      <c r="K668" s="19" t="n"/>
      <c r="L668" s="19" t="n"/>
      <c r="M668" s="19" t="n"/>
      <c r="N668" s="19" t="n"/>
    </row>
    <row r="669" ht="15.75" customHeight="1" s="545">
      <c r="A669" s="19" t="n"/>
      <c r="B669" s="19" t="n"/>
      <c r="C669" s="19" t="n"/>
      <c r="D669" s="19" t="n"/>
      <c r="E669" s="19" t="n"/>
      <c r="F669" s="19" t="n"/>
      <c r="G669" s="19" t="n"/>
      <c r="H669" s="19" t="n"/>
      <c r="I669" s="19" t="n"/>
      <c r="J669" s="19" t="n"/>
      <c r="K669" s="19" t="n"/>
      <c r="L669" s="19" t="n"/>
      <c r="M669" s="19" t="n"/>
      <c r="N669" s="19" t="n"/>
    </row>
    <row r="670" ht="15.75" customHeight="1" s="545">
      <c r="A670" s="19" t="n"/>
      <c r="B670" s="19" t="n"/>
      <c r="C670" s="19" t="n"/>
      <c r="D670" s="19" t="n"/>
      <c r="E670" s="19" t="n"/>
      <c r="F670" s="19" t="n"/>
      <c r="G670" s="19" t="n"/>
      <c r="H670" s="19" t="n"/>
      <c r="I670" s="19" t="n"/>
      <c r="J670" s="19" t="n"/>
      <c r="K670" s="19" t="n"/>
      <c r="L670" s="19" t="n"/>
      <c r="M670" s="19" t="n"/>
      <c r="N670" s="19" t="n"/>
    </row>
    <row r="671" ht="15.75" customHeight="1" s="545">
      <c r="A671" s="19" t="n"/>
      <c r="B671" s="19" t="n"/>
      <c r="C671" s="19" t="n"/>
      <c r="D671" s="19" t="n"/>
      <c r="E671" s="19" t="n"/>
      <c r="F671" s="19" t="n"/>
      <c r="G671" s="19" t="n"/>
      <c r="H671" s="19" t="n"/>
      <c r="I671" s="19" t="n"/>
      <c r="J671" s="19" t="n"/>
      <c r="K671" s="19" t="n"/>
      <c r="L671" s="19" t="n"/>
      <c r="M671" s="19" t="n"/>
      <c r="N671" s="19" t="n"/>
    </row>
    <row r="672" ht="15.75" customHeight="1" s="545">
      <c r="A672" s="19" t="n"/>
      <c r="B672" s="19" t="n"/>
      <c r="C672" s="19" t="n"/>
      <c r="D672" s="19" t="n"/>
      <c r="E672" s="19" t="n"/>
      <c r="F672" s="19" t="n"/>
      <c r="G672" s="19" t="n"/>
      <c r="H672" s="19" t="n"/>
      <c r="I672" s="19" t="n"/>
      <c r="J672" s="19" t="n"/>
      <c r="K672" s="19" t="n"/>
      <c r="L672" s="19" t="n"/>
      <c r="M672" s="19" t="n"/>
      <c r="N672" s="19" t="n"/>
    </row>
    <row r="673" ht="15.75" customHeight="1" s="545">
      <c r="A673" s="19" t="n"/>
      <c r="B673" s="19" t="n"/>
      <c r="C673" s="19" t="n"/>
      <c r="D673" s="19" t="n"/>
      <c r="E673" s="19" t="n"/>
      <c r="F673" s="19" t="n"/>
      <c r="G673" s="19" t="n"/>
      <c r="H673" s="19" t="n"/>
      <c r="I673" s="19" t="n"/>
      <c r="J673" s="19" t="n"/>
      <c r="K673" s="19" t="n"/>
      <c r="L673" s="19" t="n"/>
      <c r="M673" s="19" t="n"/>
      <c r="N673" s="19" t="n"/>
    </row>
    <row r="674" ht="15.75" customHeight="1" s="545">
      <c r="A674" s="19" t="n"/>
      <c r="B674" s="19" t="n"/>
      <c r="C674" s="19" t="n"/>
      <c r="D674" s="19" t="n"/>
      <c r="E674" s="19" t="n"/>
      <c r="F674" s="19" t="n"/>
      <c r="G674" s="19" t="n"/>
      <c r="H674" s="19" t="n"/>
      <c r="I674" s="19" t="n"/>
      <c r="J674" s="19" t="n"/>
      <c r="K674" s="19" t="n"/>
      <c r="L674" s="19" t="n"/>
      <c r="M674" s="19" t="n"/>
      <c r="N674" s="19" t="n"/>
    </row>
    <row r="675" ht="15.75" customHeight="1" s="545">
      <c r="A675" s="19" t="n"/>
      <c r="B675" s="19" t="n"/>
      <c r="C675" s="19" t="n"/>
      <c r="D675" s="19" t="n"/>
      <c r="E675" s="19" t="n"/>
      <c r="F675" s="19" t="n"/>
      <c r="G675" s="19" t="n"/>
      <c r="H675" s="19" t="n"/>
      <c r="I675" s="19" t="n"/>
      <c r="J675" s="19" t="n"/>
      <c r="K675" s="19" t="n"/>
      <c r="L675" s="19" t="n"/>
      <c r="M675" s="19" t="n"/>
      <c r="N675" s="19" t="n"/>
    </row>
    <row r="676" ht="15.75" customHeight="1" s="545">
      <c r="A676" s="19" t="n"/>
      <c r="B676" s="19" t="n"/>
      <c r="C676" s="19" t="n"/>
      <c r="D676" s="19" t="n"/>
      <c r="E676" s="19" t="n"/>
      <c r="F676" s="19" t="n"/>
      <c r="G676" s="19" t="n"/>
      <c r="H676" s="19" t="n"/>
      <c r="I676" s="19" t="n"/>
      <c r="J676" s="19" t="n"/>
      <c r="K676" s="19" t="n"/>
      <c r="L676" s="19" t="n"/>
      <c r="M676" s="19" t="n"/>
      <c r="N676" s="19" t="n"/>
    </row>
    <row r="677" ht="15.75" customHeight="1" s="545">
      <c r="A677" s="19" t="n"/>
      <c r="B677" s="19" t="n"/>
      <c r="C677" s="19" t="n"/>
      <c r="D677" s="19" t="n"/>
      <c r="E677" s="19" t="n"/>
      <c r="F677" s="19" t="n"/>
      <c r="G677" s="19" t="n"/>
      <c r="H677" s="19" t="n"/>
      <c r="I677" s="19" t="n"/>
      <c r="J677" s="19" t="n"/>
      <c r="K677" s="19" t="n"/>
      <c r="L677" s="19" t="n"/>
      <c r="M677" s="19" t="n"/>
      <c r="N677" s="19" t="n"/>
    </row>
    <row r="678" ht="15.75" customHeight="1" s="545">
      <c r="A678" s="19" t="n"/>
      <c r="B678" s="19" t="n"/>
      <c r="C678" s="19" t="n"/>
      <c r="D678" s="19" t="n"/>
      <c r="E678" s="19" t="n"/>
      <c r="F678" s="19" t="n"/>
      <c r="G678" s="19" t="n"/>
      <c r="H678" s="19" t="n"/>
      <c r="I678" s="19" t="n"/>
      <c r="J678" s="19" t="n"/>
      <c r="K678" s="19" t="n"/>
      <c r="L678" s="19" t="n"/>
      <c r="M678" s="19" t="n"/>
      <c r="N678" s="19" t="n"/>
    </row>
    <row r="679" ht="15.75" customHeight="1" s="545">
      <c r="A679" s="19" t="n"/>
      <c r="B679" s="19" t="n"/>
      <c r="C679" s="19" t="n"/>
      <c r="D679" s="19" t="n"/>
      <c r="E679" s="19" t="n"/>
      <c r="F679" s="19" t="n"/>
      <c r="G679" s="19" t="n"/>
      <c r="H679" s="19" t="n"/>
      <c r="I679" s="19" t="n"/>
      <c r="J679" s="19" t="n"/>
      <c r="K679" s="19" t="n"/>
      <c r="L679" s="19" t="n"/>
      <c r="M679" s="19" t="n"/>
      <c r="N679" s="19" t="n"/>
    </row>
    <row r="680" ht="15.75" customHeight="1" s="545">
      <c r="A680" s="19" t="n"/>
      <c r="B680" s="19" t="n"/>
      <c r="C680" s="19" t="n"/>
      <c r="D680" s="19" t="n"/>
      <c r="E680" s="19" t="n"/>
      <c r="F680" s="19" t="n"/>
      <c r="G680" s="19" t="n"/>
      <c r="H680" s="19" t="n"/>
      <c r="I680" s="19" t="n"/>
      <c r="J680" s="19" t="n"/>
      <c r="K680" s="19" t="n"/>
      <c r="L680" s="19" t="n"/>
      <c r="M680" s="19" t="n"/>
      <c r="N680" s="19" t="n"/>
    </row>
    <row r="681" ht="15.75" customHeight="1" s="545">
      <c r="A681" s="19" t="n"/>
      <c r="B681" s="19" t="n"/>
      <c r="C681" s="19" t="n"/>
      <c r="D681" s="19" t="n"/>
      <c r="E681" s="19" t="n"/>
      <c r="F681" s="19" t="n"/>
      <c r="G681" s="19" t="n"/>
      <c r="H681" s="19" t="n"/>
      <c r="I681" s="19" t="n"/>
      <c r="J681" s="19" t="n"/>
      <c r="K681" s="19" t="n"/>
      <c r="L681" s="19" t="n"/>
      <c r="M681" s="19" t="n"/>
      <c r="N681" s="19" t="n"/>
    </row>
    <row r="682" ht="15.75" customHeight="1" s="545">
      <c r="A682" s="19" t="n"/>
      <c r="B682" s="19" t="n"/>
      <c r="C682" s="19" t="n"/>
      <c r="D682" s="19" t="n"/>
      <c r="E682" s="19" t="n"/>
      <c r="F682" s="19" t="n"/>
      <c r="G682" s="19" t="n"/>
      <c r="H682" s="19" t="n"/>
      <c r="I682" s="19" t="n"/>
      <c r="J682" s="19" t="n"/>
      <c r="K682" s="19" t="n"/>
      <c r="L682" s="19" t="n"/>
      <c r="M682" s="19" t="n"/>
      <c r="N682" s="19" t="n"/>
    </row>
    <row r="683" ht="15.75" customHeight="1" s="545">
      <c r="A683" s="19" t="n"/>
      <c r="B683" s="19" t="n"/>
      <c r="C683" s="19" t="n"/>
      <c r="D683" s="19" t="n"/>
      <c r="E683" s="19" t="n"/>
      <c r="F683" s="19" t="n"/>
      <c r="G683" s="19" t="n"/>
      <c r="H683" s="19" t="n"/>
      <c r="I683" s="19" t="n"/>
      <c r="J683" s="19" t="n"/>
      <c r="K683" s="19" t="n"/>
      <c r="L683" s="19" t="n"/>
      <c r="M683" s="19" t="n"/>
      <c r="N683" s="19" t="n"/>
    </row>
    <row r="684" ht="15.75" customHeight="1" s="545">
      <c r="A684" s="19" t="n"/>
      <c r="B684" s="19" t="n"/>
      <c r="C684" s="19" t="n"/>
      <c r="D684" s="19" t="n"/>
      <c r="E684" s="19" t="n"/>
      <c r="F684" s="19" t="n"/>
      <c r="G684" s="19" t="n"/>
      <c r="H684" s="19" t="n"/>
      <c r="I684" s="19" t="n"/>
      <c r="J684" s="19" t="n"/>
      <c r="K684" s="19" t="n"/>
      <c r="L684" s="19" t="n"/>
      <c r="M684" s="19" t="n"/>
      <c r="N684" s="19" t="n"/>
    </row>
    <row r="685" ht="15.75" customHeight="1" s="545">
      <c r="A685" s="19" t="n"/>
      <c r="B685" s="19" t="n"/>
      <c r="C685" s="19" t="n"/>
      <c r="D685" s="19" t="n"/>
      <c r="E685" s="19" t="n"/>
      <c r="F685" s="19" t="n"/>
      <c r="G685" s="19" t="n"/>
      <c r="H685" s="19" t="n"/>
      <c r="I685" s="19" t="n"/>
      <c r="J685" s="19" t="n"/>
      <c r="K685" s="19" t="n"/>
      <c r="L685" s="19" t="n"/>
      <c r="M685" s="19" t="n"/>
      <c r="N685" s="19" t="n"/>
    </row>
    <row r="686" ht="15.75" customHeight="1" s="545">
      <c r="A686" s="19" t="n"/>
      <c r="B686" s="19" t="n"/>
      <c r="C686" s="19" t="n"/>
      <c r="D686" s="19" t="n"/>
      <c r="E686" s="19" t="n"/>
      <c r="F686" s="19" t="n"/>
      <c r="G686" s="19" t="n"/>
      <c r="H686" s="19" t="n"/>
      <c r="I686" s="19" t="n"/>
      <c r="J686" s="19" t="n"/>
      <c r="K686" s="19" t="n"/>
      <c r="L686" s="19" t="n"/>
      <c r="M686" s="19" t="n"/>
      <c r="N686" s="19" t="n"/>
    </row>
    <row r="687" ht="15.75" customHeight="1" s="545">
      <c r="A687" s="19" t="n"/>
      <c r="B687" s="19" t="n"/>
      <c r="C687" s="19" t="n"/>
      <c r="D687" s="19" t="n"/>
      <c r="E687" s="19" t="n"/>
      <c r="F687" s="19" t="n"/>
      <c r="G687" s="19" t="n"/>
      <c r="H687" s="19" t="n"/>
      <c r="I687" s="19" t="n"/>
      <c r="J687" s="19" t="n"/>
      <c r="K687" s="19" t="n"/>
      <c r="L687" s="19" t="n"/>
      <c r="M687" s="19" t="n"/>
      <c r="N687" s="19" t="n"/>
    </row>
    <row r="688" ht="15.75" customHeight="1" s="545">
      <c r="A688" s="19" t="n"/>
      <c r="B688" s="19" t="n"/>
      <c r="C688" s="19" t="n"/>
      <c r="D688" s="19" t="n"/>
      <c r="E688" s="19" t="n"/>
      <c r="F688" s="19" t="n"/>
      <c r="G688" s="19" t="n"/>
      <c r="H688" s="19" t="n"/>
      <c r="I688" s="19" t="n"/>
      <c r="J688" s="19" t="n"/>
      <c r="K688" s="19" t="n"/>
      <c r="L688" s="19" t="n"/>
      <c r="M688" s="19" t="n"/>
      <c r="N688" s="19" t="n"/>
    </row>
    <row r="689" ht="15.75" customHeight="1" s="545">
      <c r="A689" s="19" t="n"/>
      <c r="B689" s="19" t="n"/>
      <c r="C689" s="19" t="n"/>
      <c r="D689" s="19" t="n"/>
      <c r="E689" s="19" t="n"/>
      <c r="F689" s="19" t="n"/>
      <c r="G689" s="19" t="n"/>
      <c r="H689" s="19" t="n"/>
      <c r="I689" s="19" t="n"/>
      <c r="J689" s="19" t="n"/>
      <c r="K689" s="19" t="n"/>
      <c r="L689" s="19" t="n"/>
      <c r="M689" s="19" t="n"/>
      <c r="N689" s="19" t="n"/>
    </row>
    <row r="690" ht="15.75" customHeight="1" s="545">
      <c r="A690" s="19" t="n"/>
      <c r="B690" s="19" t="n"/>
      <c r="C690" s="19" t="n"/>
      <c r="D690" s="19" t="n"/>
      <c r="E690" s="19" t="n"/>
      <c r="F690" s="19" t="n"/>
      <c r="G690" s="19" t="n"/>
      <c r="H690" s="19" t="n"/>
      <c r="I690" s="19" t="n"/>
      <c r="J690" s="19" t="n"/>
      <c r="K690" s="19" t="n"/>
      <c r="L690" s="19" t="n"/>
      <c r="M690" s="19" t="n"/>
      <c r="N690" s="19" t="n"/>
    </row>
    <row r="691" ht="15.75" customHeight="1" s="545">
      <c r="A691" s="19" t="n"/>
      <c r="B691" s="19" t="n"/>
      <c r="C691" s="19" t="n"/>
      <c r="D691" s="19" t="n"/>
      <c r="E691" s="19" t="n"/>
      <c r="F691" s="19" t="n"/>
      <c r="G691" s="19" t="n"/>
      <c r="H691" s="19" t="n"/>
      <c r="I691" s="19" t="n"/>
      <c r="J691" s="19" t="n"/>
      <c r="K691" s="19" t="n"/>
      <c r="L691" s="19" t="n"/>
      <c r="M691" s="19" t="n"/>
      <c r="N691" s="19" t="n"/>
    </row>
    <row r="692" ht="15.75" customHeight="1" s="545">
      <c r="A692" s="19" t="n"/>
      <c r="B692" s="19" t="n"/>
      <c r="C692" s="19" t="n"/>
      <c r="D692" s="19" t="n"/>
      <c r="E692" s="19" t="n"/>
      <c r="F692" s="19" t="n"/>
      <c r="G692" s="19" t="n"/>
      <c r="H692" s="19" t="n"/>
      <c r="I692" s="19" t="n"/>
      <c r="J692" s="19" t="n"/>
      <c r="K692" s="19" t="n"/>
      <c r="L692" s="19" t="n"/>
      <c r="M692" s="19" t="n"/>
      <c r="N692" s="19" t="n"/>
    </row>
    <row r="693" ht="15.75" customHeight="1" s="545">
      <c r="A693" s="19" t="n"/>
      <c r="B693" s="19" t="n"/>
      <c r="C693" s="19" t="n"/>
      <c r="D693" s="19" t="n"/>
      <c r="E693" s="19" t="n"/>
      <c r="F693" s="19" t="n"/>
      <c r="G693" s="19" t="n"/>
      <c r="H693" s="19" t="n"/>
      <c r="I693" s="19" t="n"/>
      <c r="J693" s="19" t="n"/>
      <c r="K693" s="19" t="n"/>
      <c r="L693" s="19" t="n"/>
      <c r="M693" s="19" t="n"/>
      <c r="N693" s="19" t="n"/>
    </row>
    <row r="694" ht="15.75" customHeight="1" s="545">
      <c r="A694" s="19" t="n"/>
      <c r="B694" s="19" t="n"/>
      <c r="C694" s="19" t="n"/>
      <c r="D694" s="19" t="n"/>
      <c r="E694" s="19" t="n"/>
      <c r="F694" s="19" t="n"/>
      <c r="G694" s="19" t="n"/>
      <c r="H694" s="19" t="n"/>
      <c r="I694" s="19" t="n"/>
      <c r="J694" s="19" t="n"/>
      <c r="K694" s="19" t="n"/>
      <c r="L694" s="19" t="n"/>
      <c r="M694" s="19" t="n"/>
      <c r="N694" s="19" t="n"/>
    </row>
    <row r="695" ht="15.75" customHeight="1" s="545">
      <c r="A695" s="19" t="n"/>
      <c r="B695" s="19" t="n"/>
      <c r="C695" s="19" t="n"/>
      <c r="D695" s="19" t="n"/>
      <c r="E695" s="19" t="n"/>
      <c r="F695" s="19" t="n"/>
      <c r="G695" s="19" t="n"/>
      <c r="H695" s="19" t="n"/>
      <c r="I695" s="19" t="n"/>
      <c r="J695" s="19" t="n"/>
      <c r="K695" s="19" t="n"/>
      <c r="L695" s="19" t="n"/>
      <c r="M695" s="19" t="n"/>
      <c r="N695" s="19" t="n"/>
    </row>
    <row r="696" ht="15.75" customHeight="1" s="545">
      <c r="A696" s="19" t="n"/>
      <c r="B696" s="19" t="n"/>
      <c r="C696" s="19" t="n"/>
      <c r="D696" s="19" t="n"/>
      <c r="E696" s="19" t="n"/>
      <c r="F696" s="19" t="n"/>
      <c r="G696" s="19" t="n"/>
      <c r="H696" s="19" t="n"/>
      <c r="I696" s="19" t="n"/>
      <c r="J696" s="19" t="n"/>
      <c r="K696" s="19" t="n"/>
      <c r="L696" s="19" t="n"/>
      <c r="M696" s="19" t="n"/>
      <c r="N696" s="19" t="n"/>
    </row>
    <row r="697" ht="15.75" customHeight="1" s="545">
      <c r="A697" s="19" t="n"/>
      <c r="B697" s="19" t="n"/>
      <c r="C697" s="19" t="n"/>
      <c r="D697" s="19" t="n"/>
      <c r="E697" s="19" t="n"/>
      <c r="F697" s="19" t="n"/>
      <c r="G697" s="19" t="n"/>
      <c r="H697" s="19" t="n"/>
      <c r="I697" s="19" t="n"/>
      <c r="J697" s="19" t="n"/>
      <c r="K697" s="19" t="n"/>
      <c r="L697" s="19" t="n"/>
      <c r="M697" s="19" t="n"/>
      <c r="N697" s="19" t="n"/>
    </row>
    <row r="698" ht="15.75" customHeight="1" s="545">
      <c r="A698" s="19" t="n"/>
      <c r="B698" s="19" t="n"/>
      <c r="C698" s="19" t="n"/>
      <c r="D698" s="19" t="n"/>
      <c r="E698" s="19" t="n"/>
      <c r="F698" s="19" t="n"/>
      <c r="G698" s="19" t="n"/>
      <c r="H698" s="19" t="n"/>
      <c r="I698" s="19" t="n"/>
      <c r="J698" s="19" t="n"/>
      <c r="K698" s="19" t="n"/>
      <c r="L698" s="19" t="n"/>
      <c r="M698" s="19" t="n"/>
      <c r="N698" s="19" t="n"/>
    </row>
    <row r="699" ht="15.75" customHeight="1" s="545">
      <c r="A699" s="19" t="n"/>
      <c r="B699" s="19" t="n"/>
      <c r="C699" s="19" t="n"/>
      <c r="D699" s="19" t="n"/>
      <c r="E699" s="19" t="n"/>
      <c r="F699" s="19" t="n"/>
      <c r="G699" s="19" t="n"/>
      <c r="H699" s="19" t="n"/>
      <c r="I699" s="19" t="n"/>
      <c r="J699" s="19" t="n"/>
      <c r="K699" s="19" t="n"/>
      <c r="L699" s="19" t="n"/>
      <c r="M699" s="19" t="n"/>
      <c r="N699" s="19" t="n"/>
    </row>
    <row r="700" ht="15.75" customHeight="1" s="545">
      <c r="A700" s="19" t="n"/>
      <c r="B700" s="19" t="n"/>
      <c r="C700" s="19" t="n"/>
      <c r="D700" s="19" t="n"/>
      <c r="E700" s="19" t="n"/>
      <c r="F700" s="19" t="n"/>
      <c r="G700" s="19" t="n"/>
      <c r="H700" s="19" t="n"/>
      <c r="I700" s="19" t="n"/>
      <c r="J700" s="19" t="n"/>
      <c r="K700" s="19" t="n"/>
      <c r="L700" s="19" t="n"/>
      <c r="M700" s="19" t="n"/>
      <c r="N700" s="19" t="n"/>
    </row>
    <row r="701" ht="15.75" customHeight="1" s="545">
      <c r="A701" s="19" t="n"/>
      <c r="B701" s="19" t="n"/>
      <c r="C701" s="19" t="n"/>
      <c r="D701" s="19" t="n"/>
      <c r="E701" s="19" t="n"/>
      <c r="F701" s="19" t="n"/>
      <c r="G701" s="19" t="n"/>
      <c r="H701" s="19" t="n"/>
      <c r="I701" s="19" t="n"/>
      <c r="J701" s="19" t="n"/>
      <c r="K701" s="19" t="n"/>
      <c r="L701" s="19" t="n"/>
      <c r="M701" s="19" t="n"/>
      <c r="N701" s="19" t="n"/>
    </row>
    <row r="702" ht="15.75" customHeight="1" s="545">
      <c r="A702" s="19" t="n"/>
      <c r="B702" s="19" t="n"/>
      <c r="C702" s="19" t="n"/>
      <c r="D702" s="19" t="n"/>
      <c r="E702" s="19" t="n"/>
      <c r="F702" s="19" t="n"/>
      <c r="G702" s="19" t="n"/>
      <c r="H702" s="19" t="n"/>
      <c r="I702" s="19" t="n"/>
      <c r="J702" s="19" t="n"/>
      <c r="K702" s="19" t="n"/>
      <c r="L702" s="19" t="n"/>
      <c r="M702" s="19" t="n"/>
      <c r="N702" s="19" t="n"/>
    </row>
    <row r="703" ht="15.75" customHeight="1" s="545">
      <c r="A703" s="19" t="n"/>
      <c r="B703" s="19" t="n"/>
      <c r="C703" s="19" t="n"/>
      <c r="D703" s="19" t="n"/>
      <c r="E703" s="19" t="n"/>
      <c r="F703" s="19" t="n"/>
      <c r="G703" s="19" t="n"/>
      <c r="H703" s="19" t="n"/>
      <c r="I703" s="19" t="n"/>
      <c r="J703" s="19" t="n"/>
      <c r="K703" s="19" t="n"/>
      <c r="L703" s="19" t="n"/>
      <c r="M703" s="19" t="n"/>
      <c r="N703" s="19" t="n"/>
    </row>
    <row r="704" ht="15.75" customHeight="1" s="545">
      <c r="A704" s="19" t="n"/>
      <c r="B704" s="19" t="n"/>
      <c r="C704" s="19" t="n"/>
      <c r="D704" s="19" t="n"/>
      <c r="E704" s="19" t="n"/>
      <c r="F704" s="19" t="n"/>
      <c r="G704" s="19" t="n"/>
      <c r="H704" s="19" t="n"/>
      <c r="I704" s="19" t="n"/>
      <c r="J704" s="19" t="n"/>
      <c r="K704" s="19" t="n"/>
      <c r="L704" s="19" t="n"/>
      <c r="M704" s="19" t="n"/>
      <c r="N704" s="19" t="n"/>
    </row>
    <row r="705" ht="15.75" customHeight="1" s="545">
      <c r="A705" s="19" t="n"/>
      <c r="B705" s="19" t="n"/>
      <c r="C705" s="19" t="n"/>
      <c r="D705" s="19" t="n"/>
      <c r="E705" s="19" t="n"/>
      <c r="F705" s="19" t="n"/>
      <c r="G705" s="19" t="n"/>
      <c r="H705" s="19" t="n"/>
      <c r="I705" s="19" t="n"/>
      <c r="J705" s="19" t="n"/>
      <c r="K705" s="19" t="n"/>
      <c r="L705" s="19" t="n"/>
      <c r="M705" s="19" t="n"/>
      <c r="N705" s="19" t="n"/>
    </row>
    <row r="706" ht="15.75" customHeight="1" s="545">
      <c r="A706" s="19" t="n"/>
      <c r="B706" s="19" t="n"/>
      <c r="C706" s="19" t="n"/>
      <c r="D706" s="19" t="n"/>
      <c r="E706" s="19" t="n"/>
      <c r="F706" s="19" t="n"/>
      <c r="G706" s="19" t="n"/>
      <c r="H706" s="19" t="n"/>
      <c r="I706" s="19" t="n"/>
      <c r="J706" s="19" t="n"/>
      <c r="K706" s="19" t="n"/>
      <c r="L706" s="19" t="n"/>
      <c r="M706" s="19" t="n"/>
      <c r="N706" s="19" t="n"/>
    </row>
    <row r="707" ht="15.75" customHeight="1" s="545">
      <c r="A707" s="19" t="n"/>
      <c r="B707" s="19" t="n"/>
      <c r="C707" s="19" t="n"/>
      <c r="D707" s="19" t="n"/>
      <c r="E707" s="19" t="n"/>
      <c r="F707" s="19" t="n"/>
      <c r="G707" s="19" t="n"/>
      <c r="H707" s="19" t="n"/>
      <c r="I707" s="19" t="n"/>
      <c r="J707" s="19" t="n"/>
      <c r="K707" s="19" t="n"/>
      <c r="L707" s="19" t="n"/>
      <c r="M707" s="19" t="n"/>
      <c r="N707" s="19" t="n"/>
    </row>
    <row r="708" ht="15.75" customHeight="1" s="545">
      <c r="A708" s="19" t="n"/>
      <c r="B708" s="19" t="n"/>
      <c r="C708" s="19" t="n"/>
      <c r="D708" s="19" t="n"/>
      <c r="E708" s="19" t="n"/>
      <c r="F708" s="19" t="n"/>
      <c r="G708" s="19" t="n"/>
      <c r="H708" s="19" t="n"/>
      <c r="I708" s="19" t="n"/>
      <c r="J708" s="19" t="n"/>
      <c r="K708" s="19" t="n"/>
      <c r="L708" s="19" t="n"/>
      <c r="M708" s="19" t="n"/>
      <c r="N708" s="19" t="n"/>
    </row>
    <row r="709" ht="15.75" customHeight="1" s="545">
      <c r="A709" s="19" t="n"/>
      <c r="B709" s="19" t="n"/>
      <c r="C709" s="19" t="n"/>
      <c r="D709" s="19" t="n"/>
      <c r="E709" s="19" t="n"/>
      <c r="F709" s="19" t="n"/>
      <c r="G709" s="19" t="n"/>
      <c r="H709" s="19" t="n"/>
      <c r="I709" s="19" t="n"/>
      <c r="J709" s="19" t="n"/>
      <c r="K709" s="19" t="n"/>
      <c r="L709" s="19" t="n"/>
      <c r="M709" s="19" t="n"/>
      <c r="N709" s="19" t="n"/>
    </row>
    <row r="710" ht="15.75" customHeight="1" s="545">
      <c r="A710" s="19" t="n"/>
      <c r="B710" s="19" t="n"/>
      <c r="C710" s="19" t="n"/>
      <c r="D710" s="19" t="n"/>
      <c r="E710" s="19" t="n"/>
      <c r="F710" s="19" t="n"/>
      <c r="G710" s="19" t="n"/>
      <c r="H710" s="19" t="n"/>
      <c r="I710" s="19" t="n"/>
      <c r="J710" s="19" t="n"/>
      <c r="K710" s="19" t="n"/>
      <c r="L710" s="19" t="n"/>
      <c r="M710" s="19" t="n"/>
      <c r="N710" s="19" t="n"/>
    </row>
    <row r="711" ht="15.75" customHeight="1" s="545">
      <c r="A711" s="19" t="n"/>
      <c r="B711" s="19" t="n"/>
      <c r="C711" s="19" t="n"/>
      <c r="D711" s="19" t="n"/>
      <c r="E711" s="19" t="n"/>
      <c r="F711" s="19" t="n"/>
      <c r="G711" s="19" t="n"/>
      <c r="H711" s="19" t="n"/>
      <c r="I711" s="19" t="n"/>
      <c r="J711" s="19" t="n"/>
      <c r="K711" s="19" t="n"/>
      <c r="L711" s="19" t="n"/>
      <c r="M711" s="19" t="n"/>
      <c r="N711" s="19" t="n"/>
    </row>
    <row r="712" ht="15.75" customHeight="1" s="545">
      <c r="A712" s="19" t="n"/>
      <c r="B712" s="19" t="n"/>
      <c r="C712" s="19" t="n"/>
      <c r="D712" s="19" t="n"/>
      <c r="E712" s="19" t="n"/>
      <c r="F712" s="19" t="n"/>
      <c r="G712" s="19" t="n"/>
      <c r="H712" s="19" t="n"/>
      <c r="I712" s="19" t="n"/>
      <c r="J712" s="19" t="n"/>
      <c r="K712" s="19" t="n"/>
      <c r="L712" s="19" t="n"/>
      <c r="M712" s="19" t="n"/>
      <c r="N712" s="19" t="n"/>
    </row>
    <row r="713" ht="15.75" customHeight="1" s="545">
      <c r="A713" s="19" t="n"/>
      <c r="B713" s="19" t="n"/>
      <c r="C713" s="19" t="n"/>
      <c r="D713" s="19" t="n"/>
      <c r="E713" s="19" t="n"/>
      <c r="F713" s="19" t="n"/>
      <c r="G713" s="19" t="n"/>
      <c r="H713" s="19" t="n"/>
      <c r="I713" s="19" t="n"/>
      <c r="J713" s="19" t="n"/>
      <c r="K713" s="19" t="n"/>
      <c r="L713" s="19" t="n"/>
      <c r="M713" s="19" t="n"/>
      <c r="N713" s="19" t="n"/>
    </row>
    <row r="714" ht="15.75" customHeight="1" s="545">
      <c r="A714" s="19" t="n"/>
      <c r="B714" s="19" t="n"/>
      <c r="C714" s="19" t="n"/>
      <c r="D714" s="19" t="n"/>
      <c r="E714" s="19" t="n"/>
      <c r="F714" s="19" t="n"/>
      <c r="G714" s="19" t="n"/>
      <c r="H714" s="19" t="n"/>
      <c r="I714" s="19" t="n"/>
      <c r="J714" s="19" t="n"/>
      <c r="K714" s="19" t="n"/>
      <c r="L714" s="19" t="n"/>
      <c r="M714" s="19" t="n"/>
      <c r="N714" s="19" t="n"/>
    </row>
    <row r="715" ht="15.75" customHeight="1" s="545">
      <c r="A715" s="19" t="n"/>
      <c r="B715" s="19" t="n"/>
      <c r="C715" s="19" t="n"/>
      <c r="D715" s="19" t="n"/>
      <c r="E715" s="19" t="n"/>
      <c r="F715" s="19" t="n"/>
      <c r="G715" s="19" t="n"/>
      <c r="H715" s="19" t="n"/>
      <c r="I715" s="19" t="n"/>
      <c r="J715" s="19" t="n"/>
      <c r="K715" s="19" t="n"/>
      <c r="L715" s="19" t="n"/>
      <c r="M715" s="19" t="n"/>
      <c r="N715" s="19" t="n"/>
    </row>
    <row r="716" ht="15.75" customHeight="1" s="545">
      <c r="A716" s="19" t="n"/>
      <c r="B716" s="19" t="n"/>
      <c r="C716" s="19" t="n"/>
      <c r="D716" s="19" t="n"/>
      <c r="E716" s="19" t="n"/>
      <c r="F716" s="19" t="n"/>
      <c r="G716" s="19" t="n"/>
      <c r="H716" s="19" t="n"/>
      <c r="I716" s="19" t="n"/>
      <c r="J716" s="19" t="n"/>
      <c r="K716" s="19" t="n"/>
      <c r="L716" s="19" t="n"/>
      <c r="M716" s="19" t="n"/>
      <c r="N716" s="19" t="n"/>
    </row>
    <row r="717" ht="15.75" customHeight="1" s="545">
      <c r="A717" s="19" t="n"/>
      <c r="B717" s="19" t="n"/>
      <c r="C717" s="19" t="n"/>
      <c r="D717" s="19" t="n"/>
      <c r="E717" s="19" t="n"/>
      <c r="F717" s="19" t="n"/>
      <c r="G717" s="19" t="n"/>
      <c r="H717" s="19" t="n"/>
      <c r="I717" s="19" t="n"/>
      <c r="J717" s="19" t="n"/>
      <c r="K717" s="19" t="n"/>
      <c r="L717" s="19" t="n"/>
      <c r="M717" s="19" t="n"/>
      <c r="N717" s="19" t="n"/>
    </row>
    <row r="718" ht="15.75" customHeight="1" s="545">
      <c r="A718" s="19" t="n"/>
      <c r="B718" s="19" t="n"/>
      <c r="C718" s="19" t="n"/>
      <c r="D718" s="19" t="n"/>
      <c r="E718" s="19" t="n"/>
      <c r="F718" s="19" t="n"/>
      <c r="G718" s="19" t="n"/>
      <c r="H718" s="19" t="n"/>
      <c r="I718" s="19" t="n"/>
      <c r="J718" s="19" t="n"/>
      <c r="K718" s="19" t="n"/>
      <c r="L718" s="19" t="n"/>
      <c r="M718" s="19" t="n"/>
      <c r="N718" s="19" t="n"/>
    </row>
    <row r="719" ht="15.75" customHeight="1" s="545">
      <c r="A719" s="19" t="n"/>
      <c r="B719" s="19" t="n"/>
      <c r="C719" s="19" t="n"/>
      <c r="D719" s="19" t="n"/>
      <c r="E719" s="19" t="n"/>
      <c r="F719" s="19" t="n"/>
      <c r="G719" s="19" t="n"/>
      <c r="H719" s="19" t="n"/>
      <c r="I719" s="19" t="n"/>
      <c r="J719" s="19" t="n"/>
      <c r="K719" s="19" t="n"/>
      <c r="L719" s="19" t="n"/>
      <c r="M719" s="19" t="n"/>
      <c r="N719" s="19" t="n"/>
    </row>
    <row r="720" ht="15.75" customHeight="1" s="545">
      <c r="A720" s="19" t="n"/>
      <c r="B720" s="19" t="n"/>
      <c r="C720" s="19" t="n"/>
      <c r="D720" s="19" t="n"/>
      <c r="E720" s="19" t="n"/>
      <c r="F720" s="19" t="n"/>
      <c r="G720" s="19" t="n"/>
      <c r="H720" s="19" t="n"/>
      <c r="I720" s="19" t="n"/>
      <c r="J720" s="19" t="n"/>
      <c r="K720" s="19" t="n"/>
      <c r="L720" s="19" t="n"/>
      <c r="M720" s="19" t="n"/>
      <c r="N720" s="19" t="n"/>
    </row>
    <row r="721" ht="15.75" customHeight="1" s="545">
      <c r="A721" s="19" t="n"/>
      <c r="B721" s="19" t="n"/>
      <c r="C721" s="19" t="n"/>
      <c r="D721" s="19" t="n"/>
      <c r="E721" s="19" t="n"/>
      <c r="F721" s="19" t="n"/>
      <c r="G721" s="19" t="n"/>
      <c r="H721" s="19" t="n"/>
      <c r="I721" s="19" t="n"/>
      <c r="J721" s="19" t="n"/>
      <c r="K721" s="19" t="n"/>
      <c r="L721" s="19" t="n"/>
      <c r="M721" s="19" t="n"/>
      <c r="N721" s="19" t="n"/>
    </row>
    <row r="722" ht="15.75" customHeight="1" s="545">
      <c r="A722" s="19" t="n"/>
      <c r="B722" s="19" t="n"/>
      <c r="C722" s="19" t="n"/>
      <c r="D722" s="19" t="n"/>
      <c r="E722" s="19" t="n"/>
      <c r="F722" s="19" t="n"/>
      <c r="G722" s="19" t="n"/>
      <c r="H722" s="19" t="n"/>
      <c r="I722" s="19" t="n"/>
      <c r="J722" s="19" t="n"/>
      <c r="K722" s="19" t="n"/>
      <c r="L722" s="19" t="n"/>
      <c r="M722" s="19" t="n"/>
      <c r="N722" s="19" t="n"/>
    </row>
    <row r="723" ht="15.75" customHeight="1" s="545">
      <c r="A723" s="19" t="n"/>
      <c r="B723" s="19" t="n"/>
      <c r="C723" s="19" t="n"/>
      <c r="D723" s="19" t="n"/>
      <c r="E723" s="19" t="n"/>
      <c r="F723" s="19" t="n"/>
      <c r="G723" s="19" t="n"/>
      <c r="H723" s="19" t="n"/>
      <c r="I723" s="19" t="n"/>
      <c r="J723" s="19" t="n"/>
      <c r="K723" s="19" t="n"/>
      <c r="L723" s="19" t="n"/>
      <c r="M723" s="19" t="n"/>
      <c r="N723" s="19" t="n"/>
    </row>
    <row r="724" ht="15.75" customHeight="1" s="545">
      <c r="A724" s="19" t="n"/>
      <c r="B724" s="19" t="n"/>
      <c r="C724" s="19" t="n"/>
      <c r="D724" s="19" t="n"/>
      <c r="E724" s="19" t="n"/>
      <c r="F724" s="19" t="n"/>
      <c r="G724" s="19" t="n"/>
      <c r="H724" s="19" t="n"/>
      <c r="I724" s="19" t="n"/>
      <c r="J724" s="19" t="n"/>
      <c r="K724" s="19" t="n"/>
      <c r="L724" s="19" t="n"/>
      <c r="M724" s="19" t="n"/>
      <c r="N724" s="19" t="n"/>
    </row>
    <row r="725" ht="15.75" customHeight="1" s="545">
      <c r="A725" s="19" t="n"/>
      <c r="B725" s="19" t="n"/>
      <c r="C725" s="19" t="n"/>
      <c r="D725" s="19" t="n"/>
      <c r="E725" s="19" t="n"/>
      <c r="F725" s="19" t="n"/>
      <c r="G725" s="19" t="n"/>
      <c r="H725" s="19" t="n"/>
      <c r="I725" s="19" t="n"/>
      <c r="J725" s="19" t="n"/>
      <c r="K725" s="19" t="n"/>
      <c r="L725" s="19" t="n"/>
      <c r="M725" s="19" t="n"/>
      <c r="N725" s="19" t="n"/>
    </row>
    <row r="726" ht="15.75" customHeight="1" s="545">
      <c r="A726" s="19" t="n"/>
      <c r="B726" s="19" t="n"/>
      <c r="C726" s="19" t="n"/>
      <c r="D726" s="19" t="n"/>
      <c r="E726" s="19" t="n"/>
      <c r="F726" s="19" t="n"/>
      <c r="G726" s="19" t="n"/>
      <c r="H726" s="19" t="n"/>
      <c r="I726" s="19" t="n"/>
      <c r="J726" s="19" t="n"/>
      <c r="K726" s="19" t="n"/>
      <c r="L726" s="19" t="n"/>
      <c r="M726" s="19" t="n"/>
      <c r="N726" s="19" t="n"/>
    </row>
    <row r="727" ht="15.75" customHeight="1" s="545">
      <c r="A727" s="19" t="n"/>
      <c r="B727" s="19" t="n"/>
      <c r="C727" s="19" t="n"/>
      <c r="D727" s="19" t="n"/>
      <c r="E727" s="19" t="n"/>
      <c r="F727" s="19" t="n"/>
      <c r="G727" s="19" t="n"/>
      <c r="H727" s="19" t="n"/>
      <c r="I727" s="19" t="n"/>
      <c r="J727" s="19" t="n"/>
      <c r="K727" s="19" t="n"/>
      <c r="L727" s="19" t="n"/>
      <c r="M727" s="19" t="n"/>
      <c r="N727" s="19" t="n"/>
    </row>
    <row r="728" ht="15.75" customHeight="1" s="545">
      <c r="A728" s="19" t="n"/>
      <c r="B728" s="19" t="n"/>
      <c r="C728" s="19" t="n"/>
      <c r="D728" s="19" t="n"/>
      <c r="E728" s="19" t="n"/>
      <c r="F728" s="19" t="n"/>
      <c r="G728" s="19" t="n"/>
      <c r="H728" s="19" t="n"/>
      <c r="I728" s="19" t="n"/>
      <c r="J728" s="19" t="n"/>
      <c r="K728" s="19" t="n"/>
      <c r="L728" s="19" t="n"/>
      <c r="M728" s="19" t="n"/>
      <c r="N728" s="19" t="n"/>
    </row>
    <row r="729" ht="15.75" customHeight="1" s="545">
      <c r="A729" s="19" t="n"/>
      <c r="B729" s="19" t="n"/>
      <c r="C729" s="19" t="n"/>
      <c r="D729" s="19" t="n"/>
      <c r="E729" s="19" t="n"/>
      <c r="F729" s="19" t="n"/>
      <c r="G729" s="19" t="n"/>
      <c r="H729" s="19" t="n"/>
      <c r="I729" s="19" t="n"/>
      <c r="J729" s="19" t="n"/>
      <c r="K729" s="19" t="n"/>
      <c r="L729" s="19" t="n"/>
      <c r="M729" s="19" t="n"/>
      <c r="N729" s="19" t="n"/>
    </row>
    <row r="730" ht="15.75" customHeight="1" s="545">
      <c r="A730" s="19" t="n"/>
      <c r="B730" s="19" t="n"/>
      <c r="C730" s="19" t="n"/>
      <c r="D730" s="19" t="n"/>
      <c r="E730" s="19" t="n"/>
      <c r="F730" s="19" t="n"/>
      <c r="G730" s="19" t="n"/>
      <c r="H730" s="19" t="n"/>
      <c r="I730" s="19" t="n"/>
      <c r="J730" s="19" t="n"/>
      <c r="K730" s="19" t="n"/>
      <c r="L730" s="19" t="n"/>
      <c r="M730" s="19" t="n"/>
      <c r="N730" s="19" t="n"/>
    </row>
    <row r="731" ht="15.75" customHeight="1" s="545">
      <c r="A731" s="19" t="n"/>
      <c r="B731" s="19" t="n"/>
      <c r="C731" s="19" t="n"/>
      <c r="D731" s="19" t="n"/>
      <c r="E731" s="19" t="n"/>
      <c r="F731" s="19" t="n"/>
      <c r="G731" s="19" t="n"/>
      <c r="H731" s="19" t="n"/>
      <c r="I731" s="19" t="n"/>
      <c r="J731" s="19" t="n"/>
      <c r="K731" s="19" t="n"/>
      <c r="L731" s="19" t="n"/>
      <c r="M731" s="19" t="n"/>
      <c r="N731" s="19" t="n"/>
    </row>
    <row r="732" ht="15.75" customHeight="1" s="545">
      <c r="A732" s="19" t="n"/>
      <c r="B732" s="19" t="n"/>
      <c r="C732" s="19" t="n"/>
      <c r="D732" s="19" t="n"/>
      <c r="E732" s="19" t="n"/>
      <c r="F732" s="19" t="n"/>
      <c r="G732" s="19" t="n"/>
      <c r="H732" s="19" t="n"/>
      <c r="I732" s="19" t="n"/>
      <c r="J732" s="19" t="n"/>
      <c r="K732" s="19" t="n"/>
      <c r="L732" s="19" t="n"/>
      <c r="M732" s="19" t="n"/>
      <c r="N732" s="19" t="n"/>
    </row>
    <row r="733" ht="15.75" customHeight="1" s="545">
      <c r="A733" s="19" t="n"/>
      <c r="B733" s="19" t="n"/>
      <c r="C733" s="19" t="n"/>
      <c r="D733" s="19" t="n"/>
      <c r="E733" s="19" t="n"/>
      <c r="F733" s="19" t="n"/>
      <c r="G733" s="19" t="n"/>
      <c r="H733" s="19" t="n"/>
      <c r="I733" s="19" t="n"/>
      <c r="J733" s="19" t="n"/>
      <c r="K733" s="19" t="n"/>
      <c r="L733" s="19" t="n"/>
      <c r="M733" s="19" t="n"/>
      <c r="N733" s="19" t="n"/>
    </row>
    <row r="734" ht="15.75" customHeight="1" s="545">
      <c r="A734" s="19" t="n"/>
      <c r="B734" s="19" t="n"/>
      <c r="C734" s="19" t="n"/>
      <c r="D734" s="19" t="n"/>
      <c r="E734" s="19" t="n"/>
      <c r="F734" s="19" t="n"/>
      <c r="G734" s="19" t="n"/>
      <c r="H734" s="19" t="n"/>
      <c r="I734" s="19" t="n"/>
      <c r="J734" s="19" t="n"/>
      <c r="K734" s="19" t="n"/>
      <c r="L734" s="19" t="n"/>
      <c r="M734" s="19" t="n"/>
      <c r="N734" s="19" t="n"/>
    </row>
    <row r="735" ht="15.75" customHeight="1" s="545">
      <c r="A735" s="19" t="n"/>
      <c r="B735" s="19" t="n"/>
      <c r="C735" s="19" t="n"/>
      <c r="D735" s="19" t="n"/>
      <c r="E735" s="19" t="n"/>
      <c r="F735" s="19" t="n"/>
      <c r="G735" s="19" t="n"/>
      <c r="H735" s="19" t="n"/>
      <c r="I735" s="19" t="n"/>
      <c r="J735" s="19" t="n"/>
      <c r="K735" s="19" t="n"/>
      <c r="L735" s="19" t="n"/>
      <c r="M735" s="19" t="n"/>
      <c r="N735" s="19" t="n"/>
    </row>
    <row r="736" ht="15.75" customHeight="1" s="545">
      <c r="A736" s="19" t="n"/>
      <c r="B736" s="19" t="n"/>
      <c r="C736" s="19" t="n"/>
      <c r="D736" s="19" t="n"/>
      <c r="E736" s="19" t="n"/>
      <c r="F736" s="19" t="n"/>
      <c r="G736" s="19" t="n"/>
      <c r="H736" s="19" t="n"/>
      <c r="I736" s="19" t="n"/>
      <c r="J736" s="19" t="n"/>
      <c r="K736" s="19" t="n"/>
      <c r="L736" s="19" t="n"/>
      <c r="M736" s="19" t="n"/>
      <c r="N736" s="19" t="n"/>
    </row>
    <row r="737" ht="15.75" customHeight="1" s="545">
      <c r="A737" s="19" t="n"/>
      <c r="B737" s="19" t="n"/>
      <c r="C737" s="19" t="n"/>
      <c r="D737" s="19" t="n"/>
      <c r="E737" s="19" t="n"/>
      <c r="F737" s="19" t="n"/>
      <c r="G737" s="19" t="n"/>
      <c r="H737" s="19" t="n"/>
      <c r="I737" s="19" t="n"/>
      <c r="J737" s="19" t="n"/>
      <c r="K737" s="19" t="n"/>
      <c r="L737" s="19" t="n"/>
      <c r="M737" s="19" t="n"/>
      <c r="N737" s="19" t="n"/>
    </row>
    <row r="738" ht="15.75" customHeight="1" s="545">
      <c r="A738" s="19" t="n"/>
      <c r="B738" s="19" t="n"/>
      <c r="C738" s="19" t="n"/>
      <c r="D738" s="19" t="n"/>
      <c r="E738" s="19" t="n"/>
      <c r="F738" s="19" t="n"/>
      <c r="G738" s="19" t="n"/>
      <c r="H738" s="19" t="n"/>
      <c r="I738" s="19" t="n"/>
      <c r="J738" s="19" t="n"/>
      <c r="K738" s="19" t="n"/>
      <c r="L738" s="19" t="n"/>
      <c r="M738" s="19" t="n"/>
      <c r="N738" s="19" t="n"/>
    </row>
    <row r="739" ht="15.75" customHeight="1" s="545">
      <c r="A739" s="19" t="n"/>
      <c r="B739" s="19" t="n"/>
      <c r="C739" s="19" t="n"/>
      <c r="D739" s="19" t="n"/>
      <c r="E739" s="19" t="n"/>
      <c r="F739" s="19" t="n"/>
      <c r="G739" s="19" t="n"/>
      <c r="H739" s="19" t="n"/>
      <c r="I739" s="19" t="n"/>
      <c r="J739" s="19" t="n"/>
      <c r="K739" s="19" t="n"/>
      <c r="L739" s="19" t="n"/>
      <c r="M739" s="19" t="n"/>
      <c r="N739" s="19" t="n"/>
    </row>
    <row r="740" ht="15.75" customHeight="1" s="545">
      <c r="A740" s="19" t="n"/>
      <c r="B740" s="19" t="n"/>
      <c r="C740" s="19" t="n"/>
      <c r="D740" s="19" t="n"/>
      <c r="E740" s="19" t="n"/>
      <c r="F740" s="19" t="n"/>
      <c r="G740" s="19" t="n"/>
      <c r="H740" s="19" t="n"/>
      <c r="I740" s="19" t="n"/>
      <c r="J740" s="19" t="n"/>
      <c r="K740" s="19" t="n"/>
      <c r="L740" s="19" t="n"/>
      <c r="M740" s="19" t="n"/>
      <c r="N740" s="19" t="n"/>
    </row>
    <row r="741" ht="15.75" customHeight="1" s="545">
      <c r="A741" s="19" t="n"/>
      <c r="B741" s="19" t="n"/>
      <c r="C741" s="19" t="n"/>
      <c r="D741" s="19" t="n"/>
      <c r="E741" s="19" t="n"/>
      <c r="F741" s="19" t="n"/>
      <c r="G741" s="19" t="n"/>
      <c r="H741" s="19" t="n"/>
      <c r="I741" s="19" t="n"/>
      <c r="J741" s="19" t="n"/>
      <c r="K741" s="19" t="n"/>
      <c r="L741" s="19" t="n"/>
      <c r="M741" s="19" t="n"/>
      <c r="N741" s="19" t="n"/>
    </row>
    <row r="742" ht="15.75" customHeight="1" s="545">
      <c r="A742" s="19" t="n"/>
      <c r="B742" s="19" t="n"/>
      <c r="C742" s="19" t="n"/>
      <c r="D742" s="19" t="n"/>
      <c r="E742" s="19" t="n"/>
      <c r="F742" s="19" t="n"/>
      <c r="G742" s="19" t="n"/>
      <c r="H742" s="19" t="n"/>
      <c r="I742" s="19" t="n"/>
      <c r="J742" s="19" t="n"/>
      <c r="K742" s="19" t="n"/>
      <c r="L742" s="19" t="n"/>
      <c r="M742" s="19" t="n"/>
      <c r="N742" s="19" t="n"/>
    </row>
    <row r="743" ht="15.75" customHeight="1" s="545">
      <c r="A743" s="19" t="n"/>
      <c r="B743" s="19" t="n"/>
      <c r="C743" s="19" t="n"/>
      <c r="D743" s="19" t="n"/>
      <c r="E743" s="19" t="n"/>
      <c r="F743" s="19" t="n"/>
      <c r="G743" s="19" t="n"/>
      <c r="H743" s="19" t="n"/>
      <c r="I743" s="19" t="n"/>
      <c r="J743" s="19" t="n"/>
      <c r="K743" s="19" t="n"/>
      <c r="L743" s="19" t="n"/>
      <c r="M743" s="19" t="n"/>
      <c r="N743" s="19" t="n"/>
    </row>
    <row r="744" ht="15.75" customHeight="1" s="545">
      <c r="A744" s="19" t="n"/>
      <c r="B744" s="19" t="n"/>
      <c r="C744" s="19" t="n"/>
      <c r="D744" s="19" t="n"/>
      <c r="E744" s="19" t="n"/>
      <c r="F744" s="19" t="n"/>
      <c r="G744" s="19" t="n"/>
      <c r="H744" s="19" t="n"/>
      <c r="I744" s="19" t="n"/>
      <c r="J744" s="19" t="n"/>
      <c r="K744" s="19" t="n"/>
      <c r="L744" s="19" t="n"/>
      <c r="M744" s="19" t="n"/>
      <c r="N744" s="19" t="n"/>
    </row>
    <row r="745" ht="15.75" customHeight="1" s="545">
      <c r="A745" s="19" t="n"/>
      <c r="B745" s="19" t="n"/>
      <c r="C745" s="19" t="n"/>
      <c r="D745" s="19" t="n"/>
      <c r="E745" s="19" t="n"/>
      <c r="F745" s="19" t="n"/>
      <c r="G745" s="19" t="n"/>
      <c r="H745" s="19" t="n"/>
      <c r="I745" s="19" t="n"/>
      <c r="J745" s="19" t="n"/>
      <c r="K745" s="19" t="n"/>
      <c r="L745" s="19" t="n"/>
      <c r="M745" s="19" t="n"/>
      <c r="N745" s="19" t="n"/>
    </row>
    <row r="746" ht="15.75" customHeight="1" s="545">
      <c r="A746" s="19" t="n"/>
      <c r="B746" s="19" t="n"/>
      <c r="C746" s="19" t="n"/>
      <c r="D746" s="19" t="n"/>
      <c r="E746" s="19" t="n"/>
      <c r="F746" s="19" t="n"/>
      <c r="G746" s="19" t="n"/>
      <c r="H746" s="19" t="n"/>
      <c r="I746" s="19" t="n"/>
      <c r="J746" s="19" t="n"/>
      <c r="K746" s="19" t="n"/>
      <c r="L746" s="19" t="n"/>
      <c r="M746" s="19" t="n"/>
      <c r="N746" s="19" t="n"/>
    </row>
    <row r="747" ht="15.75" customHeight="1" s="545">
      <c r="A747" s="19" t="n"/>
      <c r="B747" s="19" t="n"/>
      <c r="C747" s="19" t="n"/>
      <c r="D747" s="19" t="n"/>
      <c r="E747" s="19" t="n"/>
      <c r="F747" s="19" t="n"/>
      <c r="G747" s="19" t="n"/>
      <c r="H747" s="19" t="n"/>
      <c r="I747" s="19" t="n"/>
      <c r="J747" s="19" t="n"/>
      <c r="K747" s="19" t="n"/>
      <c r="L747" s="19" t="n"/>
      <c r="M747" s="19" t="n"/>
      <c r="N747" s="19" t="n"/>
    </row>
    <row r="748" ht="15.75" customHeight="1" s="545">
      <c r="A748" s="19" t="n"/>
      <c r="B748" s="19" t="n"/>
      <c r="C748" s="19" t="n"/>
      <c r="D748" s="19" t="n"/>
      <c r="E748" s="19" t="n"/>
      <c r="F748" s="19" t="n"/>
      <c r="G748" s="19" t="n"/>
      <c r="H748" s="19" t="n"/>
      <c r="I748" s="19" t="n"/>
      <c r="J748" s="19" t="n"/>
      <c r="K748" s="19" t="n"/>
      <c r="L748" s="19" t="n"/>
      <c r="M748" s="19" t="n"/>
      <c r="N748" s="19" t="n"/>
    </row>
    <row r="749" ht="15.75" customHeight="1" s="545">
      <c r="A749" s="19" t="n"/>
      <c r="B749" s="19" t="n"/>
      <c r="C749" s="19" t="n"/>
      <c r="D749" s="19" t="n"/>
      <c r="E749" s="19" t="n"/>
      <c r="F749" s="19" t="n"/>
      <c r="G749" s="19" t="n"/>
      <c r="H749" s="19" t="n"/>
      <c r="I749" s="19" t="n"/>
      <c r="J749" s="19" t="n"/>
      <c r="K749" s="19" t="n"/>
      <c r="L749" s="19" t="n"/>
      <c r="M749" s="19" t="n"/>
      <c r="N749" s="19" t="n"/>
    </row>
    <row r="750" ht="15.75" customHeight="1" s="545">
      <c r="A750" s="19" t="n"/>
      <c r="B750" s="19" t="n"/>
      <c r="C750" s="19" t="n"/>
      <c r="D750" s="19" t="n"/>
      <c r="E750" s="19" t="n"/>
      <c r="F750" s="19" t="n"/>
      <c r="G750" s="19" t="n"/>
      <c r="H750" s="19" t="n"/>
      <c r="I750" s="19" t="n"/>
      <c r="J750" s="19" t="n"/>
      <c r="K750" s="19" t="n"/>
      <c r="L750" s="19" t="n"/>
      <c r="M750" s="19" t="n"/>
      <c r="N750" s="19" t="n"/>
    </row>
    <row r="751" ht="15.75" customHeight="1" s="545">
      <c r="A751" s="19" t="n"/>
      <c r="B751" s="19" t="n"/>
      <c r="C751" s="19" t="n"/>
      <c r="D751" s="19" t="n"/>
      <c r="E751" s="19" t="n"/>
      <c r="F751" s="19" t="n"/>
      <c r="G751" s="19" t="n"/>
      <c r="H751" s="19" t="n"/>
      <c r="I751" s="19" t="n"/>
      <c r="J751" s="19" t="n"/>
      <c r="K751" s="19" t="n"/>
      <c r="L751" s="19" t="n"/>
      <c r="M751" s="19" t="n"/>
      <c r="N751" s="19" t="n"/>
    </row>
    <row r="752" ht="15.75" customHeight="1" s="545">
      <c r="A752" s="19" t="n"/>
      <c r="B752" s="19" t="n"/>
      <c r="C752" s="19" t="n"/>
      <c r="D752" s="19" t="n"/>
      <c r="E752" s="19" t="n"/>
      <c r="F752" s="19" t="n"/>
      <c r="G752" s="19" t="n"/>
      <c r="H752" s="19" t="n"/>
      <c r="I752" s="19" t="n"/>
      <c r="J752" s="19" t="n"/>
      <c r="K752" s="19" t="n"/>
      <c r="L752" s="19" t="n"/>
      <c r="M752" s="19" t="n"/>
      <c r="N752" s="19" t="n"/>
    </row>
    <row r="753" ht="15.75" customHeight="1" s="545">
      <c r="A753" s="19" t="n"/>
      <c r="B753" s="19" t="n"/>
      <c r="C753" s="19" t="n"/>
      <c r="D753" s="19" t="n"/>
      <c r="E753" s="19" t="n"/>
      <c r="F753" s="19" t="n"/>
      <c r="G753" s="19" t="n"/>
      <c r="H753" s="19" t="n"/>
      <c r="I753" s="19" t="n"/>
      <c r="J753" s="19" t="n"/>
      <c r="K753" s="19" t="n"/>
      <c r="L753" s="19" t="n"/>
      <c r="M753" s="19" t="n"/>
      <c r="N753" s="19" t="n"/>
    </row>
    <row r="754" ht="15.75" customHeight="1" s="545">
      <c r="A754" s="19" t="n"/>
      <c r="B754" s="19" t="n"/>
      <c r="C754" s="19" t="n"/>
      <c r="D754" s="19" t="n"/>
      <c r="E754" s="19" t="n"/>
      <c r="F754" s="19" t="n"/>
      <c r="G754" s="19" t="n"/>
      <c r="H754" s="19" t="n"/>
      <c r="I754" s="19" t="n"/>
      <c r="J754" s="19" t="n"/>
      <c r="K754" s="19" t="n"/>
      <c r="L754" s="19" t="n"/>
      <c r="M754" s="19" t="n"/>
      <c r="N754" s="19" t="n"/>
    </row>
    <row r="755" ht="15.75" customHeight="1" s="545">
      <c r="A755" s="19" t="n"/>
      <c r="B755" s="19" t="n"/>
      <c r="C755" s="19" t="n"/>
      <c r="D755" s="19" t="n"/>
      <c r="E755" s="19" t="n"/>
      <c r="F755" s="19" t="n"/>
      <c r="G755" s="19" t="n"/>
      <c r="H755" s="19" t="n"/>
      <c r="I755" s="19" t="n"/>
      <c r="J755" s="19" t="n"/>
      <c r="K755" s="19" t="n"/>
      <c r="L755" s="19" t="n"/>
      <c r="M755" s="19" t="n"/>
      <c r="N755" s="19" t="n"/>
    </row>
    <row r="756" ht="15.75" customHeight="1" s="545">
      <c r="A756" s="19" t="n"/>
      <c r="B756" s="19" t="n"/>
      <c r="C756" s="19" t="n"/>
      <c r="D756" s="19" t="n"/>
      <c r="E756" s="19" t="n"/>
      <c r="F756" s="19" t="n"/>
      <c r="G756" s="19" t="n"/>
      <c r="H756" s="19" t="n"/>
      <c r="I756" s="19" t="n"/>
      <c r="J756" s="19" t="n"/>
      <c r="K756" s="19" t="n"/>
      <c r="L756" s="19" t="n"/>
      <c r="M756" s="19" t="n"/>
      <c r="N756" s="19" t="n"/>
    </row>
    <row r="757" ht="15.75" customHeight="1" s="545">
      <c r="A757" s="19" t="n"/>
      <c r="B757" s="19" t="n"/>
      <c r="C757" s="19" t="n"/>
      <c r="D757" s="19" t="n"/>
      <c r="E757" s="19" t="n"/>
      <c r="F757" s="19" t="n"/>
      <c r="G757" s="19" t="n"/>
      <c r="H757" s="19" t="n"/>
      <c r="I757" s="19" t="n"/>
      <c r="J757" s="19" t="n"/>
      <c r="K757" s="19" t="n"/>
      <c r="L757" s="19" t="n"/>
      <c r="M757" s="19" t="n"/>
      <c r="N757" s="19" t="n"/>
    </row>
    <row r="758" ht="15.75" customHeight="1" s="545">
      <c r="A758" s="19" t="n"/>
      <c r="B758" s="19" t="n"/>
      <c r="C758" s="19" t="n"/>
      <c r="D758" s="19" t="n"/>
      <c r="E758" s="19" t="n"/>
      <c r="F758" s="19" t="n"/>
      <c r="G758" s="19" t="n"/>
      <c r="H758" s="19" t="n"/>
      <c r="I758" s="19" t="n"/>
      <c r="J758" s="19" t="n"/>
      <c r="K758" s="19" t="n"/>
      <c r="L758" s="19" t="n"/>
      <c r="M758" s="19" t="n"/>
      <c r="N758" s="19" t="n"/>
    </row>
    <row r="759" ht="15.75" customHeight="1" s="545">
      <c r="A759" s="19" t="n"/>
      <c r="B759" s="19" t="n"/>
      <c r="C759" s="19" t="n"/>
      <c r="D759" s="19" t="n"/>
      <c r="E759" s="19" t="n"/>
      <c r="F759" s="19" t="n"/>
      <c r="G759" s="19" t="n"/>
      <c r="H759" s="19" t="n"/>
      <c r="I759" s="19" t="n"/>
      <c r="J759" s="19" t="n"/>
      <c r="K759" s="19" t="n"/>
      <c r="L759" s="19" t="n"/>
      <c r="M759" s="19" t="n"/>
      <c r="N759" s="19" t="n"/>
    </row>
    <row r="760" ht="15.75" customHeight="1" s="545">
      <c r="A760" s="19" t="n"/>
      <c r="B760" s="19" t="n"/>
      <c r="C760" s="19" t="n"/>
      <c r="D760" s="19" t="n"/>
      <c r="E760" s="19" t="n"/>
      <c r="F760" s="19" t="n"/>
      <c r="G760" s="19" t="n"/>
      <c r="H760" s="19" t="n"/>
      <c r="I760" s="19" t="n"/>
      <c r="J760" s="19" t="n"/>
      <c r="K760" s="19" t="n"/>
      <c r="L760" s="19" t="n"/>
      <c r="M760" s="19" t="n"/>
      <c r="N760" s="19" t="n"/>
    </row>
    <row r="761" ht="15.75" customHeight="1" s="545">
      <c r="A761" s="19" t="n"/>
      <c r="B761" s="19" t="n"/>
      <c r="C761" s="19" t="n"/>
      <c r="D761" s="19" t="n"/>
      <c r="E761" s="19" t="n"/>
      <c r="F761" s="19" t="n"/>
      <c r="G761" s="19" t="n"/>
      <c r="H761" s="19" t="n"/>
      <c r="I761" s="19" t="n"/>
      <c r="J761" s="19" t="n"/>
      <c r="K761" s="19" t="n"/>
      <c r="L761" s="19" t="n"/>
      <c r="M761" s="19" t="n"/>
      <c r="N761" s="19" t="n"/>
    </row>
    <row r="762" ht="15.75" customHeight="1" s="545">
      <c r="A762" s="19" t="n"/>
      <c r="B762" s="19" t="n"/>
      <c r="C762" s="19" t="n"/>
      <c r="D762" s="19" t="n"/>
      <c r="E762" s="19" t="n"/>
      <c r="F762" s="19" t="n"/>
      <c r="G762" s="19" t="n"/>
      <c r="H762" s="19" t="n"/>
      <c r="I762" s="19" t="n"/>
      <c r="J762" s="19" t="n"/>
      <c r="K762" s="19" t="n"/>
      <c r="L762" s="19" t="n"/>
      <c r="M762" s="19" t="n"/>
      <c r="N762" s="19" t="n"/>
    </row>
    <row r="763" ht="15.75" customHeight="1" s="545">
      <c r="A763" s="19" t="n"/>
      <c r="B763" s="19" t="n"/>
      <c r="C763" s="19" t="n"/>
      <c r="D763" s="19" t="n"/>
      <c r="E763" s="19" t="n"/>
      <c r="F763" s="19" t="n"/>
      <c r="G763" s="19" t="n"/>
      <c r="H763" s="19" t="n"/>
      <c r="I763" s="19" t="n"/>
      <c r="J763" s="19" t="n"/>
      <c r="K763" s="19" t="n"/>
      <c r="L763" s="19" t="n"/>
      <c r="M763" s="19" t="n"/>
      <c r="N763" s="19" t="n"/>
    </row>
    <row r="764" ht="15.75" customHeight="1" s="545">
      <c r="A764" s="19" t="n"/>
      <c r="B764" s="19" t="n"/>
      <c r="C764" s="19" t="n"/>
      <c r="D764" s="19" t="n"/>
      <c r="E764" s="19" t="n"/>
      <c r="F764" s="19" t="n"/>
      <c r="G764" s="19" t="n"/>
      <c r="H764" s="19" t="n"/>
      <c r="I764" s="19" t="n"/>
      <c r="J764" s="19" t="n"/>
      <c r="K764" s="19" t="n"/>
      <c r="L764" s="19" t="n"/>
      <c r="M764" s="19" t="n"/>
      <c r="N764" s="19" t="n"/>
    </row>
    <row r="765" ht="15.75" customHeight="1" s="545">
      <c r="A765" s="19" t="n"/>
      <c r="B765" s="19" t="n"/>
      <c r="C765" s="19" t="n"/>
      <c r="D765" s="19" t="n"/>
      <c r="E765" s="19" t="n"/>
      <c r="F765" s="19" t="n"/>
      <c r="G765" s="19" t="n"/>
      <c r="H765" s="19" t="n"/>
      <c r="I765" s="19" t="n"/>
      <c r="J765" s="19" t="n"/>
      <c r="K765" s="19" t="n"/>
      <c r="L765" s="19" t="n"/>
      <c r="M765" s="19" t="n"/>
      <c r="N765" s="19" t="n"/>
    </row>
    <row r="766" ht="15.75" customHeight="1" s="545">
      <c r="A766" s="19" t="n"/>
      <c r="B766" s="19" t="n"/>
      <c r="C766" s="19" t="n"/>
      <c r="D766" s="19" t="n"/>
      <c r="E766" s="19" t="n"/>
      <c r="F766" s="19" t="n"/>
      <c r="G766" s="19" t="n"/>
      <c r="H766" s="19" t="n"/>
      <c r="I766" s="19" t="n"/>
      <c r="J766" s="19" t="n"/>
      <c r="K766" s="19" t="n"/>
      <c r="L766" s="19" t="n"/>
      <c r="M766" s="19" t="n"/>
      <c r="N766" s="19" t="n"/>
    </row>
    <row r="767" ht="15.75" customHeight="1" s="545">
      <c r="A767" s="19" t="n"/>
      <c r="B767" s="19" t="n"/>
      <c r="C767" s="19" t="n"/>
      <c r="D767" s="19" t="n"/>
      <c r="E767" s="19" t="n"/>
      <c r="F767" s="19" t="n"/>
      <c r="G767" s="19" t="n"/>
      <c r="H767" s="19" t="n"/>
      <c r="I767" s="19" t="n"/>
      <c r="J767" s="19" t="n"/>
      <c r="K767" s="19" t="n"/>
      <c r="L767" s="19" t="n"/>
      <c r="M767" s="19" t="n"/>
      <c r="N767" s="19" t="n"/>
    </row>
    <row r="768" ht="15.75" customHeight="1" s="545">
      <c r="A768" s="19" t="n"/>
      <c r="B768" s="19" t="n"/>
      <c r="C768" s="19" t="n"/>
      <c r="D768" s="19" t="n"/>
      <c r="E768" s="19" t="n"/>
      <c r="F768" s="19" t="n"/>
      <c r="G768" s="19" t="n"/>
      <c r="H768" s="19" t="n"/>
      <c r="I768" s="19" t="n"/>
      <c r="J768" s="19" t="n"/>
      <c r="K768" s="19" t="n"/>
      <c r="L768" s="19" t="n"/>
      <c r="M768" s="19" t="n"/>
      <c r="N768" s="19" t="n"/>
    </row>
    <row r="769" ht="15.75" customHeight="1" s="545">
      <c r="A769" s="19" t="n"/>
      <c r="B769" s="19" t="n"/>
      <c r="C769" s="19" t="n"/>
      <c r="D769" s="19" t="n"/>
      <c r="E769" s="19" t="n"/>
      <c r="F769" s="19" t="n"/>
      <c r="G769" s="19" t="n"/>
      <c r="H769" s="19" t="n"/>
      <c r="I769" s="19" t="n"/>
      <c r="J769" s="19" t="n"/>
      <c r="K769" s="19" t="n"/>
      <c r="L769" s="19" t="n"/>
      <c r="M769" s="19" t="n"/>
      <c r="N769" s="19" t="n"/>
    </row>
    <row r="770" ht="15.75" customHeight="1" s="545">
      <c r="A770" s="19" t="n"/>
      <c r="B770" s="19" t="n"/>
      <c r="C770" s="19" t="n"/>
      <c r="D770" s="19" t="n"/>
      <c r="E770" s="19" t="n"/>
      <c r="F770" s="19" t="n"/>
      <c r="G770" s="19" t="n"/>
      <c r="H770" s="19" t="n"/>
      <c r="I770" s="19" t="n"/>
      <c r="J770" s="19" t="n"/>
      <c r="K770" s="19" t="n"/>
      <c r="L770" s="19" t="n"/>
      <c r="M770" s="19" t="n"/>
      <c r="N770" s="19" t="n"/>
    </row>
    <row r="771" ht="15.75" customHeight="1" s="545">
      <c r="A771" s="19" t="n"/>
      <c r="B771" s="19" t="n"/>
      <c r="C771" s="19" t="n"/>
      <c r="D771" s="19" t="n"/>
      <c r="E771" s="19" t="n"/>
      <c r="F771" s="19" t="n"/>
      <c r="G771" s="19" t="n"/>
      <c r="H771" s="19" t="n"/>
      <c r="I771" s="19" t="n"/>
      <c r="J771" s="19" t="n"/>
      <c r="K771" s="19" t="n"/>
      <c r="L771" s="19" t="n"/>
      <c r="M771" s="19" t="n"/>
      <c r="N771" s="19" t="n"/>
    </row>
    <row r="772" ht="15.75" customHeight="1" s="545">
      <c r="A772" s="19" t="n"/>
      <c r="B772" s="19" t="n"/>
      <c r="C772" s="19" t="n"/>
      <c r="D772" s="19" t="n"/>
      <c r="E772" s="19" t="n"/>
      <c r="F772" s="19" t="n"/>
      <c r="G772" s="19" t="n"/>
      <c r="H772" s="19" t="n"/>
      <c r="I772" s="19" t="n"/>
      <c r="J772" s="19" t="n"/>
      <c r="K772" s="19" t="n"/>
      <c r="L772" s="19" t="n"/>
      <c r="M772" s="19" t="n"/>
      <c r="N772" s="19" t="n"/>
    </row>
    <row r="773" ht="15.75" customHeight="1" s="545">
      <c r="A773" s="19" t="n"/>
      <c r="B773" s="19" t="n"/>
      <c r="C773" s="19" t="n"/>
      <c r="D773" s="19" t="n"/>
      <c r="E773" s="19" t="n"/>
      <c r="F773" s="19" t="n"/>
      <c r="G773" s="19" t="n"/>
      <c r="H773" s="19" t="n"/>
      <c r="I773" s="19" t="n"/>
      <c r="J773" s="19" t="n"/>
      <c r="K773" s="19" t="n"/>
      <c r="L773" s="19" t="n"/>
      <c r="M773" s="19" t="n"/>
      <c r="N773" s="19" t="n"/>
    </row>
    <row r="774" ht="15.75" customHeight="1" s="545">
      <c r="A774" s="19" t="n"/>
      <c r="B774" s="19" t="n"/>
      <c r="C774" s="19" t="n"/>
      <c r="D774" s="19" t="n"/>
      <c r="E774" s="19" t="n"/>
      <c r="F774" s="19" t="n"/>
      <c r="G774" s="19" t="n"/>
      <c r="H774" s="19" t="n"/>
      <c r="I774" s="19" t="n"/>
      <c r="J774" s="19" t="n"/>
      <c r="K774" s="19" t="n"/>
      <c r="L774" s="19" t="n"/>
      <c r="M774" s="19" t="n"/>
      <c r="N774" s="19" t="n"/>
    </row>
    <row r="775" ht="15.75" customHeight="1" s="545">
      <c r="A775" s="19" t="n"/>
      <c r="B775" s="19" t="n"/>
      <c r="C775" s="19" t="n"/>
      <c r="D775" s="19" t="n"/>
      <c r="E775" s="19" t="n"/>
      <c r="F775" s="19" t="n"/>
      <c r="G775" s="19" t="n"/>
      <c r="H775" s="19" t="n"/>
      <c r="I775" s="19" t="n"/>
      <c r="J775" s="19" t="n"/>
      <c r="K775" s="19" t="n"/>
      <c r="L775" s="19" t="n"/>
      <c r="M775" s="19" t="n"/>
      <c r="N775" s="19" t="n"/>
    </row>
    <row r="776" ht="15.75" customHeight="1" s="545">
      <c r="A776" s="19" t="n"/>
      <c r="B776" s="19" t="n"/>
      <c r="C776" s="19" t="n"/>
      <c r="D776" s="19" t="n"/>
      <c r="E776" s="19" t="n"/>
      <c r="F776" s="19" t="n"/>
      <c r="G776" s="19" t="n"/>
      <c r="H776" s="19" t="n"/>
      <c r="I776" s="19" t="n"/>
      <c r="J776" s="19" t="n"/>
      <c r="K776" s="19" t="n"/>
      <c r="L776" s="19" t="n"/>
      <c r="M776" s="19" t="n"/>
      <c r="N776" s="19" t="n"/>
    </row>
    <row r="777" ht="15.75" customHeight="1" s="545">
      <c r="A777" s="19" t="n"/>
      <c r="B777" s="19" t="n"/>
      <c r="C777" s="19" t="n"/>
      <c r="D777" s="19" t="n"/>
      <c r="E777" s="19" t="n"/>
      <c r="F777" s="19" t="n"/>
      <c r="G777" s="19" t="n"/>
      <c r="H777" s="19" t="n"/>
      <c r="I777" s="19" t="n"/>
      <c r="J777" s="19" t="n"/>
      <c r="K777" s="19" t="n"/>
      <c r="L777" s="19" t="n"/>
      <c r="M777" s="19" t="n"/>
      <c r="N777" s="19" t="n"/>
    </row>
    <row r="778" ht="15.75" customHeight="1" s="545">
      <c r="A778" s="19" t="n"/>
      <c r="B778" s="19" t="n"/>
      <c r="C778" s="19" t="n"/>
      <c r="D778" s="19" t="n"/>
      <c r="E778" s="19" t="n"/>
      <c r="F778" s="19" t="n"/>
      <c r="G778" s="19" t="n"/>
      <c r="H778" s="19" t="n"/>
      <c r="I778" s="19" t="n"/>
      <c r="J778" s="19" t="n"/>
      <c r="K778" s="19" t="n"/>
      <c r="L778" s="19" t="n"/>
      <c r="M778" s="19" t="n"/>
      <c r="N778" s="19" t="n"/>
    </row>
    <row r="779" ht="15.75" customHeight="1" s="545">
      <c r="A779" s="19" t="n"/>
      <c r="B779" s="19" t="n"/>
      <c r="C779" s="19" t="n"/>
      <c r="D779" s="19" t="n"/>
      <c r="E779" s="19" t="n"/>
      <c r="F779" s="19" t="n"/>
      <c r="G779" s="19" t="n"/>
      <c r="H779" s="19" t="n"/>
      <c r="I779" s="19" t="n"/>
      <c r="J779" s="19" t="n"/>
      <c r="K779" s="19" t="n"/>
      <c r="L779" s="19" t="n"/>
      <c r="M779" s="19" t="n"/>
      <c r="N779" s="19" t="n"/>
    </row>
    <row r="780" ht="15.75" customHeight="1" s="545">
      <c r="A780" s="19" t="n"/>
      <c r="B780" s="19" t="n"/>
      <c r="C780" s="19" t="n"/>
      <c r="D780" s="19" t="n"/>
      <c r="E780" s="19" t="n"/>
      <c r="F780" s="19" t="n"/>
      <c r="G780" s="19" t="n"/>
      <c r="H780" s="19" t="n"/>
      <c r="I780" s="19" t="n"/>
      <c r="J780" s="19" t="n"/>
      <c r="K780" s="19" t="n"/>
      <c r="L780" s="19" t="n"/>
      <c r="M780" s="19" t="n"/>
      <c r="N780" s="19" t="n"/>
    </row>
    <row r="781" ht="15.75" customHeight="1" s="545">
      <c r="A781" s="19" t="n"/>
      <c r="B781" s="19" t="n"/>
      <c r="C781" s="19" t="n"/>
      <c r="D781" s="19" t="n"/>
      <c r="E781" s="19" t="n"/>
      <c r="F781" s="19" t="n"/>
      <c r="G781" s="19" t="n"/>
      <c r="H781" s="19" t="n"/>
      <c r="I781" s="19" t="n"/>
      <c r="J781" s="19" t="n"/>
      <c r="K781" s="19" t="n"/>
      <c r="L781" s="19" t="n"/>
      <c r="M781" s="19" t="n"/>
      <c r="N781" s="19" t="n"/>
    </row>
    <row r="782" ht="15.75" customHeight="1" s="545">
      <c r="A782" s="19" t="n"/>
      <c r="B782" s="19" t="n"/>
      <c r="C782" s="19" t="n"/>
      <c r="D782" s="19" t="n"/>
      <c r="E782" s="19" t="n"/>
      <c r="F782" s="19" t="n"/>
      <c r="G782" s="19" t="n"/>
      <c r="H782" s="19" t="n"/>
      <c r="I782" s="19" t="n"/>
      <c r="J782" s="19" t="n"/>
      <c r="K782" s="19" t="n"/>
      <c r="L782" s="19" t="n"/>
      <c r="M782" s="19" t="n"/>
      <c r="N782" s="19" t="n"/>
    </row>
    <row r="783" ht="15.75" customHeight="1" s="545">
      <c r="A783" s="19" t="n"/>
      <c r="B783" s="19" t="n"/>
      <c r="C783" s="19" t="n"/>
      <c r="D783" s="19" t="n"/>
      <c r="E783" s="19" t="n"/>
      <c r="F783" s="19" t="n"/>
      <c r="G783" s="19" t="n"/>
      <c r="H783" s="19" t="n"/>
      <c r="I783" s="19" t="n"/>
      <c r="J783" s="19" t="n"/>
      <c r="K783" s="19" t="n"/>
      <c r="L783" s="19" t="n"/>
      <c r="M783" s="19" t="n"/>
      <c r="N783" s="19" t="n"/>
    </row>
    <row r="784" ht="15.75" customHeight="1" s="545">
      <c r="A784" s="19" t="n"/>
      <c r="B784" s="19" t="n"/>
      <c r="C784" s="19" t="n"/>
      <c r="D784" s="19" t="n"/>
      <c r="E784" s="19" t="n"/>
      <c r="F784" s="19" t="n"/>
      <c r="G784" s="19" t="n"/>
      <c r="H784" s="19" t="n"/>
      <c r="I784" s="19" t="n"/>
      <c r="J784" s="19" t="n"/>
      <c r="K784" s="19" t="n"/>
      <c r="L784" s="19" t="n"/>
      <c r="M784" s="19" t="n"/>
      <c r="N784" s="19" t="n"/>
    </row>
    <row r="785" ht="15.75" customHeight="1" s="545">
      <c r="A785" s="19" t="n"/>
      <c r="B785" s="19" t="n"/>
      <c r="C785" s="19" t="n"/>
      <c r="D785" s="19" t="n"/>
      <c r="E785" s="19" t="n"/>
      <c r="F785" s="19" t="n"/>
      <c r="G785" s="19" t="n"/>
      <c r="H785" s="19" t="n"/>
      <c r="I785" s="19" t="n"/>
      <c r="J785" s="19" t="n"/>
      <c r="K785" s="19" t="n"/>
      <c r="L785" s="19" t="n"/>
      <c r="M785" s="19" t="n"/>
      <c r="N785" s="19" t="n"/>
    </row>
    <row r="786" ht="15.75" customHeight="1" s="545">
      <c r="A786" s="19" t="n"/>
      <c r="B786" s="19" t="n"/>
      <c r="C786" s="19" t="n"/>
      <c r="D786" s="19" t="n"/>
      <c r="E786" s="19" t="n"/>
      <c r="F786" s="19" t="n"/>
      <c r="G786" s="19" t="n"/>
      <c r="H786" s="19" t="n"/>
      <c r="I786" s="19" t="n"/>
      <c r="J786" s="19" t="n"/>
      <c r="K786" s="19" t="n"/>
      <c r="L786" s="19" t="n"/>
      <c r="M786" s="19" t="n"/>
      <c r="N786" s="19" t="n"/>
    </row>
    <row r="787" ht="15.75" customHeight="1" s="545">
      <c r="A787" s="19" t="n"/>
      <c r="B787" s="19" t="n"/>
      <c r="C787" s="19" t="n"/>
      <c r="D787" s="19" t="n"/>
      <c r="E787" s="19" t="n"/>
      <c r="F787" s="19" t="n"/>
      <c r="G787" s="19" t="n"/>
      <c r="H787" s="19" t="n"/>
      <c r="I787" s="19" t="n"/>
      <c r="J787" s="19" t="n"/>
      <c r="K787" s="19" t="n"/>
      <c r="L787" s="19" t="n"/>
      <c r="M787" s="19" t="n"/>
      <c r="N787" s="19" t="n"/>
    </row>
    <row r="788" ht="15.75" customHeight="1" s="545">
      <c r="A788" s="19" t="n"/>
      <c r="B788" s="19" t="n"/>
      <c r="C788" s="19" t="n"/>
      <c r="D788" s="19" t="n"/>
      <c r="E788" s="19" t="n"/>
      <c r="F788" s="19" t="n"/>
      <c r="G788" s="19" t="n"/>
      <c r="H788" s="19" t="n"/>
      <c r="I788" s="19" t="n"/>
      <c r="J788" s="19" t="n"/>
      <c r="K788" s="19" t="n"/>
      <c r="L788" s="19" t="n"/>
      <c r="M788" s="19" t="n"/>
      <c r="N788" s="19" t="n"/>
    </row>
    <row r="789" ht="15.75" customHeight="1" s="545">
      <c r="A789" s="19" t="n"/>
      <c r="B789" s="19" t="n"/>
      <c r="C789" s="19" t="n"/>
      <c r="D789" s="19" t="n"/>
      <c r="E789" s="19" t="n"/>
      <c r="F789" s="19" t="n"/>
      <c r="G789" s="19" t="n"/>
      <c r="H789" s="19" t="n"/>
      <c r="I789" s="19" t="n"/>
      <c r="J789" s="19" t="n"/>
      <c r="K789" s="19" t="n"/>
      <c r="L789" s="19" t="n"/>
      <c r="M789" s="19" t="n"/>
      <c r="N789" s="19" t="n"/>
    </row>
    <row r="790" ht="15.75" customHeight="1" s="545">
      <c r="A790" s="19" t="n"/>
      <c r="B790" s="19" t="n"/>
      <c r="C790" s="19" t="n"/>
      <c r="D790" s="19" t="n"/>
      <c r="E790" s="19" t="n"/>
      <c r="F790" s="19" t="n"/>
      <c r="G790" s="19" t="n"/>
      <c r="H790" s="19" t="n"/>
      <c r="I790" s="19" t="n"/>
      <c r="J790" s="19" t="n"/>
      <c r="K790" s="19" t="n"/>
      <c r="L790" s="19" t="n"/>
      <c r="M790" s="19" t="n"/>
      <c r="N790" s="19" t="n"/>
    </row>
    <row r="791" ht="15.75" customHeight="1" s="545">
      <c r="A791" s="19" t="n"/>
      <c r="B791" s="19" t="n"/>
      <c r="C791" s="19" t="n"/>
      <c r="D791" s="19" t="n"/>
      <c r="E791" s="19" t="n"/>
      <c r="F791" s="19" t="n"/>
      <c r="G791" s="19" t="n"/>
      <c r="H791" s="19" t="n"/>
      <c r="I791" s="19" t="n"/>
      <c r="J791" s="19" t="n"/>
      <c r="K791" s="19" t="n"/>
      <c r="L791" s="19" t="n"/>
      <c r="M791" s="19" t="n"/>
      <c r="N791" s="19" t="n"/>
    </row>
    <row r="792" ht="15.75" customHeight="1" s="545">
      <c r="A792" s="19" t="n"/>
      <c r="B792" s="19" t="n"/>
      <c r="C792" s="19" t="n"/>
      <c r="D792" s="19" t="n"/>
      <c r="E792" s="19" t="n"/>
      <c r="F792" s="19" t="n"/>
      <c r="G792" s="19" t="n"/>
      <c r="H792" s="19" t="n"/>
      <c r="I792" s="19" t="n"/>
      <c r="J792" s="19" t="n"/>
      <c r="K792" s="19" t="n"/>
      <c r="L792" s="19" t="n"/>
      <c r="M792" s="19" t="n"/>
      <c r="N792" s="19" t="n"/>
    </row>
    <row r="793" ht="15.75" customHeight="1" s="545">
      <c r="A793" s="19" t="n"/>
      <c r="B793" s="19" t="n"/>
      <c r="C793" s="19" t="n"/>
      <c r="D793" s="19" t="n"/>
      <c r="E793" s="19" t="n"/>
      <c r="F793" s="19" t="n"/>
      <c r="G793" s="19" t="n"/>
      <c r="H793" s="19" t="n"/>
      <c r="I793" s="19" t="n"/>
      <c r="J793" s="19" t="n"/>
      <c r="K793" s="19" t="n"/>
      <c r="L793" s="19" t="n"/>
      <c r="M793" s="19" t="n"/>
      <c r="N793" s="19" t="n"/>
    </row>
    <row r="794" ht="15.75" customHeight="1" s="545">
      <c r="A794" s="19" t="n"/>
      <c r="B794" s="19" t="n"/>
      <c r="C794" s="19" t="n"/>
      <c r="D794" s="19" t="n"/>
      <c r="E794" s="19" t="n"/>
      <c r="F794" s="19" t="n"/>
      <c r="G794" s="19" t="n"/>
      <c r="H794" s="19" t="n"/>
      <c r="I794" s="19" t="n"/>
      <c r="J794" s="19" t="n"/>
      <c r="K794" s="19" t="n"/>
      <c r="L794" s="19" t="n"/>
      <c r="M794" s="19" t="n"/>
      <c r="N794" s="19" t="n"/>
    </row>
    <row r="795" ht="15.75" customHeight="1" s="545">
      <c r="A795" s="19" t="n"/>
      <c r="B795" s="19" t="n"/>
      <c r="C795" s="19" t="n"/>
      <c r="D795" s="19" t="n"/>
      <c r="E795" s="19" t="n"/>
      <c r="F795" s="19" t="n"/>
      <c r="G795" s="19" t="n"/>
      <c r="H795" s="19" t="n"/>
      <c r="I795" s="19" t="n"/>
      <c r="J795" s="19" t="n"/>
      <c r="K795" s="19" t="n"/>
      <c r="L795" s="19" t="n"/>
      <c r="M795" s="19" t="n"/>
      <c r="N795" s="19" t="n"/>
    </row>
    <row r="796" ht="15.75" customHeight="1" s="545">
      <c r="A796" s="19" t="n"/>
      <c r="B796" s="19" t="n"/>
      <c r="C796" s="19" t="n"/>
      <c r="D796" s="19" t="n"/>
      <c r="E796" s="19" t="n"/>
      <c r="F796" s="19" t="n"/>
      <c r="G796" s="19" t="n"/>
      <c r="H796" s="19" t="n"/>
      <c r="I796" s="19" t="n"/>
      <c r="J796" s="19" t="n"/>
      <c r="K796" s="19" t="n"/>
      <c r="L796" s="19" t="n"/>
      <c r="M796" s="19" t="n"/>
      <c r="N796" s="19" t="n"/>
    </row>
    <row r="797" ht="15.75" customHeight="1" s="545">
      <c r="A797" s="19" t="n"/>
      <c r="B797" s="19" t="n"/>
      <c r="C797" s="19" t="n"/>
      <c r="D797" s="19" t="n"/>
      <c r="E797" s="19" t="n"/>
      <c r="F797" s="19" t="n"/>
      <c r="G797" s="19" t="n"/>
      <c r="H797" s="19" t="n"/>
      <c r="I797" s="19" t="n"/>
      <c r="J797" s="19" t="n"/>
      <c r="K797" s="19" t="n"/>
      <c r="L797" s="19" t="n"/>
      <c r="M797" s="19" t="n"/>
      <c r="N797" s="19" t="n"/>
    </row>
    <row r="798" ht="15.75" customHeight="1" s="545">
      <c r="A798" s="19" t="n"/>
      <c r="B798" s="19" t="n"/>
      <c r="C798" s="19" t="n"/>
      <c r="D798" s="19" t="n"/>
      <c r="E798" s="19" t="n"/>
      <c r="F798" s="19" t="n"/>
      <c r="G798" s="19" t="n"/>
      <c r="H798" s="19" t="n"/>
      <c r="I798" s="19" t="n"/>
      <c r="J798" s="19" t="n"/>
      <c r="K798" s="19" t="n"/>
      <c r="L798" s="19" t="n"/>
      <c r="M798" s="19" t="n"/>
      <c r="N798" s="19" t="n"/>
    </row>
    <row r="799" ht="15.75" customHeight="1" s="545">
      <c r="A799" s="19" t="n"/>
      <c r="B799" s="19" t="n"/>
      <c r="C799" s="19" t="n"/>
      <c r="D799" s="19" t="n"/>
      <c r="E799" s="19" t="n"/>
      <c r="F799" s="19" t="n"/>
      <c r="G799" s="19" t="n"/>
      <c r="H799" s="19" t="n"/>
      <c r="I799" s="19" t="n"/>
      <c r="J799" s="19" t="n"/>
      <c r="K799" s="19" t="n"/>
      <c r="L799" s="19" t="n"/>
      <c r="M799" s="19" t="n"/>
      <c r="N799" s="19" t="n"/>
    </row>
    <row r="800" ht="15.75" customHeight="1" s="545">
      <c r="A800" s="19" t="n"/>
      <c r="B800" s="19" t="n"/>
      <c r="C800" s="19" t="n"/>
      <c r="D800" s="19" t="n"/>
      <c r="E800" s="19" t="n"/>
      <c r="F800" s="19" t="n"/>
      <c r="G800" s="19" t="n"/>
      <c r="H800" s="19" t="n"/>
      <c r="I800" s="19" t="n"/>
      <c r="J800" s="19" t="n"/>
      <c r="K800" s="19" t="n"/>
      <c r="L800" s="19" t="n"/>
      <c r="M800" s="19" t="n"/>
      <c r="N800" s="19" t="n"/>
    </row>
    <row r="801" ht="15.75" customHeight="1" s="545">
      <c r="A801" s="19" t="n"/>
      <c r="B801" s="19" t="n"/>
      <c r="C801" s="19" t="n"/>
      <c r="D801" s="19" t="n"/>
      <c r="E801" s="19" t="n"/>
      <c r="F801" s="19" t="n"/>
      <c r="G801" s="19" t="n"/>
      <c r="H801" s="19" t="n"/>
      <c r="I801" s="19" t="n"/>
      <c r="J801" s="19" t="n"/>
      <c r="K801" s="19" t="n"/>
      <c r="L801" s="19" t="n"/>
      <c r="M801" s="19" t="n"/>
      <c r="N801" s="19" t="n"/>
    </row>
    <row r="802" ht="15.75" customHeight="1" s="545">
      <c r="A802" s="19" t="n"/>
      <c r="B802" s="19" t="n"/>
      <c r="C802" s="19" t="n"/>
      <c r="D802" s="19" t="n"/>
      <c r="E802" s="19" t="n"/>
      <c r="F802" s="19" t="n"/>
      <c r="G802" s="19" t="n"/>
      <c r="H802" s="19" t="n"/>
      <c r="I802" s="19" t="n"/>
      <c r="J802" s="19" t="n"/>
      <c r="K802" s="19" t="n"/>
      <c r="L802" s="19" t="n"/>
      <c r="M802" s="19" t="n"/>
      <c r="N802" s="19" t="n"/>
    </row>
    <row r="803" ht="15.75" customHeight="1" s="545">
      <c r="A803" s="19" t="n"/>
      <c r="B803" s="19" t="n"/>
      <c r="C803" s="19" t="n"/>
      <c r="D803" s="19" t="n"/>
      <c r="E803" s="19" t="n"/>
      <c r="F803" s="19" t="n"/>
      <c r="G803" s="19" t="n"/>
      <c r="H803" s="19" t="n"/>
      <c r="I803" s="19" t="n"/>
      <c r="J803" s="19" t="n"/>
      <c r="K803" s="19" t="n"/>
      <c r="L803" s="19" t="n"/>
      <c r="M803" s="19" t="n"/>
      <c r="N803" s="19" t="n"/>
    </row>
    <row r="804" ht="15.75" customHeight="1" s="545">
      <c r="A804" s="19" t="n"/>
      <c r="B804" s="19" t="n"/>
      <c r="C804" s="19" t="n"/>
      <c r="D804" s="19" t="n"/>
      <c r="E804" s="19" t="n"/>
      <c r="F804" s="19" t="n"/>
      <c r="G804" s="19" t="n"/>
      <c r="H804" s="19" t="n"/>
      <c r="I804" s="19" t="n"/>
      <c r="J804" s="19" t="n"/>
      <c r="K804" s="19" t="n"/>
      <c r="L804" s="19" t="n"/>
      <c r="M804" s="19" t="n"/>
      <c r="N804" s="19" t="n"/>
    </row>
    <row r="805" ht="15.75" customHeight="1" s="545">
      <c r="A805" s="19" t="n"/>
      <c r="B805" s="19" t="n"/>
      <c r="C805" s="19" t="n"/>
      <c r="D805" s="19" t="n"/>
      <c r="E805" s="19" t="n"/>
      <c r="F805" s="19" t="n"/>
      <c r="G805" s="19" t="n"/>
      <c r="H805" s="19" t="n"/>
      <c r="I805" s="19" t="n"/>
      <c r="J805" s="19" t="n"/>
      <c r="K805" s="19" t="n"/>
      <c r="L805" s="19" t="n"/>
      <c r="M805" s="19" t="n"/>
      <c r="N805" s="19" t="n"/>
    </row>
    <row r="806" ht="15.75" customHeight="1" s="545">
      <c r="A806" s="19" t="n"/>
      <c r="B806" s="19" t="n"/>
      <c r="C806" s="19" t="n"/>
      <c r="D806" s="19" t="n"/>
      <c r="E806" s="19" t="n"/>
      <c r="F806" s="19" t="n"/>
      <c r="G806" s="19" t="n"/>
      <c r="H806" s="19" t="n"/>
      <c r="I806" s="19" t="n"/>
      <c r="J806" s="19" t="n"/>
      <c r="K806" s="19" t="n"/>
      <c r="L806" s="19" t="n"/>
      <c r="M806" s="19" t="n"/>
      <c r="N806" s="19" t="n"/>
    </row>
    <row r="807" ht="15.75" customHeight="1" s="545">
      <c r="A807" s="19" t="n"/>
      <c r="B807" s="19" t="n"/>
      <c r="C807" s="19" t="n"/>
      <c r="D807" s="19" t="n"/>
      <c r="E807" s="19" t="n"/>
      <c r="F807" s="19" t="n"/>
      <c r="G807" s="19" t="n"/>
      <c r="H807" s="19" t="n"/>
      <c r="I807" s="19" t="n"/>
      <c r="J807" s="19" t="n"/>
      <c r="K807" s="19" t="n"/>
      <c r="L807" s="19" t="n"/>
      <c r="M807" s="19" t="n"/>
      <c r="N807" s="19" t="n"/>
    </row>
    <row r="808" ht="15.75" customHeight="1" s="545">
      <c r="A808" s="19" t="n"/>
      <c r="B808" s="19" t="n"/>
      <c r="C808" s="19" t="n"/>
      <c r="D808" s="19" t="n"/>
      <c r="E808" s="19" t="n"/>
      <c r="F808" s="19" t="n"/>
      <c r="G808" s="19" t="n"/>
      <c r="H808" s="19" t="n"/>
      <c r="I808" s="19" t="n"/>
      <c r="J808" s="19" t="n"/>
      <c r="K808" s="19" t="n"/>
      <c r="L808" s="19" t="n"/>
      <c r="M808" s="19" t="n"/>
      <c r="N808" s="19" t="n"/>
    </row>
    <row r="809" ht="15.75" customHeight="1" s="545">
      <c r="A809" s="19" t="n"/>
      <c r="B809" s="19" t="n"/>
      <c r="C809" s="19" t="n"/>
      <c r="D809" s="19" t="n"/>
      <c r="E809" s="19" t="n"/>
      <c r="F809" s="19" t="n"/>
      <c r="G809" s="19" t="n"/>
      <c r="H809" s="19" t="n"/>
      <c r="I809" s="19" t="n"/>
      <c r="J809" s="19" t="n"/>
      <c r="K809" s="19" t="n"/>
      <c r="L809" s="19" t="n"/>
      <c r="M809" s="19" t="n"/>
      <c r="N809" s="19" t="n"/>
    </row>
    <row r="810" ht="15.75" customHeight="1" s="545">
      <c r="A810" s="19" t="n"/>
      <c r="B810" s="19" t="n"/>
      <c r="C810" s="19" t="n"/>
      <c r="D810" s="19" t="n"/>
      <c r="E810" s="19" t="n"/>
      <c r="F810" s="19" t="n"/>
      <c r="G810" s="19" t="n"/>
      <c r="H810" s="19" t="n"/>
      <c r="I810" s="19" t="n"/>
      <c r="J810" s="19" t="n"/>
      <c r="K810" s="19" t="n"/>
      <c r="L810" s="19" t="n"/>
      <c r="M810" s="19" t="n"/>
      <c r="N810" s="19" t="n"/>
    </row>
    <row r="811" ht="15.75" customHeight="1" s="545">
      <c r="A811" s="19" t="n"/>
      <c r="B811" s="19" t="n"/>
      <c r="C811" s="19" t="n"/>
      <c r="D811" s="19" t="n"/>
      <c r="E811" s="19" t="n"/>
      <c r="F811" s="19" t="n"/>
      <c r="G811" s="19" t="n"/>
      <c r="H811" s="19" t="n"/>
      <c r="I811" s="19" t="n"/>
      <c r="J811" s="19" t="n"/>
      <c r="K811" s="19" t="n"/>
      <c r="L811" s="19" t="n"/>
      <c r="M811" s="19" t="n"/>
      <c r="N811" s="19" t="n"/>
    </row>
    <row r="812" ht="15.75" customHeight="1" s="545">
      <c r="A812" s="19" t="n"/>
      <c r="B812" s="19" t="n"/>
      <c r="C812" s="19" t="n"/>
      <c r="D812" s="19" t="n"/>
      <c r="E812" s="19" t="n"/>
      <c r="F812" s="19" t="n"/>
      <c r="G812" s="19" t="n"/>
      <c r="H812" s="19" t="n"/>
      <c r="I812" s="19" t="n"/>
      <c r="J812" s="19" t="n"/>
      <c r="K812" s="19" t="n"/>
      <c r="L812" s="19" t="n"/>
      <c r="M812" s="19" t="n"/>
      <c r="N812" s="19" t="n"/>
    </row>
    <row r="813" ht="15.75" customHeight="1" s="545">
      <c r="A813" s="19" t="n"/>
      <c r="B813" s="19" t="n"/>
      <c r="C813" s="19" t="n"/>
      <c r="D813" s="19" t="n"/>
      <c r="E813" s="19" t="n"/>
      <c r="F813" s="19" t="n"/>
      <c r="G813" s="19" t="n"/>
      <c r="H813" s="19" t="n"/>
      <c r="I813" s="19" t="n"/>
      <c r="J813" s="19" t="n"/>
      <c r="K813" s="19" t="n"/>
      <c r="L813" s="19" t="n"/>
      <c r="M813" s="19" t="n"/>
      <c r="N813" s="19" t="n"/>
    </row>
    <row r="814" ht="15.75" customHeight="1" s="545">
      <c r="A814" s="19" t="n"/>
      <c r="B814" s="19" t="n"/>
      <c r="C814" s="19" t="n"/>
      <c r="D814" s="19" t="n"/>
      <c r="E814" s="19" t="n"/>
      <c r="F814" s="19" t="n"/>
      <c r="G814" s="19" t="n"/>
      <c r="H814" s="19" t="n"/>
      <c r="I814" s="19" t="n"/>
      <c r="J814" s="19" t="n"/>
      <c r="K814" s="19" t="n"/>
      <c r="L814" s="19" t="n"/>
      <c r="M814" s="19" t="n"/>
      <c r="N814" s="19" t="n"/>
    </row>
    <row r="815" ht="15.75" customHeight="1" s="545">
      <c r="A815" s="19" t="n"/>
      <c r="B815" s="19" t="n"/>
      <c r="C815" s="19" t="n"/>
      <c r="D815" s="19" t="n"/>
      <c r="E815" s="19" t="n"/>
      <c r="F815" s="19" t="n"/>
      <c r="G815" s="19" t="n"/>
      <c r="H815" s="19" t="n"/>
      <c r="I815" s="19" t="n"/>
      <c r="J815" s="19" t="n"/>
      <c r="K815" s="19" t="n"/>
      <c r="L815" s="19" t="n"/>
      <c r="M815" s="19" t="n"/>
      <c r="N815" s="19" t="n"/>
    </row>
    <row r="816" ht="15.75" customHeight="1" s="545">
      <c r="A816" s="19" t="n"/>
      <c r="B816" s="19" t="n"/>
      <c r="C816" s="19" t="n"/>
      <c r="D816" s="19" t="n"/>
      <c r="E816" s="19" t="n"/>
      <c r="F816" s="19" t="n"/>
      <c r="G816" s="19" t="n"/>
      <c r="H816" s="19" t="n"/>
      <c r="I816" s="19" t="n"/>
      <c r="J816" s="19" t="n"/>
      <c r="K816" s="19" t="n"/>
      <c r="L816" s="19" t="n"/>
      <c r="M816" s="19" t="n"/>
      <c r="N816" s="19" t="n"/>
    </row>
    <row r="817" ht="15.75" customHeight="1" s="545">
      <c r="A817" s="19" t="n"/>
      <c r="B817" s="19" t="n"/>
      <c r="C817" s="19" t="n"/>
      <c r="D817" s="19" t="n"/>
      <c r="E817" s="19" t="n"/>
      <c r="F817" s="19" t="n"/>
      <c r="G817" s="19" t="n"/>
      <c r="H817" s="19" t="n"/>
      <c r="I817" s="19" t="n"/>
      <c r="J817" s="19" t="n"/>
      <c r="K817" s="19" t="n"/>
      <c r="L817" s="19" t="n"/>
      <c r="M817" s="19" t="n"/>
      <c r="N817" s="19" t="n"/>
    </row>
    <row r="818" ht="15.75" customHeight="1" s="545">
      <c r="A818" s="19" t="n"/>
      <c r="B818" s="19" t="n"/>
      <c r="C818" s="19" t="n"/>
      <c r="D818" s="19" t="n"/>
      <c r="E818" s="19" t="n"/>
      <c r="F818" s="19" t="n"/>
      <c r="G818" s="19" t="n"/>
      <c r="H818" s="19" t="n"/>
      <c r="I818" s="19" t="n"/>
      <c r="J818" s="19" t="n"/>
      <c r="K818" s="19" t="n"/>
      <c r="L818" s="19" t="n"/>
      <c r="M818" s="19" t="n"/>
      <c r="N818" s="19" t="n"/>
    </row>
    <row r="819" ht="15.75" customHeight="1" s="545">
      <c r="A819" s="19" t="n"/>
      <c r="B819" s="19" t="n"/>
      <c r="C819" s="19" t="n"/>
      <c r="D819" s="19" t="n"/>
      <c r="E819" s="19" t="n"/>
      <c r="F819" s="19" t="n"/>
      <c r="G819" s="19" t="n"/>
      <c r="H819" s="19" t="n"/>
      <c r="I819" s="19" t="n"/>
      <c r="J819" s="19" t="n"/>
      <c r="K819" s="19" t="n"/>
      <c r="L819" s="19" t="n"/>
      <c r="M819" s="19" t="n"/>
      <c r="N819" s="19" t="n"/>
    </row>
    <row r="820" ht="15.75" customHeight="1" s="545">
      <c r="A820" s="19" t="n"/>
      <c r="B820" s="19" t="n"/>
      <c r="C820" s="19" t="n"/>
      <c r="D820" s="19" t="n"/>
      <c r="E820" s="19" t="n"/>
      <c r="F820" s="19" t="n"/>
      <c r="G820" s="19" t="n"/>
      <c r="H820" s="19" t="n"/>
      <c r="I820" s="19" t="n"/>
      <c r="J820" s="19" t="n"/>
      <c r="K820" s="19" t="n"/>
      <c r="L820" s="19" t="n"/>
      <c r="M820" s="19" t="n"/>
      <c r="N820" s="19" t="n"/>
    </row>
    <row r="821" ht="15.75" customHeight="1" s="545">
      <c r="A821" s="19" t="n"/>
      <c r="B821" s="19" t="n"/>
      <c r="C821" s="19" t="n"/>
      <c r="D821" s="19" t="n"/>
      <c r="E821" s="19" t="n"/>
      <c r="F821" s="19" t="n"/>
      <c r="G821" s="19" t="n"/>
      <c r="H821" s="19" t="n"/>
      <c r="I821" s="19" t="n"/>
      <c r="J821" s="19" t="n"/>
      <c r="K821" s="19" t="n"/>
      <c r="L821" s="19" t="n"/>
      <c r="M821" s="19" t="n"/>
      <c r="N821" s="19" t="n"/>
    </row>
    <row r="822" ht="15.75" customHeight="1" s="545">
      <c r="A822" s="19" t="n"/>
      <c r="B822" s="19" t="n"/>
      <c r="C822" s="19" t="n"/>
      <c r="D822" s="19" t="n"/>
      <c r="E822" s="19" t="n"/>
      <c r="F822" s="19" t="n"/>
      <c r="G822" s="19" t="n"/>
      <c r="H822" s="19" t="n"/>
      <c r="I822" s="19" t="n"/>
      <c r="J822" s="19" t="n"/>
      <c r="K822" s="19" t="n"/>
      <c r="L822" s="19" t="n"/>
      <c r="M822" s="19" t="n"/>
      <c r="N822" s="19" t="n"/>
    </row>
    <row r="823" ht="15.75" customHeight="1" s="545">
      <c r="A823" s="19" t="n"/>
      <c r="B823" s="19" t="n"/>
      <c r="C823" s="19" t="n"/>
      <c r="D823" s="19" t="n"/>
      <c r="E823" s="19" t="n"/>
      <c r="F823" s="19" t="n"/>
      <c r="G823" s="19" t="n"/>
      <c r="H823" s="19" t="n"/>
      <c r="I823" s="19" t="n"/>
      <c r="J823" s="19" t="n"/>
      <c r="K823" s="19" t="n"/>
      <c r="L823" s="19" t="n"/>
      <c r="M823" s="19" t="n"/>
      <c r="N823" s="19" t="n"/>
    </row>
    <row r="824" ht="15.75" customHeight="1" s="545">
      <c r="A824" s="19" t="n"/>
      <c r="B824" s="19" t="n"/>
      <c r="C824" s="19" t="n"/>
      <c r="D824" s="19" t="n"/>
      <c r="E824" s="19" t="n"/>
      <c r="F824" s="19" t="n"/>
      <c r="G824" s="19" t="n"/>
      <c r="H824" s="19" t="n"/>
      <c r="I824" s="19" t="n"/>
      <c r="J824" s="19" t="n"/>
      <c r="K824" s="19" t="n"/>
      <c r="L824" s="19" t="n"/>
      <c r="M824" s="19" t="n"/>
      <c r="N824" s="19" t="n"/>
    </row>
    <row r="825" ht="15.75" customHeight="1" s="545">
      <c r="A825" s="19" t="n"/>
      <c r="B825" s="19" t="n"/>
      <c r="C825" s="19" t="n"/>
      <c r="D825" s="19" t="n"/>
      <c r="E825" s="19" t="n"/>
      <c r="F825" s="19" t="n"/>
      <c r="G825" s="19" t="n"/>
      <c r="H825" s="19" t="n"/>
      <c r="I825" s="19" t="n"/>
      <c r="J825" s="19" t="n"/>
      <c r="K825" s="19" t="n"/>
      <c r="L825" s="19" t="n"/>
      <c r="M825" s="19" t="n"/>
      <c r="N825" s="19" t="n"/>
    </row>
    <row r="826" ht="15.75" customHeight="1" s="545">
      <c r="A826" s="19" t="n"/>
      <c r="B826" s="19" t="n"/>
      <c r="C826" s="19" t="n"/>
      <c r="D826" s="19" t="n"/>
      <c r="E826" s="19" t="n"/>
      <c r="F826" s="19" t="n"/>
      <c r="G826" s="19" t="n"/>
      <c r="H826" s="19" t="n"/>
      <c r="I826" s="19" t="n"/>
      <c r="J826" s="19" t="n"/>
      <c r="K826" s="19" t="n"/>
      <c r="L826" s="19" t="n"/>
      <c r="M826" s="19" t="n"/>
      <c r="N826" s="19" t="n"/>
    </row>
    <row r="827" ht="15.75" customHeight="1" s="545">
      <c r="A827" s="19" t="n"/>
      <c r="B827" s="19" t="n"/>
      <c r="C827" s="19" t="n"/>
      <c r="D827" s="19" t="n"/>
      <c r="E827" s="19" t="n"/>
      <c r="F827" s="19" t="n"/>
      <c r="G827" s="19" t="n"/>
      <c r="H827" s="19" t="n"/>
      <c r="I827" s="19" t="n"/>
      <c r="J827" s="19" t="n"/>
      <c r="K827" s="19" t="n"/>
      <c r="L827" s="19" t="n"/>
      <c r="M827" s="19" t="n"/>
      <c r="N827" s="19" t="n"/>
    </row>
    <row r="828" ht="15.75" customHeight="1" s="545">
      <c r="A828" s="19" t="n"/>
      <c r="B828" s="19" t="n"/>
      <c r="C828" s="19" t="n"/>
      <c r="D828" s="19" t="n"/>
      <c r="E828" s="19" t="n"/>
      <c r="F828" s="19" t="n"/>
      <c r="G828" s="19" t="n"/>
      <c r="H828" s="19" t="n"/>
      <c r="I828" s="19" t="n"/>
      <c r="J828" s="19" t="n"/>
      <c r="K828" s="19" t="n"/>
      <c r="L828" s="19" t="n"/>
      <c r="M828" s="19" t="n"/>
      <c r="N828" s="19" t="n"/>
    </row>
    <row r="829" ht="15.75" customHeight="1" s="545">
      <c r="A829" s="19" t="n"/>
      <c r="B829" s="19" t="n"/>
      <c r="C829" s="19" t="n"/>
      <c r="D829" s="19" t="n"/>
      <c r="E829" s="19" t="n"/>
      <c r="F829" s="19" t="n"/>
      <c r="G829" s="19" t="n"/>
      <c r="H829" s="19" t="n"/>
      <c r="I829" s="19" t="n"/>
      <c r="J829" s="19" t="n"/>
      <c r="K829" s="19" t="n"/>
      <c r="L829" s="19" t="n"/>
      <c r="M829" s="19" t="n"/>
      <c r="N829" s="19" t="n"/>
    </row>
    <row r="830" ht="15.75" customHeight="1" s="545">
      <c r="A830" s="19" t="n"/>
      <c r="B830" s="19" t="n"/>
      <c r="C830" s="19" t="n"/>
      <c r="D830" s="19" t="n"/>
      <c r="E830" s="19" t="n"/>
      <c r="F830" s="19" t="n"/>
      <c r="G830" s="19" t="n"/>
      <c r="H830" s="19" t="n"/>
      <c r="I830" s="19" t="n"/>
      <c r="J830" s="19" t="n"/>
      <c r="K830" s="19" t="n"/>
      <c r="L830" s="19" t="n"/>
      <c r="M830" s="19" t="n"/>
      <c r="N830" s="19" t="n"/>
    </row>
    <row r="831" ht="15.75" customHeight="1" s="545">
      <c r="A831" s="19" t="n"/>
      <c r="B831" s="19" t="n"/>
      <c r="C831" s="19" t="n"/>
      <c r="D831" s="19" t="n"/>
      <c r="E831" s="19" t="n"/>
      <c r="F831" s="19" t="n"/>
      <c r="G831" s="19" t="n"/>
      <c r="H831" s="19" t="n"/>
      <c r="I831" s="19" t="n"/>
      <c r="J831" s="19" t="n"/>
      <c r="K831" s="19" t="n"/>
      <c r="L831" s="19" t="n"/>
      <c r="M831" s="19" t="n"/>
      <c r="N831" s="19" t="n"/>
    </row>
    <row r="832" ht="15.75" customHeight="1" s="545">
      <c r="A832" s="19" t="n"/>
      <c r="B832" s="19" t="n"/>
      <c r="C832" s="19" t="n"/>
      <c r="D832" s="19" t="n"/>
      <c r="E832" s="19" t="n"/>
      <c r="F832" s="19" t="n"/>
      <c r="G832" s="19" t="n"/>
      <c r="H832" s="19" t="n"/>
      <c r="I832" s="19" t="n"/>
      <c r="J832" s="19" t="n"/>
      <c r="K832" s="19" t="n"/>
      <c r="L832" s="19" t="n"/>
      <c r="M832" s="19" t="n"/>
      <c r="N832" s="19" t="n"/>
    </row>
    <row r="833" ht="15.75" customHeight="1" s="545">
      <c r="A833" s="19" t="n"/>
      <c r="B833" s="19" t="n"/>
      <c r="C833" s="19" t="n"/>
      <c r="D833" s="19" t="n"/>
      <c r="E833" s="19" t="n"/>
      <c r="F833" s="19" t="n"/>
      <c r="G833" s="19" t="n"/>
      <c r="H833" s="19" t="n"/>
      <c r="I833" s="19" t="n"/>
      <c r="J833" s="19" t="n"/>
      <c r="K833" s="19" t="n"/>
      <c r="L833" s="19" t="n"/>
      <c r="M833" s="19" t="n"/>
      <c r="N833" s="19" t="n"/>
    </row>
    <row r="834" ht="15.75" customHeight="1" s="545">
      <c r="A834" s="19" t="n"/>
      <c r="B834" s="19" t="n"/>
      <c r="C834" s="19" t="n"/>
      <c r="D834" s="19" t="n"/>
      <c r="E834" s="19" t="n"/>
      <c r="F834" s="19" t="n"/>
      <c r="G834" s="19" t="n"/>
      <c r="H834" s="19" t="n"/>
      <c r="I834" s="19" t="n"/>
      <c r="J834" s="19" t="n"/>
      <c r="K834" s="19" t="n"/>
      <c r="L834" s="19" t="n"/>
      <c r="M834" s="19" t="n"/>
      <c r="N834" s="19" t="n"/>
    </row>
    <row r="835" ht="15.75" customHeight="1" s="545">
      <c r="A835" s="19" t="n"/>
      <c r="B835" s="19" t="n"/>
      <c r="C835" s="19" t="n"/>
      <c r="D835" s="19" t="n"/>
      <c r="E835" s="19" t="n"/>
      <c r="F835" s="19" t="n"/>
      <c r="G835" s="19" t="n"/>
      <c r="H835" s="19" t="n"/>
      <c r="I835" s="19" t="n"/>
      <c r="J835" s="19" t="n"/>
      <c r="K835" s="19" t="n"/>
      <c r="L835" s="19" t="n"/>
      <c r="M835" s="19" t="n"/>
      <c r="N835" s="19" t="n"/>
    </row>
    <row r="836" ht="15.75" customHeight="1" s="545">
      <c r="A836" s="19" t="n"/>
      <c r="B836" s="19" t="n"/>
      <c r="C836" s="19" t="n"/>
      <c r="D836" s="19" t="n"/>
      <c r="E836" s="19" t="n"/>
      <c r="F836" s="19" t="n"/>
      <c r="G836" s="19" t="n"/>
      <c r="H836" s="19" t="n"/>
      <c r="I836" s="19" t="n"/>
      <c r="J836" s="19" t="n"/>
      <c r="K836" s="19" t="n"/>
      <c r="L836" s="19" t="n"/>
      <c r="M836" s="19" t="n"/>
      <c r="N836" s="19" t="n"/>
    </row>
    <row r="837" ht="15.75" customHeight="1" s="545">
      <c r="A837" s="19" t="n"/>
      <c r="B837" s="19" t="n"/>
      <c r="C837" s="19" t="n"/>
      <c r="D837" s="19" t="n"/>
      <c r="E837" s="19" t="n"/>
      <c r="F837" s="19" t="n"/>
      <c r="G837" s="19" t="n"/>
      <c r="H837" s="19" t="n"/>
      <c r="I837" s="19" t="n"/>
      <c r="J837" s="19" t="n"/>
      <c r="K837" s="19" t="n"/>
      <c r="L837" s="19" t="n"/>
      <c r="M837" s="19" t="n"/>
      <c r="N837" s="19" t="n"/>
    </row>
    <row r="838" ht="15.75" customHeight="1" s="545">
      <c r="A838" s="19" t="n"/>
      <c r="B838" s="19" t="n"/>
      <c r="C838" s="19" t="n"/>
      <c r="D838" s="19" t="n"/>
      <c r="E838" s="19" t="n"/>
      <c r="F838" s="19" t="n"/>
      <c r="G838" s="19" t="n"/>
      <c r="H838" s="19" t="n"/>
      <c r="I838" s="19" t="n"/>
      <c r="J838" s="19" t="n"/>
      <c r="K838" s="19" t="n"/>
      <c r="L838" s="19" t="n"/>
      <c r="M838" s="19" t="n"/>
      <c r="N838" s="19" t="n"/>
    </row>
    <row r="839" ht="15.75" customHeight="1" s="545">
      <c r="A839" s="19" t="n"/>
      <c r="B839" s="19" t="n"/>
      <c r="C839" s="19" t="n"/>
      <c r="D839" s="19" t="n"/>
      <c r="E839" s="19" t="n"/>
      <c r="F839" s="19" t="n"/>
      <c r="G839" s="19" t="n"/>
      <c r="H839" s="19" t="n"/>
      <c r="I839" s="19" t="n"/>
      <c r="J839" s="19" t="n"/>
      <c r="K839" s="19" t="n"/>
      <c r="L839" s="19" t="n"/>
      <c r="M839" s="19" t="n"/>
      <c r="N839" s="19" t="n"/>
    </row>
    <row r="840" ht="15.75" customHeight="1" s="545">
      <c r="A840" s="19" t="n"/>
      <c r="B840" s="19" t="n"/>
      <c r="C840" s="19" t="n"/>
      <c r="D840" s="19" t="n"/>
      <c r="E840" s="19" t="n"/>
      <c r="F840" s="19" t="n"/>
      <c r="G840" s="19" t="n"/>
      <c r="H840" s="19" t="n"/>
      <c r="I840" s="19" t="n"/>
      <c r="J840" s="19" t="n"/>
      <c r="K840" s="19" t="n"/>
      <c r="L840" s="19" t="n"/>
      <c r="M840" s="19" t="n"/>
      <c r="N840" s="19" t="n"/>
    </row>
    <row r="841" ht="15.75" customHeight="1" s="545">
      <c r="A841" s="19" t="n"/>
      <c r="B841" s="19" t="n"/>
      <c r="C841" s="19" t="n"/>
      <c r="D841" s="19" t="n"/>
      <c r="E841" s="19" t="n"/>
      <c r="F841" s="19" t="n"/>
      <c r="G841" s="19" t="n"/>
      <c r="H841" s="19" t="n"/>
      <c r="I841" s="19" t="n"/>
      <c r="J841" s="19" t="n"/>
      <c r="K841" s="19" t="n"/>
      <c r="L841" s="19" t="n"/>
      <c r="M841" s="19" t="n"/>
      <c r="N841" s="19" t="n"/>
    </row>
    <row r="842" ht="15.75" customHeight="1" s="545">
      <c r="A842" s="19" t="n"/>
      <c r="B842" s="19" t="n"/>
      <c r="C842" s="19" t="n"/>
      <c r="D842" s="19" t="n"/>
      <c r="E842" s="19" t="n"/>
      <c r="F842" s="19" t="n"/>
      <c r="G842" s="19" t="n"/>
      <c r="H842" s="19" t="n"/>
      <c r="I842" s="19" t="n"/>
      <c r="J842" s="19" t="n"/>
      <c r="K842" s="19" t="n"/>
      <c r="L842" s="19" t="n"/>
      <c r="M842" s="19" t="n"/>
      <c r="N842" s="19" t="n"/>
    </row>
    <row r="843" ht="15.75" customHeight="1" s="545">
      <c r="A843" s="19" t="n"/>
      <c r="B843" s="19" t="n"/>
      <c r="C843" s="19" t="n"/>
      <c r="D843" s="19" t="n"/>
      <c r="E843" s="19" t="n"/>
      <c r="F843" s="19" t="n"/>
      <c r="G843" s="19" t="n"/>
      <c r="H843" s="19" t="n"/>
      <c r="I843" s="19" t="n"/>
      <c r="J843" s="19" t="n"/>
      <c r="K843" s="19" t="n"/>
      <c r="L843" s="19" t="n"/>
      <c r="M843" s="19" t="n"/>
      <c r="N843" s="19" t="n"/>
    </row>
    <row r="844" ht="15.75" customHeight="1" s="545">
      <c r="A844" s="19" t="n"/>
      <c r="B844" s="19" t="n"/>
      <c r="C844" s="19" t="n"/>
      <c r="D844" s="19" t="n"/>
      <c r="E844" s="19" t="n"/>
      <c r="F844" s="19" t="n"/>
      <c r="G844" s="19" t="n"/>
      <c r="H844" s="19" t="n"/>
      <c r="I844" s="19" t="n"/>
      <c r="J844" s="19" t="n"/>
      <c r="K844" s="19" t="n"/>
      <c r="L844" s="19" t="n"/>
      <c r="M844" s="19" t="n"/>
      <c r="N844" s="19" t="n"/>
    </row>
    <row r="845" ht="15.75" customHeight="1" s="545">
      <c r="A845" s="19" t="n"/>
      <c r="B845" s="19" t="n"/>
      <c r="C845" s="19" t="n"/>
      <c r="D845" s="19" t="n"/>
      <c r="E845" s="19" t="n"/>
      <c r="F845" s="19" t="n"/>
      <c r="G845" s="19" t="n"/>
      <c r="H845" s="19" t="n"/>
      <c r="I845" s="19" t="n"/>
      <c r="J845" s="19" t="n"/>
      <c r="K845" s="19" t="n"/>
      <c r="L845" s="19" t="n"/>
      <c r="M845" s="19" t="n"/>
      <c r="N845" s="19" t="n"/>
    </row>
    <row r="846" ht="15.75" customHeight="1" s="545">
      <c r="A846" s="19" t="n"/>
      <c r="B846" s="19" t="n"/>
      <c r="C846" s="19" t="n"/>
      <c r="D846" s="19" t="n"/>
      <c r="E846" s="19" t="n"/>
      <c r="F846" s="19" t="n"/>
      <c r="G846" s="19" t="n"/>
      <c r="H846" s="19" t="n"/>
      <c r="I846" s="19" t="n"/>
      <c r="J846" s="19" t="n"/>
      <c r="K846" s="19" t="n"/>
      <c r="L846" s="19" t="n"/>
      <c r="M846" s="19" t="n"/>
      <c r="N846" s="19" t="n"/>
    </row>
    <row r="847" ht="15.75" customHeight="1" s="545">
      <c r="A847" s="19" t="n"/>
      <c r="B847" s="19" t="n"/>
      <c r="C847" s="19" t="n"/>
      <c r="D847" s="19" t="n"/>
      <c r="E847" s="19" t="n"/>
      <c r="F847" s="19" t="n"/>
      <c r="G847" s="19" t="n"/>
      <c r="H847" s="19" t="n"/>
      <c r="I847" s="19" t="n"/>
      <c r="J847" s="19" t="n"/>
      <c r="K847" s="19" t="n"/>
      <c r="L847" s="19" t="n"/>
      <c r="M847" s="19" t="n"/>
      <c r="N847" s="19" t="n"/>
    </row>
    <row r="848" ht="15.75" customHeight="1" s="545">
      <c r="A848" s="19" t="n"/>
      <c r="B848" s="19" t="n"/>
      <c r="C848" s="19" t="n"/>
      <c r="D848" s="19" t="n"/>
      <c r="E848" s="19" t="n"/>
      <c r="F848" s="19" t="n"/>
      <c r="G848" s="19" t="n"/>
      <c r="H848" s="19" t="n"/>
      <c r="I848" s="19" t="n"/>
      <c r="J848" s="19" t="n"/>
      <c r="K848" s="19" t="n"/>
      <c r="L848" s="19" t="n"/>
      <c r="M848" s="19" t="n"/>
      <c r="N848" s="19" t="n"/>
    </row>
    <row r="849" ht="15.75" customHeight="1" s="545">
      <c r="A849" s="19" t="n"/>
      <c r="B849" s="19" t="n"/>
      <c r="C849" s="19" t="n"/>
      <c r="D849" s="19" t="n"/>
      <c r="E849" s="19" t="n"/>
      <c r="F849" s="19" t="n"/>
      <c r="G849" s="19" t="n"/>
      <c r="H849" s="19" t="n"/>
      <c r="I849" s="19" t="n"/>
      <c r="J849" s="19" t="n"/>
      <c r="K849" s="19" t="n"/>
      <c r="L849" s="19" t="n"/>
      <c r="M849" s="19" t="n"/>
      <c r="N849" s="19" t="n"/>
    </row>
    <row r="850" ht="15.75" customHeight="1" s="545">
      <c r="A850" s="19" t="n"/>
      <c r="B850" s="19" t="n"/>
      <c r="C850" s="19" t="n"/>
      <c r="D850" s="19" t="n"/>
      <c r="E850" s="19" t="n"/>
      <c r="F850" s="19" t="n"/>
      <c r="G850" s="19" t="n"/>
      <c r="H850" s="19" t="n"/>
      <c r="I850" s="19" t="n"/>
      <c r="J850" s="19" t="n"/>
      <c r="K850" s="19" t="n"/>
      <c r="L850" s="19" t="n"/>
      <c r="M850" s="19" t="n"/>
      <c r="N850" s="19" t="n"/>
    </row>
    <row r="851" ht="15.75" customHeight="1" s="545">
      <c r="A851" s="19" t="n"/>
      <c r="B851" s="19" t="n"/>
      <c r="C851" s="19" t="n"/>
      <c r="D851" s="19" t="n"/>
      <c r="E851" s="19" t="n"/>
      <c r="F851" s="19" t="n"/>
      <c r="G851" s="19" t="n"/>
      <c r="H851" s="19" t="n"/>
      <c r="I851" s="19" t="n"/>
      <c r="J851" s="19" t="n"/>
      <c r="K851" s="19" t="n"/>
      <c r="L851" s="19" t="n"/>
      <c r="M851" s="19" t="n"/>
      <c r="N851" s="19" t="n"/>
    </row>
    <row r="852" ht="15.75" customHeight="1" s="545">
      <c r="A852" s="19" t="n"/>
      <c r="B852" s="19" t="n"/>
      <c r="C852" s="19" t="n"/>
      <c r="D852" s="19" t="n"/>
      <c r="E852" s="19" t="n"/>
      <c r="F852" s="19" t="n"/>
      <c r="G852" s="19" t="n"/>
      <c r="H852" s="19" t="n"/>
      <c r="I852" s="19" t="n"/>
      <c r="J852" s="19" t="n"/>
      <c r="K852" s="19" t="n"/>
      <c r="L852" s="19" t="n"/>
      <c r="M852" s="19" t="n"/>
      <c r="N852" s="19" t="n"/>
    </row>
    <row r="853" ht="15.75" customHeight="1" s="545">
      <c r="A853" s="19" t="n"/>
      <c r="B853" s="19" t="n"/>
      <c r="C853" s="19" t="n"/>
      <c r="D853" s="19" t="n"/>
      <c r="E853" s="19" t="n"/>
      <c r="F853" s="19" t="n"/>
      <c r="G853" s="19" t="n"/>
      <c r="H853" s="19" t="n"/>
      <c r="I853" s="19" t="n"/>
      <c r="J853" s="19" t="n"/>
      <c r="K853" s="19" t="n"/>
      <c r="L853" s="19" t="n"/>
      <c r="M853" s="19" t="n"/>
      <c r="N853" s="19" t="n"/>
    </row>
    <row r="854" ht="15.75" customHeight="1" s="545">
      <c r="A854" s="19" t="n"/>
      <c r="B854" s="19" t="n"/>
      <c r="C854" s="19" t="n"/>
      <c r="D854" s="19" t="n"/>
      <c r="E854" s="19" t="n"/>
      <c r="F854" s="19" t="n"/>
      <c r="G854" s="19" t="n"/>
      <c r="H854" s="19" t="n"/>
      <c r="I854" s="19" t="n"/>
      <c r="J854" s="19" t="n"/>
      <c r="K854" s="19" t="n"/>
      <c r="L854" s="19" t="n"/>
      <c r="M854" s="19" t="n"/>
      <c r="N854" s="19" t="n"/>
    </row>
    <row r="855" ht="15.75" customHeight="1" s="545">
      <c r="A855" s="19" t="n"/>
      <c r="B855" s="19" t="n"/>
      <c r="C855" s="19" t="n"/>
      <c r="D855" s="19" t="n"/>
      <c r="E855" s="19" t="n"/>
      <c r="F855" s="19" t="n"/>
      <c r="G855" s="19" t="n"/>
      <c r="H855" s="19" t="n"/>
      <c r="I855" s="19" t="n"/>
      <c r="J855" s="19" t="n"/>
      <c r="K855" s="19" t="n"/>
      <c r="L855" s="19" t="n"/>
      <c r="M855" s="19" t="n"/>
      <c r="N855" s="19" t="n"/>
    </row>
    <row r="856" ht="15.75" customHeight="1" s="545">
      <c r="A856" s="19" t="n"/>
      <c r="B856" s="19" t="n"/>
      <c r="C856" s="19" t="n"/>
      <c r="D856" s="19" t="n"/>
      <c r="E856" s="19" t="n"/>
      <c r="F856" s="19" t="n"/>
      <c r="G856" s="19" t="n"/>
      <c r="H856" s="19" t="n"/>
      <c r="I856" s="19" t="n"/>
      <c r="J856" s="19" t="n"/>
      <c r="K856" s="19" t="n"/>
      <c r="L856" s="19" t="n"/>
      <c r="M856" s="19" t="n"/>
      <c r="N856" s="19" t="n"/>
    </row>
    <row r="857" ht="15.75" customHeight="1" s="545">
      <c r="A857" s="19" t="n"/>
      <c r="B857" s="19" t="n"/>
      <c r="C857" s="19" t="n"/>
      <c r="D857" s="19" t="n"/>
      <c r="E857" s="19" t="n"/>
      <c r="F857" s="19" t="n"/>
      <c r="G857" s="19" t="n"/>
      <c r="H857" s="19" t="n"/>
      <c r="I857" s="19" t="n"/>
      <c r="J857" s="19" t="n"/>
      <c r="K857" s="19" t="n"/>
      <c r="L857" s="19" t="n"/>
      <c r="M857" s="19" t="n"/>
      <c r="N857" s="19" t="n"/>
    </row>
    <row r="858" ht="15.75" customHeight="1" s="545">
      <c r="A858" s="19" t="n"/>
      <c r="B858" s="19" t="n"/>
      <c r="C858" s="19" t="n"/>
      <c r="D858" s="19" t="n"/>
      <c r="E858" s="19" t="n"/>
      <c r="F858" s="19" t="n"/>
      <c r="G858" s="19" t="n"/>
      <c r="H858" s="19" t="n"/>
      <c r="I858" s="19" t="n"/>
      <c r="J858" s="19" t="n"/>
      <c r="K858" s="19" t="n"/>
      <c r="L858" s="19" t="n"/>
      <c r="M858" s="19" t="n"/>
      <c r="N858" s="19" t="n"/>
    </row>
    <row r="859" ht="15.75" customHeight="1" s="545">
      <c r="A859" s="19" t="n"/>
      <c r="B859" s="19" t="n"/>
      <c r="C859" s="19" t="n"/>
      <c r="D859" s="19" t="n"/>
      <c r="E859" s="19" t="n"/>
      <c r="F859" s="19" t="n"/>
      <c r="G859" s="19" t="n"/>
      <c r="H859" s="19" t="n"/>
      <c r="I859" s="19" t="n"/>
      <c r="J859" s="19" t="n"/>
      <c r="K859" s="19" t="n"/>
      <c r="L859" s="19" t="n"/>
      <c r="M859" s="19" t="n"/>
      <c r="N859" s="19" t="n"/>
    </row>
    <row r="860" ht="15.75" customHeight="1" s="545">
      <c r="A860" s="19" t="n"/>
      <c r="B860" s="19" t="n"/>
      <c r="C860" s="19" t="n"/>
      <c r="D860" s="19" t="n"/>
      <c r="E860" s="19" t="n"/>
      <c r="F860" s="19" t="n"/>
      <c r="G860" s="19" t="n"/>
      <c r="H860" s="19" t="n"/>
      <c r="I860" s="19" t="n"/>
      <c r="J860" s="19" t="n"/>
      <c r="K860" s="19" t="n"/>
      <c r="L860" s="19" t="n"/>
      <c r="M860" s="19" t="n"/>
      <c r="N860" s="19" t="n"/>
    </row>
    <row r="861" ht="15.75" customHeight="1" s="545">
      <c r="A861" s="19" t="n"/>
      <c r="B861" s="19" t="n"/>
      <c r="C861" s="19" t="n"/>
      <c r="D861" s="19" t="n"/>
      <c r="E861" s="19" t="n"/>
      <c r="F861" s="19" t="n"/>
      <c r="G861" s="19" t="n"/>
      <c r="H861" s="19" t="n"/>
      <c r="I861" s="19" t="n"/>
      <c r="J861" s="19" t="n"/>
      <c r="K861" s="19" t="n"/>
      <c r="L861" s="19" t="n"/>
      <c r="M861" s="19" t="n"/>
      <c r="N861" s="19" t="n"/>
    </row>
    <row r="862" ht="15.75" customHeight="1" s="545">
      <c r="A862" s="19" t="n"/>
      <c r="B862" s="19" t="n"/>
      <c r="C862" s="19" t="n"/>
      <c r="D862" s="19" t="n"/>
      <c r="E862" s="19" t="n"/>
      <c r="F862" s="19" t="n"/>
      <c r="G862" s="19" t="n"/>
      <c r="H862" s="19" t="n"/>
      <c r="I862" s="19" t="n"/>
      <c r="J862" s="19" t="n"/>
      <c r="K862" s="19" t="n"/>
      <c r="L862" s="19" t="n"/>
      <c r="M862" s="19" t="n"/>
      <c r="N862" s="19" t="n"/>
    </row>
    <row r="863" ht="15.75" customHeight="1" s="545">
      <c r="A863" s="19" t="n"/>
      <c r="B863" s="19" t="n"/>
      <c r="C863" s="19" t="n"/>
      <c r="D863" s="19" t="n"/>
      <c r="E863" s="19" t="n"/>
      <c r="F863" s="19" t="n"/>
      <c r="G863" s="19" t="n"/>
      <c r="H863" s="19" t="n"/>
      <c r="I863" s="19" t="n"/>
      <c r="J863" s="19" t="n"/>
      <c r="K863" s="19" t="n"/>
      <c r="L863" s="19" t="n"/>
      <c r="M863" s="19" t="n"/>
      <c r="N863" s="19" t="n"/>
    </row>
    <row r="864" ht="15.75" customHeight="1" s="545">
      <c r="A864" s="19" t="n"/>
      <c r="B864" s="19" t="n"/>
      <c r="C864" s="19" t="n"/>
      <c r="D864" s="19" t="n"/>
      <c r="E864" s="19" t="n"/>
      <c r="F864" s="19" t="n"/>
      <c r="G864" s="19" t="n"/>
      <c r="H864" s="19" t="n"/>
      <c r="I864" s="19" t="n"/>
      <c r="J864" s="19" t="n"/>
      <c r="K864" s="19" t="n"/>
      <c r="L864" s="19" t="n"/>
      <c r="M864" s="19" t="n"/>
      <c r="N864" s="19" t="n"/>
    </row>
    <row r="865" ht="15.75" customHeight="1" s="545">
      <c r="A865" s="19" t="n"/>
      <c r="B865" s="19" t="n"/>
      <c r="C865" s="19" t="n"/>
      <c r="D865" s="19" t="n"/>
      <c r="E865" s="19" t="n"/>
      <c r="F865" s="19" t="n"/>
      <c r="G865" s="19" t="n"/>
      <c r="H865" s="19" t="n"/>
      <c r="I865" s="19" t="n"/>
      <c r="J865" s="19" t="n"/>
      <c r="K865" s="19" t="n"/>
      <c r="L865" s="19" t="n"/>
      <c r="M865" s="19" t="n"/>
      <c r="N865" s="19" t="n"/>
    </row>
    <row r="866" ht="15.75" customHeight="1" s="545">
      <c r="A866" s="19" t="n"/>
      <c r="B866" s="19" t="n"/>
      <c r="C866" s="19" t="n"/>
      <c r="D866" s="19" t="n"/>
      <c r="E866" s="19" t="n"/>
      <c r="F866" s="19" t="n"/>
      <c r="G866" s="19" t="n"/>
      <c r="H866" s="19" t="n"/>
      <c r="I866" s="19" t="n"/>
      <c r="J866" s="19" t="n"/>
      <c r="K866" s="19" t="n"/>
      <c r="L866" s="19" t="n"/>
      <c r="M866" s="19" t="n"/>
      <c r="N866" s="19" t="n"/>
    </row>
    <row r="867" ht="15.75" customHeight="1" s="545">
      <c r="A867" s="19" t="n"/>
      <c r="B867" s="19" t="n"/>
      <c r="C867" s="19" t="n"/>
      <c r="D867" s="19" t="n"/>
      <c r="E867" s="19" t="n"/>
      <c r="F867" s="19" t="n"/>
      <c r="G867" s="19" t="n"/>
      <c r="H867" s="19" t="n"/>
      <c r="I867" s="19" t="n"/>
      <c r="J867" s="19" t="n"/>
      <c r="K867" s="19" t="n"/>
      <c r="L867" s="19" t="n"/>
      <c r="M867" s="19" t="n"/>
      <c r="N867" s="19" t="n"/>
    </row>
    <row r="868" ht="15.75" customHeight="1" s="545">
      <c r="A868" s="19" t="n"/>
      <c r="B868" s="19" t="n"/>
      <c r="C868" s="19" t="n"/>
      <c r="D868" s="19" t="n"/>
      <c r="E868" s="19" t="n"/>
      <c r="F868" s="19" t="n"/>
      <c r="G868" s="19" t="n"/>
      <c r="H868" s="19" t="n"/>
      <c r="I868" s="19" t="n"/>
      <c r="J868" s="19" t="n"/>
      <c r="K868" s="19" t="n"/>
      <c r="L868" s="19" t="n"/>
      <c r="M868" s="19" t="n"/>
      <c r="N868" s="19" t="n"/>
    </row>
    <row r="869" ht="15.75" customHeight="1" s="545">
      <c r="A869" s="19" t="n"/>
      <c r="B869" s="19" t="n"/>
      <c r="C869" s="19" t="n"/>
      <c r="D869" s="19" t="n"/>
      <c r="E869" s="19" t="n"/>
      <c r="F869" s="19" t="n"/>
      <c r="G869" s="19" t="n"/>
      <c r="H869" s="19" t="n"/>
      <c r="I869" s="19" t="n"/>
      <c r="J869" s="19" t="n"/>
      <c r="K869" s="19" t="n"/>
      <c r="L869" s="19" t="n"/>
      <c r="M869" s="19" t="n"/>
      <c r="N869" s="19" t="n"/>
    </row>
    <row r="870" ht="15.75" customHeight="1" s="545">
      <c r="A870" s="19" t="n"/>
      <c r="B870" s="19" t="n"/>
      <c r="C870" s="19" t="n"/>
      <c r="D870" s="19" t="n"/>
      <c r="E870" s="19" t="n"/>
      <c r="F870" s="19" t="n"/>
      <c r="G870" s="19" t="n"/>
      <c r="H870" s="19" t="n"/>
      <c r="I870" s="19" t="n"/>
      <c r="J870" s="19" t="n"/>
      <c r="K870" s="19" t="n"/>
      <c r="L870" s="19" t="n"/>
      <c r="M870" s="19" t="n"/>
      <c r="N870" s="19" t="n"/>
    </row>
    <row r="871" ht="15.75" customHeight="1" s="545">
      <c r="A871" s="19" t="n"/>
      <c r="B871" s="19" t="n"/>
      <c r="C871" s="19" t="n"/>
      <c r="D871" s="19" t="n"/>
      <c r="E871" s="19" t="n"/>
      <c r="F871" s="19" t="n"/>
      <c r="G871" s="19" t="n"/>
      <c r="H871" s="19" t="n"/>
      <c r="I871" s="19" t="n"/>
      <c r="J871" s="19" t="n"/>
      <c r="K871" s="19" t="n"/>
      <c r="L871" s="19" t="n"/>
      <c r="M871" s="19" t="n"/>
      <c r="N871" s="19" t="n"/>
    </row>
    <row r="872" ht="15.75" customHeight="1" s="545">
      <c r="A872" s="19" t="n"/>
      <c r="B872" s="19" t="n"/>
      <c r="C872" s="19" t="n"/>
      <c r="D872" s="19" t="n"/>
      <c r="E872" s="19" t="n"/>
      <c r="F872" s="19" t="n"/>
      <c r="G872" s="19" t="n"/>
      <c r="H872" s="19" t="n"/>
      <c r="I872" s="19" t="n"/>
      <c r="J872" s="19" t="n"/>
      <c r="K872" s="19" t="n"/>
      <c r="L872" s="19" t="n"/>
      <c r="M872" s="19" t="n"/>
      <c r="N872" s="19" t="n"/>
    </row>
    <row r="873" ht="15.75" customHeight="1" s="545">
      <c r="A873" s="19" t="n"/>
      <c r="B873" s="19" t="n"/>
      <c r="C873" s="19" t="n"/>
      <c r="D873" s="19" t="n"/>
      <c r="E873" s="19" t="n"/>
      <c r="F873" s="19" t="n"/>
      <c r="G873" s="19" t="n"/>
      <c r="H873" s="19" t="n"/>
      <c r="I873" s="19" t="n"/>
      <c r="J873" s="19" t="n"/>
      <c r="K873" s="19" t="n"/>
      <c r="L873" s="19" t="n"/>
      <c r="M873" s="19" t="n"/>
      <c r="N873" s="19" t="n"/>
    </row>
    <row r="874" ht="15.75" customHeight="1" s="545">
      <c r="A874" s="19" t="n"/>
      <c r="B874" s="19" t="n"/>
      <c r="C874" s="19" t="n"/>
      <c r="D874" s="19" t="n"/>
      <c r="E874" s="19" t="n"/>
      <c r="F874" s="19" t="n"/>
      <c r="G874" s="19" t="n"/>
      <c r="H874" s="19" t="n"/>
      <c r="I874" s="19" t="n"/>
      <c r="J874" s="19" t="n"/>
      <c r="K874" s="19" t="n"/>
      <c r="L874" s="19" t="n"/>
      <c r="M874" s="19" t="n"/>
      <c r="N874" s="19" t="n"/>
    </row>
    <row r="875" ht="15.75" customHeight="1" s="545">
      <c r="A875" s="19" t="n"/>
      <c r="B875" s="19" t="n"/>
      <c r="C875" s="19" t="n"/>
      <c r="D875" s="19" t="n"/>
      <c r="E875" s="19" t="n"/>
      <c r="F875" s="19" t="n"/>
      <c r="G875" s="19" t="n"/>
      <c r="H875" s="19" t="n"/>
      <c r="I875" s="19" t="n"/>
      <c r="J875" s="19" t="n"/>
      <c r="K875" s="19" t="n"/>
      <c r="L875" s="19" t="n"/>
      <c r="M875" s="19" t="n"/>
      <c r="N875" s="19" t="n"/>
    </row>
    <row r="876" ht="15.75" customHeight="1" s="545">
      <c r="A876" s="19" t="n"/>
      <c r="B876" s="19" t="n"/>
      <c r="C876" s="19" t="n"/>
      <c r="D876" s="19" t="n"/>
      <c r="E876" s="19" t="n"/>
      <c r="F876" s="19" t="n"/>
      <c r="G876" s="19" t="n"/>
      <c r="H876" s="19" t="n"/>
      <c r="I876" s="19" t="n"/>
      <c r="J876" s="19" t="n"/>
      <c r="K876" s="19" t="n"/>
      <c r="L876" s="19" t="n"/>
      <c r="M876" s="19" t="n"/>
      <c r="N876" s="19" t="n"/>
    </row>
    <row r="877" ht="15.75" customHeight="1" s="545">
      <c r="A877" s="19" t="n"/>
      <c r="B877" s="19" t="n"/>
      <c r="C877" s="19" t="n"/>
      <c r="D877" s="19" t="n"/>
      <c r="E877" s="19" t="n"/>
      <c r="F877" s="19" t="n"/>
      <c r="G877" s="19" t="n"/>
      <c r="H877" s="19" t="n"/>
      <c r="I877" s="19" t="n"/>
      <c r="J877" s="19" t="n"/>
      <c r="K877" s="19" t="n"/>
      <c r="L877" s="19" t="n"/>
      <c r="M877" s="19" t="n"/>
      <c r="N877" s="19" t="n"/>
    </row>
    <row r="878" ht="15.75" customHeight="1" s="545">
      <c r="A878" s="19" t="n"/>
      <c r="B878" s="19" t="n"/>
      <c r="C878" s="19" t="n"/>
      <c r="D878" s="19" t="n"/>
      <c r="E878" s="19" t="n"/>
      <c r="F878" s="19" t="n"/>
      <c r="G878" s="19" t="n"/>
      <c r="H878" s="19" t="n"/>
      <c r="I878" s="19" t="n"/>
      <c r="J878" s="19" t="n"/>
      <c r="K878" s="19" t="n"/>
      <c r="L878" s="19" t="n"/>
      <c r="M878" s="19" t="n"/>
      <c r="N878" s="19" t="n"/>
    </row>
    <row r="879" ht="15.75" customHeight="1" s="545">
      <c r="A879" s="19" t="n"/>
      <c r="B879" s="19" t="n"/>
      <c r="C879" s="19" t="n"/>
      <c r="D879" s="19" t="n"/>
      <c r="E879" s="19" t="n"/>
      <c r="F879" s="19" t="n"/>
      <c r="G879" s="19" t="n"/>
      <c r="H879" s="19" t="n"/>
      <c r="I879" s="19" t="n"/>
      <c r="J879" s="19" t="n"/>
      <c r="K879" s="19" t="n"/>
      <c r="L879" s="19" t="n"/>
      <c r="M879" s="19" t="n"/>
      <c r="N879" s="19" t="n"/>
    </row>
    <row r="880" ht="15.75" customHeight="1" s="545">
      <c r="A880" s="19" t="n"/>
      <c r="B880" s="19" t="n"/>
      <c r="C880" s="19" t="n"/>
      <c r="D880" s="19" t="n"/>
      <c r="E880" s="19" t="n"/>
      <c r="F880" s="19" t="n"/>
      <c r="G880" s="19" t="n"/>
      <c r="H880" s="19" t="n"/>
      <c r="I880" s="19" t="n"/>
      <c r="J880" s="19" t="n"/>
      <c r="K880" s="19" t="n"/>
      <c r="L880" s="19" t="n"/>
      <c r="M880" s="19" t="n"/>
      <c r="N880" s="19" t="n"/>
    </row>
    <row r="881" ht="15.75" customHeight="1" s="545">
      <c r="A881" s="19" t="n"/>
      <c r="B881" s="19" t="n"/>
      <c r="C881" s="19" t="n"/>
      <c r="D881" s="19" t="n"/>
      <c r="E881" s="19" t="n"/>
      <c r="F881" s="19" t="n"/>
      <c r="G881" s="19" t="n"/>
      <c r="H881" s="19" t="n"/>
      <c r="I881" s="19" t="n"/>
      <c r="J881" s="19" t="n"/>
      <c r="K881" s="19" t="n"/>
      <c r="L881" s="19" t="n"/>
      <c r="M881" s="19" t="n"/>
      <c r="N881" s="19" t="n"/>
    </row>
    <row r="882" ht="15.75" customHeight="1" s="545">
      <c r="A882" s="19" t="n"/>
      <c r="B882" s="19" t="n"/>
      <c r="C882" s="19" t="n"/>
      <c r="D882" s="19" t="n"/>
      <c r="E882" s="19" t="n"/>
      <c r="F882" s="19" t="n"/>
      <c r="G882" s="19" t="n"/>
      <c r="H882" s="19" t="n"/>
      <c r="I882" s="19" t="n"/>
      <c r="J882" s="19" t="n"/>
      <c r="K882" s="19" t="n"/>
      <c r="L882" s="19" t="n"/>
      <c r="M882" s="19" t="n"/>
      <c r="N882" s="19" t="n"/>
    </row>
    <row r="883" ht="15.75" customHeight="1" s="545">
      <c r="A883" s="19" t="n"/>
      <c r="B883" s="19" t="n"/>
      <c r="C883" s="19" t="n"/>
      <c r="D883" s="19" t="n"/>
      <c r="E883" s="19" t="n"/>
      <c r="F883" s="19" t="n"/>
      <c r="G883" s="19" t="n"/>
      <c r="H883" s="19" t="n"/>
      <c r="I883" s="19" t="n"/>
      <c r="J883" s="19" t="n"/>
      <c r="K883" s="19" t="n"/>
      <c r="L883" s="19" t="n"/>
      <c r="M883" s="19" t="n"/>
      <c r="N883" s="19" t="n"/>
    </row>
    <row r="884" ht="15.75" customHeight="1" s="545">
      <c r="A884" s="19" t="n"/>
      <c r="B884" s="19" t="n"/>
      <c r="C884" s="19" t="n"/>
      <c r="D884" s="19" t="n"/>
      <c r="E884" s="19" t="n"/>
      <c r="F884" s="19" t="n"/>
      <c r="G884" s="19" t="n"/>
      <c r="H884" s="19" t="n"/>
      <c r="I884" s="19" t="n"/>
      <c r="J884" s="19" t="n"/>
      <c r="K884" s="19" t="n"/>
      <c r="L884" s="19" t="n"/>
      <c r="M884" s="19" t="n"/>
      <c r="N884" s="19" t="n"/>
    </row>
    <row r="885" ht="15.75" customHeight="1" s="545">
      <c r="A885" s="19" t="n"/>
      <c r="B885" s="19" t="n"/>
      <c r="C885" s="19" t="n"/>
      <c r="D885" s="19" t="n"/>
      <c r="E885" s="19" t="n"/>
      <c r="F885" s="19" t="n"/>
      <c r="G885" s="19" t="n"/>
      <c r="H885" s="19" t="n"/>
      <c r="I885" s="19" t="n"/>
      <c r="J885" s="19" t="n"/>
      <c r="K885" s="19" t="n"/>
      <c r="L885" s="19" t="n"/>
      <c r="M885" s="19" t="n"/>
      <c r="N885" s="19" t="n"/>
    </row>
    <row r="886" ht="15.75" customHeight="1" s="545">
      <c r="A886" s="19" t="n"/>
      <c r="B886" s="19" t="n"/>
      <c r="C886" s="19" t="n"/>
      <c r="D886" s="19" t="n"/>
      <c r="E886" s="19" t="n"/>
      <c r="F886" s="19" t="n"/>
      <c r="G886" s="19" t="n"/>
      <c r="H886" s="19" t="n"/>
      <c r="I886" s="19" t="n"/>
      <c r="J886" s="19" t="n"/>
      <c r="K886" s="19" t="n"/>
      <c r="L886" s="19" t="n"/>
      <c r="M886" s="19" t="n"/>
      <c r="N886" s="19" t="n"/>
    </row>
    <row r="887" ht="15.75" customHeight="1" s="545">
      <c r="A887" s="19" t="n"/>
      <c r="B887" s="19" t="n"/>
      <c r="C887" s="19" t="n"/>
      <c r="D887" s="19" t="n"/>
      <c r="E887" s="19" t="n"/>
      <c r="F887" s="19" t="n"/>
      <c r="G887" s="19" t="n"/>
      <c r="H887" s="19" t="n"/>
      <c r="I887" s="19" t="n"/>
      <c r="J887" s="19" t="n"/>
      <c r="K887" s="19" t="n"/>
      <c r="L887" s="19" t="n"/>
      <c r="M887" s="19" t="n"/>
      <c r="N887" s="19" t="n"/>
    </row>
    <row r="888" ht="15.75" customHeight="1" s="545">
      <c r="A888" s="19" t="n"/>
      <c r="B888" s="19" t="n"/>
      <c r="C888" s="19" t="n"/>
      <c r="D888" s="19" t="n"/>
      <c r="E888" s="19" t="n"/>
      <c r="F888" s="19" t="n"/>
      <c r="G888" s="19" t="n"/>
      <c r="H888" s="19" t="n"/>
      <c r="I888" s="19" t="n"/>
      <c r="J888" s="19" t="n"/>
      <c r="K888" s="19" t="n"/>
      <c r="L888" s="19" t="n"/>
      <c r="M888" s="19" t="n"/>
      <c r="N888" s="19" t="n"/>
    </row>
    <row r="889" ht="15.75" customHeight="1" s="545">
      <c r="A889" s="19" t="n"/>
      <c r="B889" s="19" t="n"/>
      <c r="C889" s="19" t="n"/>
      <c r="D889" s="19" t="n"/>
      <c r="E889" s="19" t="n"/>
      <c r="F889" s="19" t="n"/>
      <c r="G889" s="19" t="n"/>
      <c r="H889" s="19" t="n"/>
      <c r="I889" s="19" t="n"/>
      <c r="J889" s="19" t="n"/>
      <c r="K889" s="19" t="n"/>
      <c r="L889" s="19" t="n"/>
      <c r="M889" s="19" t="n"/>
      <c r="N889" s="19" t="n"/>
    </row>
    <row r="890" ht="15.75" customHeight="1" s="545">
      <c r="A890" s="19" t="n"/>
      <c r="B890" s="19" t="n"/>
      <c r="C890" s="19" t="n"/>
      <c r="D890" s="19" t="n"/>
      <c r="E890" s="19" t="n"/>
      <c r="F890" s="19" t="n"/>
      <c r="G890" s="19" t="n"/>
      <c r="H890" s="19" t="n"/>
      <c r="I890" s="19" t="n"/>
      <c r="J890" s="19" t="n"/>
      <c r="K890" s="19" t="n"/>
      <c r="L890" s="19" t="n"/>
      <c r="M890" s="19" t="n"/>
      <c r="N890" s="19" t="n"/>
    </row>
    <row r="891" ht="15.75" customHeight="1" s="545">
      <c r="A891" s="19" t="n"/>
      <c r="B891" s="19" t="n"/>
      <c r="C891" s="19" t="n"/>
      <c r="D891" s="19" t="n"/>
      <c r="E891" s="19" t="n"/>
      <c r="F891" s="19" t="n"/>
      <c r="G891" s="19" t="n"/>
      <c r="H891" s="19" t="n"/>
      <c r="I891" s="19" t="n"/>
      <c r="J891" s="19" t="n"/>
      <c r="K891" s="19" t="n"/>
      <c r="L891" s="19" t="n"/>
      <c r="M891" s="19" t="n"/>
      <c r="N891" s="19" t="n"/>
    </row>
    <row r="892" ht="15.75" customHeight="1" s="545">
      <c r="A892" s="19" t="n"/>
      <c r="B892" s="19" t="n"/>
      <c r="C892" s="19" t="n"/>
      <c r="D892" s="19" t="n"/>
      <c r="E892" s="19" t="n"/>
      <c r="F892" s="19" t="n"/>
      <c r="G892" s="19" t="n"/>
      <c r="H892" s="19" t="n"/>
      <c r="I892" s="19" t="n"/>
      <c r="J892" s="19" t="n"/>
      <c r="K892" s="19" t="n"/>
      <c r="L892" s="19" t="n"/>
      <c r="M892" s="19" t="n"/>
      <c r="N892" s="19" t="n"/>
    </row>
    <row r="893" ht="15.75" customHeight="1" s="545">
      <c r="A893" s="19" t="n"/>
      <c r="B893" s="19" t="n"/>
      <c r="C893" s="19" t="n"/>
      <c r="D893" s="19" t="n"/>
      <c r="E893" s="19" t="n"/>
      <c r="F893" s="19" t="n"/>
      <c r="G893" s="19" t="n"/>
      <c r="H893" s="19" t="n"/>
      <c r="I893" s="19" t="n"/>
      <c r="J893" s="19" t="n"/>
      <c r="K893" s="19" t="n"/>
      <c r="L893" s="19" t="n"/>
      <c r="M893" s="19" t="n"/>
      <c r="N893" s="19" t="n"/>
    </row>
    <row r="894" ht="15.75" customHeight="1" s="545">
      <c r="A894" s="19" t="n"/>
      <c r="B894" s="19" t="n"/>
      <c r="C894" s="19" t="n"/>
      <c r="D894" s="19" t="n"/>
      <c r="E894" s="19" t="n"/>
      <c r="F894" s="19" t="n"/>
      <c r="G894" s="19" t="n"/>
      <c r="H894" s="19" t="n"/>
      <c r="I894" s="19" t="n"/>
      <c r="J894" s="19" t="n"/>
      <c r="K894" s="19" t="n"/>
      <c r="L894" s="19" t="n"/>
      <c r="M894" s="19" t="n"/>
      <c r="N894" s="19" t="n"/>
    </row>
    <row r="895" ht="15.75" customHeight="1" s="545">
      <c r="A895" s="19" t="n"/>
      <c r="B895" s="19" t="n"/>
      <c r="C895" s="19" t="n"/>
      <c r="D895" s="19" t="n"/>
      <c r="E895" s="19" t="n"/>
      <c r="F895" s="19" t="n"/>
      <c r="G895" s="19" t="n"/>
      <c r="H895" s="19" t="n"/>
      <c r="I895" s="19" t="n"/>
      <c r="J895" s="19" t="n"/>
      <c r="K895" s="19" t="n"/>
      <c r="L895" s="19" t="n"/>
      <c r="M895" s="19" t="n"/>
      <c r="N895" s="19" t="n"/>
    </row>
    <row r="896" ht="15.75" customHeight="1" s="545">
      <c r="A896" s="19" t="n"/>
      <c r="B896" s="19" t="n"/>
      <c r="C896" s="19" t="n"/>
      <c r="D896" s="19" t="n"/>
      <c r="E896" s="19" t="n"/>
      <c r="F896" s="19" t="n"/>
      <c r="G896" s="19" t="n"/>
      <c r="H896" s="19" t="n"/>
      <c r="I896" s="19" t="n"/>
      <c r="J896" s="19" t="n"/>
      <c r="K896" s="19" t="n"/>
      <c r="L896" s="19" t="n"/>
      <c r="M896" s="19" t="n"/>
      <c r="N896" s="19" t="n"/>
    </row>
    <row r="897" ht="15.75" customHeight="1" s="545">
      <c r="A897" s="19" t="n"/>
      <c r="B897" s="19" t="n"/>
      <c r="C897" s="19" t="n"/>
      <c r="D897" s="19" t="n"/>
      <c r="E897" s="19" t="n"/>
      <c r="F897" s="19" t="n"/>
      <c r="G897" s="19" t="n"/>
      <c r="H897" s="19" t="n"/>
      <c r="I897" s="19" t="n"/>
      <c r="J897" s="19" t="n"/>
      <c r="K897" s="19" t="n"/>
      <c r="L897" s="19" t="n"/>
      <c r="M897" s="19" t="n"/>
      <c r="N897" s="19" t="n"/>
    </row>
    <row r="898" ht="15.75" customHeight="1" s="545">
      <c r="A898" s="19" t="n"/>
      <c r="B898" s="19" t="n"/>
      <c r="C898" s="19" t="n"/>
      <c r="D898" s="19" t="n"/>
      <c r="E898" s="19" t="n"/>
      <c r="F898" s="19" t="n"/>
      <c r="G898" s="19" t="n"/>
      <c r="H898" s="19" t="n"/>
      <c r="I898" s="19" t="n"/>
      <c r="J898" s="19" t="n"/>
      <c r="K898" s="19" t="n"/>
      <c r="L898" s="19" t="n"/>
      <c r="M898" s="19" t="n"/>
      <c r="N898" s="19" t="n"/>
    </row>
    <row r="899" ht="15.75" customHeight="1" s="545">
      <c r="A899" s="19" t="n"/>
      <c r="B899" s="19" t="n"/>
      <c r="C899" s="19" t="n"/>
      <c r="D899" s="19" t="n"/>
      <c r="E899" s="19" t="n"/>
      <c r="F899" s="19" t="n"/>
      <c r="G899" s="19" t="n"/>
      <c r="H899" s="19" t="n"/>
      <c r="I899" s="19" t="n"/>
      <c r="J899" s="19" t="n"/>
      <c r="K899" s="19" t="n"/>
      <c r="L899" s="19" t="n"/>
      <c r="M899" s="19" t="n"/>
      <c r="N899" s="19" t="n"/>
    </row>
    <row r="900" ht="15.75" customHeight="1" s="545">
      <c r="A900" s="19" t="n"/>
      <c r="B900" s="19" t="n"/>
      <c r="C900" s="19" t="n"/>
      <c r="D900" s="19" t="n"/>
      <c r="E900" s="19" t="n"/>
      <c r="F900" s="19" t="n"/>
      <c r="G900" s="19" t="n"/>
      <c r="H900" s="19" t="n"/>
      <c r="I900" s="19" t="n"/>
      <c r="J900" s="19" t="n"/>
      <c r="K900" s="19" t="n"/>
      <c r="L900" s="19" t="n"/>
      <c r="M900" s="19" t="n"/>
      <c r="N900" s="19" t="n"/>
    </row>
    <row r="901" ht="15.75" customHeight="1" s="545">
      <c r="A901" s="19" t="n"/>
      <c r="B901" s="19" t="n"/>
      <c r="C901" s="19" t="n"/>
      <c r="D901" s="19" t="n"/>
      <c r="E901" s="19" t="n"/>
      <c r="F901" s="19" t="n"/>
      <c r="G901" s="19" t="n"/>
      <c r="H901" s="19" t="n"/>
      <c r="I901" s="19" t="n"/>
      <c r="J901" s="19" t="n"/>
      <c r="K901" s="19" t="n"/>
      <c r="L901" s="19" t="n"/>
      <c r="M901" s="19" t="n"/>
      <c r="N901" s="19" t="n"/>
    </row>
    <row r="902" ht="15.75" customHeight="1" s="545">
      <c r="A902" s="19" t="n"/>
      <c r="B902" s="19" t="n"/>
      <c r="C902" s="19" t="n"/>
      <c r="D902" s="19" t="n"/>
      <c r="E902" s="19" t="n"/>
      <c r="F902" s="19" t="n"/>
      <c r="G902" s="19" t="n"/>
      <c r="H902" s="19" t="n"/>
      <c r="I902" s="19" t="n"/>
      <c r="J902" s="19" t="n"/>
      <c r="K902" s="19" t="n"/>
      <c r="L902" s="19" t="n"/>
      <c r="M902" s="19" t="n"/>
      <c r="N902" s="19" t="n"/>
    </row>
    <row r="903" ht="15.75" customHeight="1" s="545">
      <c r="A903" s="19" t="n"/>
      <c r="B903" s="19" t="n"/>
      <c r="C903" s="19" t="n"/>
      <c r="D903" s="19" t="n"/>
      <c r="E903" s="19" t="n"/>
      <c r="F903" s="19" t="n"/>
      <c r="G903" s="19" t="n"/>
      <c r="H903" s="19" t="n"/>
      <c r="I903" s="19" t="n"/>
      <c r="J903" s="19" t="n"/>
      <c r="K903" s="19" t="n"/>
      <c r="L903" s="19" t="n"/>
      <c r="M903" s="19" t="n"/>
      <c r="N903" s="19" t="n"/>
    </row>
    <row r="904" ht="15.75" customHeight="1" s="545">
      <c r="A904" s="19" t="n"/>
      <c r="B904" s="19" t="n"/>
      <c r="C904" s="19" t="n"/>
      <c r="D904" s="19" t="n"/>
      <c r="E904" s="19" t="n"/>
      <c r="F904" s="19" t="n"/>
      <c r="G904" s="19" t="n"/>
      <c r="H904" s="19" t="n"/>
      <c r="I904" s="19" t="n"/>
      <c r="J904" s="19" t="n"/>
      <c r="K904" s="19" t="n"/>
      <c r="L904" s="19" t="n"/>
      <c r="M904" s="19" t="n"/>
      <c r="N904" s="19" t="n"/>
    </row>
    <row r="905" ht="15.75" customHeight="1" s="545">
      <c r="A905" s="19" t="n"/>
      <c r="B905" s="19" t="n"/>
      <c r="C905" s="19" t="n"/>
      <c r="D905" s="19" t="n"/>
      <c r="E905" s="19" t="n"/>
      <c r="F905" s="19" t="n"/>
      <c r="G905" s="19" t="n"/>
      <c r="H905" s="19" t="n"/>
      <c r="I905" s="19" t="n"/>
      <c r="J905" s="19" t="n"/>
      <c r="K905" s="19" t="n"/>
      <c r="L905" s="19" t="n"/>
      <c r="M905" s="19" t="n"/>
      <c r="N905" s="19" t="n"/>
    </row>
    <row r="906" ht="15.75" customHeight="1" s="545">
      <c r="A906" s="19" t="n"/>
      <c r="B906" s="19" t="n"/>
      <c r="C906" s="19" t="n"/>
      <c r="D906" s="19" t="n"/>
      <c r="E906" s="19" t="n"/>
      <c r="F906" s="19" t="n"/>
      <c r="G906" s="19" t="n"/>
      <c r="H906" s="19" t="n"/>
      <c r="I906" s="19" t="n"/>
      <c r="J906" s="19" t="n"/>
      <c r="K906" s="19" t="n"/>
      <c r="L906" s="19" t="n"/>
      <c r="M906" s="19" t="n"/>
      <c r="N906" s="19" t="n"/>
    </row>
    <row r="907" ht="15.75" customHeight="1" s="545">
      <c r="A907" s="19" t="n"/>
      <c r="B907" s="19" t="n"/>
      <c r="C907" s="19" t="n"/>
      <c r="D907" s="19" t="n"/>
      <c r="E907" s="19" t="n"/>
      <c r="F907" s="19" t="n"/>
      <c r="G907" s="19" t="n"/>
      <c r="H907" s="19" t="n"/>
      <c r="I907" s="19" t="n"/>
      <c r="J907" s="19" t="n"/>
      <c r="K907" s="19" t="n"/>
      <c r="L907" s="19" t="n"/>
      <c r="M907" s="19" t="n"/>
      <c r="N907" s="19" t="n"/>
    </row>
    <row r="908" ht="15.75" customHeight="1" s="545">
      <c r="A908" s="19" t="n"/>
      <c r="B908" s="19" t="n"/>
      <c r="C908" s="19" t="n"/>
      <c r="D908" s="19" t="n"/>
      <c r="E908" s="19" t="n"/>
      <c r="F908" s="19" t="n"/>
      <c r="G908" s="19" t="n"/>
      <c r="H908" s="19" t="n"/>
      <c r="I908" s="19" t="n"/>
      <c r="J908" s="19" t="n"/>
      <c r="K908" s="19" t="n"/>
      <c r="L908" s="19" t="n"/>
      <c r="M908" s="19" t="n"/>
      <c r="N908" s="19" t="n"/>
    </row>
    <row r="909" ht="15.75" customHeight="1" s="545">
      <c r="A909" s="19" t="n"/>
      <c r="B909" s="19" t="n"/>
      <c r="C909" s="19" t="n"/>
      <c r="D909" s="19" t="n"/>
      <c r="E909" s="19" t="n"/>
      <c r="F909" s="19" t="n"/>
      <c r="G909" s="19" t="n"/>
      <c r="H909" s="19" t="n"/>
      <c r="I909" s="19" t="n"/>
      <c r="J909" s="19" t="n"/>
      <c r="K909" s="19" t="n"/>
      <c r="L909" s="19" t="n"/>
      <c r="M909" s="19" t="n"/>
      <c r="N909" s="19" t="n"/>
    </row>
    <row r="910" ht="15.75" customHeight="1" s="545">
      <c r="A910" s="19" t="n"/>
      <c r="B910" s="19" t="n"/>
      <c r="C910" s="19" t="n"/>
      <c r="D910" s="19" t="n"/>
      <c r="E910" s="19" t="n"/>
      <c r="F910" s="19" t="n"/>
      <c r="G910" s="19" t="n"/>
      <c r="H910" s="19" t="n"/>
      <c r="I910" s="19" t="n"/>
      <c r="J910" s="19" t="n"/>
      <c r="K910" s="19" t="n"/>
      <c r="L910" s="19" t="n"/>
      <c r="M910" s="19" t="n"/>
      <c r="N910" s="19" t="n"/>
    </row>
    <row r="911" ht="15.75" customHeight="1" s="545">
      <c r="A911" s="19" t="n"/>
      <c r="B911" s="19" t="n"/>
      <c r="C911" s="19" t="n"/>
      <c r="D911" s="19" t="n"/>
      <c r="E911" s="19" t="n"/>
      <c r="F911" s="19" t="n"/>
      <c r="G911" s="19" t="n"/>
      <c r="H911" s="19" t="n"/>
      <c r="I911" s="19" t="n"/>
      <c r="J911" s="19" t="n"/>
      <c r="K911" s="19" t="n"/>
      <c r="L911" s="19" t="n"/>
      <c r="M911" s="19" t="n"/>
      <c r="N911" s="19" t="n"/>
    </row>
    <row r="912" ht="15.75" customHeight="1" s="545">
      <c r="A912" s="19" t="n"/>
      <c r="B912" s="19" t="n"/>
      <c r="C912" s="19" t="n"/>
      <c r="D912" s="19" t="n"/>
      <c r="E912" s="19" t="n"/>
      <c r="F912" s="19" t="n"/>
      <c r="G912" s="19" t="n"/>
      <c r="H912" s="19" t="n"/>
      <c r="I912" s="19" t="n"/>
      <c r="J912" s="19" t="n"/>
      <c r="K912" s="19" t="n"/>
      <c r="L912" s="19" t="n"/>
      <c r="M912" s="19" t="n"/>
      <c r="N912" s="19" t="n"/>
    </row>
    <row r="913" ht="15.75" customHeight="1" s="545">
      <c r="A913" s="19" t="n"/>
      <c r="B913" s="19" t="n"/>
      <c r="C913" s="19" t="n"/>
      <c r="D913" s="19" t="n"/>
      <c r="E913" s="19" t="n"/>
      <c r="F913" s="19" t="n"/>
      <c r="G913" s="19" t="n"/>
      <c r="H913" s="19" t="n"/>
      <c r="I913" s="19" t="n"/>
      <c r="J913" s="19" t="n"/>
      <c r="K913" s="19" t="n"/>
      <c r="L913" s="19" t="n"/>
      <c r="M913" s="19" t="n"/>
      <c r="N913" s="19" t="n"/>
    </row>
    <row r="914" ht="15.75" customHeight="1" s="545">
      <c r="A914" s="19" t="n"/>
      <c r="B914" s="19" t="n"/>
      <c r="C914" s="19" t="n"/>
      <c r="D914" s="19" t="n"/>
      <c r="E914" s="19" t="n"/>
      <c r="F914" s="19" t="n"/>
      <c r="G914" s="19" t="n"/>
      <c r="H914" s="19" t="n"/>
      <c r="I914" s="19" t="n"/>
      <c r="J914" s="19" t="n"/>
      <c r="K914" s="19" t="n"/>
      <c r="L914" s="19" t="n"/>
      <c r="M914" s="19" t="n"/>
      <c r="N914" s="19" t="n"/>
    </row>
    <row r="915" ht="15.75" customHeight="1" s="545">
      <c r="A915" s="19" t="n"/>
      <c r="B915" s="19" t="n"/>
      <c r="C915" s="19" t="n"/>
      <c r="D915" s="19" t="n"/>
      <c r="E915" s="19" t="n"/>
      <c r="F915" s="19" t="n"/>
      <c r="G915" s="19" t="n"/>
      <c r="H915" s="19" t="n"/>
      <c r="I915" s="19" t="n"/>
      <c r="J915" s="19" t="n"/>
      <c r="K915" s="19" t="n"/>
      <c r="L915" s="19" t="n"/>
      <c r="M915" s="19" t="n"/>
      <c r="N915" s="19" t="n"/>
    </row>
    <row r="916" ht="15.75" customHeight="1" s="545">
      <c r="A916" s="19" t="n"/>
      <c r="B916" s="19" t="n"/>
      <c r="C916" s="19" t="n"/>
      <c r="D916" s="19" t="n"/>
      <c r="E916" s="19" t="n"/>
      <c r="F916" s="19" t="n"/>
      <c r="G916" s="19" t="n"/>
      <c r="H916" s="19" t="n"/>
      <c r="I916" s="19" t="n"/>
      <c r="J916" s="19" t="n"/>
      <c r="K916" s="19" t="n"/>
      <c r="L916" s="19" t="n"/>
      <c r="M916" s="19" t="n"/>
      <c r="N916" s="19" t="n"/>
    </row>
    <row r="917" ht="15.75" customHeight="1" s="545">
      <c r="A917" s="19" t="n"/>
      <c r="B917" s="19" t="n"/>
      <c r="C917" s="19" t="n"/>
      <c r="D917" s="19" t="n"/>
      <c r="E917" s="19" t="n"/>
      <c r="F917" s="19" t="n"/>
      <c r="G917" s="19" t="n"/>
      <c r="H917" s="19" t="n"/>
      <c r="I917" s="19" t="n"/>
      <c r="J917" s="19" t="n"/>
      <c r="K917" s="19" t="n"/>
      <c r="L917" s="19" t="n"/>
      <c r="M917" s="19" t="n"/>
      <c r="N917" s="19" t="n"/>
    </row>
    <row r="918" ht="15.75" customHeight="1" s="545">
      <c r="A918" s="19" t="n"/>
      <c r="B918" s="19" t="n"/>
      <c r="C918" s="19" t="n"/>
      <c r="D918" s="19" t="n"/>
      <c r="E918" s="19" t="n"/>
      <c r="F918" s="19" t="n"/>
      <c r="G918" s="19" t="n"/>
      <c r="H918" s="19" t="n"/>
      <c r="I918" s="19" t="n"/>
      <c r="J918" s="19" t="n"/>
      <c r="K918" s="19" t="n"/>
      <c r="L918" s="19" t="n"/>
      <c r="M918" s="19" t="n"/>
      <c r="N918" s="19" t="n"/>
    </row>
    <row r="919" ht="15.75" customHeight="1" s="545">
      <c r="A919" s="19" t="n"/>
      <c r="B919" s="19" t="n"/>
      <c r="C919" s="19" t="n"/>
      <c r="D919" s="19" t="n"/>
      <c r="E919" s="19" t="n"/>
      <c r="F919" s="19" t="n"/>
      <c r="G919" s="19" t="n"/>
      <c r="H919" s="19" t="n"/>
      <c r="I919" s="19" t="n"/>
      <c r="J919" s="19" t="n"/>
      <c r="K919" s="19" t="n"/>
      <c r="L919" s="19" t="n"/>
      <c r="M919" s="19" t="n"/>
      <c r="N919" s="19" t="n"/>
    </row>
    <row r="920" ht="15.75" customHeight="1" s="545">
      <c r="A920" s="19" t="n"/>
      <c r="B920" s="19" t="n"/>
      <c r="C920" s="19" t="n"/>
      <c r="D920" s="19" t="n"/>
      <c r="E920" s="19" t="n"/>
      <c r="F920" s="19" t="n"/>
      <c r="G920" s="19" t="n"/>
      <c r="H920" s="19" t="n"/>
      <c r="I920" s="19" t="n"/>
      <c r="J920" s="19" t="n"/>
      <c r="K920" s="19" t="n"/>
      <c r="L920" s="19" t="n"/>
      <c r="M920" s="19" t="n"/>
      <c r="N920" s="19" t="n"/>
    </row>
    <row r="921" ht="15.75" customHeight="1" s="545">
      <c r="A921" s="19" t="n"/>
      <c r="B921" s="19" t="n"/>
      <c r="C921" s="19" t="n"/>
      <c r="D921" s="19" t="n"/>
      <c r="E921" s="19" t="n"/>
      <c r="F921" s="19" t="n"/>
      <c r="G921" s="19" t="n"/>
      <c r="H921" s="19" t="n"/>
      <c r="I921" s="19" t="n"/>
      <c r="J921" s="19" t="n"/>
      <c r="K921" s="19" t="n"/>
      <c r="L921" s="19" t="n"/>
      <c r="M921" s="19" t="n"/>
      <c r="N921" s="19" t="n"/>
    </row>
    <row r="922" ht="15.75" customHeight="1" s="545">
      <c r="A922" s="19" t="n"/>
      <c r="B922" s="19" t="n"/>
      <c r="C922" s="19" t="n"/>
      <c r="D922" s="19" t="n"/>
      <c r="E922" s="19" t="n"/>
      <c r="F922" s="19" t="n"/>
      <c r="G922" s="19" t="n"/>
      <c r="H922" s="19" t="n"/>
      <c r="I922" s="19" t="n"/>
      <c r="J922" s="19" t="n"/>
      <c r="K922" s="19" t="n"/>
      <c r="L922" s="19" t="n"/>
      <c r="M922" s="19" t="n"/>
      <c r="N922" s="19" t="n"/>
    </row>
    <row r="923" ht="15.75" customHeight="1" s="545">
      <c r="A923" s="19" t="n"/>
      <c r="B923" s="19" t="n"/>
      <c r="C923" s="19" t="n"/>
      <c r="D923" s="19" t="n"/>
      <c r="E923" s="19" t="n"/>
      <c r="F923" s="19" t="n"/>
      <c r="G923" s="19" t="n"/>
      <c r="H923" s="19" t="n"/>
      <c r="I923" s="19" t="n"/>
      <c r="J923" s="19" t="n"/>
      <c r="K923" s="19" t="n"/>
      <c r="L923" s="19" t="n"/>
      <c r="M923" s="19" t="n"/>
      <c r="N923" s="19" t="n"/>
    </row>
    <row r="924" ht="15.75" customHeight="1" s="545">
      <c r="A924" s="19" t="n"/>
      <c r="B924" s="19" t="n"/>
      <c r="C924" s="19" t="n"/>
      <c r="D924" s="19" t="n"/>
      <c r="E924" s="19" t="n"/>
      <c r="F924" s="19" t="n"/>
      <c r="G924" s="19" t="n"/>
      <c r="H924" s="19" t="n"/>
      <c r="I924" s="19" t="n"/>
      <c r="J924" s="19" t="n"/>
      <c r="K924" s="19" t="n"/>
      <c r="L924" s="19" t="n"/>
      <c r="M924" s="19" t="n"/>
      <c r="N924" s="19" t="n"/>
    </row>
    <row r="925" ht="15.75" customHeight="1" s="545">
      <c r="A925" s="19" t="n"/>
      <c r="B925" s="19" t="n"/>
      <c r="C925" s="19" t="n"/>
      <c r="D925" s="19" t="n"/>
      <c r="E925" s="19" t="n"/>
      <c r="F925" s="19" t="n"/>
      <c r="G925" s="19" t="n"/>
      <c r="H925" s="19" t="n"/>
      <c r="I925" s="19" t="n"/>
      <c r="J925" s="19" t="n"/>
      <c r="K925" s="19" t="n"/>
      <c r="L925" s="19" t="n"/>
      <c r="M925" s="19" t="n"/>
      <c r="N925" s="19" t="n"/>
    </row>
    <row r="926" ht="15.75" customHeight="1" s="545">
      <c r="A926" s="19" t="n"/>
      <c r="B926" s="19" t="n"/>
      <c r="C926" s="19" t="n"/>
      <c r="D926" s="19" t="n"/>
      <c r="E926" s="19" t="n"/>
      <c r="F926" s="19" t="n"/>
      <c r="G926" s="19" t="n"/>
      <c r="H926" s="19" t="n"/>
      <c r="I926" s="19" t="n"/>
      <c r="J926" s="19" t="n"/>
      <c r="K926" s="19" t="n"/>
      <c r="L926" s="19" t="n"/>
      <c r="M926" s="19" t="n"/>
      <c r="N926" s="19" t="n"/>
    </row>
    <row r="927" ht="15.75" customHeight="1" s="545">
      <c r="A927" s="19" t="n"/>
      <c r="B927" s="19" t="n"/>
      <c r="C927" s="19" t="n"/>
      <c r="D927" s="19" t="n"/>
      <c r="E927" s="19" t="n"/>
      <c r="F927" s="19" t="n"/>
      <c r="G927" s="19" t="n"/>
      <c r="H927" s="19" t="n"/>
      <c r="I927" s="19" t="n"/>
      <c r="J927" s="19" t="n"/>
      <c r="K927" s="19" t="n"/>
      <c r="L927" s="19" t="n"/>
      <c r="M927" s="19" t="n"/>
      <c r="N927" s="19" t="n"/>
    </row>
    <row r="928" ht="15.75" customHeight="1" s="545">
      <c r="A928" s="19" t="n"/>
      <c r="B928" s="19" t="n"/>
      <c r="C928" s="19" t="n"/>
      <c r="D928" s="19" t="n"/>
      <c r="E928" s="19" t="n"/>
      <c r="F928" s="19" t="n"/>
      <c r="G928" s="19" t="n"/>
      <c r="H928" s="19" t="n"/>
      <c r="I928" s="19" t="n"/>
      <c r="J928" s="19" t="n"/>
      <c r="K928" s="19" t="n"/>
      <c r="L928" s="19" t="n"/>
      <c r="M928" s="19" t="n"/>
      <c r="N928" s="19" t="n"/>
    </row>
    <row r="929" ht="15.75" customHeight="1" s="545">
      <c r="A929" s="19" t="n"/>
      <c r="B929" s="19" t="n"/>
      <c r="C929" s="19" t="n"/>
      <c r="D929" s="19" t="n"/>
      <c r="E929" s="19" t="n"/>
      <c r="F929" s="19" t="n"/>
      <c r="G929" s="19" t="n"/>
      <c r="H929" s="19" t="n"/>
      <c r="I929" s="19" t="n"/>
      <c r="J929" s="19" t="n"/>
      <c r="K929" s="19" t="n"/>
      <c r="L929" s="19" t="n"/>
      <c r="M929" s="19" t="n"/>
      <c r="N929" s="19" t="n"/>
    </row>
    <row r="930" ht="15.75" customHeight="1" s="545">
      <c r="A930" s="19" t="n"/>
      <c r="B930" s="19" t="n"/>
      <c r="C930" s="19" t="n"/>
      <c r="D930" s="19" t="n"/>
      <c r="E930" s="19" t="n"/>
      <c r="F930" s="19" t="n"/>
      <c r="G930" s="19" t="n"/>
      <c r="H930" s="19" t="n"/>
      <c r="I930" s="19" t="n"/>
      <c r="J930" s="19" t="n"/>
      <c r="K930" s="19" t="n"/>
      <c r="L930" s="19" t="n"/>
      <c r="M930" s="19" t="n"/>
      <c r="N930" s="19" t="n"/>
    </row>
    <row r="931" ht="15.75" customHeight="1" s="545">
      <c r="A931" s="19" t="n"/>
      <c r="B931" s="19" t="n"/>
      <c r="C931" s="19" t="n"/>
      <c r="D931" s="19" t="n"/>
      <c r="E931" s="19" t="n"/>
      <c r="F931" s="19" t="n"/>
      <c r="G931" s="19" t="n"/>
      <c r="H931" s="19" t="n"/>
      <c r="I931" s="19" t="n"/>
      <c r="J931" s="19" t="n"/>
      <c r="K931" s="19" t="n"/>
      <c r="L931" s="19" t="n"/>
      <c r="M931" s="19" t="n"/>
      <c r="N931" s="19" t="n"/>
    </row>
    <row r="932" ht="15.75" customHeight="1" s="545">
      <c r="A932" s="19" t="n"/>
      <c r="B932" s="19" t="n"/>
      <c r="C932" s="19" t="n"/>
      <c r="D932" s="19" t="n"/>
      <c r="E932" s="19" t="n"/>
      <c r="F932" s="19" t="n"/>
      <c r="G932" s="19" t="n"/>
      <c r="H932" s="19" t="n"/>
      <c r="I932" s="19" t="n"/>
      <c r="J932" s="19" t="n"/>
      <c r="K932" s="19" t="n"/>
      <c r="L932" s="19" t="n"/>
      <c r="M932" s="19" t="n"/>
      <c r="N932" s="19" t="n"/>
    </row>
    <row r="933" ht="15.75" customHeight="1" s="545">
      <c r="A933" s="19" t="n"/>
      <c r="B933" s="19" t="n"/>
      <c r="C933" s="19" t="n"/>
      <c r="D933" s="19" t="n"/>
      <c r="E933" s="19" t="n"/>
      <c r="F933" s="19" t="n"/>
      <c r="G933" s="19" t="n"/>
      <c r="H933" s="19" t="n"/>
      <c r="I933" s="19" t="n"/>
      <c r="J933" s="19" t="n"/>
      <c r="K933" s="19" t="n"/>
      <c r="L933" s="19" t="n"/>
      <c r="M933" s="19" t="n"/>
      <c r="N933" s="19" t="n"/>
    </row>
    <row r="934" ht="15.75" customHeight="1" s="545">
      <c r="A934" s="19" t="n"/>
      <c r="B934" s="19" t="n"/>
      <c r="C934" s="19" t="n"/>
      <c r="D934" s="19" t="n"/>
      <c r="E934" s="19" t="n"/>
      <c r="F934" s="19" t="n"/>
      <c r="G934" s="19" t="n"/>
      <c r="H934" s="19" t="n"/>
      <c r="I934" s="19" t="n"/>
      <c r="J934" s="19" t="n"/>
      <c r="K934" s="19" t="n"/>
      <c r="L934" s="19" t="n"/>
      <c r="M934" s="19" t="n"/>
      <c r="N934" s="19" t="n"/>
    </row>
    <row r="935" ht="15.75" customHeight="1" s="545">
      <c r="A935" s="19" t="n"/>
      <c r="B935" s="19" t="n"/>
      <c r="C935" s="19" t="n"/>
      <c r="D935" s="19" t="n"/>
      <c r="E935" s="19" t="n"/>
      <c r="F935" s="19" t="n"/>
      <c r="G935" s="19" t="n"/>
      <c r="H935" s="19" t="n"/>
      <c r="I935" s="19" t="n"/>
      <c r="J935" s="19" t="n"/>
      <c r="K935" s="19" t="n"/>
      <c r="L935" s="19" t="n"/>
      <c r="M935" s="19" t="n"/>
      <c r="N935" s="19" t="n"/>
    </row>
    <row r="936" ht="15.75" customHeight="1" s="545">
      <c r="A936" s="19" t="n"/>
      <c r="B936" s="19" t="n"/>
      <c r="C936" s="19" t="n"/>
      <c r="D936" s="19" t="n"/>
      <c r="E936" s="19" t="n"/>
      <c r="F936" s="19" t="n"/>
      <c r="G936" s="19" t="n"/>
      <c r="H936" s="19" t="n"/>
      <c r="I936" s="19" t="n"/>
      <c r="J936" s="19" t="n"/>
      <c r="K936" s="19" t="n"/>
      <c r="L936" s="19" t="n"/>
      <c r="M936" s="19" t="n"/>
      <c r="N936" s="19" t="n"/>
    </row>
    <row r="937" ht="15.75" customHeight="1" s="545">
      <c r="A937" s="19" t="n"/>
      <c r="B937" s="19" t="n"/>
      <c r="C937" s="19" t="n"/>
      <c r="D937" s="19" t="n"/>
      <c r="E937" s="19" t="n"/>
      <c r="F937" s="19" t="n"/>
      <c r="G937" s="19" t="n"/>
      <c r="H937" s="19" t="n"/>
      <c r="I937" s="19" t="n"/>
      <c r="J937" s="19" t="n"/>
      <c r="K937" s="19" t="n"/>
      <c r="L937" s="19" t="n"/>
      <c r="M937" s="19" t="n"/>
      <c r="N937" s="19" t="n"/>
    </row>
    <row r="938" ht="15.75" customHeight="1" s="545">
      <c r="A938" s="19" t="n"/>
      <c r="B938" s="19" t="n"/>
      <c r="C938" s="19" t="n"/>
      <c r="D938" s="19" t="n"/>
      <c r="E938" s="19" t="n"/>
      <c r="F938" s="19" t="n"/>
      <c r="G938" s="19" t="n"/>
      <c r="H938" s="19" t="n"/>
      <c r="I938" s="19" t="n"/>
      <c r="J938" s="19" t="n"/>
      <c r="K938" s="19" t="n"/>
      <c r="L938" s="19" t="n"/>
      <c r="M938" s="19" t="n"/>
      <c r="N938" s="19" t="n"/>
    </row>
    <row r="939" ht="15.75" customHeight="1" s="545">
      <c r="A939" s="19" t="n"/>
      <c r="B939" s="19" t="n"/>
      <c r="C939" s="19" t="n"/>
      <c r="D939" s="19" t="n"/>
      <c r="E939" s="19" t="n"/>
      <c r="F939" s="19" t="n"/>
      <c r="G939" s="19" t="n"/>
      <c r="H939" s="19" t="n"/>
      <c r="I939" s="19" t="n"/>
      <c r="J939" s="19" t="n"/>
      <c r="K939" s="19" t="n"/>
      <c r="L939" s="19" t="n"/>
      <c r="M939" s="19" t="n"/>
      <c r="N939" s="19" t="n"/>
    </row>
    <row r="940" ht="15.75" customHeight="1" s="545">
      <c r="A940" s="19" t="n"/>
      <c r="B940" s="19" t="n"/>
      <c r="C940" s="19" t="n"/>
      <c r="D940" s="19" t="n"/>
      <c r="E940" s="19" t="n"/>
      <c r="F940" s="19" t="n"/>
      <c r="G940" s="19" t="n"/>
      <c r="H940" s="19" t="n"/>
      <c r="I940" s="19" t="n"/>
      <c r="J940" s="19" t="n"/>
      <c r="K940" s="19" t="n"/>
      <c r="L940" s="19" t="n"/>
      <c r="M940" s="19" t="n"/>
      <c r="N940" s="19" t="n"/>
    </row>
    <row r="941" ht="15.75" customHeight="1" s="545">
      <c r="A941" s="19" t="n"/>
      <c r="B941" s="19" t="n"/>
      <c r="C941" s="19" t="n"/>
      <c r="D941" s="19" t="n"/>
      <c r="E941" s="19" t="n"/>
      <c r="F941" s="19" t="n"/>
      <c r="G941" s="19" t="n"/>
      <c r="H941" s="19" t="n"/>
      <c r="I941" s="19" t="n"/>
      <c r="J941" s="19" t="n"/>
      <c r="K941" s="19" t="n"/>
      <c r="L941" s="19" t="n"/>
      <c r="M941" s="19" t="n"/>
      <c r="N941" s="19" t="n"/>
    </row>
    <row r="942" ht="15.75" customHeight="1" s="545">
      <c r="A942" s="19" t="n"/>
      <c r="B942" s="19" t="n"/>
      <c r="C942" s="19" t="n"/>
      <c r="D942" s="19" t="n"/>
      <c r="E942" s="19" t="n"/>
      <c r="F942" s="19" t="n"/>
      <c r="G942" s="19" t="n"/>
      <c r="H942" s="19" t="n"/>
      <c r="I942" s="19" t="n"/>
      <c r="J942" s="19" t="n"/>
      <c r="K942" s="19" t="n"/>
      <c r="L942" s="19" t="n"/>
      <c r="M942" s="19" t="n"/>
      <c r="N942" s="19" t="n"/>
    </row>
    <row r="943" ht="15.75" customHeight="1" s="545">
      <c r="A943" s="19" t="n"/>
      <c r="B943" s="19" t="n"/>
      <c r="C943" s="19" t="n"/>
      <c r="D943" s="19" t="n"/>
      <c r="E943" s="19" t="n"/>
      <c r="F943" s="19" t="n"/>
      <c r="G943" s="19" t="n"/>
      <c r="H943" s="19" t="n"/>
      <c r="I943" s="19" t="n"/>
      <c r="J943" s="19" t="n"/>
      <c r="K943" s="19" t="n"/>
      <c r="L943" s="19" t="n"/>
      <c r="M943" s="19" t="n"/>
      <c r="N943" s="19" t="n"/>
    </row>
    <row r="944" ht="15.75" customHeight="1" s="545">
      <c r="A944" s="19" t="n"/>
      <c r="B944" s="19" t="n"/>
      <c r="C944" s="19" t="n"/>
      <c r="D944" s="19" t="n"/>
      <c r="E944" s="19" t="n"/>
      <c r="F944" s="19" t="n"/>
      <c r="G944" s="19" t="n"/>
      <c r="H944" s="19" t="n"/>
      <c r="I944" s="19" t="n"/>
      <c r="J944" s="19" t="n"/>
      <c r="K944" s="19" t="n"/>
      <c r="L944" s="19" t="n"/>
      <c r="M944" s="19" t="n"/>
      <c r="N944" s="19" t="n"/>
    </row>
    <row r="945" ht="15.75" customHeight="1" s="545">
      <c r="A945" s="19" t="n"/>
      <c r="B945" s="19" t="n"/>
      <c r="C945" s="19" t="n"/>
      <c r="D945" s="19" t="n"/>
      <c r="E945" s="19" t="n"/>
      <c r="F945" s="19" t="n"/>
      <c r="G945" s="19" t="n"/>
      <c r="H945" s="19" t="n"/>
      <c r="I945" s="19" t="n"/>
      <c r="J945" s="19" t="n"/>
      <c r="K945" s="19" t="n"/>
      <c r="L945" s="19" t="n"/>
      <c r="M945" s="19" t="n"/>
      <c r="N945" s="19" t="n"/>
    </row>
    <row r="946" ht="15.75" customHeight="1" s="545">
      <c r="A946" s="19" t="n"/>
      <c r="B946" s="19" t="n"/>
      <c r="C946" s="19" t="n"/>
      <c r="D946" s="19" t="n"/>
      <c r="E946" s="19" t="n"/>
      <c r="F946" s="19" t="n"/>
      <c r="G946" s="19" t="n"/>
      <c r="H946" s="19" t="n"/>
      <c r="I946" s="19" t="n"/>
      <c r="J946" s="19" t="n"/>
      <c r="K946" s="19" t="n"/>
      <c r="L946" s="19" t="n"/>
      <c r="M946" s="19" t="n"/>
      <c r="N946" s="19" t="n"/>
    </row>
    <row r="947" ht="15.75" customHeight="1" s="545">
      <c r="A947" s="19" t="n"/>
      <c r="B947" s="19" t="n"/>
      <c r="C947" s="19" t="n"/>
      <c r="D947" s="19" t="n"/>
      <c r="E947" s="19" t="n"/>
      <c r="F947" s="19" t="n"/>
      <c r="G947" s="19" t="n"/>
      <c r="H947" s="19" t="n"/>
      <c r="I947" s="19" t="n"/>
      <c r="J947" s="19" t="n"/>
      <c r="K947" s="19" t="n"/>
      <c r="L947" s="19" t="n"/>
      <c r="M947" s="19" t="n"/>
      <c r="N947" s="19" t="n"/>
    </row>
    <row r="948" ht="15.75" customHeight="1" s="545">
      <c r="A948" s="19" t="n"/>
      <c r="B948" s="19" t="n"/>
      <c r="C948" s="19" t="n"/>
      <c r="D948" s="19" t="n"/>
      <c r="E948" s="19" t="n"/>
      <c r="F948" s="19" t="n"/>
      <c r="G948" s="19" t="n"/>
      <c r="H948" s="19" t="n"/>
      <c r="I948" s="19" t="n"/>
      <c r="J948" s="19" t="n"/>
      <c r="K948" s="19" t="n"/>
      <c r="L948" s="19" t="n"/>
      <c r="M948" s="19" t="n"/>
      <c r="N948" s="19" t="n"/>
    </row>
    <row r="949" ht="15.75" customHeight="1" s="545">
      <c r="A949" s="19" t="n"/>
      <c r="B949" s="19" t="n"/>
      <c r="C949" s="19" t="n"/>
      <c r="D949" s="19" t="n"/>
      <c r="E949" s="19" t="n"/>
      <c r="F949" s="19" t="n"/>
      <c r="G949" s="19" t="n"/>
      <c r="H949" s="19" t="n"/>
      <c r="I949" s="19" t="n"/>
      <c r="J949" s="19" t="n"/>
      <c r="K949" s="19" t="n"/>
      <c r="L949" s="19" t="n"/>
      <c r="M949" s="19" t="n"/>
      <c r="N949" s="19" t="n"/>
    </row>
    <row r="950" ht="15.75" customHeight="1" s="545">
      <c r="A950" s="19" t="n"/>
      <c r="B950" s="19" t="n"/>
      <c r="C950" s="19" t="n"/>
      <c r="D950" s="19" t="n"/>
      <c r="E950" s="19" t="n"/>
      <c r="F950" s="19" t="n"/>
      <c r="G950" s="19" t="n"/>
      <c r="H950" s="19" t="n"/>
      <c r="I950" s="19" t="n"/>
      <c r="J950" s="19" t="n"/>
      <c r="K950" s="19" t="n"/>
      <c r="L950" s="19" t="n"/>
      <c r="M950" s="19" t="n"/>
      <c r="N950" s="19" t="n"/>
    </row>
    <row r="951" ht="15.75" customHeight="1" s="545">
      <c r="A951" s="19" t="n"/>
      <c r="B951" s="19" t="n"/>
      <c r="C951" s="19" t="n"/>
      <c r="D951" s="19" t="n"/>
      <c r="E951" s="19" t="n"/>
      <c r="F951" s="19" t="n"/>
      <c r="G951" s="19" t="n"/>
      <c r="H951" s="19" t="n"/>
      <c r="I951" s="19" t="n"/>
      <c r="J951" s="19" t="n"/>
      <c r="K951" s="19" t="n"/>
      <c r="L951" s="19" t="n"/>
      <c r="M951" s="19" t="n"/>
      <c r="N951" s="19" t="n"/>
    </row>
    <row r="952" ht="15.75" customHeight="1" s="545">
      <c r="A952" s="19" t="n"/>
      <c r="B952" s="19" t="n"/>
      <c r="C952" s="19" t="n"/>
      <c r="D952" s="19" t="n"/>
      <c r="E952" s="19" t="n"/>
      <c r="F952" s="19" t="n"/>
      <c r="G952" s="19" t="n"/>
      <c r="H952" s="19" t="n"/>
      <c r="I952" s="19" t="n"/>
      <c r="J952" s="19" t="n"/>
      <c r="K952" s="19" t="n"/>
      <c r="L952" s="19" t="n"/>
      <c r="M952" s="19" t="n"/>
      <c r="N952" s="19" t="n"/>
    </row>
    <row r="953" ht="15.75" customHeight="1" s="545">
      <c r="A953" s="19" t="n"/>
      <c r="B953" s="19" t="n"/>
      <c r="C953" s="19" t="n"/>
      <c r="D953" s="19" t="n"/>
      <c r="E953" s="19" t="n"/>
      <c r="F953" s="19" t="n"/>
      <c r="G953" s="19" t="n"/>
      <c r="H953" s="19" t="n"/>
      <c r="I953" s="19" t="n"/>
      <c r="J953" s="19" t="n"/>
      <c r="K953" s="19" t="n"/>
      <c r="L953" s="19" t="n"/>
      <c r="M953" s="19" t="n"/>
      <c r="N953" s="19" t="n"/>
    </row>
    <row r="954" ht="15.75" customHeight="1" s="545">
      <c r="A954" s="19" t="n"/>
      <c r="B954" s="19" t="n"/>
      <c r="C954" s="19" t="n"/>
      <c r="D954" s="19" t="n"/>
      <c r="E954" s="19" t="n"/>
      <c r="F954" s="19" t="n"/>
      <c r="G954" s="19" t="n"/>
      <c r="H954" s="19" t="n"/>
      <c r="I954" s="19" t="n"/>
      <c r="J954" s="19" t="n"/>
      <c r="K954" s="19" t="n"/>
      <c r="L954" s="19" t="n"/>
      <c r="M954" s="19" t="n"/>
      <c r="N954" s="19" t="n"/>
    </row>
    <row r="955" ht="15.75" customHeight="1" s="545">
      <c r="A955" s="19" t="n"/>
      <c r="B955" s="19" t="n"/>
      <c r="C955" s="19" t="n"/>
      <c r="D955" s="19" t="n"/>
      <c r="E955" s="19" t="n"/>
      <c r="F955" s="19" t="n"/>
      <c r="G955" s="19" t="n"/>
      <c r="H955" s="19" t="n"/>
      <c r="I955" s="19" t="n"/>
      <c r="J955" s="19" t="n"/>
      <c r="K955" s="19" t="n"/>
      <c r="L955" s="19" t="n"/>
      <c r="M955" s="19" t="n"/>
      <c r="N955" s="19" t="n"/>
    </row>
    <row r="956" ht="15.75" customHeight="1" s="545">
      <c r="A956" s="19" t="n"/>
      <c r="B956" s="19" t="n"/>
      <c r="C956" s="19" t="n"/>
      <c r="D956" s="19" t="n"/>
      <c r="E956" s="19" t="n"/>
      <c r="F956" s="19" t="n"/>
      <c r="G956" s="19" t="n"/>
      <c r="H956" s="19" t="n"/>
      <c r="I956" s="19" t="n"/>
      <c r="J956" s="19" t="n"/>
      <c r="K956" s="19" t="n"/>
      <c r="L956" s="19" t="n"/>
      <c r="M956" s="19" t="n"/>
      <c r="N956" s="19" t="n"/>
    </row>
    <row r="957" ht="15.75" customHeight="1" s="545">
      <c r="A957" s="19" t="n"/>
      <c r="B957" s="19" t="n"/>
      <c r="C957" s="19" t="n"/>
      <c r="D957" s="19" t="n"/>
      <c r="E957" s="19" t="n"/>
      <c r="F957" s="19" t="n"/>
      <c r="G957" s="19" t="n"/>
      <c r="H957" s="19" t="n"/>
      <c r="I957" s="19" t="n"/>
      <c r="J957" s="19" t="n"/>
      <c r="K957" s="19" t="n"/>
      <c r="L957" s="19" t="n"/>
      <c r="M957" s="19" t="n"/>
      <c r="N957" s="19" t="n"/>
    </row>
    <row r="958" ht="15.75" customHeight="1" s="545">
      <c r="A958" s="19" t="n"/>
      <c r="B958" s="19" t="n"/>
      <c r="C958" s="19" t="n"/>
      <c r="D958" s="19" t="n"/>
      <c r="E958" s="19" t="n"/>
      <c r="F958" s="19" t="n"/>
      <c r="G958" s="19" t="n"/>
      <c r="H958" s="19" t="n"/>
      <c r="I958" s="19" t="n"/>
      <c r="J958" s="19" t="n"/>
      <c r="K958" s="19" t="n"/>
      <c r="L958" s="19" t="n"/>
      <c r="M958" s="19" t="n"/>
      <c r="N958" s="19" t="n"/>
    </row>
    <row r="959" ht="15.75" customHeight="1" s="545">
      <c r="A959" s="19" t="n"/>
      <c r="B959" s="19" t="n"/>
      <c r="C959" s="19" t="n"/>
      <c r="D959" s="19" t="n"/>
      <c r="E959" s="19" t="n"/>
      <c r="F959" s="19" t="n"/>
      <c r="G959" s="19" t="n"/>
      <c r="H959" s="19" t="n"/>
      <c r="I959" s="19" t="n"/>
      <c r="J959" s="19" t="n"/>
      <c r="K959" s="19" t="n"/>
      <c r="L959" s="19" t="n"/>
      <c r="M959" s="19" t="n"/>
      <c r="N959" s="19" t="n"/>
    </row>
    <row r="960" ht="15.75" customHeight="1" s="545">
      <c r="A960" s="19" t="n"/>
      <c r="B960" s="19" t="n"/>
      <c r="C960" s="19" t="n"/>
      <c r="D960" s="19" t="n"/>
      <c r="E960" s="19" t="n"/>
      <c r="F960" s="19" t="n"/>
      <c r="G960" s="19" t="n"/>
      <c r="H960" s="19" t="n"/>
      <c r="I960" s="19" t="n"/>
      <c r="J960" s="19" t="n"/>
      <c r="K960" s="19" t="n"/>
      <c r="L960" s="19" t="n"/>
      <c r="M960" s="19" t="n"/>
      <c r="N960" s="19" t="n"/>
    </row>
    <row r="961" ht="15.75" customHeight="1" s="545">
      <c r="A961" s="19" t="n"/>
      <c r="B961" s="19" t="n"/>
      <c r="C961" s="19" t="n"/>
      <c r="D961" s="19" t="n"/>
      <c r="E961" s="19" t="n"/>
      <c r="F961" s="19" t="n"/>
      <c r="G961" s="19" t="n"/>
      <c r="H961" s="19" t="n"/>
      <c r="I961" s="19" t="n"/>
      <c r="J961" s="19" t="n"/>
      <c r="K961" s="19" t="n"/>
      <c r="L961" s="19" t="n"/>
      <c r="M961" s="19" t="n"/>
      <c r="N961" s="19" t="n"/>
    </row>
    <row r="962" ht="15.75" customHeight="1" s="545">
      <c r="A962" s="19" t="n"/>
      <c r="B962" s="19" t="n"/>
      <c r="C962" s="19" t="n"/>
      <c r="D962" s="19" t="n"/>
      <c r="E962" s="19" t="n"/>
      <c r="F962" s="19" t="n"/>
      <c r="G962" s="19" t="n"/>
      <c r="H962" s="19" t="n"/>
      <c r="I962" s="19" t="n"/>
      <c r="J962" s="19" t="n"/>
      <c r="K962" s="19" t="n"/>
      <c r="L962" s="19" t="n"/>
      <c r="M962" s="19" t="n"/>
      <c r="N962" s="19" t="n"/>
    </row>
    <row r="963" ht="15.75" customHeight="1" s="545">
      <c r="A963" s="19" t="n"/>
      <c r="B963" s="19" t="n"/>
      <c r="C963" s="19" t="n"/>
      <c r="D963" s="19" t="n"/>
      <c r="E963" s="19" t="n"/>
      <c r="F963" s="19" t="n"/>
      <c r="G963" s="19" t="n"/>
      <c r="H963" s="19" t="n"/>
      <c r="I963" s="19" t="n"/>
      <c r="J963" s="19" t="n"/>
      <c r="K963" s="19" t="n"/>
      <c r="L963" s="19" t="n"/>
      <c r="M963" s="19" t="n"/>
      <c r="N963" s="19" t="n"/>
    </row>
    <row r="964" ht="15.75" customHeight="1" s="545">
      <c r="A964" s="19" t="n"/>
      <c r="B964" s="19" t="n"/>
      <c r="C964" s="19" t="n"/>
      <c r="D964" s="19" t="n"/>
      <c r="E964" s="19" t="n"/>
      <c r="F964" s="19" t="n"/>
      <c r="G964" s="19" t="n"/>
      <c r="H964" s="19" t="n"/>
      <c r="I964" s="19" t="n"/>
      <c r="J964" s="19" t="n"/>
      <c r="K964" s="19" t="n"/>
      <c r="L964" s="19" t="n"/>
      <c r="M964" s="19" t="n"/>
      <c r="N964" s="19" t="n"/>
    </row>
    <row r="965" ht="15.75" customHeight="1" s="545">
      <c r="A965" s="19" t="n"/>
      <c r="B965" s="19" t="n"/>
      <c r="C965" s="19" t="n"/>
      <c r="D965" s="19" t="n"/>
      <c r="E965" s="19" t="n"/>
      <c r="F965" s="19" t="n"/>
      <c r="G965" s="19" t="n"/>
      <c r="H965" s="19" t="n"/>
      <c r="I965" s="19" t="n"/>
      <c r="J965" s="19" t="n"/>
      <c r="K965" s="19" t="n"/>
      <c r="L965" s="19" t="n"/>
      <c r="M965" s="19" t="n"/>
      <c r="N965" s="19" t="n"/>
    </row>
    <row r="966" ht="15.75" customHeight="1" s="545">
      <c r="A966" s="19" t="n"/>
      <c r="B966" s="19" t="n"/>
      <c r="C966" s="19" t="n"/>
      <c r="D966" s="19" t="n"/>
      <c r="E966" s="19" t="n"/>
      <c r="F966" s="19" t="n"/>
      <c r="G966" s="19" t="n"/>
      <c r="H966" s="19" t="n"/>
      <c r="I966" s="19" t="n"/>
      <c r="J966" s="19" t="n"/>
      <c r="K966" s="19" t="n"/>
      <c r="L966" s="19" t="n"/>
      <c r="M966" s="19" t="n"/>
      <c r="N966" s="19" t="n"/>
    </row>
    <row r="967" ht="15.75" customHeight="1" s="545">
      <c r="A967" s="19" t="n"/>
      <c r="B967" s="19" t="n"/>
      <c r="C967" s="19" t="n"/>
      <c r="D967" s="19" t="n"/>
      <c r="E967" s="19" t="n"/>
      <c r="F967" s="19" t="n"/>
      <c r="G967" s="19" t="n"/>
      <c r="H967" s="19" t="n"/>
      <c r="I967" s="19" t="n"/>
      <c r="J967" s="19" t="n"/>
      <c r="K967" s="19" t="n"/>
      <c r="L967" s="19" t="n"/>
      <c r="M967" s="19" t="n"/>
      <c r="N967" s="19" t="n"/>
    </row>
    <row r="968" ht="15.75" customHeight="1" s="545">
      <c r="A968" s="19" t="n"/>
      <c r="B968" s="19" t="n"/>
      <c r="C968" s="19" t="n"/>
      <c r="D968" s="19" t="n"/>
      <c r="E968" s="19" t="n"/>
      <c r="F968" s="19" t="n"/>
      <c r="G968" s="19" t="n"/>
      <c r="H968" s="19" t="n"/>
      <c r="I968" s="19" t="n"/>
      <c r="J968" s="19" t="n"/>
      <c r="K968" s="19" t="n"/>
      <c r="L968" s="19" t="n"/>
      <c r="M968" s="19" t="n"/>
      <c r="N968" s="19" t="n"/>
    </row>
    <row r="969" ht="15.75" customHeight="1" s="545">
      <c r="A969" s="19" t="n"/>
      <c r="B969" s="19" t="n"/>
      <c r="C969" s="19" t="n"/>
      <c r="D969" s="19" t="n"/>
      <c r="E969" s="19" t="n"/>
      <c r="F969" s="19" t="n"/>
      <c r="G969" s="19" t="n"/>
      <c r="H969" s="19" t="n"/>
      <c r="I969" s="19" t="n"/>
      <c r="J969" s="19" t="n"/>
      <c r="K969" s="19" t="n"/>
      <c r="L969" s="19" t="n"/>
      <c r="M969" s="19" t="n"/>
      <c r="N969" s="19" t="n"/>
    </row>
    <row r="970" ht="15.75" customHeight="1" s="545">
      <c r="A970" s="19" t="n"/>
      <c r="B970" s="19" t="n"/>
      <c r="C970" s="19" t="n"/>
      <c r="D970" s="19" t="n"/>
      <c r="E970" s="19" t="n"/>
      <c r="F970" s="19" t="n"/>
      <c r="G970" s="19" t="n"/>
      <c r="H970" s="19" t="n"/>
      <c r="I970" s="19" t="n"/>
      <c r="J970" s="19" t="n"/>
      <c r="K970" s="19" t="n"/>
      <c r="L970" s="19" t="n"/>
      <c r="M970" s="19" t="n"/>
      <c r="N970" s="19" t="n"/>
    </row>
    <row r="971" ht="15.75" customHeight="1" s="545">
      <c r="A971" s="19" t="n"/>
      <c r="B971" s="19" t="n"/>
      <c r="C971" s="19" t="n"/>
      <c r="D971" s="19" t="n"/>
      <c r="E971" s="19" t="n"/>
      <c r="F971" s="19" t="n"/>
      <c r="G971" s="19" t="n"/>
      <c r="H971" s="19" t="n"/>
      <c r="I971" s="19" t="n"/>
      <c r="J971" s="19" t="n"/>
      <c r="K971" s="19" t="n"/>
      <c r="L971" s="19" t="n"/>
      <c r="M971" s="19" t="n"/>
      <c r="N971" s="19" t="n"/>
    </row>
    <row r="972" ht="15.75" customHeight="1" s="545">
      <c r="A972" s="19" t="n"/>
      <c r="B972" s="19" t="n"/>
      <c r="C972" s="19" t="n"/>
      <c r="D972" s="19" t="n"/>
      <c r="E972" s="19" t="n"/>
      <c r="F972" s="19" t="n"/>
      <c r="G972" s="19" t="n"/>
      <c r="H972" s="19" t="n"/>
      <c r="I972" s="19" t="n"/>
      <c r="J972" s="19" t="n"/>
      <c r="K972" s="19" t="n"/>
      <c r="L972" s="19" t="n"/>
      <c r="M972" s="19" t="n"/>
      <c r="N972" s="19" t="n"/>
    </row>
    <row r="973" ht="15.75" customHeight="1" s="545">
      <c r="A973" s="19" t="n"/>
      <c r="B973" s="19" t="n"/>
      <c r="C973" s="19" t="n"/>
      <c r="D973" s="19" t="n"/>
      <c r="E973" s="19" t="n"/>
      <c r="F973" s="19" t="n"/>
      <c r="G973" s="19" t="n"/>
      <c r="H973" s="19" t="n"/>
      <c r="I973" s="19" t="n"/>
      <c r="J973" s="19" t="n"/>
      <c r="K973" s="19" t="n"/>
      <c r="L973" s="19" t="n"/>
      <c r="M973" s="19" t="n"/>
      <c r="N973" s="19" t="n"/>
    </row>
    <row r="974" ht="15.75" customHeight="1" s="545">
      <c r="A974" s="19" t="n"/>
      <c r="B974" s="19" t="n"/>
      <c r="C974" s="19" t="n"/>
      <c r="D974" s="19" t="n"/>
      <c r="E974" s="19" t="n"/>
      <c r="F974" s="19" t="n"/>
      <c r="G974" s="19" t="n"/>
      <c r="H974" s="19" t="n"/>
      <c r="I974" s="19" t="n"/>
      <c r="J974" s="19" t="n"/>
      <c r="K974" s="19" t="n"/>
      <c r="L974" s="19" t="n"/>
      <c r="M974" s="19" t="n"/>
      <c r="N974" s="19" t="n"/>
    </row>
    <row r="975" ht="15.75" customHeight="1" s="545">
      <c r="A975" s="19" t="n"/>
      <c r="B975" s="19" t="n"/>
      <c r="C975" s="19" t="n"/>
      <c r="D975" s="19" t="n"/>
      <c r="E975" s="19" t="n"/>
      <c r="F975" s="19" t="n"/>
      <c r="G975" s="19" t="n"/>
      <c r="H975" s="19" t="n"/>
      <c r="I975" s="19" t="n"/>
      <c r="J975" s="19" t="n"/>
      <c r="K975" s="19" t="n"/>
      <c r="L975" s="19" t="n"/>
      <c r="M975" s="19" t="n"/>
      <c r="N975" s="19" t="n"/>
    </row>
    <row r="976" ht="15.75" customHeight="1" s="545">
      <c r="A976" s="19" t="n"/>
      <c r="B976" s="19" t="n"/>
      <c r="C976" s="19" t="n"/>
      <c r="D976" s="19" t="n"/>
      <c r="E976" s="19" t="n"/>
      <c r="F976" s="19" t="n"/>
      <c r="G976" s="19" t="n"/>
      <c r="H976" s="19" t="n"/>
      <c r="I976" s="19" t="n"/>
      <c r="J976" s="19" t="n"/>
      <c r="K976" s="19" t="n"/>
      <c r="L976" s="19" t="n"/>
      <c r="M976" s="19" t="n"/>
      <c r="N976" s="19" t="n"/>
    </row>
    <row r="977" ht="15.75" customHeight="1" s="545">
      <c r="A977" s="19" t="n"/>
      <c r="B977" s="19" t="n"/>
      <c r="C977" s="19" t="n"/>
      <c r="D977" s="19" t="n"/>
      <c r="E977" s="19" t="n"/>
      <c r="F977" s="19" t="n"/>
      <c r="G977" s="19" t="n"/>
      <c r="H977" s="19" t="n"/>
      <c r="I977" s="19" t="n"/>
      <c r="J977" s="19" t="n"/>
      <c r="K977" s="19" t="n"/>
      <c r="L977" s="19" t="n"/>
      <c r="M977" s="19" t="n"/>
      <c r="N977" s="19" t="n"/>
    </row>
    <row r="978" ht="15.75" customHeight="1" s="545">
      <c r="A978" s="19" t="n"/>
      <c r="B978" s="19" t="n"/>
      <c r="C978" s="19" t="n"/>
      <c r="D978" s="19" t="n"/>
      <c r="E978" s="19" t="n"/>
      <c r="F978" s="19" t="n"/>
      <c r="G978" s="19" t="n"/>
      <c r="H978" s="19" t="n"/>
      <c r="I978" s="19" t="n"/>
      <c r="J978" s="19" t="n"/>
      <c r="K978" s="19" t="n"/>
      <c r="L978" s="19" t="n"/>
      <c r="M978" s="19" t="n"/>
      <c r="N978" s="19" t="n"/>
    </row>
    <row r="979" ht="15.75" customHeight="1" s="545">
      <c r="A979" s="19" t="n"/>
      <c r="B979" s="19" t="n"/>
      <c r="C979" s="19" t="n"/>
      <c r="D979" s="19" t="n"/>
      <c r="E979" s="19" t="n"/>
      <c r="F979" s="19" t="n"/>
      <c r="G979" s="19" t="n"/>
      <c r="H979" s="19" t="n"/>
      <c r="I979" s="19" t="n"/>
      <c r="J979" s="19" t="n"/>
      <c r="K979" s="19" t="n"/>
      <c r="L979" s="19" t="n"/>
      <c r="M979" s="19" t="n"/>
      <c r="N979" s="19" t="n"/>
    </row>
    <row r="980" ht="15.75" customHeight="1" s="545">
      <c r="A980" s="19" t="n"/>
      <c r="B980" s="19" t="n"/>
      <c r="C980" s="19" t="n"/>
      <c r="D980" s="19" t="n"/>
      <c r="E980" s="19" t="n"/>
      <c r="F980" s="19" t="n"/>
      <c r="G980" s="19" t="n"/>
      <c r="H980" s="19" t="n"/>
      <c r="I980" s="19" t="n"/>
      <c r="J980" s="19" t="n"/>
      <c r="K980" s="19" t="n"/>
      <c r="L980" s="19" t="n"/>
      <c r="M980" s="19" t="n"/>
      <c r="N980" s="19" t="n"/>
    </row>
    <row r="981" ht="15.75" customHeight="1" s="545">
      <c r="A981" s="19" t="n"/>
      <c r="B981" s="19" t="n"/>
      <c r="C981" s="19" t="n"/>
      <c r="D981" s="19" t="n"/>
      <c r="E981" s="19" t="n"/>
      <c r="F981" s="19" t="n"/>
      <c r="G981" s="19" t="n"/>
      <c r="H981" s="19" t="n"/>
      <c r="I981" s="19" t="n"/>
      <c r="J981" s="19" t="n"/>
      <c r="K981" s="19" t="n"/>
      <c r="L981" s="19" t="n"/>
      <c r="M981" s="19" t="n"/>
      <c r="N981" s="19" t="n"/>
    </row>
    <row r="982" ht="15.75" customHeight="1" s="545">
      <c r="A982" s="19" t="n"/>
      <c r="B982" s="19" t="n"/>
      <c r="C982" s="19" t="n"/>
      <c r="D982" s="19" t="n"/>
      <c r="E982" s="19" t="n"/>
      <c r="F982" s="19" t="n"/>
      <c r="G982" s="19" t="n"/>
      <c r="H982" s="19" t="n"/>
      <c r="I982" s="19" t="n"/>
      <c r="J982" s="19" t="n"/>
      <c r="K982" s="19" t="n"/>
      <c r="L982" s="19" t="n"/>
      <c r="M982" s="19" t="n"/>
      <c r="N982" s="19" t="n"/>
    </row>
    <row r="983" ht="15.75" customHeight="1" s="545">
      <c r="A983" s="19" t="n"/>
      <c r="B983" s="19" t="n"/>
      <c r="C983" s="19" t="n"/>
      <c r="D983" s="19" t="n"/>
      <c r="E983" s="19" t="n"/>
      <c r="F983" s="19" t="n"/>
      <c r="G983" s="19" t="n"/>
      <c r="H983" s="19" t="n"/>
      <c r="I983" s="19" t="n"/>
      <c r="J983" s="19" t="n"/>
      <c r="K983" s="19" t="n"/>
      <c r="L983" s="19" t="n"/>
      <c r="M983" s="19" t="n"/>
      <c r="N983" s="19" t="n"/>
    </row>
    <row r="984" ht="15.75" customHeight="1" s="545">
      <c r="A984" s="19" t="n"/>
      <c r="B984" s="19" t="n"/>
      <c r="C984" s="19" t="n"/>
      <c r="D984" s="19" t="n"/>
      <c r="E984" s="19" t="n"/>
      <c r="F984" s="19" t="n"/>
      <c r="G984" s="19" t="n"/>
      <c r="H984" s="19" t="n"/>
      <c r="I984" s="19" t="n"/>
      <c r="J984" s="19" t="n"/>
      <c r="K984" s="19" t="n"/>
      <c r="L984" s="19" t="n"/>
      <c r="M984" s="19" t="n"/>
      <c r="N984" s="19" t="n"/>
    </row>
    <row r="985" ht="15.75" customHeight="1" s="545">
      <c r="A985" s="19" t="n"/>
      <c r="B985" s="19" t="n"/>
      <c r="C985" s="19" t="n"/>
      <c r="D985" s="19" t="n"/>
      <c r="E985" s="19" t="n"/>
      <c r="F985" s="19" t="n"/>
      <c r="G985" s="19" t="n"/>
      <c r="H985" s="19" t="n"/>
      <c r="I985" s="19" t="n"/>
      <c r="J985" s="19" t="n"/>
      <c r="K985" s="19" t="n"/>
      <c r="L985" s="19" t="n"/>
      <c r="M985" s="19" t="n"/>
      <c r="N985" s="19" t="n"/>
    </row>
    <row r="986" ht="15.75" customHeight="1" s="545">
      <c r="A986" s="19" t="n"/>
      <c r="B986" s="19" t="n"/>
      <c r="C986" s="19" t="n"/>
      <c r="D986" s="19" t="n"/>
      <c r="E986" s="19" t="n"/>
      <c r="F986" s="19" t="n"/>
      <c r="G986" s="19" t="n"/>
      <c r="H986" s="19" t="n"/>
      <c r="I986" s="19" t="n"/>
      <c r="J986" s="19" t="n"/>
      <c r="K986" s="19" t="n"/>
      <c r="L986" s="19" t="n"/>
      <c r="M986" s="19" t="n"/>
      <c r="N986" s="19" t="n"/>
    </row>
    <row r="987" ht="15.75" customHeight="1" s="545">
      <c r="A987" s="19" t="n"/>
      <c r="B987" s="19" t="n"/>
      <c r="C987" s="19" t="n"/>
      <c r="D987" s="19" t="n"/>
      <c r="E987" s="19" t="n"/>
      <c r="F987" s="19" t="n"/>
      <c r="G987" s="19" t="n"/>
      <c r="H987" s="19" t="n"/>
      <c r="I987" s="19" t="n"/>
      <c r="J987" s="19" t="n"/>
      <c r="K987" s="19" t="n"/>
      <c r="L987" s="19" t="n"/>
      <c r="M987" s="19" t="n"/>
      <c r="N987" s="19" t="n"/>
    </row>
    <row r="988" ht="15.75" customHeight="1" s="545">
      <c r="A988" s="19" t="n"/>
      <c r="B988" s="19" t="n"/>
      <c r="C988" s="19" t="n"/>
      <c r="D988" s="19" t="n"/>
      <c r="E988" s="19" t="n"/>
      <c r="F988" s="19" t="n"/>
      <c r="G988" s="19" t="n"/>
      <c r="H988" s="19" t="n"/>
      <c r="I988" s="19" t="n"/>
      <c r="J988" s="19" t="n"/>
      <c r="K988" s="19" t="n"/>
      <c r="L988" s="19" t="n"/>
      <c r="M988" s="19" t="n"/>
      <c r="N988" s="19" t="n"/>
    </row>
    <row r="989" ht="15.75" customHeight="1" s="545">
      <c r="A989" s="19" t="n"/>
      <c r="B989" s="19" t="n"/>
      <c r="C989" s="19" t="n"/>
      <c r="D989" s="19" t="n"/>
      <c r="E989" s="19" t="n"/>
      <c r="F989" s="19" t="n"/>
      <c r="G989" s="19" t="n"/>
      <c r="H989" s="19" t="n"/>
      <c r="I989" s="19" t="n"/>
      <c r="J989" s="19" t="n"/>
      <c r="K989" s="19" t="n"/>
      <c r="L989" s="19" t="n"/>
      <c r="M989" s="19" t="n"/>
      <c r="N989" s="19" t="n"/>
    </row>
    <row r="990" ht="15.75" customHeight="1" s="545">
      <c r="A990" s="19" t="n"/>
      <c r="B990" s="19" t="n"/>
      <c r="C990" s="19" t="n"/>
      <c r="D990" s="19" t="n"/>
      <c r="E990" s="19" t="n"/>
      <c r="F990" s="19" t="n"/>
      <c r="G990" s="19" t="n"/>
      <c r="H990" s="19" t="n"/>
      <c r="I990" s="19" t="n"/>
      <c r="J990" s="19" t="n"/>
      <c r="K990" s="19" t="n"/>
      <c r="L990" s="19" t="n"/>
      <c r="M990" s="19" t="n"/>
      <c r="N990" s="19" t="n"/>
    </row>
    <row r="991" ht="15.75" customHeight="1" s="545">
      <c r="A991" s="19" t="n"/>
      <c r="B991" s="19" t="n"/>
      <c r="C991" s="19" t="n"/>
      <c r="D991" s="19" t="n"/>
      <c r="E991" s="19" t="n"/>
      <c r="F991" s="19" t="n"/>
      <c r="G991" s="19" t="n"/>
      <c r="H991" s="19" t="n"/>
      <c r="I991" s="19" t="n"/>
      <c r="J991" s="19" t="n"/>
      <c r="K991" s="19" t="n"/>
      <c r="L991" s="19" t="n"/>
      <c r="M991" s="19" t="n"/>
      <c r="N991" s="19" t="n"/>
    </row>
    <row r="992" ht="15.75" customHeight="1" s="545">
      <c r="A992" s="19" t="n"/>
      <c r="B992" s="19" t="n"/>
      <c r="C992" s="19" t="n"/>
      <c r="D992" s="19" t="n"/>
      <c r="E992" s="19" t="n"/>
      <c r="F992" s="19" t="n"/>
      <c r="G992" s="19" t="n"/>
      <c r="H992" s="19" t="n"/>
      <c r="I992" s="19" t="n"/>
      <c r="J992" s="19" t="n"/>
      <c r="K992" s="19" t="n"/>
      <c r="L992" s="19" t="n"/>
      <c r="M992" s="19" t="n"/>
      <c r="N992" s="19" t="n"/>
    </row>
    <row r="993" ht="15.75" customHeight="1" s="545">
      <c r="A993" s="19" t="n"/>
      <c r="B993" s="19" t="n"/>
      <c r="C993" s="19" t="n"/>
      <c r="D993" s="19" t="n"/>
      <c r="E993" s="19" t="n"/>
      <c r="F993" s="19" t="n"/>
      <c r="G993" s="19" t="n"/>
      <c r="H993" s="19" t="n"/>
      <c r="I993" s="19" t="n"/>
      <c r="J993" s="19" t="n"/>
      <c r="K993" s="19" t="n"/>
      <c r="L993" s="19" t="n"/>
      <c r="M993" s="19" t="n"/>
      <c r="N993" s="19" t="n"/>
    </row>
    <row r="994" ht="15.75" customHeight="1" s="545">
      <c r="A994" s="19" t="n"/>
      <c r="B994" s="19" t="n"/>
      <c r="C994" s="19" t="n"/>
      <c r="D994" s="19" t="n"/>
      <c r="E994" s="19" t="n"/>
      <c r="F994" s="19" t="n"/>
      <c r="G994" s="19" t="n"/>
      <c r="H994" s="19" t="n"/>
      <c r="I994" s="19" t="n"/>
      <c r="J994" s="19" t="n"/>
      <c r="K994" s="19" t="n"/>
      <c r="L994" s="19" t="n"/>
      <c r="M994" s="19" t="n"/>
      <c r="N994" s="19" t="n"/>
    </row>
    <row r="995" ht="15.75" customHeight="1" s="545">
      <c r="A995" s="19" t="n"/>
      <c r="B995" s="19" t="n"/>
      <c r="C995" s="19" t="n"/>
      <c r="D995" s="19" t="n"/>
      <c r="E995" s="19" t="n"/>
      <c r="F995" s="19" t="n"/>
      <c r="G995" s="19" t="n"/>
      <c r="H995" s="19" t="n"/>
      <c r="I995" s="19" t="n"/>
      <c r="J995" s="19" t="n"/>
      <c r="K995" s="19" t="n"/>
      <c r="L995" s="19" t="n"/>
      <c r="M995" s="19" t="n"/>
      <c r="N995" s="19" t="n"/>
    </row>
    <row r="996" ht="15.75" customHeight="1" s="545">
      <c r="A996" s="19" t="n"/>
      <c r="B996" s="19" t="n"/>
      <c r="C996" s="19" t="n"/>
      <c r="D996" s="19" t="n"/>
      <c r="E996" s="19" t="n"/>
      <c r="F996" s="19" t="n"/>
      <c r="G996" s="19" t="n"/>
      <c r="H996" s="19" t="n"/>
      <c r="I996" s="19" t="n"/>
      <c r="J996" s="19" t="n"/>
      <c r="K996" s="19" t="n"/>
      <c r="L996" s="19" t="n"/>
      <c r="M996" s="19" t="n"/>
      <c r="N996" s="19" t="n"/>
    </row>
    <row r="997" ht="15.75" customHeight="1" s="545">
      <c r="A997" s="19" t="n"/>
      <c r="B997" s="19" t="n"/>
      <c r="C997" s="19" t="n"/>
      <c r="D997" s="19" t="n"/>
      <c r="E997" s="19" t="n"/>
      <c r="F997" s="19" t="n"/>
      <c r="G997" s="19" t="n"/>
      <c r="H997" s="19" t="n"/>
      <c r="I997" s="19" t="n"/>
      <c r="J997" s="19" t="n"/>
      <c r="K997" s="19" t="n"/>
      <c r="L997" s="19" t="n"/>
      <c r="M997" s="19" t="n"/>
      <c r="N997" s="19" t="n"/>
    </row>
    <row r="998" ht="15.75" customHeight="1" s="545">
      <c r="A998" s="19" t="n"/>
      <c r="B998" s="19" t="n"/>
      <c r="C998" s="19" t="n"/>
      <c r="D998" s="19" t="n"/>
      <c r="E998" s="19" t="n"/>
      <c r="F998" s="19" t="n"/>
      <c r="G998" s="19" t="n"/>
      <c r="H998" s="19" t="n"/>
      <c r="I998" s="19" t="n"/>
      <c r="J998" s="19" t="n"/>
      <c r="K998" s="19" t="n"/>
      <c r="L998" s="19" t="n"/>
      <c r="M998" s="19" t="n"/>
      <c r="N998" s="19" t="n"/>
    </row>
    <row r="999" ht="15.75" customHeight="1" s="545">
      <c r="A999" s="19" t="n"/>
      <c r="B999" s="19" t="n"/>
      <c r="C999" s="19" t="n"/>
      <c r="D999" s="19" t="n"/>
      <c r="E999" s="19" t="n"/>
      <c r="F999" s="19" t="n"/>
      <c r="G999" s="19" t="n"/>
      <c r="H999" s="19" t="n"/>
      <c r="I999" s="19" t="n"/>
      <c r="J999" s="19" t="n"/>
      <c r="K999" s="19" t="n"/>
      <c r="L999" s="19" t="n"/>
      <c r="M999" s="19" t="n"/>
      <c r="N999" s="19" t="n"/>
    </row>
    <row r="1000" ht="15.75" customHeight="1" s="545">
      <c r="A1000" s="19" t="n"/>
      <c r="B1000" s="19" t="n"/>
      <c r="C1000" s="19" t="n"/>
      <c r="D1000" s="19" t="n"/>
      <c r="E1000" s="19" t="n"/>
      <c r="F1000" s="19" t="n"/>
      <c r="G1000" s="19" t="n"/>
      <c r="H1000" s="19" t="n"/>
      <c r="I1000" s="19" t="n"/>
      <c r="J1000" s="19" t="n"/>
      <c r="K1000" s="19" t="n"/>
      <c r="L1000" s="19" t="n"/>
      <c r="M1000" s="19" t="n"/>
      <c r="N1000" s="19" t="n"/>
    </row>
  </sheetData>
  <mergeCells count="39">
    <mergeCell ref="A25:C25"/>
    <mergeCell ref="E31:G31"/>
    <mergeCell ref="A36:B36"/>
    <mergeCell ref="E34:G34"/>
    <mergeCell ref="J28:N28"/>
    <mergeCell ref="E25:H25"/>
    <mergeCell ref="A1:K1"/>
    <mergeCell ref="J30:N30"/>
    <mergeCell ref="E26:G26"/>
    <mergeCell ref="L1:AF1"/>
    <mergeCell ref="J27:N27"/>
    <mergeCell ref="A27:B27"/>
    <mergeCell ref="AG1:AV1"/>
    <mergeCell ref="A33:B33"/>
    <mergeCell ref="J25:N25"/>
    <mergeCell ref="A32:B32"/>
    <mergeCell ref="J32:N32"/>
    <mergeCell ref="AW1:BD1"/>
    <mergeCell ref="A35:B35"/>
    <mergeCell ref="A28:B28"/>
    <mergeCell ref="E35:G35"/>
    <mergeCell ref="A31:B31"/>
    <mergeCell ref="A30:B30"/>
    <mergeCell ref="E28:G28"/>
    <mergeCell ref="J29:N29"/>
    <mergeCell ref="E30:G30"/>
    <mergeCell ref="E27:G27"/>
    <mergeCell ref="A41:N41"/>
    <mergeCell ref="BE1:BR1"/>
    <mergeCell ref="E32:G32"/>
    <mergeCell ref="A26:B26"/>
    <mergeCell ref="J26:N26"/>
    <mergeCell ref="J31:N31"/>
    <mergeCell ref="A29:B29"/>
    <mergeCell ref="E33:G33"/>
    <mergeCell ref="A53:N53"/>
    <mergeCell ref="BS1:CH1"/>
    <mergeCell ref="E29:G29"/>
    <mergeCell ref="A34:B34"/>
  </mergeCells>
  <conditionalFormatting sqref="T3:T22">
    <cfRule type="expression" priority="1" dxfId="20">
      <formula>AND($F3&lt;&gt;"",T3="")</formula>
    </cfRule>
  </conditionalFormatting>
  <conditionalFormatting sqref="AW3:AW22">
    <cfRule type="expression" priority="2" dxfId="20">
      <formula>AND($F3&lt;&gt;"",AW3="")</formula>
    </cfRule>
    <cfRule type="expression" priority="10" dxfId="21">
      <formula>AND($F3&lt;&gt;"",AW3&lt;&gt;"",AX3&lt;&gt;"")</formula>
    </cfRule>
  </conditionalFormatting>
  <conditionalFormatting sqref="AX3:AX22">
    <cfRule type="expression" priority="3" dxfId="20">
      <formula>AND($F3&lt;&gt;"",AX3="")</formula>
    </cfRule>
  </conditionalFormatting>
  <conditionalFormatting sqref="AZ3:AZ22">
    <cfRule type="expression" priority="4" dxfId="20">
      <formula>AND($F3&lt;&gt;"",AZ3="")</formula>
    </cfRule>
  </conditionalFormatting>
  <conditionalFormatting sqref="BF3:BF22">
    <cfRule type="expression" priority="5" dxfId="20">
      <formula>AND($F3&lt;&gt;"",BF3="")</formula>
    </cfRule>
  </conditionalFormatting>
  <conditionalFormatting sqref="BJ3:BJ22">
    <cfRule type="expression" priority="6" dxfId="20">
      <formula>AND($F3&lt;&gt;"",BJ3="")</formula>
    </cfRule>
  </conditionalFormatting>
  <conditionalFormatting sqref="L3:L22">
    <cfRule type="expression" priority="7" dxfId="15">
      <formula>AND($F3&lt;&gt;"",L3="")</formula>
    </cfRule>
  </conditionalFormatting>
  <conditionalFormatting sqref="AG3:AG22">
    <cfRule type="expression" priority="8" dxfId="22">
      <formula>AG3&lt;&gt;""</formula>
    </cfRule>
  </conditionalFormatting>
  <conditionalFormatting sqref="AH3:AH22">
    <cfRule type="expression" priority="9" dxfId="22">
      <formula>AND(ISNUMBER(AG3),AG3&gt;MIETER!J8)</formula>
    </cfRule>
  </conditionalFormatting>
  <conditionalFormatting sqref="BH3:BH22">
    <cfRule type="expression" priority="11" dxfId="21">
      <formula>AND(ISNUMBER(BH3),BH3&lt;=0)</formula>
    </cfRule>
  </conditionalFormatting>
  <conditionalFormatting sqref="CD3:CD22">
    <cfRule type="expression" priority="12" dxfId="21">
      <formula>AND(ISNUMBER(CD3),CD3&gt;0)</formula>
    </cfRule>
  </conditionalFormatting>
  <conditionalFormatting sqref="AE3:AE22">
    <cfRule type="expression" priority="13" dxfId="22">
      <formula>AND(ISNUMBER(AE3),AE3&gt;0,$C$33=2)</formula>
    </cfRule>
  </conditionalFormatting>
  <conditionalFormatting sqref="CG3:CG22">
    <cfRule type="expression" priority="14" dxfId="23">
      <formula>LEFT(CG3,4)="GRUE"</formula>
    </cfRule>
    <cfRule type="expression" priority="15" dxfId="24">
      <formula>LEFT(CG3,4)="GELB"</formula>
    </cfRule>
    <cfRule type="expression" priority="16" dxfId="21">
      <formula>LEFT(CG3,4)="ROT:"</formula>
    </cfRule>
    <cfRule type="expression" priority="17" dxfId="25">
      <formula>LEFT(CG3,4)="GRAU"</formula>
    </cfRule>
  </conditionalFormatting>
  <conditionalFormatting sqref="CH3:CH22">
    <cfRule type="expression" priority="18" dxfId="23">
      <formula>LEFT(CH3,4)="GRUE"</formula>
    </cfRule>
    <cfRule type="expression" priority="19" dxfId="24">
      <formula>LEFT(CH3,4)="GELB"</formula>
    </cfRule>
    <cfRule type="expression" priority="20" dxfId="21">
      <formula>LEFT(CH3,4)="ROT:"</formula>
    </cfRule>
    <cfRule type="expression" priority="21" dxfId="25">
      <formula>LEFT(CH3,4)="GRAU"</formula>
    </cfRule>
  </conditionalFormatting>
  <dataValidations count="15">
    <dataValidation sqref="G3:G22" showDropDown="0" showInputMessage="0" showErrorMessage="0" allowBlank="1" type="list">
      <formula1>"ja,nein"</formula1>
    </dataValidation>
    <dataValidation sqref="L3:L22" showDropDown="0" showInputMessage="0" showErrorMessage="0" allowBlank="1" type="decimal" operator="between">
      <formula1>0</formula1>
      <formula2>20000</formula2>
    </dataValidation>
    <dataValidation sqref="O3:O22" showDropDown="0" showInputMessage="0" showErrorMessage="0" allowBlank="1" type="decimal" operator="between">
      <formula1>-100000</formula1>
      <formula2>100000</formula2>
    </dataValidation>
    <dataValidation sqref="H26 T3:T22" showDropDown="0" showInputMessage="0" showErrorMessage="0" allowBlank="1" type="decimal" operator="between">
      <formula1>0</formula1>
      <formula2>0.15</formula2>
    </dataValidation>
    <dataValidation sqref="BF3:BF22" showDropDown="0" showInputMessage="0" showErrorMessage="0" allowBlank="1" type="decimal" operator="between">
      <formula1>0.5</formula1>
      <formula2>1</formula2>
    </dataValidation>
    <dataValidation sqref="BJ3:BJ22" showDropDown="0" showInputMessage="0" showErrorMessage="0" allowBlank="1" type="decimal" operator="between">
      <formula1>0.01</formula1>
      <formula2>0.06</formula2>
    </dataValidation>
    <dataValidation sqref="Q3:Q22 R3:R22 AG3:AG22 AI3:AI22 AK3:AK22 AL3:AL22 AM3:AM22 AX3:AX22 AZ3:AZ22" showDropDown="0" showInputMessage="0" showErrorMessage="0" allowBlank="1" type="decimal" operator="greaterThanOrEqual">
      <formula1>0</formula1>
    </dataValidation>
    <dataValidation sqref="AW3:AW22" showDropDown="0" showInputMessage="0" showErrorMessage="0" allowBlank="1" type="decimal" operator="between">
      <formula1>0</formula1>
      <formula2>0.6</formula2>
    </dataValidation>
    <dataValidation sqref="H3:H22 I3:I22 J3:J22 AS3:AS22" showDropDown="0" showInputMessage="0" showErrorMessage="0" allowBlank="1" type="whole" operator="greaterThanOrEqual">
      <formula1>0</formula1>
    </dataValidation>
    <dataValidation sqref="C36" showDropDown="0" showInputMessage="0" showErrorMessage="0" allowBlank="1" type="decimal" operator="between">
      <formula1>0</formula1>
      <formula2>0.2</formula2>
    </dataValidation>
    <dataValidation sqref="H27 H28" showDropDown="0" showInputMessage="0" showErrorMessage="0" allowBlank="1" type="decimal" operator="greaterThan">
      <formula1>0</formula1>
    </dataValidation>
    <dataValidation sqref="H29" showDropDown="0" showInputMessage="0" showErrorMessage="0" allowBlank="1" type="whole" operator="greaterThan">
      <formula1>0</formula1>
    </dataValidation>
    <dataValidation sqref="H31 H32" showDropDown="0" showInputMessage="0" showErrorMessage="0" allowBlank="1" type="decimal" operator="between">
      <formula1>0</formula1>
      <formula2>0.05</formula2>
    </dataValidation>
    <dataValidation sqref="H33" showDropDown="0" showInputMessage="0" showErrorMessage="0" allowBlank="1" type="decimal" operator="between">
      <formula1>0</formula1>
      <formula2>0.5</formula2>
    </dataValidation>
    <dataValidation sqref="H35" showDropDown="0" showInputMessage="0" showErrorMessage="0" allowBlank="1" type="whole" operator="between">
      <formula1>1</formula1>
      <formula2>120</formula2>
    </dataValidation>
  </dataValidations>
  <pageMargins left="0.75" right="0.75" top="1" bottom="1" header="0" footer="0"/>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10" defaultColWidth="14.4609375" defaultRowHeight="15" customHeight="1"/>
  <cols>
    <col width="4.84375" customWidth="1" style="545" min="1" max="1"/>
    <col width="8.53515625" customWidth="1" style="545" min="2" max="2"/>
    <col width="29.53515625" customWidth="1" style="545" min="3" max="3"/>
    <col width="35.53515625" customWidth="1" style="545" min="4" max="4"/>
    <col width="6.3046875" customWidth="1" style="545" min="5" max="5"/>
    <col width="20.15234375" customWidth="1" style="545" min="6" max="6"/>
    <col width="22.53515625" customWidth="1" style="545" min="7" max="7"/>
    <col width="25.4609375" customWidth="1" style="545" min="8" max="9"/>
  </cols>
  <sheetData>
    <row r="1" ht="15.75" customHeight="1" s="545">
      <c r="A1" s="479" t="inlineStr">
        <is>
          <t xml:space="preserve">              </t>
        </is>
      </c>
      <c r="B1" s="479" t="n"/>
      <c r="C1" s="480" t="n"/>
      <c r="D1" s="480" t="n"/>
      <c r="E1" s="480" t="n"/>
      <c r="F1" s="480" t="n"/>
      <c r="G1" s="480" t="n"/>
      <c r="H1" s="480" t="n"/>
      <c r="I1" s="548" t="n"/>
      <c r="J1" s="548" t="n"/>
      <c r="K1" s="548" t="n"/>
      <c r="L1" s="548" t="n"/>
      <c r="M1" s="548" t="n"/>
      <c r="N1" s="548" t="n"/>
      <c r="O1" s="548" t="n"/>
      <c r="P1" s="548" t="n"/>
      <c r="Q1" s="548" t="n"/>
      <c r="R1" s="548" t="n"/>
      <c r="S1" s="548" t="n"/>
      <c r="T1" s="548" t="n"/>
      <c r="U1" s="548" t="n"/>
      <c r="V1" s="548" t="n"/>
      <c r="W1" s="548" t="n"/>
      <c r="X1" s="548" t="n"/>
      <c r="Y1" s="21" t="n"/>
      <c r="Z1" s="21" t="n"/>
    </row>
    <row r="2" ht="21" customHeight="1" s="545">
      <c r="A2" s="479" t="n"/>
      <c r="B2" s="481" t="inlineStr">
        <is>
          <t xml:space="preserve"> </t>
        </is>
      </c>
      <c r="C2" s="670" t="inlineStr">
        <is>
          <t>Name</t>
        </is>
      </c>
      <c r="D2" s="670" t="inlineStr">
        <is>
          <t xml:space="preserve">Firma </t>
        </is>
      </c>
      <c r="E2" s="689" t="n"/>
      <c r="F2" s="670" t="inlineStr">
        <is>
          <t>Telefon</t>
        </is>
      </c>
      <c r="G2" s="670" t="inlineStr">
        <is>
          <t>Worst-Case</t>
        </is>
      </c>
      <c r="H2" s="670" t="inlineStr">
        <is>
          <t>Best Case</t>
        </is>
      </c>
      <c r="I2" s="548" t="n"/>
      <c r="J2" s="548" t="n"/>
      <c r="K2" s="548" t="n"/>
      <c r="L2" s="548" t="n"/>
      <c r="M2" s="548" t="n"/>
      <c r="N2" s="548" t="n"/>
      <c r="O2" s="548" t="n"/>
      <c r="P2" s="548" t="n"/>
      <c r="Q2" s="548" t="n"/>
      <c r="R2" s="548" t="n"/>
      <c r="S2" s="548" t="n"/>
      <c r="T2" s="548" t="n"/>
      <c r="U2" s="548" t="n"/>
      <c r="V2" s="548" t="n"/>
      <c r="W2" s="548" t="n"/>
      <c r="X2" s="548" t="n"/>
      <c r="Y2" s="21" t="n"/>
      <c r="Z2" s="21" t="n"/>
    </row>
    <row r="3" ht="18" customHeight="1" s="545">
      <c r="A3" s="483" t="n"/>
      <c r="B3" s="484" t="n">
        <v>1</v>
      </c>
      <c r="C3" s="667" t="inlineStr">
        <is>
          <t>Max Makler</t>
        </is>
      </c>
      <c r="D3" s="667" t="inlineStr">
        <is>
          <t>Homeday</t>
        </is>
      </c>
      <c r="E3" s="563" t="n"/>
      <c r="F3" s="486" t="inlineStr">
        <is>
          <t>0151/12626547</t>
        </is>
      </c>
      <c r="G3" s="855" t="n">
        <v>2700</v>
      </c>
      <c r="H3" s="856" t="n">
        <v>3000</v>
      </c>
      <c r="I3" s="548" t="n"/>
      <c r="J3" s="548" t="n"/>
      <c r="K3" s="548" t="n"/>
      <c r="L3" s="548" t="n"/>
      <c r="M3" s="548" t="n"/>
      <c r="N3" s="548" t="n"/>
      <c r="O3" s="548" t="n"/>
      <c r="P3" s="548" t="n"/>
      <c r="Q3" s="548" t="n"/>
      <c r="R3" s="548" t="n"/>
      <c r="S3" s="548" t="n"/>
      <c r="T3" s="548" t="n"/>
      <c r="U3" s="548" t="n"/>
      <c r="V3" s="548" t="n"/>
      <c r="W3" s="548" t="n"/>
      <c r="X3" s="548" t="n"/>
      <c r="Y3" s="21" t="n"/>
      <c r="Z3" s="21" t="n"/>
    </row>
    <row r="4" ht="18" customHeight="1" s="545">
      <c r="A4" s="483" t="n"/>
      <c r="B4" s="484" t="n">
        <v>2</v>
      </c>
      <c r="C4" s="667" t="n"/>
      <c r="D4" s="667" t="n"/>
      <c r="E4" s="563" t="n"/>
      <c r="F4" s="667" t="n"/>
      <c r="G4" s="855" t="n"/>
      <c r="H4" s="856" t="n"/>
      <c r="I4" s="548" t="n"/>
      <c r="J4" s="548" t="n"/>
      <c r="K4" s="548" t="n"/>
      <c r="L4" s="548" t="n"/>
      <c r="M4" s="548" t="n"/>
      <c r="N4" s="548" t="n"/>
      <c r="O4" s="548" t="n"/>
      <c r="P4" s="548" t="n"/>
      <c r="Q4" s="548" t="n"/>
      <c r="R4" s="548" t="n"/>
      <c r="S4" s="548" t="n"/>
      <c r="T4" s="548" t="n"/>
      <c r="U4" s="548" t="n"/>
      <c r="V4" s="548" t="n"/>
      <c r="W4" s="548" t="n"/>
      <c r="X4" s="548" t="n"/>
      <c r="Y4" s="21" t="n"/>
      <c r="Z4" s="21" t="n"/>
    </row>
    <row r="5" ht="18" customHeight="1" s="545">
      <c r="A5" s="483" t="n"/>
      <c r="B5" s="484" t="n">
        <v>3</v>
      </c>
      <c r="C5" s="667" t="n"/>
      <c r="D5" s="667" t="n"/>
      <c r="E5" s="563" t="n"/>
      <c r="F5" s="667" t="n"/>
      <c r="G5" s="855" t="n"/>
      <c r="H5" s="856" t="n"/>
      <c r="I5" s="548" t="n"/>
      <c r="J5" s="548" t="n"/>
      <c r="K5" s="548" t="n"/>
      <c r="L5" s="548" t="n"/>
      <c r="M5" s="548" t="n"/>
      <c r="N5" s="548" t="n"/>
      <c r="O5" s="548" t="n"/>
      <c r="P5" s="548" t="n"/>
      <c r="Q5" s="548" t="n"/>
      <c r="R5" s="548" t="n"/>
      <c r="S5" s="548" t="n"/>
      <c r="T5" s="548" t="n"/>
      <c r="U5" s="548" t="n"/>
      <c r="V5" s="548" t="n"/>
      <c r="W5" s="548" t="n"/>
      <c r="X5" s="548" t="n"/>
      <c r="Y5" s="21" t="n"/>
      <c r="Z5" s="21" t="n"/>
    </row>
    <row r="6" ht="18" customHeight="1" s="545">
      <c r="A6" s="483" t="n"/>
      <c r="B6" s="484" t="n">
        <v>4</v>
      </c>
      <c r="C6" s="667" t="n"/>
      <c r="D6" s="667" t="n"/>
      <c r="E6" s="563" t="n"/>
      <c r="F6" s="667" t="n"/>
      <c r="G6" s="855" t="n"/>
      <c r="H6" s="856" t="n"/>
      <c r="I6" s="548" t="n"/>
      <c r="J6" s="548" t="n"/>
      <c r="K6" s="548" t="n"/>
      <c r="L6" s="548" t="n"/>
      <c r="M6" s="548" t="n"/>
      <c r="N6" s="548" t="n"/>
      <c r="O6" s="548" t="n"/>
      <c r="P6" s="548" t="n"/>
      <c r="Q6" s="548" t="n"/>
      <c r="R6" s="548" t="n"/>
      <c r="S6" s="548" t="n"/>
      <c r="T6" s="548" t="n"/>
      <c r="U6" s="548" t="n"/>
      <c r="V6" s="548" t="n"/>
      <c r="W6" s="548" t="n"/>
      <c r="X6" s="548" t="n"/>
      <c r="Y6" s="21" t="n"/>
      <c r="Z6" s="21" t="n"/>
    </row>
    <row r="7" ht="18" customHeight="1" s="545">
      <c r="A7" s="483" t="n"/>
      <c r="B7" s="484" t="n">
        <v>5</v>
      </c>
      <c r="C7" s="667" t="n"/>
      <c r="D7" s="667" t="n"/>
      <c r="E7" s="563" t="n"/>
      <c r="F7" s="667" t="n"/>
      <c r="G7" s="855" t="n"/>
      <c r="H7" s="856" t="n"/>
      <c r="I7" s="548" t="n"/>
      <c r="J7" s="548" t="n"/>
      <c r="K7" s="548" t="n"/>
      <c r="L7" s="548" t="n"/>
      <c r="M7" s="548" t="n"/>
      <c r="N7" s="548" t="n"/>
      <c r="O7" s="548" t="n"/>
      <c r="P7" s="548" t="n"/>
      <c r="Q7" s="548" t="n"/>
      <c r="R7" s="548" t="n"/>
      <c r="S7" s="548" t="n"/>
      <c r="T7" s="548" t="n"/>
      <c r="U7" s="548" t="n"/>
      <c r="V7" s="548" t="n"/>
      <c r="W7" s="548" t="n"/>
      <c r="X7" s="548" t="n"/>
      <c r="Y7" s="21" t="n"/>
      <c r="Z7" s="21" t="n"/>
    </row>
    <row r="8" ht="18" customHeight="1" s="545">
      <c r="A8" s="483" t="n"/>
      <c r="B8" s="484" t="n">
        <v>6</v>
      </c>
      <c r="C8" s="667" t="n"/>
      <c r="D8" s="667" t="n"/>
      <c r="E8" s="563" t="n"/>
      <c r="F8" s="667" t="n"/>
      <c r="G8" s="855" t="n"/>
      <c r="H8" s="856" t="n"/>
      <c r="I8" s="548" t="n"/>
      <c r="J8" s="548" t="n"/>
      <c r="K8" s="548" t="n"/>
      <c r="L8" s="548" t="n"/>
      <c r="M8" s="548" t="n"/>
      <c r="N8" s="548" t="n"/>
      <c r="O8" s="548" t="n"/>
      <c r="P8" s="548" t="n"/>
      <c r="Q8" s="548" t="n"/>
      <c r="R8" s="548" t="n"/>
      <c r="S8" s="548" t="n"/>
      <c r="T8" s="548" t="n"/>
      <c r="U8" s="548" t="n"/>
      <c r="V8" s="548" t="n"/>
      <c r="W8" s="548" t="n"/>
      <c r="X8" s="548" t="n"/>
      <c r="Y8" s="21" t="n"/>
      <c r="Z8" s="21" t="n"/>
    </row>
    <row r="9" ht="18" customHeight="1" s="545">
      <c r="A9" s="483" t="n"/>
      <c r="B9" s="484" t="n">
        <v>7</v>
      </c>
      <c r="C9" s="667" t="n"/>
      <c r="D9" s="667" t="n"/>
      <c r="E9" s="563" t="n"/>
      <c r="F9" s="667" t="n"/>
      <c r="G9" s="855" t="n"/>
      <c r="H9" s="856" t="n"/>
      <c r="I9" s="548" t="n"/>
      <c r="J9" s="548" t="n"/>
      <c r="K9" s="548" t="n"/>
      <c r="L9" s="548" t="n"/>
      <c r="M9" s="548" t="n"/>
      <c r="N9" s="548" t="n"/>
      <c r="O9" s="548" t="n"/>
      <c r="P9" s="548" t="n"/>
      <c r="Q9" s="548" t="n"/>
      <c r="R9" s="548" t="n"/>
      <c r="S9" s="548" t="n"/>
      <c r="T9" s="548" t="n"/>
      <c r="U9" s="548" t="n"/>
      <c r="V9" s="548" t="n"/>
      <c r="W9" s="548" t="n"/>
      <c r="X9" s="548" t="n"/>
      <c r="Y9" s="21" t="n"/>
      <c r="Z9" s="21" t="n"/>
    </row>
    <row r="10" ht="18" customHeight="1" s="545">
      <c r="A10" s="483" t="n"/>
      <c r="B10" s="484" t="n">
        <v>8</v>
      </c>
      <c r="C10" s="667" t="n"/>
      <c r="D10" s="667" t="n"/>
      <c r="E10" s="563" t="n"/>
      <c r="F10" s="667" t="n"/>
      <c r="G10" s="855" t="n"/>
      <c r="H10" s="856" t="n"/>
      <c r="I10" s="548" t="n"/>
      <c r="J10" s="548" t="n"/>
      <c r="K10" s="548" t="n"/>
      <c r="L10" s="548" t="n"/>
      <c r="M10" s="548" t="n"/>
      <c r="N10" s="548" t="n"/>
      <c r="O10" s="548" t="n"/>
      <c r="P10" s="548" t="n"/>
      <c r="Q10" s="548" t="n"/>
      <c r="R10" s="548" t="n"/>
      <c r="S10" s="548" t="n"/>
      <c r="T10" s="548" t="n"/>
      <c r="U10" s="548" t="n"/>
      <c r="V10" s="548" t="n"/>
      <c r="W10" s="548" t="n"/>
      <c r="X10" s="548" t="n"/>
      <c r="Y10" s="21" t="n"/>
      <c r="Z10" s="21" t="n"/>
    </row>
    <row r="11" ht="18" customHeight="1" s="545">
      <c r="A11" s="483" t="n"/>
      <c r="B11" s="484" t="n">
        <v>9</v>
      </c>
      <c r="C11" s="667" t="n"/>
      <c r="D11" s="667" t="n"/>
      <c r="E11" s="563" t="n"/>
      <c r="F11" s="667" t="n"/>
      <c r="G11" s="855" t="n"/>
      <c r="H11" s="856" t="n"/>
      <c r="I11" s="548" t="n"/>
      <c r="J11" s="548" t="n"/>
      <c r="K11" s="548" t="n"/>
      <c r="L11" s="548" t="n"/>
      <c r="M11" s="548" t="n"/>
      <c r="N11" s="548" t="n"/>
      <c r="O11" s="548" t="n"/>
      <c r="P11" s="548" t="n"/>
      <c r="Q11" s="548" t="n"/>
      <c r="R11" s="548" t="n"/>
      <c r="S11" s="548" t="n"/>
      <c r="T11" s="548" t="n"/>
      <c r="U11" s="548" t="n"/>
      <c r="V11" s="548" t="n"/>
      <c r="W11" s="548" t="n"/>
      <c r="X11" s="548" t="n"/>
      <c r="Y11" s="21" t="n"/>
      <c r="Z11" s="21" t="n"/>
    </row>
    <row r="12" ht="18" customHeight="1" s="545">
      <c r="A12" s="483" t="n"/>
      <c r="B12" s="484" t="n">
        <v>10</v>
      </c>
      <c r="C12" s="667" t="n"/>
      <c r="D12" s="667" t="n"/>
      <c r="E12" s="563" t="n"/>
      <c r="F12" s="667" t="n"/>
      <c r="G12" s="855" t="n"/>
      <c r="H12" s="856" t="n"/>
      <c r="I12" s="548" t="n"/>
      <c r="J12" s="548" t="n"/>
      <c r="K12" s="548" t="n"/>
      <c r="L12" s="548" t="n"/>
      <c r="M12" s="548" t="n"/>
      <c r="N12" s="548" t="n"/>
      <c r="O12" s="548" t="n"/>
      <c r="P12" s="548" t="n"/>
      <c r="Q12" s="548" t="n"/>
      <c r="R12" s="548" t="n"/>
      <c r="S12" s="548" t="n"/>
      <c r="T12" s="548" t="n"/>
      <c r="U12" s="548" t="n"/>
      <c r="V12" s="548" t="n"/>
      <c r="W12" s="548" t="n"/>
      <c r="X12" s="548" t="n"/>
      <c r="Y12" s="21" t="n"/>
      <c r="Z12" s="21" t="n"/>
    </row>
    <row r="13" ht="18" customHeight="1" s="545">
      <c r="A13" s="548" t="n"/>
      <c r="B13" s="548" t="n"/>
      <c r="C13" s="548" t="n"/>
      <c r="D13" s="548" t="n"/>
      <c r="E13" s="548" t="n"/>
      <c r="F13" s="548" t="n"/>
      <c r="G13" s="548" t="n"/>
      <c r="H13" s="548" t="n"/>
      <c r="I13" s="548" t="n"/>
      <c r="J13" s="548" t="n"/>
      <c r="K13" s="548" t="n"/>
      <c r="L13" s="548" t="n"/>
      <c r="M13" s="548" t="n"/>
      <c r="N13" s="548" t="n"/>
      <c r="O13" s="548" t="n"/>
      <c r="P13" s="548" t="n"/>
      <c r="Q13" s="548" t="n"/>
      <c r="R13" s="548" t="n"/>
      <c r="S13" s="548" t="n"/>
      <c r="T13" s="548" t="n"/>
      <c r="U13" s="548" t="n"/>
      <c r="V13" s="548" t="n"/>
      <c r="W13" s="548" t="n"/>
      <c r="X13" s="548" t="n"/>
      <c r="Y13" s="548" t="n"/>
      <c r="Z13" s="21" t="n"/>
    </row>
    <row r="14" ht="18" customHeight="1" s="545">
      <c r="A14" s="548" t="n"/>
      <c r="B14" s="548" t="n"/>
      <c r="C14" s="548" t="n"/>
      <c r="D14" s="548" t="n"/>
      <c r="E14" s="110" t="n"/>
      <c r="F14" s="489" t="inlineStr">
        <is>
          <t xml:space="preserve">Durschnitt </t>
        </is>
      </c>
      <c r="G14" s="857">
        <f>AVERAGE(G3:G12)</f>
        <v/>
      </c>
      <c r="H14" s="858">
        <f>AVERAGE(H3:H12)</f>
        <v/>
      </c>
      <c r="I14" s="21" t="n"/>
      <c r="J14" s="548" t="n"/>
      <c r="K14" s="548" t="n"/>
      <c r="L14" s="548" t="n"/>
      <c r="M14" s="548" t="n"/>
      <c r="N14" s="548" t="n"/>
      <c r="O14" s="548" t="n"/>
      <c r="P14" s="548" t="n"/>
      <c r="Q14" s="548" t="n"/>
      <c r="R14" s="548" t="n"/>
      <c r="S14" s="548" t="n"/>
      <c r="T14" s="548" t="n"/>
      <c r="U14" s="548" t="n"/>
      <c r="V14" s="548" t="n"/>
      <c r="W14" s="548" t="n"/>
      <c r="X14" s="548" t="n"/>
      <c r="Y14" s="548" t="n"/>
      <c r="Z14" s="21" t="n"/>
    </row>
    <row r="15" ht="22.5" customHeight="1" s="545">
      <c r="A15" s="548" t="n"/>
      <c r="B15" s="548" t="n"/>
      <c r="C15" s="548" t="n"/>
      <c r="D15" s="548" t="n"/>
      <c r="E15" s="492" t="n"/>
      <c r="F15" s="493" t="inlineStr">
        <is>
          <t xml:space="preserve">Gesamt Durschnitt </t>
        </is>
      </c>
      <c r="G15" s="859">
        <f>AVERAGE(G14,H14)</f>
        <v/>
      </c>
      <c r="H15" s="563" t="n"/>
      <c r="I15" s="21" t="n"/>
      <c r="J15" s="548" t="n"/>
      <c r="K15" s="548" t="n"/>
      <c r="L15" s="548" t="n"/>
      <c r="M15" s="548" t="n"/>
      <c r="N15" s="548" t="n"/>
      <c r="O15" s="548" t="n"/>
      <c r="P15" s="548" t="n"/>
      <c r="Q15" s="548" t="n"/>
      <c r="R15" s="548" t="n"/>
      <c r="S15" s="548" t="n"/>
      <c r="T15" s="548" t="n"/>
      <c r="U15" s="548" t="n"/>
      <c r="V15" s="548" t="n"/>
      <c r="W15" s="548" t="n"/>
      <c r="X15" s="548" t="n"/>
      <c r="Y15" s="548" t="n"/>
      <c r="Z15" s="21" t="n"/>
    </row>
    <row r="16" ht="18" customHeight="1" s="545">
      <c r="A16" s="548" t="n"/>
      <c r="B16" s="548" t="n"/>
      <c r="C16" s="548" t="n"/>
      <c r="D16" s="548" t="n"/>
      <c r="E16" s="548" t="n"/>
      <c r="F16" s="548" t="n"/>
      <c r="G16" s="548" t="n"/>
      <c r="H16" s="548" t="n"/>
      <c r="I16" s="548" t="n"/>
      <c r="J16" s="548" t="n"/>
      <c r="K16" s="548" t="n"/>
      <c r="L16" s="548" t="n"/>
      <c r="M16" s="548" t="n"/>
      <c r="N16" s="548" t="n"/>
      <c r="O16" s="548" t="n"/>
      <c r="P16" s="548" t="n"/>
      <c r="Q16" s="548" t="n"/>
      <c r="R16" s="548" t="n"/>
      <c r="S16" s="548" t="n"/>
      <c r="T16" s="548" t="n"/>
      <c r="U16" s="548" t="n"/>
      <c r="V16" s="548" t="n"/>
      <c r="W16" s="548" t="n"/>
      <c r="X16" s="548" t="n"/>
      <c r="Y16" s="548" t="n"/>
      <c r="Z16" s="21" t="n"/>
    </row>
    <row r="17" ht="18" customHeight="1" s="545">
      <c r="A17" s="548" t="n"/>
      <c r="B17" s="548" t="n"/>
      <c r="C17" s="548" t="n"/>
      <c r="D17" s="548" t="n"/>
      <c r="E17" s="548" t="n"/>
      <c r="F17" s="548" t="n"/>
      <c r="G17" s="548" t="n"/>
      <c r="H17" s="548" t="n"/>
      <c r="I17" s="548" t="n"/>
      <c r="J17" s="548" t="n"/>
      <c r="K17" s="548" t="n"/>
      <c r="L17" s="548" t="n"/>
      <c r="M17" s="548" t="n"/>
      <c r="N17" s="548" t="n"/>
      <c r="O17" s="548" t="n"/>
      <c r="P17" s="548" t="n"/>
      <c r="Q17" s="548" t="n"/>
      <c r="R17" s="548" t="n"/>
      <c r="S17" s="548" t="n"/>
      <c r="T17" s="548" t="n"/>
      <c r="U17" s="548" t="n"/>
      <c r="V17" s="548" t="n"/>
      <c r="W17" s="548" t="n"/>
      <c r="X17" s="548" t="n"/>
      <c r="Y17" s="548" t="n"/>
      <c r="Z17" s="21" t="n"/>
    </row>
    <row r="18" ht="18" customHeight="1" s="545">
      <c r="A18" s="548" t="n"/>
      <c r="B18" s="672" t="inlineStr">
        <is>
          <t>TEST BALLON 1 (leerstehend)</t>
        </is>
      </c>
      <c r="C18" s="574" t="n"/>
      <c r="D18" s="574" t="n"/>
      <c r="E18" s="483" t="n"/>
      <c r="F18" s="668" t="inlineStr">
        <is>
          <t>TEST BALLON 2 (vermietet)</t>
        </is>
      </c>
      <c r="G18" s="574" t="n"/>
      <c r="H18" s="562" t="n"/>
      <c r="I18" s="548" t="n"/>
      <c r="J18" s="548" t="n"/>
      <c r="K18" s="548" t="n"/>
      <c r="L18" s="548" t="n"/>
      <c r="M18" s="548" t="n"/>
      <c r="N18" s="548" t="n"/>
      <c r="O18" s="548" t="n"/>
      <c r="P18" s="548" t="n"/>
      <c r="Q18" s="548" t="n"/>
      <c r="R18" s="548" t="n"/>
      <c r="S18" s="548" t="n"/>
      <c r="T18" s="548" t="n"/>
      <c r="U18" s="548" t="n"/>
      <c r="V18" s="548" t="n"/>
      <c r="W18" s="548" t="n"/>
      <c r="X18" s="548" t="n"/>
      <c r="Y18" s="548" t="n"/>
      <c r="Z18" s="21" t="n"/>
    </row>
    <row r="19" ht="18" customHeight="1" s="545">
      <c r="A19" s="548" t="n"/>
      <c r="B19" s="688" t="n"/>
      <c r="C19" s="599" t="n"/>
      <c r="D19" s="599" t="n"/>
      <c r="E19" s="483" t="n"/>
      <c r="F19" s="494" t="n"/>
      <c r="G19" s="495" t="inlineStr">
        <is>
          <t>Kaltmiete =</t>
        </is>
      </c>
      <c r="H19" s="860" t="n">
        <v>500</v>
      </c>
      <c r="I19" s="548" t="n"/>
      <c r="J19" s="548" t="n"/>
      <c r="K19" s="548" t="n"/>
      <c r="L19" s="548" t="n"/>
      <c r="M19" s="548" t="n"/>
      <c r="N19" s="548" t="n"/>
      <c r="O19" s="548" t="n"/>
      <c r="P19" s="548" t="n"/>
      <c r="Q19" s="548" t="n"/>
      <c r="R19" s="548" t="n"/>
      <c r="S19" s="548" t="n"/>
      <c r="T19" s="548" t="n"/>
      <c r="U19" s="548" t="n"/>
      <c r="V19" s="548" t="n"/>
      <c r="W19" s="548" t="n"/>
      <c r="X19" s="548" t="n"/>
      <c r="Y19" s="548" t="n"/>
      <c r="Z19" s="21" t="n"/>
    </row>
    <row r="20" ht="18" customHeight="1" s="545">
      <c r="A20" s="548" t="n"/>
      <c r="B20" s="669" t="inlineStr">
        <is>
          <t>Ballon Inseriert am</t>
        </is>
      </c>
      <c r="C20" s="689" t="n"/>
      <c r="D20" s="861" t="n">
        <v>45485</v>
      </c>
      <c r="E20" s="548" t="n"/>
      <c r="F20" s="671" t="inlineStr">
        <is>
          <t>Ballon Inseriert am</t>
        </is>
      </c>
      <c r="G20" s="563" t="n"/>
      <c r="H20" s="862" t="n"/>
      <c r="I20" s="548" t="n"/>
      <c r="J20" s="548" t="n"/>
      <c r="K20" s="548" t="n"/>
      <c r="L20" s="548" t="n"/>
      <c r="M20" s="548" t="n"/>
      <c r="N20" s="548" t="n"/>
      <c r="O20" s="548" t="n"/>
      <c r="P20" s="548" t="n"/>
      <c r="Q20" s="548" t="n"/>
      <c r="R20" s="548" t="n"/>
      <c r="S20" s="548" t="n"/>
      <c r="T20" s="548" t="n"/>
      <c r="U20" s="548" t="n"/>
      <c r="V20" s="548" t="n"/>
      <c r="W20" s="548" t="n"/>
      <c r="X20" s="548" t="n"/>
      <c r="Y20" s="548" t="n"/>
      <c r="Z20" s="21" t="n"/>
    </row>
    <row r="21" ht="18" customHeight="1" s="545">
      <c r="A21" s="548" t="n"/>
      <c r="B21" s="669" t="inlineStr">
        <is>
          <t>Ballon war X Tage online</t>
        </is>
      </c>
      <c r="C21" s="689" t="n"/>
      <c r="D21" s="499" t="n"/>
      <c r="E21" s="548" t="n"/>
      <c r="F21" s="669" t="inlineStr">
        <is>
          <t>Ballon war X Tage online</t>
        </is>
      </c>
      <c r="G21" s="689" t="n"/>
      <c r="H21" s="500" t="n"/>
      <c r="I21" s="548" t="n"/>
      <c r="J21" s="548" t="n"/>
      <c r="K21" s="548" t="n"/>
      <c r="L21" s="548" t="n"/>
      <c r="M21" s="548" t="n"/>
      <c r="N21" s="548" t="n"/>
      <c r="O21" s="548" t="n"/>
      <c r="P21" s="548" t="n"/>
      <c r="Q21" s="548" t="n"/>
      <c r="R21" s="548" t="n"/>
      <c r="S21" s="548" t="n"/>
      <c r="T21" s="548" t="n"/>
      <c r="U21" s="548" t="n"/>
      <c r="V21" s="548" t="n"/>
      <c r="W21" s="548" t="n"/>
      <c r="X21" s="548" t="n"/>
      <c r="Y21" s="548" t="n"/>
      <c r="Z21" s="21" t="n"/>
    </row>
    <row r="22" ht="18" customHeight="1" s="545">
      <c r="A22" s="548" t="n"/>
      <c r="B22" s="669" t="inlineStr">
        <is>
          <t>Welches Bildmaterial wurde verwendet</t>
        </is>
      </c>
      <c r="C22" s="689" t="n"/>
      <c r="D22" s="499" t="n"/>
      <c r="E22" s="548" t="n"/>
      <c r="F22" s="669" t="inlineStr">
        <is>
          <t>Welches Bildmaterial wurde verwendet</t>
        </is>
      </c>
      <c r="G22" s="689" t="n"/>
      <c r="H22" s="500" t="n"/>
      <c r="I22" s="548" t="n"/>
      <c r="J22" s="548" t="n"/>
      <c r="K22" s="548" t="n"/>
      <c r="L22" s="548" t="n"/>
      <c r="M22" s="548" t="n"/>
      <c r="N22" s="548" t="n"/>
      <c r="O22" s="548" t="n"/>
      <c r="P22" s="548" t="n"/>
      <c r="Q22" s="548" t="n"/>
      <c r="R22" s="548" t="n"/>
      <c r="S22" s="548" t="n"/>
      <c r="T22" s="548" t="n"/>
      <c r="U22" s="548" t="n"/>
      <c r="V22" s="548" t="n"/>
      <c r="W22" s="548" t="n"/>
      <c r="X22" s="548" t="n"/>
      <c r="Y22" s="548" t="n"/>
      <c r="Z22" s="21" t="n"/>
    </row>
    <row r="23" ht="18" customHeight="1" s="545">
      <c r="A23" s="548" t="n"/>
      <c r="B23" s="669" t="inlineStr">
        <is>
          <t>Zustand der Wohnung</t>
        </is>
      </c>
      <c r="C23" s="689" t="n"/>
      <c r="D23" s="499" t="n"/>
      <c r="E23" s="548" t="n"/>
      <c r="F23" s="669" t="inlineStr">
        <is>
          <t>Zustand der Wohnung</t>
        </is>
      </c>
      <c r="G23" s="689" t="n"/>
      <c r="H23" s="500" t="n"/>
      <c r="I23" s="548" t="n"/>
      <c r="J23" s="548" t="n"/>
      <c r="K23" s="548" t="n"/>
      <c r="L23" s="548" t="n"/>
      <c r="M23" s="548" t="n"/>
      <c r="N23" s="548" t="n"/>
      <c r="O23" s="548" t="n"/>
      <c r="P23" s="548" t="n"/>
      <c r="Q23" s="548" t="n"/>
      <c r="R23" s="548" t="n"/>
      <c r="S23" s="548" t="n"/>
      <c r="T23" s="548" t="n"/>
      <c r="U23" s="548" t="n"/>
      <c r="V23" s="548" t="n"/>
      <c r="W23" s="548" t="n"/>
      <c r="X23" s="548" t="n"/>
      <c r="Y23" s="548" t="n"/>
      <c r="Z23" s="21" t="n"/>
    </row>
    <row r="24" ht="18" customHeight="1" s="545">
      <c r="A24" s="548" t="n"/>
      <c r="B24" s="669" t="inlineStr">
        <is>
          <t>Wie viele Anfragen?</t>
        </is>
      </c>
      <c r="C24" s="689" t="n"/>
      <c r="D24" s="499" t="n"/>
      <c r="E24" s="548" t="n"/>
      <c r="F24" s="669" t="inlineStr">
        <is>
          <t>Wie viele Anfragen?</t>
        </is>
      </c>
      <c r="G24" s="689" t="n"/>
      <c r="H24" s="500" t="n"/>
      <c r="I24" s="548" t="n"/>
      <c r="J24" s="548" t="n"/>
      <c r="K24" s="548" t="n"/>
      <c r="L24" s="548" t="n"/>
      <c r="M24" s="548" t="n"/>
      <c r="N24" s="548" t="n"/>
      <c r="O24" s="548" t="n"/>
      <c r="P24" s="548" t="n"/>
      <c r="Q24" s="548" t="n"/>
      <c r="R24" s="548" t="n"/>
      <c r="S24" s="548" t="n"/>
      <c r="T24" s="548" t="n"/>
      <c r="U24" s="548" t="n"/>
      <c r="V24" s="548" t="n"/>
      <c r="W24" s="548" t="n"/>
      <c r="X24" s="548" t="n"/>
      <c r="Y24" s="548" t="n"/>
      <c r="Z24" s="21" t="n"/>
    </row>
    <row r="25" ht="18" customHeight="1" s="545">
      <c r="A25" s="548" t="n"/>
      <c r="B25" s="669" t="inlineStr">
        <is>
          <t>Davon Makler Anfragen</t>
        </is>
      </c>
      <c r="C25" s="689" t="n"/>
      <c r="D25" s="499" t="n"/>
      <c r="E25" s="548" t="n"/>
      <c r="F25" s="669" t="inlineStr">
        <is>
          <t>Davon Makler Anfragen</t>
        </is>
      </c>
      <c r="G25" s="689" t="n"/>
      <c r="H25" s="500" t="n"/>
      <c r="I25" s="548" t="n"/>
      <c r="J25" s="548" t="n"/>
      <c r="K25" s="548" t="n"/>
      <c r="L25" s="548" t="n"/>
      <c r="M25" s="548" t="n"/>
      <c r="N25" s="548" t="n"/>
      <c r="O25" s="548" t="n"/>
      <c r="P25" s="548" t="n"/>
      <c r="Q25" s="548" t="n"/>
      <c r="R25" s="548" t="n"/>
      <c r="S25" s="548" t="n"/>
      <c r="T25" s="548" t="n"/>
      <c r="U25" s="548" t="n"/>
      <c r="V25" s="548" t="n"/>
      <c r="W25" s="548" t="n"/>
      <c r="X25" s="548" t="n"/>
      <c r="Y25" s="548" t="n"/>
      <c r="Z25" s="21" t="n"/>
    </row>
    <row r="26" ht="18" customHeight="1" s="545">
      <c r="A26" s="548" t="n"/>
      <c r="B26" s="669" t="inlineStr">
        <is>
          <t>Rest Anfragen</t>
        </is>
      </c>
      <c r="C26" s="689" t="n"/>
      <c r="D26" s="501">
        <f>D24-D25</f>
        <v/>
      </c>
      <c r="E26" s="548" t="n"/>
      <c r="F26" s="669" t="inlineStr">
        <is>
          <t>Rest Anfragen</t>
        </is>
      </c>
      <c r="G26" s="689" t="n"/>
      <c r="H26" s="502">
        <f>H24-H25</f>
        <v/>
      </c>
      <c r="I26" s="548" t="n"/>
      <c r="J26" s="548" t="n"/>
      <c r="K26" s="548" t="n"/>
      <c r="L26" s="548" t="n"/>
      <c r="M26" s="548" t="n"/>
      <c r="N26" s="548" t="n"/>
      <c r="O26" s="548" t="n"/>
      <c r="P26" s="548" t="n"/>
      <c r="Q26" s="548" t="n"/>
      <c r="R26" s="548" t="n"/>
      <c r="S26" s="548" t="n"/>
      <c r="T26" s="548" t="n"/>
      <c r="U26" s="548" t="n"/>
      <c r="V26" s="548" t="n"/>
      <c r="W26" s="548" t="n"/>
      <c r="X26" s="548" t="n"/>
      <c r="Y26" s="548" t="n"/>
      <c r="Z26" s="21" t="n"/>
    </row>
    <row r="27" ht="18" customHeight="1" s="545">
      <c r="A27" s="548" t="n"/>
      <c r="B27" s="548" t="n"/>
      <c r="C27" s="21" t="n"/>
      <c r="D27" s="21" t="n"/>
      <c r="E27" s="21" t="n"/>
      <c r="F27" s="21" t="n"/>
      <c r="G27" s="548" t="n"/>
      <c r="H27" s="548" t="n"/>
      <c r="I27" s="548" t="n"/>
      <c r="J27" s="548" t="n"/>
      <c r="K27" s="548" t="n"/>
      <c r="L27" s="548" t="n"/>
      <c r="M27" s="548" t="n"/>
      <c r="N27" s="548" t="n"/>
      <c r="O27" s="548" t="n"/>
      <c r="P27" s="548" t="n"/>
      <c r="Q27" s="548" t="n"/>
      <c r="R27" s="548" t="n"/>
      <c r="S27" s="548" t="n"/>
      <c r="T27" s="548" t="n"/>
      <c r="U27" s="548" t="n"/>
      <c r="V27" s="548" t="n"/>
      <c r="W27" s="548" t="n"/>
      <c r="X27" s="548" t="n"/>
      <c r="Y27" s="548" t="n"/>
      <c r="Z27" s="21" t="n"/>
    </row>
    <row r="28" ht="18" customHeight="1" s="545">
      <c r="A28" s="548" t="n"/>
      <c r="B28" s="669" t="inlineStr">
        <is>
          <t>Link zum Inserat</t>
        </is>
      </c>
      <c r="C28" s="689" t="n"/>
      <c r="D28" s="503" t="n"/>
      <c r="E28" s="548" t="n"/>
      <c r="F28" s="669" t="inlineStr">
        <is>
          <t>Link zum Inserat</t>
        </is>
      </c>
      <c r="G28" s="689" t="n"/>
      <c r="H28" s="503" t="n"/>
      <c r="I28" s="548" t="n"/>
      <c r="J28" s="548" t="n"/>
      <c r="K28" s="548" t="n"/>
      <c r="L28" s="548" t="n"/>
      <c r="M28" s="548" t="n"/>
      <c r="N28" s="548" t="n"/>
      <c r="O28" s="548" t="n"/>
      <c r="P28" s="548" t="n"/>
      <c r="Q28" s="548" t="n"/>
      <c r="R28" s="548" t="n"/>
      <c r="S28" s="548" t="n"/>
      <c r="T28" s="548" t="n"/>
      <c r="U28" s="548" t="n"/>
      <c r="V28" s="548" t="n"/>
      <c r="W28" s="548" t="n"/>
      <c r="X28" s="548" t="n"/>
      <c r="Y28" s="548" t="n"/>
      <c r="Z28" s="21" t="n"/>
    </row>
    <row r="29" ht="18" customHeight="1" s="545">
      <c r="A29" s="548" t="n"/>
      <c r="B29" s="548" t="n"/>
      <c r="C29" s="548" t="n"/>
      <c r="D29" s="548" t="n"/>
      <c r="E29" s="548" t="n"/>
      <c r="F29" s="548" t="n"/>
      <c r="G29" s="548" t="n"/>
      <c r="H29" s="548" t="n"/>
      <c r="I29" s="548" t="n"/>
      <c r="J29" s="548" t="n"/>
      <c r="K29" s="548" t="n"/>
      <c r="L29" s="548" t="n"/>
      <c r="M29" s="548" t="n"/>
      <c r="N29" s="548" t="n"/>
      <c r="O29" s="548" t="n"/>
      <c r="P29" s="548" t="n"/>
      <c r="Q29" s="548" t="n"/>
      <c r="R29" s="548" t="n"/>
      <c r="S29" s="548" t="n"/>
      <c r="T29" s="548" t="n"/>
      <c r="U29" s="548" t="n"/>
      <c r="V29" s="548" t="n"/>
      <c r="W29" s="548" t="n"/>
      <c r="X29" s="548" t="n"/>
      <c r="Y29" s="548" t="n"/>
      <c r="Z29" s="21" t="n"/>
    </row>
    <row r="30" ht="18" customHeight="1" s="545">
      <c r="A30" s="548" t="n"/>
      <c r="B30" s="548" t="n"/>
      <c r="C30" s="21" t="n"/>
      <c r="D30" s="21" t="n"/>
      <c r="E30" s="21" t="n"/>
      <c r="F30" s="21" t="n"/>
      <c r="G30" s="548" t="n"/>
      <c r="H30" s="548" t="n"/>
      <c r="I30" s="548" t="n"/>
      <c r="J30" s="548" t="n"/>
      <c r="K30" s="548" t="n"/>
      <c r="L30" s="548" t="n"/>
      <c r="M30" s="548" t="n"/>
      <c r="N30" s="548" t="n"/>
      <c r="O30" s="548" t="n"/>
      <c r="P30" s="548" t="n"/>
      <c r="Q30" s="548" t="n"/>
      <c r="R30" s="548" t="n"/>
      <c r="S30" s="548" t="n"/>
      <c r="T30" s="548" t="n"/>
      <c r="U30" s="548" t="n"/>
      <c r="V30" s="548" t="n"/>
      <c r="W30" s="548" t="n"/>
      <c r="X30" s="548" t="n"/>
      <c r="Y30" s="548" t="n"/>
      <c r="Z30" s="21" t="n"/>
    </row>
    <row r="31" ht="18" customHeight="1" s="545">
      <c r="A31" s="548" t="n"/>
      <c r="B31" s="548" t="n"/>
      <c r="C31" s="21" t="n"/>
      <c r="D31" s="21" t="n"/>
      <c r="E31" s="21" t="n"/>
      <c r="F31" s="21" t="n"/>
      <c r="G31" s="548" t="n"/>
      <c r="H31" s="548" t="n"/>
      <c r="I31" s="548" t="n"/>
      <c r="J31" s="548" t="n"/>
      <c r="K31" s="548" t="n"/>
      <c r="L31" s="548" t="n"/>
      <c r="M31" s="548" t="n"/>
      <c r="N31" s="548" t="n"/>
      <c r="O31" s="548" t="n"/>
      <c r="P31" s="548" t="n"/>
      <c r="Q31" s="548" t="n"/>
      <c r="R31" s="548" t="n"/>
      <c r="S31" s="548" t="n"/>
      <c r="T31" s="548" t="n"/>
      <c r="U31" s="548" t="n"/>
      <c r="V31" s="548" t="n"/>
      <c r="W31" s="548" t="n"/>
      <c r="X31" s="548" t="n"/>
      <c r="Y31" s="548" t="n"/>
      <c r="Z31" s="21" t="n"/>
    </row>
    <row r="32" ht="18" customHeight="1" s="545">
      <c r="A32" s="548" t="n"/>
      <c r="B32" s="548" t="n"/>
      <c r="C32" s="21" t="n"/>
      <c r="D32" s="21" t="n"/>
      <c r="E32" s="21" t="n"/>
      <c r="F32" s="21" t="n"/>
      <c r="G32" s="548" t="n"/>
      <c r="H32" s="548" t="n"/>
      <c r="I32" s="548" t="n"/>
      <c r="J32" s="548" t="n"/>
      <c r="K32" s="548" t="n"/>
      <c r="L32" s="548" t="n"/>
      <c r="M32" s="548" t="n"/>
      <c r="N32" s="548" t="n"/>
      <c r="O32" s="548" t="n"/>
      <c r="P32" s="548" t="n"/>
      <c r="Q32" s="548" t="n"/>
      <c r="R32" s="548" t="n"/>
      <c r="S32" s="548" t="n"/>
      <c r="T32" s="548" t="n"/>
      <c r="U32" s="548" t="n"/>
      <c r="V32" s="548" t="n"/>
      <c r="W32" s="548" t="n"/>
      <c r="X32" s="548" t="n"/>
      <c r="Y32" s="548" t="n"/>
      <c r="Z32" s="21" t="n"/>
    </row>
    <row r="33" ht="18" customHeight="1" s="545">
      <c r="A33" s="548" t="n"/>
      <c r="B33" s="548" t="n"/>
      <c r="C33" s="21" t="n"/>
      <c r="D33" s="21" t="n"/>
      <c r="E33" s="21" t="n"/>
      <c r="F33" s="21" t="n"/>
      <c r="G33" s="548" t="n"/>
      <c r="H33" s="548" t="n"/>
      <c r="I33" s="548" t="n"/>
      <c r="J33" s="548" t="n"/>
      <c r="K33" s="548" t="n"/>
      <c r="L33" s="548" t="n"/>
      <c r="M33" s="548" t="n"/>
      <c r="N33" s="548" t="n"/>
      <c r="O33" s="548" t="n"/>
      <c r="P33" s="548" t="n"/>
      <c r="Q33" s="548" t="n"/>
      <c r="R33" s="548" t="n"/>
      <c r="S33" s="548" t="n"/>
      <c r="T33" s="548" t="n"/>
      <c r="U33" s="548" t="n"/>
      <c r="V33" s="548" t="n"/>
      <c r="W33" s="548" t="n"/>
      <c r="X33" s="548" t="n"/>
      <c r="Y33" s="548" t="n"/>
      <c r="Z33" s="21" t="n"/>
    </row>
    <row r="34" ht="18" customHeight="1" s="545">
      <c r="A34" s="548" t="n"/>
      <c r="B34" s="548" t="n"/>
      <c r="C34" s="21" t="n"/>
      <c r="D34" s="21" t="n"/>
      <c r="E34" s="21" t="n"/>
      <c r="F34" s="21" t="n"/>
      <c r="G34" s="548" t="n"/>
      <c r="H34" s="548" t="n"/>
      <c r="I34" s="548" t="n"/>
      <c r="J34" s="548" t="n"/>
      <c r="K34" s="548" t="n"/>
      <c r="L34" s="548" t="n"/>
      <c r="M34" s="548" t="n"/>
      <c r="N34" s="548" t="n"/>
      <c r="O34" s="548" t="n"/>
      <c r="P34" s="548" t="n"/>
      <c r="Q34" s="548" t="n"/>
      <c r="R34" s="548" t="n"/>
      <c r="S34" s="548" t="n"/>
      <c r="T34" s="548" t="n"/>
      <c r="U34" s="548" t="n"/>
      <c r="V34" s="548" t="n"/>
      <c r="W34" s="548" t="n"/>
      <c r="X34" s="548" t="n"/>
      <c r="Y34" s="548" t="n"/>
      <c r="Z34" s="21" t="n"/>
    </row>
    <row r="35" ht="18" customHeight="1" s="545">
      <c r="A35" s="548" t="n"/>
      <c r="B35" s="548" t="n"/>
      <c r="C35" s="21" t="n"/>
      <c r="D35" s="21" t="n"/>
      <c r="E35" s="21" t="n"/>
      <c r="F35" s="21" t="n"/>
      <c r="G35" s="548" t="n"/>
      <c r="H35" s="548" t="n"/>
      <c r="I35" s="548" t="n"/>
      <c r="J35" s="548" t="n"/>
      <c r="K35" s="548" t="n"/>
      <c r="L35" s="548" t="n"/>
      <c r="M35" s="548" t="n"/>
      <c r="N35" s="548" t="n"/>
      <c r="O35" s="548" t="n"/>
      <c r="P35" s="548" t="n"/>
      <c r="Q35" s="548" t="n"/>
      <c r="R35" s="548" t="n"/>
      <c r="S35" s="548" t="n"/>
      <c r="T35" s="548" t="n"/>
      <c r="U35" s="548" t="n"/>
      <c r="V35" s="548" t="n"/>
      <c r="W35" s="548" t="n"/>
      <c r="X35" s="548" t="n"/>
      <c r="Y35" s="548" t="n"/>
      <c r="Z35" s="21" t="n"/>
    </row>
    <row r="36" ht="18" customHeight="1" s="545">
      <c r="A36" s="548" t="n"/>
      <c r="B36" s="548" t="n"/>
      <c r="C36" s="21" t="n"/>
      <c r="D36" s="21" t="n"/>
      <c r="E36" s="21" t="n"/>
      <c r="F36" s="21" t="n"/>
      <c r="G36" s="548" t="n"/>
      <c r="H36" s="548" t="n"/>
      <c r="I36" s="548" t="n"/>
      <c r="J36" s="548" t="n"/>
      <c r="K36" s="548" t="n"/>
      <c r="L36" s="548" t="n"/>
      <c r="M36" s="548" t="n"/>
      <c r="N36" s="548" t="n"/>
      <c r="O36" s="548" t="n"/>
      <c r="P36" s="548" t="n"/>
      <c r="Q36" s="548" t="n"/>
      <c r="R36" s="548" t="n"/>
      <c r="S36" s="548" t="n"/>
      <c r="T36" s="548" t="n"/>
      <c r="U36" s="548" t="n"/>
      <c r="V36" s="548" t="n"/>
      <c r="W36" s="548" t="n"/>
      <c r="X36" s="548" t="n"/>
      <c r="Y36" s="548" t="n"/>
      <c r="Z36" s="21" t="n"/>
    </row>
    <row r="37" ht="18" customHeight="1" s="545">
      <c r="A37" s="548" t="n"/>
      <c r="B37" s="548" t="n"/>
      <c r="C37" s="21" t="n"/>
      <c r="D37" s="21" t="n"/>
      <c r="E37" s="21" t="n"/>
      <c r="F37" s="21" t="n"/>
      <c r="G37" s="548" t="n"/>
      <c r="H37" s="548" t="n"/>
      <c r="I37" s="548" t="n"/>
      <c r="J37" s="548" t="n"/>
      <c r="K37" s="548" t="n"/>
      <c r="L37" s="548" t="n"/>
      <c r="M37" s="548" t="n"/>
      <c r="N37" s="548" t="n"/>
      <c r="O37" s="548" t="n"/>
      <c r="P37" s="548" t="n"/>
      <c r="Q37" s="548" t="n"/>
      <c r="R37" s="548" t="n"/>
      <c r="S37" s="548" t="n"/>
      <c r="T37" s="548" t="n"/>
      <c r="U37" s="548" t="n"/>
      <c r="V37" s="548" t="n"/>
      <c r="W37" s="548" t="n"/>
      <c r="X37" s="548" t="n"/>
      <c r="Y37" s="548" t="n"/>
      <c r="Z37" s="21" t="n"/>
    </row>
    <row r="38" ht="18" customHeight="1" s="545">
      <c r="A38" s="548" t="n"/>
      <c r="B38" s="548" t="n"/>
      <c r="C38" s="21" t="n"/>
      <c r="D38" s="21" t="n"/>
      <c r="E38" s="21" t="n"/>
      <c r="F38" s="21" t="n"/>
      <c r="G38" s="548" t="n"/>
      <c r="H38" s="548" t="n"/>
      <c r="I38" s="548" t="n"/>
      <c r="J38" s="548" t="n"/>
      <c r="K38" s="548" t="n"/>
      <c r="L38" s="548" t="n"/>
      <c r="M38" s="548" t="n"/>
      <c r="N38" s="548" t="n"/>
      <c r="O38" s="548" t="n"/>
      <c r="P38" s="548" t="n"/>
      <c r="Q38" s="548" t="n"/>
      <c r="R38" s="548" t="n"/>
      <c r="S38" s="548" t="n"/>
      <c r="T38" s="548" t="n"/>
      <c r="U38" s="548" t="n"/>
      <c r="V38" s="548" t="n"/>
      <c r="W38" s="548" t="n"/>
      <c r="X38" s="548" t="n"/>
      <c r="Y38" s="548" t="n"/>
      <c r="Z38" s="21" t="n"/>
    </row>
    <row r="39" ht="18" customHeight="1" s="545">
      <c r="A39" s="548" t="n"/>
      <c r="B39" s="548" t="n"/>
      <c r="C39" s="21" t="n"/>
      <c r="D39" s="21" t="n"/>
      <c r="E39" s="21" t="n"/>
      <c r="F39" s="21" t="n"/>
      <c r="G39" s="548" t="n"/>
      <c r="H39" s="548" t="n"/>
      <c r="I39" s="548" t="n"/>
      <c r="J39" s="548" t="n"/>
      <c r="K39" s="548" t="n"/>
      <c r="L39" s="548" t="n"/>
      <c r="M39" s="548" t="n"/>
      <c r="N39" s="548" t="n"/>
      <c r="O39" s="548" t="n"/>
      <c r="P39" s="548" t="n"/>
      <c r="Q39" s="548" t="n"/>
      <c r="R39" s="548" t="n"/>
      <c r="S39" s="548" t="n"/>
      <c r="T39" s="548" t="n"/>
      <c r="U39" s="548" t="n"/>
      <c r="V39" s="548" t="n"/>
      <c r="W39" s="548" t="n"/>
      <c r="X39" s="548" t="n"/>
      <c r="Y39" s="548" t="n"/>
      <c r="Z39" s="21" t="n"/>
    </row>
    <row r="40" ht="18" customHeight="1" s="545">
      <c r="A40" s="548" t="n"/>
      <c r="B40" s="548" t="n"/>
      <c r="C40" s="548" t="n"/>
      <c r="D40" s="548" t="n"/>
      <c r="E40" s="548" t="n"/>
      <c r="F40" s="548" t="n"/>
      <c r="G40" s="548" t="n"/>
      <c r="H40" s="548" t="n"/>
      <c r="I40" s="548" t="n"/>
      <c r="J40" s="548" t="n"/>
      <c r="K40" s="548" t="n"/>
      <c r="L40" s="548" t="n"/>
      <c r="M40" s="548" t="n"/>
      <c r="N40" s="548" t="n"/>
      <c r="O40" s="548" t="n"/>
      <c r="P40" s="548" t="n"/>
      <c r="Q40" s="548" t="n"/>
      <c r="R40" s="548" t="n"/>
      <c r="S40" s="548" t="n"/>
      <c r="T40" s="548" t="n"/>
      <c r="U40" s="548" t="n"/>
      <c r="V40" s="548" t="n"/>
      <c r="W40" s="548" t="n"/>
      <c r="X40" s="548" t="n"/>
      <c r="Y40" s="548" t="n"/>
      <c r="Z40" s="21" t="n"/>
    </row>
    <row r="41" ht="18" customHeight="1" s="545">
      <c r="A41" s="548" t="n"/>
      <c r="B41" s="548" t="n"/>
      <c r="C41" s="548" t="n"/>
      <c r="D41" s="548" t="n"/>
      <c r="E41" s="548" t="n"/>
      <c r="F41" s="548" t="n"/>
      <c r="G41" s="548" t="n"/>
      <c r="H41" s="548" t="n"/>
      <c r="I41" s="548" t="n"/>
      <c r="J41" s="548" t="n"/>
      <c r="K41" s="548" t="n"/>
      <c r="L41" s="548" t="n"/>
      <c r="M41" s="548" t="n"/>
      <c r="N41" s="548" t="n"/>
      <c r="O41" s="548" t="n"/>
      <c r="P41" s="548" t="n"/>
      <c r="Q41" s="548" t="n"/>
      <c r="R41" s="548" t="n"/>
      <c r="S41" s="548" t="n"/>
      <c r="T41" s="548" t="n"/>
      <c r="U41" s="548" t="n"/>
      <c r="V41" s="548" t="n"/>
      <c r="W41" s="548" t="n"/>
      <c r="X41" s="548" t="n"/>
      <c r="Y41" s="548" t="n"/>
      <c r="Z41" s="21" t="n"/>
    </row>
    <row r="42" ht="18" customHeight="1" s="545">
      <c r="A42" s="548" t="n"/>
      <c r="B42" s="548" t="n"/>
      <c r="C42" s="548" t="n"/>
      <c r="D42" s="548" t="n"/>
      <c r="E42" s="548" t="n"/>
      <c r="F42" s="548" t="n"/>
      <c r="G42" s="548" t="n"/>
      <c r="H42" s="548" t="n"/>
      <c r="I42" s="548" t="n"/>
      <c r="J42" s="548" t="n"/>
      <c r="K42" s="548" t="n"/>
      <c r="L42" s="548" t="n"/>
      <c r="M42" s="548" t="n"/>
      <c r="N42" s="548" t="n"/>
      <c r="O42" s="548" t="n"/>
      <c r="P42" s="548" t="n"/>
      <c r="Q42" s="548" t="n"/>
      <c r="R42" s="548" t="n"/>
      <c r="S42" s="548" t="n"/>
      <c r="T42" s="548" t="n"/>
      <c r="U42" s="548" t="n"/>
      <c r="V42" s="548" t="n"/>
      <c r="W42" s="548" t="n"/>
      <c r="X42" s="548" t="n"/>
      <c r="Y42" s="548" t="n"/>
      <c r="Z42" s="21" t="n"/>
    </row>
    <row r="43" ht="18" customHeight="1" s="545">
      <c r="A43" s="548" t="n"/>
      <c r="B43" s="548" t="n"/>
      <c r="C43" s="548" t="n"/>
      <c r="D43" s="548" t="n"/>
      <c r="E43" s="548" t="n"/>
      <c r="F43" s="548" t="n"/>
      <c r="G43" s="548" t="n"/>
      <c r="H43" s="548" t="n"/>
      <c r="I43" s="548" t="n"/>
      <c r="J43" s="548" t="n"/>
      <c r="K43" s="548" t="n"/>
      <c r="L43" s="548" t="n"/>
      <c r="M43" s="548" t="n"/>
      <c r="N43" s="548" t="n"/>
      <c r="O43" s="548" t="n"/>
      <c r="P43" s="548" t="n"/>
      <c r="Q43" s="548" t="n"/>
      <c r="R43" s="548" t="n"/>
      <c r="S43" s="548" t="n"/>
      <c r="T43" s="548" t="n"/>
      <c r="U43" s="548" t="n"/>
      <c r="V43" s="548" t="n"/>
      <c r="W43" s="548" t="n"/>
      <c r="X43" s="548" t="n"/>
      <c r="Y43" s="548" t="n"/>
      <c r="Z43" s="21" t="n"/>
    </row>
    <row r="44" ht="18" customHeight="1" s="545">
      <c r="A44" s="548" t="n"/>
      <c r="B44" s="548" t="n"/>
      <c r="C44" s="548" t="n"/>
      <c r="D44" s="548" t="n"/>
      <c r="E44" s="548" t="n"/>
      <c r="F44" s="548" t="n"/>
      <c r="G44" s="548" t="n"/>
      <c r="H44" s="548" t="n"/>
      <c r="I44" s="548" t="n"/>
      <c r="J44" s="548" t="n"/>
      <c r="K44" s="548" t="n"/>
      <c r="L44" s="548" t="n"/>
      <c r="M44" s="548" t="n"/>
      <c r="N44" s="548" t="n"/>
      <c r="O44" s="548" t="n"/>
      <c r="P44" s="548" t="n"/>
      <c r="Q44" s="548" t="n"/>
      <c r="R44" s="548" t="n"/>
      <c r="S44" s="548" t="n"/>
      <c r="T44" s="548" t="n"/>
      <c r="U44" s="548" t="n"/>
      <c r="V44" s="548" t="n"/>
      <c r="W44" s="548" t="n"/>
      <c r="X44" s="548" t="n"/>
      <c r="Y44" s="548" t="n"/>
      <c r="Z44" s="21" t="n"/>
    </row>
    <row r="45" ht="18" customHeight="1" s="545">
      <c r="A45" s="548" t="n"/>
      <c r="B45" s="548" t="n"/>
      <c r="C45" s="548" t="n"/>
      <c r="D45" s="548" t="n"/>
      <c r="E45" s="548" t="n"/>
      <c r="F45" s="548" t="n"/>
      <c r="G45" s="548" t="n"/>
      <c r="H45" s="548" t="n"/>
      <c r="I45" s="548" t="n"/>
      <c r="J45" s="548" t="n"/>
      <c r="K45" s="548" t="n"/>
      <c r="L45" s="548" t="n"/>
      <c r="M45" s="548" t="n"/>
      <c r="N45" s="548" t="n"/>
      <c r="O45" s="548" t="n"/>
      <c r="P45" s="548" t="n"/>
      <c r="Q45" s="548" t="n"/>
      <c r="R45" s="548" t="n"/>
      <c r="S45" s="548" t="n"/>
      <c r="T45" s="548" t="n"/>
      <c r="U45" s="548" t="n"/>
      <c r="V45" s="548" t="n"/>
      <c r="W45" s="548" t="n"/>
      <c r="X45" s="548" t="n"/>
      <c r="Y45" s="548" t="n"/>
      <c r="Z45" s="21" t="n"/>
    </row>
    <row r="46" ht="18" customHeight="1" s="545">
      <c r="A46" s="548" t="n"/>
      <c r="B46" s="548" t="n"/>
      <c r="C46" s="548" t="n"/>
      <c r="D46" s="548" t="n"/>
      <c r="E46" s="548" t="n"/>
      <c r="F46" s="548" t="n"/>
      <c r="G46" s="548" t="n"/>
      <c r="H46" s="548" t="n"/>
      <c r="I46" s="548" t="n"/>
      <c r="J46" s="548" t="n"/>
      <c r="K46" s="548" t="n"/>
      <c r="L46" s="548" t="n"/>
      <c r="M46" s="548" t="n"/>
      <c r="N46" s="548" t="n"/>
      <c r="O46" s="548" t="n"/>
      <c r="P46" s="548" t="n"/>
      <c r="Q46" s="548" t="n"/>
      <c r="R46" s="548" t="n"/>
      <c r="S46" s="548" t="n"/>
      <c r="T46" s="548" t="n"/>
      <c r="U46" s="548" t="n"/>
      <c r="V46" s="548" t="n"/>
      <c r="W46" s="548" t="n"/>
      <c r="X46" s="548" t="n"/>
      <c r="Y46" s="548" t="n"/>
      <c r="Z46" s="21" t="n"/>
    </row>
    <row r="47" ht="18" customHeight="1" s="545">
      <c r="A47" s="548" t="n"/>
      <c r="B47" s="548" t="n"/>
      <c r="C47" s="548" t="n"/>
      <c r="D47" s="548" t="n"/>
      <c r="E47" s="548" t="n"/>
      <c r="F47" s="548" t="n"/>
      <c r="G47" s="548" t="n"/>
      <c r="H47" s="548" t="n"/>
      <c r="I47" s="548" t="n"/>
      <c r="J47" s="548" t="n"/>
      <c r="K47" s="548" t="n"/>
      <c r="L47" s="548" t="n"/>
      <c r="M47" s="548" t="n"/>
      <c r="N47" s="548" t="n"/>
      <c r="O47" s="548" t="n"/>
      <c r="P47" s="548" t="n"/>
      <c r="Q47" s="548" t="n"/>
      <c r="R47" s="548" t="n"/>
      <c r="S47" s="548" t="n"/>
      <c r="T47" s="548" t="n"/>
      <c r="U47" s="548" t="n"/>
      <c r="V47" s="548" t="n"/>
      <c r="W47" s="548" t="n"/>
      <c r="X47" s="548" t="n"/>
      <c r="Y47" s="548" t="n"/>
      <c r="Z47" s="21" t="n"/>
    </row>
    <row r="48" ht="18" customHeight="1" s="545">
      <c r="A48" s="548" t="n"/>
      <c r="B48" s="548" t="n"/>
      <c r="C48" s="548" t="n"/>
      <c r="D48" s="548" t="n"/>
      <c r="E48" s="548" t="n"/>
      <c r="F48" s="548" t="n"/>
      <c r="G48" s="548" t="n"/>
      <c r="H48" s="548" t="n"/>
      <c r="I48" s="548" t="n"/>
      <c r="J48" s="548" t="n"/>
      <c r="K48" s="548" t="n"/>
      <c r="L48" s="548" t="n"/>
      <c r="M48" s="548" t="n"/>
      <c r="N48" s="548" t="n"/>
      <c r="O48" s="548" t="n"/>
      <c r="P48" s="548" t="n"/>
      <c r="Q48" s="548" t="n"/>
      <c r="R48" s="548" t="n"/>
      <c r="S48" s="548" t="n"/>
      <c r="T48" s="548" t="n"/>
      <c r="U48" s="548" t="n"/>
      <c r="V48" s="548" t="n"/>
      <c r="W48" s="548" t="n"/>
      <c r="X48" s="548" t="n"/>
      <c r="Y48" s="548" t="n"/>
      <c r="Z48" s="21" t="n"/>
    </row>
    <row r="49" ht="18" customHeight="1" s="545">
      <c r="A49" s="548" t="n"/>
      <c r="B49" s="548" t="n"/>
      <c r="C49" s="548" t="n"/>
      <c r="D49" s="548" t="n"/>
      <c r="E49" s="548" t="n"/>
      <c r="F49" s="548" t="n"/>
      <c r="G49" s="548" t="n"/>
      <c r="H49" s="548" t="n"/>
      <c r="I49" s="548" t="n"/>
      <c r="J49" s="548" t="n"/>
      <c r="K49" s="548" t="n"/>
      <c r="L49" s="548" t="n"/>
      <c r="M49" s="548" t="n"/>
      <c r="N49" s="548" t="n"/>
      <c r="O49" s="548" t="n"/>
      <c r="P49" s="548" t="n"/>
      <c r="Q49" s="548" t="n"/>
      <c r="R49" s="548" t="n"/>
      <c r="S49" s="548" t="n"/>
      <c r="T49" s="548" t="n"/>
      <c r="U49" s="548" t="n"/>
      <c r="V49" s="548" t="n"/>
      <c r="W49" s="548" t="n"/>
      <c r="X49" s="548" t="n"/>
      <c r="Y49" s="548" t="n"/>
      <c r="Z49" s="21" t="n"/>
    </row>
    <row r="50" ht="18" customHeight="1" s="545">
      <c r="A50" s="548" t="n"/>
      <c r="B50" s="548" t="n"/>
      <c r="C50" s="548" t="n"/>
      <c r="D50" s="548" t="n"/>
      <c r="E50" s="548" t="n"/>
      <c r="F50" s="548" t="n"/>
      <c r="G50" s="548" t="n"/>
      <c r="H50" s="548" t="n"/>
      <c r="I50" s="548" t="n"/>
      <c r="J50" s="548" t="n"/>
      <c r="K50" s="548" t="n"/>
      <c r="L50" s="548" t="n"/>
      <c r="M50" s="548" t="n"/>
      <c r="N50" s="548" t="n"/>
      <c r="O50" s="548" t="n"/>
      <c r="P50" s="548" t="n"/>
      <c r="Q50" s="548" t="n"/>
      <c r="R50" s="548" t="n"/>
      <c r="S50" s="548" t="n"/>
      <c r="T50" s="548" t="n"/>
      <c r="U50" s="548" t="n"/>
      <c r="V50" s="548" t="n"/>
      <c r="W50" s="548" t="n"/>
      <c r="X50" s="548" t="n"/>
      <c r="Y50" s="548" t="n"/>
      <c r="Z50" s="21" t="n"/>
    </row>
    <row r="51" ht="18" customHeight="1" s="545">
      <c r="A51" s="548" t="n"/>
      <c r="B51" s="548" t="n"/>
      <c r="C51" s="548" t="n"/>
      <c r="D51" s="548" t="n"/>
      <c r="E51" s="548" t="n"/>
      <c r="F51" s="548" t="n"/>
      <c r="G51" s="548" t="n"/>
      <c r="H51" s="548" t="n"/>
      <c r="I51" s="548" t="n"/>
      <c r="J51" s="548" t="n"/>
      <c r="K51" s="548" t="n"/>
      <c r="L51" s="548" t="n"/>
      <c r="M51" s="548" t="n"/>
      <c r="N51" s="548" t="n"/>
      <c r="O51" s="548" t="n"/>
      <c r="P51" s="548" t="n"/>
      <c r="Q51" s="548" t="n"/>
      <c r="R51" s="548" t="n"/>
      <c r="S51" s="548" t="n"/>
      <c r="T51" s="548" t="n"/>
      <c r="U51" s="548" t="n"/>
      <c r="V51" s="548" t="n"/>
      <c r="W51" s="548" t="n"/>
      <c r="X51" s="548" t="n"/>
      <c r="Y51" s="548" t="n"/>
      <c r="Z51" s="21" t="n"/>
    </row>
    <row r="52" ht="18" customHeight="1" s="545">
      <c r="A52" s="548" t="n"/>
      <c r="B52" s="548" t="n"/>
      <c r="C52" s="548" t="n"/>
      <c r="D52" s="548" t="n"/>
      <c r="E52" s="548" t="n"/>
      <c r="F52" s="548" t="n"/>
      <c r="G52" s="548" t="n"/>
      <c r="H52" s="548" t="n"/>
      <c r="I52" s="548" t="n"/>
      <c r="J52" s="548" t="n"/>
      <c r="K52" s="548" t="n"/>
      <c r="L52" s="548" t="n"/>
      <c r="M52" s="548" t="n"/>
      <c r="N52" s="548" t="n"/>
      <c r="O52" s="548" t="n"/>
      <c r="P52" s="548" t="n"/>
      <c r="Q52" s="548" t="n"/>
      <c r="R52" s="548" t="n"/>
      <c r="S52" s="548" t="n"/>
      <c r="T52" s="548" t="n"/>
      <c r="U52" s="548" t="n"/>
      <c r="V52" s="548" t="n"/>
      <c r="W52" s="548" t="n"/>
      <c r="X52" s="548" t="n"/>
      <c r="Y52" s="548" t="n"/>
      <c r="Z52" s="21" t="n"/>
    </row>
    <row r="53" ht="18" customHeight="1" s="545">
      <c r="A53" s="548" t="n"/>
      <c r="B53" s="548" t="n"/>
      <c r="C53" s="548" t="n"/>
      <c r="D53" s="548" t="n"/>
      <c r="E53" s="548" t="n"/>
      <c r="F53" s="548" t="n"/>
      <c r="G53" s="548" t="n"/>
      <c r="H53" s="548" t="n"/>
      <c r="I53" s="548" t="n"/>
      <c r="J53" s="548" t="n"/>
      <c r="K53" s="548" t="n"/>
      <c r="L53" s="548" t="n"/>
      <c r="M53" s="548" t="n"/>
      <c r="N53" s="548" t="n"/>
      <c r="O53" s="548" t="n"/>
      <c r="P53" s="548" t="n"/>
      <c r="Q53" s="548" t="n"/>
      <c r="R53" s="548" t="n"/>
      <c r="S53" s="548" t="n"/>
      <c r="T53" s="548" t="n"/>
      <c r="U53" s="548" t="n"/>
      <c r="V53" s="548" t="n"/>
      <c r="W53" s="548" t="n"/>
      <c r="X53" s="548" t="n"/>
      <c r="Y53" s="548" t="n"/>
      <c r="Z53" s="21" t="n"/>
    </row>
    <row r="54" ht="15.75" customHeight="1" s="545">
      <c r="A54" s="548" t="n"/>
      <c r="B54" s="548" t="n"/>
      <c r="C54" s="548" t="n"/>
      <c r="D54" s="548" t="n"/>
      <c r="E54" s="548" t="n"/>
      <c r="F54" s="548" t="n"/>
      <c r="G54" s="548" t="n"/>
      <c r="H54" s="548" t="n"/>
      <c r="I54" s="548" t="n"/>
      <c r="J54" s="548" t="n"/>
      <c r="K54" s="548" t="n"/>
      <c r="L54" s="548" t="n"/>
      <c r="M54" s="548" t="n"/>
      <c r="N54" s="548" t="n"/>
      <c r="O54" s="548" t="n"/>
      <c r="P54" s="548" t="n"/>
      <c r="Q54" s="548" t="n"/>
      <c r="R54" s="548" t="n"/>
      <c r="S54" s="548" t="n"/>
      <c r="T54" s="548" t="n"/>
      <c r="U54" s="548" t="n"/>
      <c r="V54" s="548" t="n"/>
      <c r="W54" s="548" t="n"/>
      <c r="X54" s="548" t="n"/>
      <c r="Y54" s="548" t="n"/>
      <c r="Z54" s="21" t="n"/>
    </row>
    <row r="55" ht="15.75" customHeight="1" s="545">
      <c r="A55" s="548" t="n"/>
      <c r="B55" s="548" t="n"/>
      <c r="C55" s="548" t="n"/>
      <c r="D55" s="548" t="n"/>
      <c r="E55" s="548" t="n"/>
      <c r="F55" s="548" t="n"/>
      <c r="G55" s="548" t="n"/>
      <c r="H55" s="548" t="n"/>
      <c r="I55" s="548" t="n"/>
      <c r="J55" s="548" t="n"/>
      <c r="K55" s="548" t="n"/>
      <c r="L55" s="548" t="n"/>
      <c r="M55" s="548" t="n"/>
      <c r="N55" s="548" t="n"/>
      <c r="O55" s="548" t="n"/>
      <c r="P55" s="548" t="n"/>
      <c r="Q55" s="548" t="n"/>
      <c r="R55" s="548" t="n"/>
      <c r="S55" s="548" t="n"/>
      <c r="T55" s="548" t="n"/>
      <c r="U55" s="548" t="n"/>
      <c r="V55" s="548" t="n"/>
      <c r="W55" s="548" t="n"/>
      <c r="X55" s="548" t="n"/>
      <c r="Y55" s="548" t="n"/>
      <c r="Z55" s="21" t="n"/>
    </row>
    <row r="56" ht="15.75" customHeight="1" s="545">
      <c r="A56" s="548" t="n"/>
      <c r="B56" s="548" t="n"/>
      <c r="C56" s="548" t="n"/>
      <c r="D56" s="548" t="n"/>
      <c r="E56" s="548" t="n"/>
      <c r="F56" s="548" t="n"/>
      <c r="G56" s="548" t="n"/>
      <c r="H56" s="548" t="n"/>
      <c r="I56" s="548" t="n"/>
      <c r="J56" s="548" t="n"/>
      <c r="K56" s="548" t="n"/>
      <c r="L56" s="548" t="n"/>
      <c r="M56" s="548" t="n"/>
      <c r="N56" s="548" t="n"/>
      <c r="O56" s="548" t="n"/>
      <c r="P56" s="548" t="n"/>
      <c r="Q56" s="548" t="n"/>
      <c r="R56" s="548" t="n"/>
      <c r="S56" s="548" t="n"/>
      <c r="T56" s="548" t="n"/>
      <c r="U56" s="548" t="n"/>
      <c r="V56" s="548" t="n"/>
      <c r="W56" s="548" t="n"/>
      <c r="X56" s="548" t="n"/>
      <c r="Y56" s="548" t="n"/>
      <c r="Z56" s="21" t="n"/>
    </row>
    <row r="57" ht="15.75" customHeight="1" s="545">
      <c r="A57" s="548" t="n"/>
      <c r="B57" s="548" t="n"/>
      <c r="C57" s="548" t="n"/>
      <c r="D57" s="548" t="n"/>
      <c r="E57" s="548" t="n"/>
      <c r="F57" s="548" t="n"/>
      <c r="G57" s="548" t="n"/>
      <c r="H57" s="548" t="n"/>
      <c r="I57" s="548" t="n"/>
      <c r="J57" s="548" t="n"/>
      <c r="K57" s="548" t="n"/>
      <c r="L57" s="548" t="n"/>
      <c r="M57" s="548" t="n"/>
      <c r="N57" s="548" t="n"/>
      <c r="O57" s="548" t="n"/>
      <c r="P57" s="548" t="n"/>
      <c r="Q57" s="548" t="n"/>
      <c r="R57" s="548" t="n"/>
      <c r="S57" s="548" t="n"/>
      <c r="T57" s="548" t="n"/>
      <c r="U57" s="548" t="n"/>
      <c r="V57" s="548" t="n"/>
      <c r="W57" s="548" t="n"/>
      <c r="X57" s="548" t="n"/>
      <c r="Y57" s="548" t="n"/>
      <c r="Z57" s="21" t="n"/>
    </row>
    <row r="58" ht="15.75" customHeight="1" s="545">
      <c r="A58" s="548" t="n"/>
      <c r="B58" s="548" t="n"/>
      <c r="C58" s="548" t="n"/>
      <c r="D58" s="548" t="n"/>
      <c r="E58" s="548" t="n"/>
      <c r="F58" s="548" t="n"/>
      <c r="G58" s="548" t="n"/>
      <c r="H58" s="548" t="n"/>
      <c r="I58" s="548" t="n"/>
      <c r="J58" s="548" t="n"/>
      <c r="K58" s="548" t="n"/>
      <c r="L58" s="548" t="n"/>
      <c r="M58" s="548" t="n"/>
      <c r="N58" s="548" t="n"/>
      <c r="O58" s="548" t="n"/>
      <c r="P58" s="548" t="n"/>
      <c r="Q58" s="548" t="n"/>
      <c r="R58" s="548" t="n"/>
      <c r="S58" s="548" t="n"/>
      <c r="T58" s="548" t="n"/>
      <c r="U58" s="548" t="n"/>
      <c r="V58" s="548" t="n"/>
      <c r="W58" s="548" t="n"/>
      <c r="X58" s="548" t="n"/>
      <c r="Y58" s="548" t="n"/>
      <c r="Z58" s="21" t="n"/>
    </row>
    <row r="59" ht="15.75" customHeight="1" s="545">
      <c r="A59" s="548" t="n"/>
      <c r="B59" s="548" t="n"/>
      <c r="C59" s="548" t="n"/>
      <c r="D59" s="548" t="n"/>
      <c r="E59" s="548" t="n"/>
      <c r="F59" s="548" t="n"/>
      <c r="G59" s="548" t="n"/>
      <c r="H59" s="548" t="n"/>
      <c r="I59" s="548" t="n"/>
      <c r="J59" s="548" t="n"/>
      <c r="K59" s="548" t="n"/>
      <c r="L59" s="548" t="n"/>
      <c r="M59" s="548" t="n"/>
      <c r="N59" s="548" t="n"/>
      <c r="O59" s="548" t="n"/>
      <c r="P59" s="548" t="n"/>
      <c r="Q59" s="548" t="n"/>
      <c r="R59" s="548" t="n"/>
      <c r="S59" s="548" t="n"/>
      <c r="T59" s="548" t="n"/>
      <c r="U59" s="548" t="n"/>
      <c r="V59" s="548" t="n"/>
      <c r="W59" s="548" t="n"/>
      <c r="X59" s="548" t="n"/>
      <c r="Y59" s="548" t="n"/>
      <c r="Z59" s="21" t="n"/>
    </row>
    <row r="60" ht="15.75" customHeight="1" s="545">
      <c r="A60" s="548" t="n"/>
      <c r="B60" s="548" t="n"/>
      <c r="C60" s="548" t="n"/>
      <c r="D60" s="548" t="n"/>
      <c r="E60" s="548" t="n"/>
      <c r="F60" s="548" t="n"/>
      <c r="G60" s="548" t="n"/>
      <c r="H60" s="548" t="n"/>
      <c r="I60" s="548" t="n"/>
      <c r="J60" s="548" t="n"/>
      <c r="K60" s="548" t="n"/>
      <c r="L60" s="548" t="n"/>
      <c r="M60" s="548" t="n"/>
      <c r="N60" s="548" t="n"/>
      <c r="O60" s="548" t="n"/>
      <c r="P60" s="548" t="n"/>
      <c r="Q60" s="548" t="n"/>
      <c r="R60" s="548" t="n"/>
      <c r="S60" s="548" t="n"/>
      <c r="T60" s="548" t="n"/>
      <c r="U60" s="548" t="n"/>
      <c r="V60" s="548" t="n"/>
      <c r="W60" s="548" t="n"/>
      <c r="X60" s="548" t="n"/>
      <c r="Y60" s="548" t="n"/>
      <c r="Z60" s="21" t="n"/>
    </row>
    <row r="61" ht="15.75" customHeight="1" s="545">
      <c r="A61" s="548" t="n"/>
      <c r="B61" s="548" t="n"/>
      <c r="C61" s="548" t="n"/>
      <c r="D61" s="548" t="n"/>
      <c r="E61" s="548" t="n"/>
      <c r="F61" s="548" t="n"/>
      <c r="G61" s="548" t="n"/>
      <c r="H61" s="548" t="n"/>
      <c r="I61" s="548" t="n"/>
      <c r="J61" s="548" t="n"/>
      <c r="K61" s="548" t="n"/>
      <c r="L61" s="548" t="n"/>
      <c r="M61" s="548" t="n"/>
      <c r="N61" s="548" t="n"/>
      <c r="O61" s="548" t="n"/>
      <c r="P61" s="548" t="n"/>
      <c r="Q61" s="548" t="n"/>
      <c r="R61" s="548" t="n"/>
      <c r="S61" s="548" t="n"/>
      <c r="T61" s="548" t="n"/>
      <c r="U61" s="548" t="n"/>
      <c r="V61" s="548" t="n"/>
      <c r="W61" s="548" t="n"/>
      <c r="X61" s="548" t="n"/>
      <c r="Y61" s="548" t="n"/>
      <c r="Z61" s="21" t="n"/>
    </row>
    <row r="62" ht="15.75" customHeight="1" s="545">
      <c r="A62" s="548" t="n"/>
      <c r="B62" s="548" t="n"/>
      <c r="C62" s="548" t="n"/>
      <c r="D62" s="548" t="n"/>
      <c r="E62" s="548" t="n"/>
      <c r="F62" s="548" t="n"/>
      <c r="G62" s="548" t="n"/>
      <c r="H62" s="548" t="n"/>
      <c r="I62" s="548" t="n"/>
      <c r="J62" s="548" t="n"/>
      <c r="K62" s="548" t="n"/>
      <c r="L62" s="548" t="n"/>
      <c r="M62" s="548" t="n"/>
      <c r="N62" s="548" t="n"/>
      <c r="O62" s="548" t="n"/>
      <c r="P62" s="548" t="n"/>
      <c r="Q62" s="548" t="n"/>
      <c r="R62" s="548" t="n"/>
      <c r="S62" s="548" t="n"/>
      <c r="T62" s="548" t="n"/>
      <c r="U62" s="548" t="n"/>
      <c r="V62" s="548" t="n"/>
      <c r="W62" s="548" t="n"/>
      <c r="X62" s="548" t="n"/>
      <c r="Y62" s="548" t="n"/>
      <c r="Z62" s="21" t="n"/>
    </row>
    <row r="63" ht="15.75" customHeight="1" s="545">
      <c r="A63" s="548" t="n"/>
      <c r="B63" s="548" t="n"/>
      <c r="C63" s="548" t="n"/>
      <c r="D63" s="548" t="n"/>
      <c r="E63" s="548" t="n"/>
      <c r="F63" s="548" t="n"/>
      <c r="G63" s="548" t="n"/>
      <c r="H63" s="548" t="n"/>
      <c r="I63" s="548" t="n"/>
      <c r="J63" s="548" t="n"/>
      <c r="K63" s="548" t="n"/>
      <c r="L63" s="548" t="n"/>
      <c r="M63" s="548" t="n"/>
      <c r="N63" s="548" t="n"/>
      <c r="O63" s="548" t="n"/>
      <c r="P63" s="548" t="n"/>
      <c r="Q63" s="548" t="n"/>
      <c r="R63" s="548" t="n"/>
      <c r="S63" s="548" t="n"/>
      <c r="T63" s="548" t="n"/>
      <c r="U63" s="548" t="n"/>
      <c r="V63" s="548" t="n"/>
      <c r="W63" s="548" t="n"/>
      <c r="X63" s="548" t="n"/>
      <c r="Y63" s="548" t="n"/>
      <c r="Z63" s="21" t="n"/>
    </row>
    <row r="64" ht="15.75" customHeight="1" s="545">
      <c r="A64" s="548" t="n"/>
      <c r="B64" s="548" t="n"/>
      <c r="C64" s="548" t="n"/>
      <c r="D64" s="548" t="n"/>
      <c r="E64" s="548" t="n"/>
      <c r="F64" s="548" t="n"/>
      <c r="G64" s="548" t="n"/>
      <c r="H64" s="548" t="n"/>
      <c r="I64" s="548" t="n"/>
      <c r="J64" s="548" t="n"/>
      <c r="K64" s="548" t="n"/>
      <c r="L64" s="548" t="n"/>
      <c r="M64" s="548" t="n"/>
      <c r="N64" s="548" t="n"/>
      <c r="O64" s="548" t="n"/>
      <c r="P64" s="548" t="n"/>
      <c r="Q64" s="548" t="n"/>
      <c r="R64" s="548" t="n"/>
      <c r="S64" s="548" t="n"/>
      <c r="T64" s="548" t="n"/>
      <c r="U64" s="548" t="n"/>
      <c r="V64" s="548" t="n"/>
      <c r="W64" s="548" t="n"/>
      <c r="X64" s="548" t="n"/>
      <c r="Y64" s="548" t="n"/>
      <c r="Z64" s="21" t="n"/>
    </row>
    <row r="65" ht="15.75" customHeight="1" s="545">
      <c r="A65" s="548" t="n"/>
      <c r="B65" s="548" t="n"/>
      <c r="C65" s="548" t="n"/>
      <c r="D65" s="548" t="n"/>
      <c r="E65" s="548" t="n"/>
      <c r="F65" s="548" t="n"/>
      <c r="G65" s="548" t="n"/>
      <c r="H65" s="548" t="n"/>
      <c r="I65" s="548" t="n"/>
      <c r="J65" s="548" t="n"/>
      <c r="K65" s="548" t="n"/>
      <c r="L65" s="548" t="n"/>
      <c r="M65" s="548" t="n"/>
      <c r="N65" s="548" t="n"/>
      <c r="O65" s="548" t="n"/>
      <c r="P65" s="548" t="n"/>
      <c r="Q65" s="548" t="n"/>
      <c r="R65" s="548" t="n"/>
      <c r="S65" s="548" t="n"/>
      <c r="T65" s="548" t="n"/>
      <c r="U65" s="548" t="n"/>
      <c r="V65" s="548" t="n"/>
      <c r="W65" s="548" t="n"/>
      <c r="X65" s="548" t="n"/>
      <c r="Y65" s="548" t="n"/>
      <c r="Z65" s="21" t="n"/>
    </row>
    <row r="66" ht="15.75" customHeight="1" s="545">
      <c r="A66" s="548" t="n"/>
      <c r="B66" s="548" t="n"/>
      <c r="C66" s="548" t="n"/>
      <c r="D66" s="548" t="n"/>
      <c r="E66" s="548" t="n"/>
      <c r="F66" s="548" t="n"/>
      <c r="G66" s="548" t="n"/>
      <c r="H66" s="548" t="n"/>
      <c r="I66" s="548" t="n"/>
      <c r="J66" s="548" t="n"/>
      <c r="K66" s="548" t="n"/>
      <c r="L66" s="548" t="n"/>
      <c r="M66" s="548" t="n"/>
      <c r="N66" s="548" t="n"/>
      <c r="O66" s="548" t="n"/>
      <c r="P66" s="548" t="n"/>
      <c r="Q66" s="548" t="n"/>
      <c r="R66" s="548" t="n"/>
      <c r="S66" s="548" t="n"/>
      <c r="T66" s="548" t="n"/>
      <c r="U66" s="548" t="n"/>
      <c r="V66" s="548" t="n"/>
      <c r="W66" s="548" t="n"/>
      <c r="X66" s="548" t="n"/>
      <c r="Y66" s="548" t="n"/>
      <c r="Z66" s="21" t="n"/>
    </row>
    <row r="67" ht="15.75" customHeight="1" s="545">
      <c r="A67" s="548" t="n"/>
      <c r="B67" s="548" t="n"/>
      <c r="C67" s="548" t="n"/>
      <c r="D67" s="548" t="n"/>
      <c r="E67" s="548" t="n"/>
      <c r="F67" s="548" t="n"/>
      <c r="G67" s="548" t="n"/>
      <c r="H67" s="548" t="n"/>
      <c r="I67" s="548" t="n"/>
      <c r="J67" s="548" t="n"/>
      <c r="K67" s="548" t="n"/>
      <c r="L67" s="548" t="n"/>
      <c r="M67" s="548" t="n"/>
      <c r="N67" s="548" t="n"/>
      <c r="O67" s="548" t="n"/>
      <c r="P67" s="548" t="n"/>
      <c r="Q67" s="548" t="n"/>
      <c r="R67" s="548" t="n"/>
      <c r="S67" s="548" t="n"/>
      <c r="T67" s="548" t="n"/>
      <c r="U67" s="548" t="n"/>
      <c r="V67" s="548" t="n"/>
      <c r="W67" s="548" t="n"/>
      <c r="X67" s="548" t="n"/>
      <c r="Y67" s="548" t="n"/>
      <c r="Z67" s="21" t="n"/>
    </row>
    <row r="68" ht="15.75" customHeight="1" s="545">
      <c r="A68" s="548" t="n"/>
      <c r="B68" s="548" t="n"/>
      <c r="C68" s="548" t="n"/>
      <c r="D68" s="548" t="n"/>
      <c r="E68" s="548" t="n"/>
      <c r="F68" s="548" t="n"/>
      <c r="G68" s="548" t="n"/>
      <c r="H68" s="548" t="n"/>
      <c r="I68" s="548" t="n"/>
      <c r="J68" s="548" t="n"/>
      <c r="K68" s="548" t="n"/>
      <c r="L68" s="548" t="n"/>
      <c r="M68" s="548" t="n"/>
      <c r="N68" s="548" t="n"/>
      <c r="O68" s="548" t="n"/>
      <c r="P68" s="548" t="n"/>
      <c r="Q68" s="548" t="n"/>
      <c r="R68" s="548" t="n"/>
      <c r="S68" s="548" t="n"/>
      <c r="T68" s="548" t="n"/>
      <c r="U68" s="548" t="n"/>
      <c r="V68" s="548" t="n"/>
      <c r="W68" s="548" t="n"/>
      <c r="X68" s="548" t="n"/>
      <c r="Y68" s="548" t="n"/>
      <c r="Z68" s="21" t="n"/>
    </row>
    <row r="69" ht="15.75" customHeight="1" s="545">
      <c r="A69" s="548" t="n"/>
      <c r="B69" s="548" t="n"/>
      <c r="C69" s="548" t="n"/>
      <c r="D69" s="548" t="n"/>
      <c r="E69" s="548" t="n"/>
      <c r="F69" s="548" t="n"/>
      <c r="G69" s="548" t="n"/>
      <c r="H69" s="548" t="n"/>
      <c r="I69" s="548" t="n"/>
      <c r="J69" s="548" t="n"/>
      <c r="K69" s="548" t="n"/>
      <c r="L69" s="548" t="n"/>
      <c r="M69" s="548" t="n"/>
      <c r="N69" s="548" t="n"/>
      <c r="O69" s="548" t="n"/>
      <c r="P69" s="548" t="n"/>
      <c r="Q69" s="548" t="n"/>
      <c r="R69" s="548" t="n"/>
      <c r="S69" s="548" t="n"/>
      <c r="T69" s="548" t="n"/>
      <c r="U69" s="548" t="n"/>
      <c r="V69" s="548" t="n"/>
      <c r="W69" s="548" t="n"/>
      <c r="X69" s="548" t="n"/>
      <c r="Y69" s="548" t="n"/>
      <c r="Z69" s="21" t="n"/>
    </row>
    <row r="70" ht="15.75" customHeight="1" s="545">
      <c r="A70" s="548" t="n"/>
      <c r="B70" s="548" t="n"/>
      <c r="C70" s="548" t="n"/>
      <c r="D70" s="548" t="n"/>
      <c r="E70" s="548" t="n"/>
      <c r="F70" s="548" t="n"/>
      <c r="G70" s="548" t="n"/>
      <c r="H70" s="548" t="n"/>
      <c r="I70" s="548" t="n"/>
      <c r="J70" s="548" t="n"/>
      <c r="K70" s="548" t="n"/>
      <c r="L70" s="548" t="n"/>
      <c r="M70" s="548" t="n"/>
      <c r="N70" s="548" t="n"/>
      <c r="O70" s="548" t="n"/>
      <c r="P70" s="548" t="n"/>
      <c r="Q70" s="548" t="n"/>
      <c r="R70" s="548" t="n"/>
      <c r="S70" s="548" t="n"/>
      <c r="T70" s="548" t="n"/>
      <c r="U70" s="548" t="n"/>
      <c r="V70" s="548" t="n"/>
      <c r="W70" s="548" t="n"/>
      <c r="X70" s="548" t="n"/>
      <c r="Y70" s="548" t="n"/>
      <c r="Z70" s="21" t="n"/>
    </row>
    <row r="71" ht="15.75" customHeight="1" s="545">
      <c r="A71" s="548" t="n"/>
      <c r="B71" s="548" t="n"/>
      <c r="C71" s="548" t="n"/>
      <c r="D71" s="548" t="n"/>
      <c r="E71" s="548" t="n"/>
      <c r="F71" s="548" t="n"/>
      <c r="G71" s="548" t="n"/>
      <c r="H71" s="548" t="n"/>
      <c r="I71" s="548" t="n"/>
      <c r="J71" s="548" t="n"/>
      <c r="K71" s="548" t="n"/>
      <c r="L71" s="548" t="n"/>
      <c r="M71" s="548" t="n"/>
      <c r="N71" s="548" t="n"/>
      <c r="O71" s="548" t="n"/>
      <c r="P71" s="548" t="n"/>
      <c r="Q71" s="548" t="n"/>
      <c r="R71" s="548" t="n"/>
      <c r="S71" s="548" t="n"/>
      <c r="T71" s="548" t="n"/>
      <c r="U71" s="548" t="n"/>
      <c r="V71" s="548" t="n"/>
      <c r="W71" s="548" t="n"/>
      <c r="X71" s="548" t="n"/>
      <c r="Y71" s="548" t="n"/>
      <c r="Z71" s="21" t="n"/>
    </row>
    <row r="72" ht="15.75" customHeight="1" s="545">
      <c r="A72" s="548" t="n"/>
      <c r="B72" s="548" t="n"/>
      <c r="C72" s="548" t="n"/>
      <c r="D72" s="548" t="n"/>
      <c r="E72" s="548" t="n"/>
      <c r="F72" s="548" t="n"/>
      <c r="G72" s="548" t="n"/>
      <c r="H72" s="548" t="n"/>
      <c r="I72" s="548" t="n"/>
      <c r="J72" s="548" t="n"/>
      <c r="K72" s="548" t="n"/>
      <c r="L72" s="548" t="n"/>
      <c r="M72" s="548" t="n"/>
      <c r="N72" s="548" t="n"/>
      <c r="O72" s="548" t="n"/>
      <c r="P72" s="548" t="n"/>
      <c r="Q72" s="548" t="n"/>
      <c r="R72" s="548" t="n"/>
      <c r="S72" s="548" t="n"/>
      <c r="T72" s="548" t="n"/>
      <c r="U72" s="548" t="n"/>
      <c r="V72" s="548" t="n"/>
      <c r="W72" s="548" t="n"/>
      <c r="X72" s="548" t="n"/>
      <c r="Y72" s="548" t="n"/>
      <c r="Z72" s="21" t="n"/>
    </row>
    <row r="73" ht="15.75" customHeight="1" s="545">
      <c r="A73" s="548" t="n"/>
      <c r="B73" s="548" t="n"/>
      <c r="C73" s="548" t="n"/>
      <c r="D73" s="548" t="n"/>
      <c r="E73" s="548" t="n"/>
      <c r="F73" s="548" t="n"/>
      <c r="G73" s="548" t="n"/>
      <c r="H73" s="548" t="n"/>
      <c r="I73" s="548" t="n"/>
      <c r="J73" s="548" t="n"/>
      <c r="K73" s="548" t="n"/>
      <c r="L73" s="548" t="n"/>
      <c r="M73" s="548" t="n"/>
      <c r="N73" s="548" t="n"/>
      <c r="O73" s="548" t="n"/>
      <c r="P73" s="548" t="n"/>
      <c r="Q73" s="548" t="n"/>
      <c r="R73" s="548" t="n"/>
      <c r="S73" s="548" t="n"/>
      <c r="T73" s="548" t="n"/>
      <c r="U73" s="548" t="n"/>
      <c r="V73" s="548" t="n"/>
      <c r="W73" s="548" t="n"/>
      <c r="X73" s="548" t="n"/>
      <c r="Y73" s="548" t="n"/>
      <c r="Z73" s="21" t="n"/>
    </row>
    <row r="74" ht="15.75" customHeight="1" s="545">
      <c r="A74" s="548" t="n"/>
      <c r="B74" s="548" t="n"/>
      <c r="C74" s="548" t="n"/>
      <c r="D74" s="548" t="n"/>
      <c r="E74" s="548" t="n"/>
      <c r="F74" s="548" t="n"/>
      <c r="G74" s="548" t="n"/>
      <c r="H74" s="548" t="n"/>
      <c r="I74" s="548" t="n"/>
      <c r="J74" s="548" t="n"/>
      <c r="K74" s="548" t="n"/>
      <c r="L74" s="548" t="n"/>
      <c r="M74" s="548" t="n"/>
      <c r="N74" s="548" t="n"/>
      <c r="O74" s="548" t="n"/>
      <c r="P74" s="548" t="n"/>
      <c r="Q74" s="548" t="n"/>
      <c r="R74" s="548" t="n"/>
      <c r="S74" s="548" t="n"/>
      <c r="T74" s="548" t="n"/>
      <c r="U74" s="548" t="n"/>
      <c r="V74" s="548" t="n"/>
      <c r="W74" s="548" t="n"/>
      <c r="X74" s="548" t="n"/>
      <c r="Y74" s="548" t="n"/>
      <c r="Z74" s="21" t="n"/>
    </row>
    <row r="75" ht="15.75" customHeight="1" s="545">
      <c r="A75" s="548" t="n"/>
      <c r="B75" s="548" t="n"/>
      <c r="C75" s="548" t="n"/>
      <c r="D75" s="548" t="n"/>
      <c r="E75" s="548" t="n"/>
      <c r="F75" s="548" t="n"/>
      <c r="G75" s="548" t="n"/>
      <c r="H75" s="548" t="n"/>
      <c r="I75" s="548" t="n"/>
      <c r="J75" s="548" t="n"/>
      <c r="K75" s="548" t="n"/>
      <c r="L75" s="548" t="n"/>
      <c r="M75" s="548" t="n"/>
      <c r="N75" s="548" t="n"/>
      <c r="O75" s="548" t="n"/>
      <c r="P75" s="548" t="n"/>
      <c r="Q75" s="548" t="n"/>
      <c r="R75" s="548" t="n"/>
      <c r="S75" s="548" t="n"/>
      <c r="T75" s="548" t="n"/>
      <c r="U75" s="548" t="n"/>
      <c r="V75" s="548" t="n"/>
      <c r="W75" s="548" t="n"/>
      <c r="X75" s="548" t="n"/>
      <c r="Y75" s="548" t="n"/>
      <c r="Z75" s="21" t="n"/>
    </row>
    <row r="76" ht="15.75" customHeight="1" s="545">
      <c r="A76" s="548" t="n"/>
      <c r="B76" s="548" t="n"/>
      <c r="C76" s="548" t="n"/>
      <c r="D76" s="548" t="n"/>
      <c r="E76" s="548" t="n"/>
      <c r="F76" s="548" t="n"/>
      <c r="G76" s="548" t="n"/>
      <c r="H76" s="548" t="n"/>
      <c r="I76" s="548" t="n"/>
      <c r="J76" s="548" t="n"/>
      <c r="K76" s="548" t="n"/>
      <c r="L76" s="548" t="n"/>
      <c r="M76" s="548" t="n"/>
      <c r="N76" s="548" t="n"/>
      <c r="O76" s="548" t="n"/>
      <c r="P76" s="548" t="n"/>
      <c r="Q76" s="548" t="n"/>
      <c r="R76" s="548" t="n"/>
      <c r="S76" s="548" t="n"/>
      <c r="T76" s="548" t="n"/>
      <c r="U76" s="548" t="n"/>
      <c r="V76" s="548" t="n"/>
      <c r="W76" s="548" t="n"/>
      <c r="X76" s="548" t="n"/>
      <c r="Y76" s="548" t="n"/>
      <c r="Z76" s="21" t="n"/>
    </row>
    <row r="77" ht="15.75" customHeight="1" s="545">
      <c r="A77" s="548" t="n"/>
      <c r="B77" s="548" t="n"/>
      <c r="C77" s="548" t="n"/>
      <c r="D77" s="548" t="n"/>
      <c r="E77" s="548" t="n"/>
      <c r="F77" s="548" t="n"/>
      <c r="G77" s="548" t="n"/>
      <c r="H77" s="548" t="n"/>
      <c r="I77" s="548" t="n"/>
      <c r="J77" s="548" t="n"/>
      <c r="K77" s="548" t="n"/>
      <c r="L77" s="548" t="n"/>
      <c r="M77" s="548" t="n"/>
      <c r="N77" s="548" t="n"/>
      <c r="O77" s="548" t="n"/>
      <c r="P77" s="548" t="n"/>
      <c r="Q77" s="548" t="n"/>
      <c r="R77" s="548" t="n"/>
      <c r="S77" s="548" t="n"/>
      <c r="T77" s="548" t="n"/>
      <c r="U77" s="548" t="n"/>
      <c r="V77" s="548" t="n"/>
      <c r="W77" s="548" t="n"/>
      <c r="X77" s="548" t="n"/>
      <c r="Y77" s="548" t="n"/>
      <c r="Z77" s="21" t="n"/>
    </row>
    <row r="78" ht="15.75" customHeight="1" s="545">
      <c r="A78" s="548" t="n"/>
      <c r="B78" s="548" t="n"/>
      <c r="C78" s="548" t="n"/>
      <c r="D78" s="548" t="n"/>
      <c r="E78" s="548" t="n"/>
      <c r="F78" s="548" t="n"/>
      <c r="G78" s="548" t="n"/>
      <c r="H78" s="548" t="n"/>
      <c r="I78" s="548" t="n"/>
      <c r="J78" s="548" t="n"/>
      <c r="K78" s="548" t="n"/>
      <c r="L78" s="548" t="n"/>
      <c r="M78" s="548" t="n"/>
      <c r="N78" s="548" t="n"/>
      <c r="O78" s="548" t="n"/>
      <c r="P78" s="548" t="n"/>
      <c r="Q78" s="548" t="n"/>
      <c r="R78" s="548" t="n"/>
      <c r="S78" s="548" t="n"/>
      <c r="T78" s="548" t="n"/>
      <c r="U78" s="548" t="n"/>
      <c r="V78" s="548" t="n"/>
      <c r="W78" s="548" t="n"/>
      <c r="X78" s="548" t="n"/>
      <c r="Y78" s="548" t="n"/>
      <c r="Z78" s="21" t="n"/>
    </row>
    <row r="79" ht="15.75" customHeight="1" s="545">
      <c r="A79" s="548" t="n"/>
      <c r="B79" s="548" t="n"/>
      <c r="C79" s="548" t="n"/>
      <c r="D79" s="548" t="n"/>
      <c r="E79" s="548" t="n"/>
      <c r="F79" s="548" t="n"/>
      <c r="G79" s="548" t="n"/>
      <c r="H79" s="548" t="n"/>
      <c r="I79" s="548" t="n"/>
      <c r="J79" s="548" t="n"/>
      <c r="K79" s="548" t="n"/>
      <c r="L79" s="548" t="n"/>
      <c r="M79" s="548" t="n"/>
      <c r="N79" s="548" t="n"/>
      <c r="O79" s="548" t="n"/>
      <c r="P79" s="548" t="n"/>
      <c r="Q79" s="548" t="n"/>
      <c r="R79" s="548" t="n"/>
      <c r="S79" s="548" t="n"/>
      <c r="T79" s="548" t="n"/>
      <c r="U79" s="548" t="n"/>
      <c r="V79" s="548" t="n"/>
      <c r="W79" s="548" t="n"/>
      <c r="X79" s="548" t="n"/>
      <c r="Y79" s="548" t="n"/>
      <c r="Z79" s="21" t="n"/>
    </row>
    <row r="80" ht="15.75" customHeight="1" s="545">
      <c r="A80" s="548" t="n"/>
      <c r="B80" s="548" t="n"/>
      <c r="C80" s="548" t="n"/>
      <c r="D80" s="548" t="n"/>
      <c r="E80" s="548" t="n"/>
      <c r="F80" s="548" t="n"/>
      <c r="G80" s="548" t="n"/>
      <c r="H80" s="548" t="n"/>
      <c r="I80" s="548" t="n"/>
      <c r="J80" s="548" t="n"/>
      <c r="K80" s="548" t="n"/>
      <c r="L80" s="548" t="n"/>
      <c r="M80" s="548" t="n"/>
      <c r="N80" s="548" t="n"/>
      <c r="O80" s="548" t="n"/>
      <c r="P80" s="548" t="n"/>
      <c r="Q80" s="548" t="n"/>
      <c r="R80" s="548" t="n"/>
      <c r="S80" s="548" t="n"/>
      <c r="T80" s="548" t="n"/>
      <c r="U80" s="548" t="n"/>
      <c r="V80" s="548" t="n"/>
      <c r="W80" s="548" t="n"/>
      <c r="X80" s="548" t="n"/>
      <c r="Y80" s="548" t="n"/>
      <c r="Z80" s="21" t="n"/>
    </row>
    <row r="81" ht="15.75" customHeight="1" s="545">
      <c r="A81" s="548" t="n"/>
      <c r="B81" s="548" t="n"/>
      <c r="C81" s="548" t="n"/>
      <c r="D81" s="548" t="n"/>
      <c r="E81" s="548" t="n"/>
      <c r="F81" s="548" t="n"/>
      <c r="G81" s="548" t="n"/>
      <c r="H81" s="548" t="n"/>
      <c r="I81" s="548" t="n"/>
      <c r="J81" s="548" t="n"/>
      <c r="K81" s="548" t="n"/>
      <c r="L81" s="548" t="n"/>
      <c r="M81" s="548" t="n"/>
      <c r="N81" s="548" t="n"/>
      <c r="O81" s="548" t="n"/>
      <c r="P81" s="548" t="n"/>
      <c r="Q81" s="548" t="n"/>
      <c r="R81" s="548" t="n"/>
      <c r="S81" s="548" t="n"/>
      <c r="T81" s="548" t="n"/>
      <c r="U81" s="548" t="n"/>
      <c r="V81" s="548" t="n"/>
      <c r="W81" s="548" t="n"/>
      <c r="X81" s="548" t="n"/>
      <c r="Y81" s="548" t="n"/>
      <c r="Z81" s="21" t="n"/>
    </row>
    <row r="82" ht="15.75" customHeight="1" s="545">
      <c r="A82" s="548" t="n"/>
      <c r="B82" s="548" t="n"/>
      <c r="C82" s="548" t="n"/>
      <c r="D82" s="548" t="n"/>
      <c r="E82" s="548" t="n"/>
      <c r="F82" s="548" t="n"/>
      <c r="G82" s="548" t="n"/>
      <c r="H82" s="548" t="n"/>
      <c r="I82" s="548" t="n"/>
      <c r="J82" s="548" t="n"/>
      <c r="K82" s="548" t="n"/>
      <c r="L82" s="548" t="n"/>
      <c r="M82" s="548" t="n"/>
      <c r="N82" s="548" t="n"/>
      <c r="O82" s="548" t="n"/>
      <c r="P82" s="548" t="n"/>
      <c r="Q82" s="548" t="n"/>
      <c r="R82" s="548" t="n"/>
      <c r="S82" s="548" t="n"/>
      <c r="T82" s="548" t="n"/>
      <c r="U82" s="548" t="n"/>
      <c r="V82" s="548" t="n"/>
      <c r="W82" s="548" t="n"/>
      <c r="X82" s="548" t="n"/>
      <c r="Y82" s="548" t="n"/>
      <c r="Z82" s="21" t="n"/>
    </row>
    <row r="83" ht="15.75" customHeight="1" s="545">
      <c r="A83" s="548" t="n"/>
      <c r="B83" s="548" t="n"/>
      <c r="C83" s="548" t="n"/>
      <c r="D83" s="548" t="n"/>
      <c r="E83" s="548" t="n"/>
      <c r="F83" s="548" t="n"/>
      <c r="G83" s="548" t="n"/>
      <c r="H83" s="548" t="n"/>
      <c r="I83" s="548" t="n"/>
      <c r="J83" s="548" t="n"/>
      <c r="K83" s="548" t="n"/>
      <c r="L83" s="548" t="n"/>
      <c r="M83" s="548" t="n"/>
      <c r="N83" s="548" t="n"/>
      <c r="O83" s="548" t="n"/>
      <c r="P83" s="548" t="n"/>
      <c r="Q83" s="548" t="n"/>
      <c r="R83" s="548" t="n"/>
      <c r="S83" s="548" t="n"/>
      <c r="T83" s="548" t="n"/>
      <c r="U83" s="548" t="n"/>
      <c r="V83" s="548" t="n"/>
      <c r="W83" s="548" t="n"/>
      <c r="X83" s="548" t="n"/>
      <c r="Y83" s="548" t="n"/>
      <c r="Z83" s="21" t="n"/>
    </row>
    <row r="84" ht="15.75" customHeight="1" s="545">
      <c r="A84" s="548" t="n"/>
      <c r="B84" s="548" t="n"/>
      <c r="C84" s="548" t="n"/>
      <c r="D84" s="548" t="n"/>
      <c r="E84" s="548" t="n"/>
      <c r="F84" s="548" t="n"/>
      <c r="G84" s="548" t="n"/>
      <c r="H84" s="548" t="n"/>
      <c r="I84" s="548" t="n"/>
      <c r="J84" s="548" t="n"/>
      <c r="K84" s="548" t="n"/>
      <c r="L84" s="548" t="n"/>
      <c r="M84" s="548" t="n"/>
      <c r="N84" s="548" t="n"/>
      <c r="O84" s="548" t="n"/>
      <c r="P84" s="548" t="n"/>
      <c r="Q84" s="548" t="n"/>
      <c r="R84" s="548" t="n"/>
      <c r="S84" s="548" t="n"/>
      <c r="T84" s="548" t="n"/>
      <c r="U84" s="548" t="n"/>
      <c r="V84" s="548" t="n"/>
      <c r="W84" s="548" t="n"/>
      <c r="X84" s="548" t="n"/>
      <c r="Y84" s="548" t="n"/>
      <c r="Z84" s="21" t="n"/>
    </row>
    <row r="85" ht="15.75" customHeight="1" s="545">
      <c r="A85" s="548" t="n"/>
      <c r="B85" s="548" t="n"/>
      <c r="C85" s="548" t="n"/>
      <c r="D85" s="548" t="n"/>
      <c r="E85" s="548" t="n"/>
      <c r="F85" s="548" t="n"/>
      <c r="G85" s="548" t="n"/>
      <c r="H85" s="548" t="n"/>
      <c r="I85" s="548" t="n"/>
      <c r="J85" s="548" t="n"/>
      <c r="K85" s="548" t="n"/>
      <c r="L85" s="548" t="n"/>
      <c r="M85" s="548" t="n"/>
      <c r="N85" s="548" t="n"/>
      <c r="O85" s="548" t="n"/>
      <c r="P85" s="548" t="n"/>
      <c r="Q85" s="548" t="n"/>
      <c r="R85" s="548" t="n"/>
      <c r="S85" s="548" t="n"/>
      <c r="T85" s="548" t="n"/>
      <c r="U85" s="548" t="n"/>
      <c r="V85" s="548" t="n"/>
      <c r="W85" s="548" t="n"/>
      <c r="X85" s="548" t="n"/>
      <c r="Y85" s="548" t="n"/>
      <c r="Z85" s="21" t="n"/>
    </row>
    <row r="86" ht="15.75" customHeight="1" s="545">
      <c r="A86" s="548" t="n"/>
      <c r="B86" s="548" t="n"/>
      <c r="C86" s="548" t="n"/>
      <c r="D86" s="548" t="n"/>
      <c r="E86" s="548" t="n"/>
      <c r="F86" s="548" t="n"/>
      <c r="G86" s="548" t="n"/>
      <c r="H86" s="548" t="n"/>
      <c r="I86" s="548" t="n"/>
      <c r="J86" s="548" t="n"/>
      <c r="K86" s="548" t="n"/>
      <c r="L86" s="548" t="n"/>
      <c r="M86" s="548" t="n"/>
      <c r="N86" s="548" t="n"/>
      <c r="O86" s="548" t="n"/>
      <c r="P86" s="548" t="n"/>
      <c r="Q86" s="548" t="n"/>
      <c r="R86" s="548" t="n"/>
      <c r="S86" s="548" t="n"/>
      <c r="T86" s="548" t="n"/>
      <c r="U86" s="548" t="n"/>
      <c r="V86" s="548" t="n"/>
      <c r="W86" s="548" t="n"/>
      <c r="X86" s="548" t="n"/>
      <c r="Y86" s="548" t="n"/>
      <c r="Z86" s="21" t="n"/>
    </row>
    <row r="87" ht="15.75" customHeight="1" s="545">
      <c r="A87" s="548" t="n"/>
      <c r="B87" s="548" t="n"/>
      <c r="C87" s="548" t="n"/>
      <c r="D87" s="548" t="n"/>
      <c r="E87" s="548" t="n"/>
      <c r="F87" s="548" t="n"/>
      <c r="G87" s="548" t="n"/>
      <c r="H87" s="548" t="n"/>
      <c r="I87" s="548" t="n"/>
      <c r="J87" s="548" t="n"/>
      <c r="K87" s="548" t="n"/>
      <c r="L87" s="548" t="n"/>
      <c r="M87" s="548" t="n"/>
      <c r="N87" s="548" t="n"/>
      <c r="O87" s="548" t="n"/>
      <c r="P87" s="548" t="n"/>
      <c r="Q87" s="548" t="n"/>
      <c r="R87" s="548" t="n"/>
      <c r="S87" s="548" t="n"/>
      <c r="T87" s="548" t="n"/>
      <c r="U87" s="548" t="n"/>
      <c r="V87" s="548" t="n"/>
      <c r="W87" s="548" t="n"/>
      <c r="X87" s="548" t="n"/>
      <c r="Y87" s="548" t="n"/>
      <c r="Z87" s="21" t="n"/>
    </row>
    <row r="88" ht="15.75" customHeight="1" s="545">
      <c r="A88" s="548" t="n"/>
      <c r="B88" s="548" t="n"/>
      <c r="C88" s="548" t="n"/>
      <c r="D88" s="548" t="n"/>
      <c r="E88" s="548" t="n"/>
      <c r="F88" s="548" t="n"/>
      <c r="G88" s="548" t="n"/>
      <c r="H88" s="548" t="n"/>
      <c r="I88" s="548" t="n"/>
      <c r="J88" s="548" t="n"/>
      <c r="K88" s="548" t="n"/>
      <c r="L88" s="548" t="n"/>
      <c r="M88" s="548" t="n"/>
      <c r="N88" s="548" t="n"/>
      <c r="O88" s="548" t="n"/>
      <c r="P88" s="548" t="n"/>
      <c r="Q88" s="548" t="n"/>
      <c r="R88" s="548" t="n"/>
      <c r="S88" s="548" t="n"/>
      <c r="T88" s="548" t="n"/>
      <c r="U88" s="548" t="n"/>
      <c r="V88" s="548" t="n"/>
      <c r="W88" s="548" t="n"/>
      <c r="X88" s="548" t="n"/>
      <c r="Y88" s="548" t="n"/>
      <c r="Z88" s="21" t="n"/>
    </row>
    <row r="89" ht="15.75" customHeight="1" s="545">
      <c r="A89" s="548" t="n"/>
      <c r="B89" s="548" t="n"/>
      <c r="C89" s="548" t="n"/>
      <c r="D89" s="548" t="n"/>
      <c r="E89" s="548" t="n"/>
      <c r="F89" s="548" t="n"/>
      <c r="G89" s="548" t="n"/>
      <c r="H89" s="548" t="n"/>
      <c r="I89" s="548" t="n"/>
      <c r="J89" s="548" t="n"/>
      <c r="K89" s="548" t="n"/>
      <c r="L89" s="548" t="n"/>
      <c r="M89" s="548" t="n"/>
      <c r="N89" s="548" t="n"/>
      <c r="O89" s="548" t="n"/>
      <c r="P89" s="548" t="n"/>
      <c r="Q89" s="548" t="n"/>
      <c r="R89" s="548" t="n"/>
      <c r="S89" s="548" t="n"/>
      <c r="T89" s="548" t="n"/>
      <c r="U89" s="548" t="n"/>
      <c r="V89" s="548" t="n"/>
      <c r="W89" s="548" t="n"/>
      <c r="X89" s="548" t="n"/>
      <c r="Y89" s="548" t="n"/>
      <c r="Z89" s="21" t="n"/>
    </row>
    <row r="90" ht="15.75" customHeight="1" s="545">
      <c r="A90" s="548" t="n"/>
      <c r="B90" s="548" t="n"/>
      <c r="C90" s="548" t="n"/>
      <c r="D90" s="548" t="n"/>
      <c r="E90" s="548" t="n"/>
      <c r="F90" s="548" t="n"/>
      <c r="G90" s="548" t="n"/>
      <c r="H90" s="548" t="n"/>
      <c r="I90" s="548" t="n"/>
      <c r="J90" s="548" t="n"/>
      <c r="K90" s="548" t="n"/>
      <c r="L90" s="548" t="n"/>
      <c r="M90" s="548" t="n"/>
      <c r="N90" s="548" t="n"/>
      <c r="O90" s="548" t="n"/>
      <c r="P90" s="548" t="n"/>
      <c r="Q90" s="548" t="n"/>
      <c r="R90" s="548" t="n"/>
      <c r="S90" s="548" t="n"/>
      <c r="T90" s="548" t="n"/>
      <c r="U90" s="548" t="n"/>
      <c r="V90" s="548" t="n"/>
      <c r="W90" s="548" t="n"/>
      <c r="X90" s="548" t="n"/>
      <c r="Y90" s="548" t="n"/>
      <c r="Z90" s="21" t="n"/>
    </row>
    <row r="91" ht="15.75" customHeight="1" s="545">
      <c r="A91" s="548" t="n"/>
      <c r="B91" s="548" t="n"/>
      <c r="C91" s="548" t="n"/>
      <c r="D91" s="548" t="n"/>
      <c r="E91" s="548" t="n"/>
      <c r="F91" s="548" t="n"/>
      <c r="G91" s="548" t="n"/>
      <c r="H91" s="548" t="n"/>
      <c r="I91" s="548" t="n"/>
      <c r="J91" s="548" t="n"/>
      <c r="K91" s="548" t="n"/>
      <c r="L91" s="548" t="n"/>
      <c r="M91" s="548" t="n"/>
      <c r="N91" s="548" t="n"/>
      <c r="O91" s="548" t="n"/>
      <c r="P91" s="548" t="n"/>
      <c r="Q91" s="548" t="n"/>
      <c r="R91" s="548" t="n"/>
      <c r="S91" s="548" t="n"/>
      <c r="T91" s="548" t="n"/>
      <c r="U91" s="548" t="n"/>
      <c r="V91" s="548" t="n"/>
      <c r="W91" s="548" t="n"/>
      <c r="X91" s="548" t="n"/>
      <c r="Y91" s="548" t="n"/>
      <c r="Z91" s="21" t="n"/>
    </row>
    <row r="92" ht="15.75" customHeight="1" s="545">
      <c r="A92" s="548" t="n"/>
      <c r="B92" s="548" t="n"/>
      <c r="C92" s="548" t="n"/>
      <c r="D92" s="548" t="n"/>
      <c r="E92" s="548" t="n"/>
      <c r="F92" s="548" t="n"/>
      <c r="G92" s="548" t="n"/>
      <c r="H92" s="548" t="n"/>
      <c r="I92" s="548" t="n"/>
      <c r="J92" s="548" t="n"/>
      <c r="K92" s="548" t="n"/>
      <c r="L92" s="548" t="n"/>
      <c r="M92" s="548" t="n"/>
      <c r="N92" s="548" t="n"/>
      <c r="O92" s="548" t="n"/>
      <c r="P92" s="548" t="n"/>
      <c r="Q92" s="548" t="n"/>
      <c r="R92" s="548" t="n"/>
      <c r="S92" s="548" t="n"/>
      <c r="T92" s="548" t="n"/>
      <c r="U92" s="548" t="n"/>
      <c r="V92" s="548" t="n"/>
      <c r="W92" s="548" t="n"/>
      <c r="X92" s="548" t="n"/>
      <c r="Y92" s="548" t="n"/>
      <c r="Z92" s="21" t="n"/>
    </row>
    <row r="93" ht="15.75" customHeight="1" s="545">
      <c r="A93" s="548" t="n"/>
      <c r="B93" s="548" t="n"/>
      <c r="C93" s="548" t="n"/>
      <c r="D93" s="548" t="n"/>
      <c r="E93" s="548" t="n"/>
      <c r="F93" s="548" t="n"/>
      <c r="G93" s="548" t="n"/>
      <c r="H93" s="548" t="n"/>
      <c r="I93" s="548" t="n"/>
      <c r="J93" s="548" t="n"/>
      <c r="K93" s="548" t="n"/>
      <c r="L93" s="548" t="n"/>
      <c r="M93" s="548" t="n"/>
      <c r="N93" s="548" t="n"/>
      <c r="O93" s="548" t="n"/>
      <c r="P93" s="548" t="n"/>
      <c r="Q93" s="548" t="n"/>
      <c r="R93" s="548" t="n"/>
      <c r="S93" s="548" t="n"/>
      <c r="T93" s="548" t="n"/>
      <c r="U93" s="548" t="n"/>
      <c r="V93" s="548" t="n"/>
      <c r="W93" s="548" t="n"/>
      <c r="X93" s="548" t="n"/>
      <c r="Y93" s="548" t="n"/>
      <c r="Z93" s="21" t="n"/>
    </row>
    <row r="94" ht="15.75" customHeight="1" s="545">
      <c r="A94" s="548" t="n"/>
      <c r="B94" s="548" t="n"/>
      <c r="C94" s="548" t="n"/>
      <c r="D94" s="548" t="n"/>
      <c r="E94" s="548" t="n"/>
      <c r="F94" s="548" t="n"/>
      <c r="G94" s="548" t="n"/>
      <c r="H94" s="548" t="n"/>
      <c r="I94" s="548" t="n"/>
      <c r="J94" s="548" t="n"/>
      <c r="K94" s="548" t="n"/>
      <c r="L94" s="548" t="n"/>
      <c r="M94" s="548" t="n"/>
      <c r="N94" s="548" t="n"/>
      <c r="O94" s="548" t="n"/>
      <c r="P94" s="548" t="n"/>
      <c r="Q94" s="548" t="n"/>
      <c r="R94" s="548" t="n"/>
      <c r="S94" s="548" t="n"/>
      <c r="T94" s="548" t="n"/>
      <c r="U94" s="548" t="n"/>
      <c r="V94" s="548" t="n"/>
      <c r="W94" s="548" t="n"/>
      <c r="X94" s="548" t="n"/>
      <c r="Y94" s="548" t="n"/>
      <c r="Z94" s="21" t="n"/>
    </row>
    <row r="95" ht="15.75" customHeight="1" s="545">
      <c r="A95" s="548" t="n"/>
      <c r="B95" s="548" t="n"/>
      <c r="C95" s="548" t="n"/>
      <c r="D95" s="548" t="n"/>
      <c r="E95" s="548" t="n"/>
      <c r="F95" s="548" t="n"/>
      <c r="G95" s="548" t="n"/>
      <c r="H95" s="548" t="n"/>
      <c r="I95" s="548" t="n"/>
      <c r="J95" s="548" t="n"/>
      <c r="K95" s="548" t="n"/>
      <c r="L95" s="548" t="n"/>
      <c r="M95" s="548" t="n"/>
      <c r="N95" s="548" t="n"/>
      <c r="O95" s="548" t="n"/>
      <c r="P95" s="548" t="n"/>
      <c r="Q95" s="548" t="n"/>
      <c r="R95" s="548" t="n"/>
      <c r="S95" s="548" t="n"/>
      <c r="T95" s="548" t="n"/>
      <c r="U95" s="548" t="n"/>
      <c r="V95" s="548" t="n"/>
      <c r="W95" s="548" t="n"/>
      <c r="X95" s="548" t="n"/>
      <c r="Y95" s="548" t="n"/>
      <c r="Z95" s="21" t="n"/>
    </row>
    <row r="96" ht="15.75" customHeight="1" s="545">
      <c r="A96" s="548" t="n"/>
      <c r="B96" s="548" t="n"/>
      <c r="C96" s="548" t="n"/>
      <c r="D96" s="548" t="n"/>
      <c r="E96" s="548" t="n"/>
      <c r="F96" s="548" t="n"/>
      <c r="G96" s="548" t="n"/>
      <c r="H96" s="548" t="n"/>
      <c r="I96" s="548" t="n"/>
      <c r="J96" s="548" t="n"/>
      <c r="K96" s="548" t="n"/>
      <c r="L96" s="548" t="n"/>
      <c r="M96" s="548" t="n"/>
      <c r="N96" s="548" t="n"/>
      <c r="O96" s="548" t="n"/>
      <c r="P96" s="548" t="n"/>
      <c r="Q96" s="548" t="n"/>
      <c r="R96" s="548" t="n"/>
      <c r="S96" s="548" t="n"/>
      <c r="T96" s="548" t="n"/>
      <c r="U96" s="548" t="n"/>
      <c r="V96" s="548" t="n"/>
      <c r="W96" s="548" t="n"/>
      <c r="X96" s="548" t="n"/>
      <c r="Y96" s="548" t="n"/>
      <c r="Z96" s="21" t="n"/>
    </row>
    <row r="97" ht="15.75" customHeight="1" s="545">
      <c r="A97" s="548" t="n"/>
      <c r="B97" s="548" t="n"/>
      <c r="C97" s="548" t="n"/>
      <c r="D97" s="548" t="n"/>
      <c r="E97" s="548" t="n"/>
      <c r="F97" s="548" t="n"/>
      <c r="G97" s="548" t="n"/>
      <c r="H97" s="548" t="n"/>
      <c r="I97" s="548" t="n"/>
      <c r="J97" s="548" t="n"/>
      <c r="K97" s="548" t="n"/>
      <c r="L97" s="548" t="n"/>
      <c r="M97" s="548" t="n"/>
      <c r="N97" s="548" t="n"/>
      <c r="O97" s="548" t="n"/>
      <c r="P97" s="548" t="n"/>
      <c r="Q97" s="548" t="n"/>
      <c r="R97" s="548" t="n"/>
      <c r="S97" s="548" t="n"/>
      <c r="T97" s="548" t="n"/>
      <c r="U97" s="548" t="n"/>
      <c r="V97" s="548" t="n"/>
      <c r="W97" s="548" t="n"/>
      <c r="X97" s="548" t="n"/>
      <c r="Y97" s="548" t="n"/>
      <c r="Z97" s="21" t="n"/>
    </row>
    <row r="98" ht="15.75" customHeight="1" s="545">
      <c r="A98" s="548" t="n"/>
      <c r="B98" s="548" t="n"/>
      <c r="C98" s="548" t="n"/>
      <c r="D98" s="548" t="n"/>
      <c r="E98" s="548" t="n"/>
      <c r="F98" s="548" t="n"/>
      <c r="G98" s="548" t="n"/>
      <c r="H98" s="548" t="n"/>
      <c r="I98" s="548" t="n"/>
      <c r="J98" s="548" t="n"/>
      <c r="K98" s="548" t="n"/>
      <c r="L98" s="548" t="n"/>
      <c r="M98" s="548" t="n"/>
      <c r="N98" s="548" t="n"/>
      <c r="O98" s="548" t="n"/>
      <c r="P98" s="548" t="n"/>
      <c r="Q98" s="548" t="n"/>
      <c r="R98" s="548" t="n"/>
      <c r="S98" s="548" t="n"/>
      <c r="T98" s="548" t="n"/>
      <c r="U98" s="548" t="n"/>
      <c r="V98" s="548" t="n"/>
      <c r="W98" s="548" t="n"/>
      <c r="X98" s="548" t="n"/>
      <c r="Y98" s="548" t="n"/>
      <c r="Z98" s="21" t="n"/>
    </row>
    <row r="99" ht="15.75" customHeight="1" s="545">
      <c r="A99" s="548" t="n"/>
      <c r="B99" s="548" t="n"/>
      <c r="C99" s="548" t="n"/>
      <c r="D99" s="548" t="n"/>
      <c r="E99" s="548" t="n"/>
      <c r="F99" s="548" t="n"/>
      <c r="G99" s="548" t="n"/>
      <c r="H99" s="548" t="n"/>
      <c r="I99" s="548" t="n"/>
      <c r="J99" s="548" t="n"/>
      <c r="K99" s="548" t="n"/>
      <c r="L99" s="548" t="n"/>
      <c r="M99" s="548" t="n"/>
      <c r="N99" s="548" t="n"/>
      <c r="O99" s="548" t="n"/>
      <c r="P99" s="548" t="n"/>
      <c r="Q99" s="548" t="n"/>
      <c r="R99" s="548" t="n"/>
      <c r="S99" s="548" t="n"/>
      <c r="T99" s="548" t="n"/>
      <c r="U99" s="548" t="n"/>
      <c r="V99" s="548" t="n"/>
      <c r="W99" s="548" t="n"/>
      <c r="X99" s="548" t="n"/>
      <c r="Y99" s="548" t="n"/>
      <c r="Z99" s="21" t="n"/>
    </row>
    <row r="100" ht="15.75" customHeight="1" s="545">
      <c r="A100" s="548" t="n"/>
      <c r="B100" s="548" t="n"/>
      <c r="C100" s="548" t="n"/>
      <c r="D100" s="548" t="n"/>
      <c r="E100" s="548" t="n"/>
      <c r="F100" s="548" t="n"/>
      <c r="G100" s="548" t="n"/>
      <c r="H100" s="548" t="n"/>
      <c r="I100" s="548" t="n"/>
      <c r="J100" s="548" t="n"/>
      <c r="K100" s="548" t="n"/>
      <c r="L100" s="548" t="n"/>
      <c r="M100" s="548" t="n"/>
      <c r="N100" s="548" t="n"/>
      <c r="O100" s="548" t="n"/>
      <c r="P100" s="548" t="n"/>
      <c r="Q100" s="548" t="n"/>
      <c r="R100" s="548" t="n"/>
      <c r="S100" s="548" t="n"/>
      <c r="T100" s="548" t="n"/>
      <c r="U100" s="548" t="n"/>
      <c r="V100" s="548" t="n"/>
      <c r="W100" s="548" t="n"/>
      <c r="X100" s="548" t="n"/>
      <c r="Y100" s="548" t="n"/>
      <c r="Z100" s="21" t="n"/>
    </row>
    <row r="101" ht="15.75" customHeight="1" s="545">
      <c r="A101" s="548" t="n"/>
      <c r="B101" s="548" t="n"/>
      <c r="C101" s="548" t="n"/>
      <c r="D101" s="548" t="n"/>
      <c r="E101" s="548" t="n"/>
      <c r="F101" s="548" t="n"/>
      <c r="G101" s="548" t="n"/>
      <c r="H101" s="548" t="n"/>
      <c r="I101" s="548" t="n"/>
      <c r="J101" s="548" t="n"/>
      <c r="K101" s="548" t="n"/>
      <c r="L101" s="548" t="n"/>
      <c r="M101" s="548" t="n"/>
      <c r="N101" s="548" t="n"/>
      <c r="O101" s="548" t="n"/>
      <c r="P101" s="548" t="n"/>
      <c r="Q101" s="548" t="n"/>
      <c r="R101" s="548" t="n"/>
      <c r="S101" s="548" t="n"/>
      <c r="T101" s="548" t="n"/>
      <c r="U101" s="548" t="n"/>
      <c r="V101" s="548" t="n"/>
      <c r="W101" s="548" t="n"/>
      <c r="X101" s="548" t="n"/>
      <c r="Y101" s="548" t="n"/>
      <c r="Z101" s="21" t="n"/>
    </row>
    <row r="102" ht="15.75" customHeight="1" s="545">
      <c r="A102" s="548" t="n"/>
      <c r="B102" s="548" t="n"/>
      <c r="C102" s="548" t="n"/>
      <c r="D102" s="548" t="n"/>
      <c r="E102" s="548" t="n"/>
      <c r="F102" s="548" t="n"/>
      <c r="G102" s="548" t="n"/>
      <c r="H102" s="548" t="n"/>
      <c r="I102" s="548" t="n"/>
      <c r="J102" s="548" t="n"/>
      <c r="K102" s="548" t="n"/>
      <c r="L102" s="548" t="n"/>
      <c r="M102" s="548" t="n"/>
      <c r="N102" s="548" t="n"/>
      <c r="O102" s="548" t="n"/>
      <c r="P102" s="548" t="n"/>
      <c r="Q102" s="548" t="n"/>
      <c r="R102" s="548" t="n"/>
      <c r="S102" s="548" t="n"/>
      <c r="T102" s="548" t="n"/>
      <c r="U102" s="548" t="n"/>
      <c r="V102" s="548" t="n"/>
      <c r="W102" s="548" t="n"/>
      <c r="X102" s="548" t="n"/>
      <c r="Y102" s="548" t="n"/>
      <c r="Z102" s="21" t="n"/>
    </row>
    <row r="103" ht="15.75" customHeight="1" s="545">
      <c r="A103" s="548" t="n"/>
      <c r="B103" s="548" t="n"/>
      <c r="C103" s="548" t="n"/>
      <c r="D103" s="548" t="n"/>
      <c r="E103" s="548" t="n"/>
      <c r="F103" s="548" t="n"/>
      <c r="G103" s="548" t="n"/>
      <c r="H103" s="548" t="n"/>
      <c r="I103" s="548" t="n"/>
      <c r="J103" s="548" t="n"/>
      <c r="K103" s="548" t="n"/>
      <c r="L103" s="548" t="n"/>
      <c r="M103" s="548" t="n"/>
      <c r="N103" s="548" t="n"/>
      <c r="O103" s="548" t="n"/>
      <c r="P103" s="548" t="n"/>
      <c r="Q103" s="548" t="n"/>
      <c r="R103" s="548" t="n"/>
      <c r="S103" s="548" t="n"/>
      <c r="T103" s="548" t="n"/>
      <c r="U103" s="548" t="n"/>
      <c r="V103" s="548" t="n"/>
      <c r="W103" s="548" t="n"/>
      <c r="X103" s="548" t="n"/>
      <c r="Y103" s="548" t="n"/>
      <c r="Z103" s="21" t="n"/>
    </row>
    <row r="104" ht="15.75" customHeight="1" s="545">
      <c r="A104" s="548" t="n"/>
      <c r="B104" s="548" t="n"/>
      <c r="C104" s="548" t="n"/>
      <c r="D104" s="548" t="n"/>
      <c r="E104" s="548" t="n"/>
      <c r="F104" s="548" t="n"/>
      <c r="G104" s="548" t="n"/>
      <c r="H104" s="548" t="n"/>
      <c r="I104" s="548" t="n"/>
      <c r="J104" s="548" t="n"/>
      <c r="K104" s="548" t="n"/>
      <c r="L104" s="548" t="n"/>
      <c r="M104" s="548" t="n"/>
      <c r="N104" s="548" t="n"/>
      <c r="O104" s="548" t="n"/>
      <c r="P104" s="548" t="n"/>
      <c r="Q104" s="548" t="n"/>
      <c r="R104" s="548" t="n"/>
      <c r="S104" s="548" t="n"/>
      <c r="T104" s="548" t="n"/>
      <c r="U104" s="548" t="n"/>
      <c r="V104" s="548" t="n"/>
      <c r="W104" s="548" t="n"/>
      <c r="X104" s="548" t="n"/>
      <c r="Y104" s="548" t="n"/>
      <c r="Z104" s="21" t="n"/>
    </row>
    <row r="105" ht="15.75" customHeight="1" s="545">
      <c r="A105" s="548" t="n"/>
      <c r="B105" s="548" t="n"/>
      <c r="C105" s="548" t="n"/>
      <c r="D105" s="548" t="n"/>
      <c r="E105" s="548" t="n"/>
      <c r="F105" s="548" t="n"/>
      <c r="G105" s="548" t="n"/>
      <c r="H105" s="548" t="n"/>
      <c r="I105" s="548" t="n"/>
      <c r="J105" s="548" t="n"/>
      <c r="K105" s="548" t="n"/>
      <c r="L105" s="548" t="n"/>
      <c r="M105" s="548" t="n"/>
      <c r="N105" s="548" t="n"/>
      <c r="O105" s="548" t="n"/>
      <c r="P105" s="548" t="n"/>
      <c r="Q105" s="548" t="n"/>
      <c r="R105" s="548" t="n"/>
      <c r="S105" s="548" t="n"/>
      <c r="T105" s="548" t="n"/>
      <c r="U105" s="548" t="n"/>
      <c r="V105" s="548" t="n"/>
      <c r="W105" s="548" t="n"/>
      <c r="X105" s="548" t="n"/>
      <c r="Y105" s="548" t="n"/>
      <c r="Z105" s="21" t="n"/>
    </row>
    <row r="106" ht="15.75" customHeight="1" s="545">
      <c r="A106" s="548" t="n"/>
      <c r="B106" s="548" t="n"/>
      <c r="C106" s="548" t="n"/>
      <c r="D106" s="548" t="n"/>
      <c r="E106" s="548" t="n"/>
      <c r="F106" s="548" t="n"/>
      <c r="G106" s="548" t="n"/>
      <c r="H106" s="548" t="n"/>
      <c r="I106" s="548" t="n"/>
      <c r="J106" s="548" t="n"/>
      <c r="K106" s="548" t="n"/>
      <c r="L106" s="548" t="n"/>
      <c r="M106" s="548" t="n"/>
      <c r="N106" s="548" t="n"/>
      <c r="O106" s="548" t="n"/>
      <c r="P106" s="548" t="n"/>
      <c r="Q106" s="548" t="n"/>
      <c r="R106" s="548" t="n"/>
      <c r="S106" s="548" t="n"/>
      <c r="T106" s="548" t="n"/>
      <c r="U106" s="548" t="n"/>
      <c r="V106" s="548" t="n"/>
      <c r="W106" s="548" t="n"/>
      <c r="X106" s="548" t="n"/>
      <c r="Y106" s="548" t="n"/>
      <c r="Z106" s="21" t="n"/>
    </row>
    <row r="107" ht="15.75" customHeight="1" s="545">
      <c r="A107" s="548" t="n"/>
      <c r="B107" s="548" t="n"/>
      <c r="C107" s="548" t="n"/>
      <c r="D107" s="548" t="n"/>
      <c r="E107" s="548" t="n"/>
      <c r="F107" s="548" t="n"/>
      <c r="G107" s="548" t="n"/>
      <c r="H107" s="548" t="n"/>
      <c r="I107" s="548" t="n"/>
      <c r="J107" s="548" t="n"/>
      <c r="K107" s="548" t="n"/>
      <c r="L107" s="548" t="n"/>
      <c r="M107" s="548" t="n"/>
      <c r="N107" s="548" t="n"/>
      <c r="O107" s="548" t="n"/>
      <c r="P107" s="548" t="n"/>
      <c r="Q107" s="548" t="n"/>
      <c r="R107" s="548" t="n"/>
      <c r="S107" s="548" t="n"/>
      <c r="T107" s="548" t="n"/>
      <c r="U107" s="548" t="n"/>
      <c r="V107" s="548" t="n"/>
      <c r="W107" s="548" t="n"/>
      <c r="X107" s="548" t="n"/>
      <c r="Y107" s="548" t="n"/>
      <c r="Z107" s="21" t="n"/>
    </row>
    <row r="108" ht="15.75" customHeight="1" s="545">
      <c r="A108" s="548" t="n"/>
      <c r="B108" s="548" t="n"/>
      <c r="C108" s="548" t="n"/>
      <c r="D108" s="548" t="n"/>
      <c r="E108" s="548" t="n"/>
      <c r="F108" s="548" t="n"/>
      <c r="G108" s="548" t="n"/>
      <c r="H108" s="548" t="n"/>
      <c r="I108" s="548" t="n"/>
      <c r="J108" s="548" t="n"/>
      <c r="K108" s="548" t="n"/>
      <c r="L108" s="548" t="n"/>
      <c r="M108" s="548" t="n"/>
      <c r="N108" s="548" t="n"/>
      <c r="O108" s="548" t="n"/>
      <c r="P108" s="548" t="n"/>
      <c r="Q108" s="548" t="n"/>
      <c r="R108" s="548" t="n"/>
      <c r="S108" s="548" t="n"/>
      <c r="T108" s="548" t="n"/>
      <c r="U108" s="548" t="n"/>
      <c r="V108" s="548" t="n"/>
      <c r="W108" s="548" t="n"/>
      <c r="X108" s="548" t="n"/>
      <c r="Y108" s="548" t="n"/>
      <c r="Z108" s="21" t="n"/>
    </row>
    <row r="109" ht="15.75" customHeight="1" s="545">
      <c r="A109" s="548" t="n"/>
      <c r="B109" s="548" t="n"/>
      <c r="C109" s="548" t="n"/>
      <c r="D109" s="548" t="n"/>
      <c r="E109" s="548" t="n"/>
      <c r="F109" s="548" t="n"/>
      <c r="G109" s="548" t="n"/>
      <c r="H109" s="548" t="n"/>
      <c r="I109" s="548" t="n"/>
      <c r="J109" s="548" t="n"/>
      <c r="K109" s="548" t="n"/>
      <c r="L109" s="548" t="n"/>
      <c r="M109" s="548" t="n"/>
      <c r="N109" s="548" t="n"/>
      <c r="O109" s="548" t="n"/>
      <c r="P109" s="548" t="n"/>
      <c r="Q109" s="548" t="n"/>
      <c r="R109" s="548" t="n"/>
      <c r="S109" s="548" t="n"/>
      <c r="T109" s="548" t="n"/>
      <c r="U109" s="548" t="n"/>
      <c r="V109" s="548" t="n"/>
      <c r="W109" s="548" t="n"/>
      <c r="X109" s="548" t="n"/>
      <c r="Y109" s="548" t="n"/>
      <c r="Z109" s="21" t="n"/>
    </row>
    <row r="110" ht="15.75" customHeight="1" s="545">
      <c r="A110" s="548" t="n"/>
      <c r="B110" s="548" t="n"/>
      <c r="C110" s="548" t="n"/>
      <c r="D110" s="548" t="n"/>
      <c r="E110" s="548" t="n"/>
      <c r="F110" s="548" t="n"/>
      <c r="G110" s="548" t="n"/>
      <c r="H110" s="548" t="n"/>
      <c r="I110" s="548" t="n"/>
      <c r="J110" s="548" t="n"/>
      <c r="K110" s="548" t="n"/>
      <c r="L110" s="548" t="n"/>
      <c r="M110" s="548" t="n"/>
      <c r="N110" s="548" t="n"/>
      <c r="O110" s="548" t="n"/>
      <c r="P110" s="548" t="n"/>
      <c r="Q110" s="548" t="n"/>
      <c r="R110" s="548" t="n"/>
      <c r="S110" s="548" t="n"/>
      <c r="T110" s="548" t="n"/>
      <c r="U110" s="548" t="n"/>
      <c r="V110" s="548" t="n"/>
      <c r="W110" s="548" t="n"/>
      <c r="X110" s="548" t="n"/>
      <c r="Y110" s="548" t="n"/>
      <c r="Z110" s="21" t="n"/>
    </row>
    <row r="111" ht="15.75" customHeight="1" s="545">
      <c r="A111" s="548" t="n"/>
      <c r="B111" s="548" t="n"/>
      <c r="C111" s="548" t="n"/>
      <c r="D111" s="548" t="n"/>
      <c r="E111" s="548" t="n"/>
      <c r="F111" s="548" t="n"/>
      <c r="G111" s="548" t="n"/>
      <c r="H111" s="548" t="n"/>
      <c r="I111" s="548" t="n"/>
      <c r="J111" s="548" t="n"/>
      <c r="K111" s="548" t="n"/>
      <c r="L111" s="548" t="n"/>
      <c r="M111" s="548" t="n"/>
      <c r="N111" s="548" t="n"/>
      <c r="O111" s="548" t="n"/>
      <c r="P111" s="548" t="n"/>
      <c r="Q111" s="548" t="n"/>
      <c r="R111" s="548" t="n"/>
      <c r="S111" s="548" t="n"/>
      <c r="T111" s="548" t="n"/>
      <c r="U111" s="548" t="n"/>
      <c r="V111" s="548" t="n"/>
      <c r="W111" s="548" t="n"/>
      <c r="X111" s="548" t="n"/>
      <c r="Y111" s="548" t="n"/>
      <c r="Z111" s="21" t="n"/>
    </row>
    <row r="112" ht="15.75" customHeight="1" s="545">
      <c r="A112" s="548" t="n"/>
      <c r="B112" s="548" t="n"/>
      <c r="C112" s="548" t="n"/>
      <c r="D112" s="548" t="n"/>
      <c r="E112" s="548" t="n"/>
      <c r="F112" s="548" t="n"/>
      <c r="G112" s="548" t="n"/>
      <c r="H112" s="548" t="n"/>
      <c r="I112" s="548" t="n"/>
      <c r="J112" s="548" t="n"/>
      <c r="K112" s="548" t="n"/>
      <c r="L112" s="548" t="n"/>
      <c r="M112" s="548" t="n"/>
      <c r="N112" s="548" t="n"/>
      <c r="O112" s="548" t="n"/>
      <c r="P112" s="548" t="n"/>
      <c r="Q112" s="548" t="n"/>
      <c r="R112" s="548" t="n"/>
      <c r="S112" s="548" t="n"/>
      <c r="T112" s="548" t="n"/>
      <c r="U112" s="548" t="n"/>
      <c r="V112" s="548" t="n"/>
      <c r="W112" s="548" t="n"/>
      <c r="X112" s="548" t="n"/>
      <c r="Y112" s="548" t="n"/>
      <c r="Z112" s="21" t="n"/>
    </row>
    <row r="113" ht="15.75" customHeight="1" s="545">
      <c r="A113" s="548" t="n"/>
      <c r="B113" s="548" t="n"/>
      <c r="C113" s="548" t="n"/>
      <c r="D113" s="548" t="n"/>
      <c r="E113" s="548" t="n"/>
      <c r="F113" s="548" t="n"/>
      <c r="G113" s="548" t="n"/>
      <c r="H113" s="548" t="n"/>
      <c r="I113" s="548" t="n"/>
      <c r="J113" s="548" t="n"/>
      <c r="K113" s="548" t="n"/>
      <c r="L113" s="548" t="n"/>
      <c r="M113" s="548" t="n"/>
      <c r="N113" s="548" t="n"/>
      <c r="O113" s="548" t="n"/>
      <c r="P113" s="548" t="n"/>
      <c r="Q113" s="548" t="n"/>
      <c r="R113" s="548" t="n"/>
      <c r="S113" s="548" t="n"/>
      <c r="T113" s="548" t="n"/>
      <c r="U113" s="548" t="n"/>
      <c r="V113" s="548" t="n"/>
      <c r="W113" s="548" t="n"/>
      <c r="X113" s="548" t="n"/>
      <c r="Y113" s="548" t="n"/>
      <c r="Z113" s="21" t="n"/>
    </row>
    <row r="114" ht="15.75" customHeight="1" s="545">
      <c r="A114" s="548" t="n"/>
      <c r="B114" s="548" t="n"/>
      <c r="C114" s="548" t="n"/>
      <c r="D114" s="548" t="n"/>
      <c r="E114" s="548" t="n"/>
      <c r="F114" s="548" t="n"/>
      <c r="G114" s="548" t="n"/>
      <c r="H114" s="548" t="n"/>
      <c r="I114" s="548" t="n"/>
      <c r="J114" s="548" t="n"/>
      <c r="K114" s="548" t="n"/>
      <c r="L114" s="548" t="n"/>
      <c r="M114" s="548" t="n"/>
      <c r="N114" s="548" t="n"/>
      <c r="O114" s="548" t="n"/>
      <c r="P114" s="548" t="n"/>
      <c r="Q114" s="548" t="n"/>
      <c r="R114" s="548" t="n"/>
      <c r="S114" s="548" t="n"/>
      <c r="T114" s="548" t="n"/>
      <c r="U114" s="548" t="n"/>
      <c r="V114" s="548" t="n"/>
      <c r="W114" s="548" t="n"/>
      <c r="X114" s="548" t="n"/>
      <c r="Y114" s="548" t="n"/>
      <c r="Z114" s="21" t="n"/>
    </row>
    <row r="115" ht="15.75" customHeight="1" s="545">
      <c r="A115" s="548" t="n"/>
      <c r="B115" s="548" t="n"/>
      <c r="C115" s="548" t="n"/>
      <c r="D115" s="548" t="n"/>
      <c r="E115" s="548" t="n"/>
      <c r="F115" s="548" t="n"/>
      <c r="G115" s="548" t="n"/>
      <c r="H115" s="548" t="n"/>
      <c r="I115" s="548" t="n"/>
      <c r="J115" s="548" t="n"/>
      <c r="K115" s="548" t="n"/>
      <c r="L115" s="548" t="n"/>
      <c r="M115" s="548" t="n"/>
      <c r="N115" s="548" t="n"/>
      <c r="O115" s="548" t="n"/>
      <c r="P115" s="548" t="n"/>
      <c r="Q115" s="548" t="n"/>
      <c r="R115" s="548" t="n"/>
      <c r="S115" s="548" t="n"/>
      <c r="T115" s="548" t="n"/>
      <c r="U115" s="548" t="n"/>
      <c r="V115" s="548" t="n"/>
      <c r="W115" s="548" t="n"/>
      <c r="X115" s="548" t="n"/>
      <c r="Y115" s="548" t="n"/>
      <c r="Z115" s="21" t="n"/>
    </row>
    <row r="116" ht="15.75" customHeight="1" s="545">
      <c r="A116" s="548" t="n"/>
      <c r="B116" s="548" t="n"/>
      <c r="C116" s="548" t="n"/>
      <c r="D116" s="548" t="n"/>
      <c r="E116" s="548" t="n"/>
      <c r="F116" s="548" t="n"/>
      <c r="G116" s="548" t="n"/>
      <c r="H116" s="548" t="n"/>
      <c r="I116" s="548" t="n"/>
      <c r="J116" s="548" t="n"/>
      <c r="K116" s="548" t="n"/>
      <c r="L116" s="548" t="n"/>
      <c r="M116" s="548" t="n"/>
      <c r="N116" s="548" t="n"/>
      <c r="O116" s="548" t="n"/>
      <c r="P116" s="548" t="n"/>
      <c r="Q116" s="548" t="n"/>
      <c r="R116" s="548" t="n"/>
      <c r="S116" s="548" t="n"/>
      <c r="T116" s="548" t="n"/>
      <c r="U116" s="548" t="n"/>
      <c r="V116" s="548" t="n"/>
      <c r="W116" s="548" t="n"/>
      <c r="X116" s="548" t="n"/>
      <c r="Y116" s="548" t="n"/>
      <c r="Z116" s="21" t="n"/>
    </row>
    <row r="117" ht="15.75" customHeight="1" s="545">
      <c r="A117" s="548" t="n"/>
      <c r="B117" s="548" t="n"/>
      <c r="C117" s="548" t="n"/>
      <c r="D117" s="548" t="n"/>
      <c r="E117" s="548" t="n"/>
      <c r="F117" s="548" t="n"/>
      <c r="G117" s="548" t="n"/>
      <c r="H117" s="548" t="n"/>
      <c r="I117" s="548" t="n"/>
      <c r="J117" s="548" t="n"/>
      <c r="K117" s="548" t="n"/>
      <c r="L117" s="548" t="n"/>
      <c r="M117" s="548" t="n"/>
      <c r="N117" s="548" t="n"/>
      <c r="O117" s="548" t="n"/>
      <c r="P117" s="548" t="n"/>
      <c r="Q117" s="548" t="n"/>
      <c r="R117" s="548" t="n"/>
      <c r="S117" s="548" t="n"/>
      <c r="T117" s="548" t="n"/>
      <c r="U117" s="548" t="n"/>
      <c r="V117" s="548" t="n"/>
      <c r="W117" s="548" t="n"/>
      <c r="X117" s="548" t="n"/>
      <c r="Y117" s="548" t="n"/>
      <c r="Z117" s="21" t="n"/>
    </row>
    <row r="118" ht="15.75" customHeight="1" s="545">
      <c r="A118" s="548" t="n"/>
      <c r="B118" s="548" t="n"/>
      <c r="C118" s="548" t="n"/>
      <c r="D118" s="548" t="n"/>
      <c r="E118" s="548" t="n"/>
      <c r="F118" s="548" t="n"/>
      <c r="G118" s="548" t="n"/>
      <c r="H118" s="548" t="n"/>
      <c r="I118" s="548" t="n"/>
      <c r="J118" s="548" t="n"/>
      <c r="K118" s="548" t="n"/>
      <c r="L118" s="548" t="n"/>
      <c r="M118" s="548" t="n"/>
      <c r="N118" s="548" t="n"/>
      <c r="O118" s="548" t="n"/>
      <c r="P118" s="548" t="n"/>
      <c r="Q118" s="548" t="n"/>
      <c r="R118" s="548" t="n"/>
      <c r="S118" s="548" t="n"/>
      <c r="T118" s="548" t="n"/>
      <c r="U118" s="548" t="n"/>
      <c r="V118" s="548" t="n"/>
      <c r="W118" s="548" t="n"/>
      <c r="X118" s="548" t="n"/>
      <c r="Y118" s="548" t="n"/>
      <c r="Z118" s="21" t="n"/>
    </row>
    <row r="119" ht="15.75" customHeight="1" s="545">
      <c r="A119" s="548" t="n"/>
      <c r="B119" s="548" t="n"/>
      <c r="C119" s="548" t="n"/>
      <c r="D119" s="548" t="n"/>
      <c r="E119" s="548" t="n"/>
      <c r="F119" s="548" t="n"/>
      <c r="G119" s="548" t="n"/>
      <c r="H119" s="548" t="n"/>
      <c r="I119" s="548" t="n"/>
      <c r="J119" s="548" t="n"/>
      <c r="K119" s="548" t="n"/>
      <c r="L119" s="548" t="n"/>
      <c r="M119" s="548" t="n"/>
      <c r="N119" s="548" t="n"/>
      <c r="O119" s="548" t="n"/>
      <c r="P119" s="548" t="n"/>
      <c r="Q119" s="548" t="n"/>
      <c r="R119" s="548" t="n"/>
      <c r="S119" s="548" t="n"/>
      <c r="T119" s="548" t="n"/>
      <c r="U119" s="548" t="n"/>
      <c r="V119" s="548" t="n"/>
      <c r="W119" s="548" t="n"/>
      <c r="X119" s="548" t="n"/>
      <c r="Y119" s="548" t="n"/>
      <c r="Z119" s="21" t="n"/>
    </row>
    <row r="120" ht="15.75" customHeight="1" s="545">
      <c r="A120" s="548" t="n"/>
      <c r="B120" s="548" t="n"/>
      <c r="C120" s="548" t="n"/>
      <c r="D120" s="548" t="n"/>
      <c r="E120" s="548" t="n"/>
      <c r="F120" s="548" t="n"/>
      <c r="G120" s="548" t="n"/>
      <c r="H120" s="548" t="n"/>
      <c r="I120" s="548" t="n"/>
      <c r="J120" s="548" t="n"/>
      <c r="K120" s="548" t="n"/>
      <c r="L120" s="548" t="n"/>
      <c r="M120" s="548" t="n"/>
      <c r="N120" s="548" t="n"/>
      <c r="O120" s="548" t="n"/>
      <c r="P120" s="548" t="n"/>
      <c r="Q120" s="548" t="n"/>
      <c r="R120" s="548" t="n"/>
      <c r="S120" s="548" t="n"/>
      <c r="T120" s="548" t="n"/>
      <c r="U120" s="548" t="n"/>
      <c r="V120" s="548" t="n"/>
      <c r="W120" s="548" t="n"/>
      <c r="X120" s="548" t="n"/>
      <c r="Y120" s="548" t="n"/>
      <c r="Z120" s="21" t="n"/>
    </row>
    <row r="121" ht="15.75" customHeight="1" s="545">
      <c r="A121" s="548" t="n"/>
      <c r="B121" s="548" t="n"/>
      <c r="C121" s="548" t="n"/>
      <c r="D121" s="548" t="n"/>
      <c r="E121" s="548" t="n"/>
      <c r="F121" s="548" t="n"/>
      <c r="G121" s="548" t="n"/>
      <c r="H121" s="548" t="n"/>
      <c r="I121" s="548" t="n"/>
      <c r="J121" s="548" t="n"/>
      <c r="K121" s="548" t="n"/>
      <c r="L121" s="548" t="n"/>
      <c r="M121" s="548" t="n"/>
      <c r="N121" s="548" t="n"/>
      <c r="O121" s="548" t="n"/>
      <c r="P121" s="548" t="n"/>
      <c r="Q121" s="548" t="n"/>
      <c r="R121" s="548" t="n"/>
      <c r="S121" s="548" t="n"/>
      <c r="T121" s="548" t="n"/>
      <c r="U121" s="548" t="n"/>
      <c r="V121" s="548" t="n"/>
      <c r="W121" s="548" t="n"/>
      <c r="X121" s="548" t="n"/>
      <c r="Y121" s="548" t="n"/>
      <c r="Z121" s="21" t="n"/>
    </row>
    <row r="122" ht="15.75" customHeight="1" s="545">
      <c r="A122" s="548" t="n"/>
      <c r="B122" s="548" t="n"/>
      <c r="C122" s="548" t="n"/>
      <c r="D122" s="548" t="n"/>
      <c r="E122" s="548" t="n"/>
      <c r="F122" s="548" t="n"/>
      <c r="G122" s="548" t="n"/>
      <c r="H122" s="548" t="n"/>
      <c r="I122" s="548" t="n"/>
      <c r="J122" s="548" t="n"/>
      <c r="K122" s="548" t="n"/>
      <c r="L122" s="548" t="n"/>
      <c r="M122" s="548" t="n"/>
      <c r="N122" s="548" t="n"/>
      <c r="O122" s="548" t="n"/>
      <c r="P122" s="548" t="n"/>
      <c r="Q122" s="548" t="n"/>
      <c r="R122" s="548" t="n"/>
      <c r="S122" s="548" t="n"/>
      <c r="T122" s="548" t="n"/>
      <c r="U122" s="548" t="n"/>
      <c r="V122" s="548" t="n"/>
      <c r="W122" s="548" t="n"/>
      <c r="X122" s="548" t="n"/>
      <c r="Y122" s="548" t="n"/>
      <c r="Z122" s="21" t="n"/>
    </row>
    <row r="123" ht="15.75" customHeight="1" s="545">
      <c r="A123" s="548" t="n"/>
      <c r="B123" s="548" t="n"/>
      <c r="C123" s="548" t="n"/>
      <c r="D123" s="548" t="n"/>
      <c r="E123" s="548" t="n"/>
      <c r="F123" s="548" t="n"/>
      <c r="G123" s="548" t="n"/>
      <c r="H123" s="548" t="n"/>
      <c r="I123" s="548" t="n"/>
      <c r="J123" s="548" t="n"/>
      <c r="K123" s="548" t="n"/>
      <c r="L123" s="548" t="n"/>
      <c r="M123" s="548" t="n"/>
      <c r="N123" s="548" t="n"/>
      <c r="O123" s="548" t="n"/>
      <c r="P123" s="548" t="n"/>
      <c r="Q123" s="548" t="n"/>
      <c r="R123" s="548" t="n"/>
      <c r="S123" s="548" t="n"/>
      <c r="T123" s="548" t="n"/>
      <c r="U123" s="548" t="n"/>
      <c r="V123" s="548" t="n"/>
      <c r="W123" s="548" t="n"/>
      <c r="X123" s="548" t="n"/>
      <c r="Y123" s="548" t="n"/>
      <c r="Z123" s="21" t="n"/>
    </row>
    <row r="124" ht="15.75" customHeight="1" s="545">
      <c r="A124" s="548" t="n"/>
      <c r="B124" s="548" t="n"/>
      <c r="C124" s="548" t="n"/>
      <c r="D124" s="548" t="n"/>
      <c r="E124" s="548" t="n"/>
      <c r="F124" s="548" t="n"/>
      <c r="G124" s="548" t="n"/>
      <c r="H124" s="548" t="n"/>
      <c r="I124" s="548" t="n"/>
      <c r="J124" s="548" t="n"/>
      <c r="K124" s="548" t="n"/>
      <c r="L124" s="548" t="n"/>
      <c r="M124" s="548" t="n"/>
      <c r="N124" s="548" t="n"/>
      <c r="O124" s="548" t="n"/>
      <c r="P124" s="548" t="n"/>
      <c r="Q124" s="548" t="n"/>
      <c r="R124" s="548" t="n"/>
      <c r="S124" s="548" t="n"/>
      <c r="T124" s="548" t="n"/>
      <c r="U124" s="548" t="n"/>
      <c r="V124" s="548" t="n"/>
      <c r="W124" s="548" t="n"/>
      <c r="X124" s="548" t="n"/>
      <c r="Y124" s="548" t="n"/>
      <c r="Z124" s="21" t="n"/>
    </row>
    <row r="125" ht="15.75" customHeight="1" s="545">
      <c r="A125" s="548" t="n"/>
      <c r="B125" s="548" t="n"/>
      <c r="C125" s="548" t="n"/>
      <c r="D125" s="548" t="n"/>
      <c r="E125" s="548" t="n"/>
      <c r="F125" s="548" t="n"/>
      <c r="G125" s="548" t="n"/>
      <c r="H125" s="548" t="n"/>
      <c r="I125" s="548" t="n"/>
      <c r="J125" s="548" t="n"/>
      <c r="K125" s="548" t="n"/>
      <c r="L125" s="548" t="n"/>
      <c r="M125" s="548" t="n"/>
      <c r="N125" s="548" t="n"/>
      <c r="O125" s="548" t="n"/>
      <c r="P125" s="548" t="n"/>
      <c r="Q125" s="548" t="n"/>
      <c r="R125" s="548" t="n"/>
      <c r="S125" s="548" t="n"/>
      <c r="T125" s="548" t="n"/>
      <c r="U125" s="548" t="n"/>
      <c r="V125" s="548" t="n"/>
      <c r="W125" s="548" t="n"/>
      <c r="X125" s="548" t="n"/>
      <c r="Y125" s="548" t="n"/>
      <c r="Z125" s="21" t="n"/>
    </row>
    <row r="126" ht="15.75" customHeight="1" s="545">
      <c r="A126" s="548" t="n"/>
      <c r="B126" s="548" t="n"/>
      <c r="C126" s="548" t="n"/>
      <c r="D126" s="548" t="n"/>
      <c r="E126" s="548" t="n"/>
      <c r="F126" s="548" t="n"/>
      <c r="G126" s="548" t="n"/>
      <c r="H126" s="548" t="n"/>
      <c r="I126" s="548" t="n"/>
      <c r="J126" s="548" t="n"/>
      <c r="K126" s="548" t="n"/>
      <c r="L126" s="548" t="n"/>
      <c r="M126" s="548" t="n"/>
      <c r="N126" s="548" t="n"/>
      <c r="O126" s="548" t="n"/>
      <c r="P126" s="548" t="n"/>
      <c r="Q126" s="548" t="n"/>
      <c r="R126" s="548" t="n"/>
      <c r="S126" s="548" t="n"/>
      <c r="T126" s="548" t="n"/>
      <c r="U126" s="548" t="n"/>
      <c r="V126" s="548" t="n"/>
      <c r="W126" s="548" t="n"/>
      <c r="X126" s="548" t="n"/>
      <c r="Y126" s="548" t="n"/>
      <c r="Z126" s="21" t="n"/>
    </row>
    <row r="127" ht="15.75" customHeight="1" s="545">
      <c r="A127" s="548" t="n"/>
      <c r="B127" s="548" t="n"/>
      <c r="C127" s="548" t="n"/>
      <c r="D127" s="548" t="n"/>
      <c r="E127" s="548" t="n"/>
      <c r="F127" s="548" t="n"/>
      <c r="G127" s="548" t="n"/>
      <c r="H127" s="548" t="n"/>
      <c r="I127" s="548" t="n"/>
      <c r="J127" s="548" t="n"/>
      <c r="K127" s="548" t="n"/>
      <c r="L127" s="548" t="n"/>
      <c r="M127" s="548" t="n"/>
      <c r="N127" s="548" t="n"/>
      <c r="O127" s="548" t="n"/>
      <c r="P127" s="548" t="n"/>
      <c r="Q127" s="548" t="n"/>
      <c r="R127" s="548" t="n"/>
      <c r="S127" s="548" t="n"/>
      <c r="T127" s="548" t="n"/>
      <c r="U127" s="548" t="n"/>
      <c r="V127" s="548" t="n"/>
      <c r="W127" s="548" t="n"/>
      <c r="X127" s="548" t="n"/>
      <c r="Y127" s="548" t="n"/>
      <c r="Z127" s="21" t="n"/>
    </row>
    <row r="128" ht="15.75" customHeight="1" s="545">
      <c r="A128" s="548" t="n"/>
      <c r="B128" s="548" t="n"/>
      <c r="C128" s="548" t="n"/>
      <c r="D128" s="548" t="n"/>
      <c r="E128" s="548" t="n"/>
      <c r="F128" s="548" t="n"/>
      <c r="G128" s="548" t="n"/>
      <c r="H128" s="548" t="n"/>
      <c r="I128" s="548" t="n"/>
      <c r="J128" s="548" t="n"/>
      <c r="K128" s="548" t="n"/>
      <c r="L128" s="548" t="n"/>
      <c r="M128" s="548" t="n"/>
      <c r="N128" s="548" t="n"/>
      <c r="O128" s="548" t="n"/>
      <c r="P128" s="548" t="n"/>
      <c r="Q128" s="548" t="n"/>
      <c r="R128" s="548" t="n"/>
      <c r="S128" s="548" t="n"/>
      <c r="T128" s="548" t="n"/>
      <c r="U128" s="548" t="n"/>
      <c r="V128" s="548" t="n"/>
      <c r="W128" s="548" t="n"/>
      <c r="X128" s="548" t="n"/>
      <c r="Y128" s="548" t="n"/>
      <c r="Z128" s="21" t="n"/>
    </row>
    <row r="129" ht="15.75" customHeight="1" s="545">
      <c r="A129" s="548" t="n"/>
      <c r="B129" s="548" t="n"/>
      <c r="C129" s="548" t="n"/>
      <c r="D129" s="548" t="n"/>
      <c r="E129" s="548" t="n"/>
      <c r="F129" s="548" t="n"/>
      <c r="G129" s="548" t="n"/>
      <c r="H129" s="548" t="n"/>
      <c r="I129" s="548" t="n"/>
      <c r="J129" s="548" t="n"/>
      <c r="K129" s="548" t="n"/>
      <c r="L129" s="548" t="n"/>
      <c r="M129" s="548" t="n"/>
      <c r="N129" s="548" t="n"/>
      <c r="O129" s="548" t="n"/>
      <c r="P129" s="548" t="n"/>
      <c r="Q129" s="548" t="n"/>
      <c r="R129" s="548" t="n"/>
      <c r="S129" s="548" t="n"/>
      <c r="T129" s="548" t="n"/>
      <c r="U129" s="548" t="n"/>
      <c r="V129" s="548" t="n"/>
      <c r="W129" s="548" t="n"/>
      <c r="X129" s="548" t="n"/>
      <c r="Y129" s="548" t="n"/>
      <c r="Z129" s="21" t="n"/>
    </row>
    <row r="130" ht="15.75" customHeight="1" s="545">
      <c r="A130" s="548" t="n"/>
      <c r="B130" s="548" t="n"/>
      <c r="C130" s="548" t="n"/>
      <c r="D130" s="548" t="n"/>
      <c r="E130" s="548" t="n"/>
      <c r="F130" s="548" t="n"/>
      <c r="G130" s="548" t="n"/>
      <c r="H130" s="548" t="n"/>
      <c r="I130" s="548" t="n"/>
      <c r="J130" s="548" t="n"/>
      <c r="K130" s="548" t="n"/>
      <c r="L130" s="548" t="n"/>
      <c r="M130" s="548" t="n"/>
      <c r="N130" s="548" t="n"/>
      <c r="O130" s="548" t="n"/>
      <c r="P130" s="548" t="n"/>
      <c r="Q130" s="548" t="n"/>
      <c r="R130" s="548" t="n"/>
      <c r="S130" s="548" t="n"/>
      <c r="T130" s="548" t="n"/>
      <c r="U130" s="548" t="n"/>
      <c r="V130" s="548" t="n"/>
      <c r="W130" s="548" t="n"/>
      <c r="X130" s="548" t="n"/>
      <c r="Y130" s="548" t="n"/>
      <c r="Z130" s="21" t="n"/>
    </row>
    <row r="131" ht="15.75" customHeight="1" s="545">
      <c r="A131" s="548" t="n"/>
      <c r="B131" s="548" t="n"/>
      <c r="C131" s="548" t="n"/>
      <c r="D131" s="548" t="n"/>
      <c r="E131" s="548" t="n"/>
      <c r="F131" s="548" t="n"/>
      <c r="G131" s="548" t="n"/>
      <c r="H131" s="548" t="n"/>
      <c r="I131" s="548" t="n"/>
      <c r="J131" s="548" t="n"/>
      <c r="K131" s="548" t="n"/>
      <c r="L131" s="548" t="n"/>
      <c r="M131" s="548" t="n"/>
      <c r="N131" s="548" t="n"/>
      <c r="O131" s="548" t="n"/>
      <c r="P131" s="548" t="n"/>
      <c r="Q131" s="548" t="n"/>
      <c r="R131" s="548" t="n"/>
      <c r="S131" s="548" t="n"/>
      <c r="T131" s="548" t="n"/>
      <c r="U131" s="548" t="n"/>
      <c r="V131" s="548" t="n"/>
      <c r="W131" s="548" t="n"/>
      <c r="X131" s="548" t="n"/>
      <c r="Y131" s="548" t="n"/>
      <c r="Z131" s="21" t="n"/>
    </row>
    <row r="132" ht="15.75" customHeight="1" s="545">
      <c r="A132" s="548" t="n"/>
      <c r="B132" s="548" t="n"/>
      <c r="C132" s="548" t="n"/>
      <c r="D132" s="548" t="n"/>
      <c r="E132" s="548" t="n"/>
      <c r="F132" s="548" t="n"/>
      <c r="G132" s="548" t="n"/>
      <c r="H132" s="548" t="n"/>
      <c r="I132" s="548" t="n"/>
      <c r="J132" s="548" t="n"/>
      <c r="K132" s="548" t="n"/>
      <c r="L132" s="548" t="n"/>
      <c r="M132" s="548" t="n"/>
      <c r="N132" s="548" t="n"/>
      <c r="O132" s="548" t="n"/>
      <c r="P132" s="548" t="n"/>
      <c r="Q132" s="548" t="n"/>
      <c r="R132" s="548" t="n"/>
      <c r="S132" s="548" t="n"/>
      <c r="T132" s="548" t="n"/>
      <c r="U132" s="548" t="n"/>
      <c r="V132" s="548" t="n"/>
      <c r="W132" s="548" t="n"/>
      <c r="X132" s="548" t="n"/>
      <c r="Y132" s="548" t="n"/>
      <c r="Z132" s="21" t="n"/>
    </row>
    <row r="133" ht="15.75" customHeight="1" s="545">
      <c r="A133" s="548" t="n"/>
      <c r="B133" s="548" t="n"/>
      <c r="C133" s="548" t="n"/>
      <c r="D133" s="548" t="n"/>
      <c r="E133" s="548" t="n"/>
      <c r="F133" s="548" t="n"/>
      <c r="G133" s="548" t="n"/>
      <c r="H133" s="548" t="n"/>
      <c r="I133" s="548" t="n"/>
      <c r="J133" s="548" t="n"/>
      <c r="K133" s="548" t="n"/>
      <c r="L133" s="548" t="n"/>
      <c r="M133" s="548" t="n"/>
      <c r="N133" s="548" t="n"/>
      <c r="O133" s="548" t="n"/>
      <c r="P133" s="548" t="n"/>
      <c r="Q133" s="548" t="n"/>
      <c r="R133" s="548" t="n"/>
      <c r="S133" s="548" t="n"/>
      <c r="T133" s="548" t="n"/>
      <c r="U133" s="548" t="n"/>
      <c r="V133" s="548" t="n"/>
      <c r="W133" s="548" t="n"/>
      <c r="X133" s="548" t="n"/>
      <c r="Y133" s="548" t="n"/>
      <c r="Z133" s="21" t="n"/>
    </row>
    <row r="134" ht="15.75" customHeight="1" s="545">
      <c r="A134" s="548" t="n"/>
      <c r="B134" s="548" t="n"/>
      <c r="C134" s="548" t="n"/>
      <c r="D134" s="548" t="n"/>
      <c r="E134" s="548" t="n"/>
      <c r="F134" s="548" t="n"/>
      <c r="G134" s="548" t="n"/>
      <c r="H134" s="548" t="n"/>
      <c r="I134" s="548" t="n"/>
      <c r="J134" s="548" t="n"/>
      <c r="K134" s="548" t="n"/>
      <c r="L134" s="548" t="n"/>
      <c r="M134" s="548" t="n"/>
      <c r="N134" s="548" t="n"/>
      <c r="O134" s="548" t="n"/>
      <c r="P134" s="548" t="n"/>
      <c r="Q134" s="548" t="n"/>
      <c r="R134" s="548" t="n"/>
      <c r="S134" s="548" t="n"/>
      <c r="T134" s="548" t="n"/>
      <c r="U134" s="548" t="n"/>
      <c r="V134" s="548" t="n"/>
      <c r="W134" s="548" t="n"/>
      <c r="X134" s="548" t="n"/>
      <c r="Y134" s="548" t="n"/>
      <c r="Z134" s="21" t="n"/>
    </row>
    <row r="135" ht="15.75" customHeight="1" s="545">
      <c r="A135" s="548" t="n"/>
      <c r="B135" s="548" t="n"/>
      <c r="C135" s="548" t="n"/>
      <c r="D135" s="548" t="n"/>
      <c r="E135" s="548" t="n"/>
      <c r="F135" s="548" t="n"/>
      <c r="G135" s="548" t="n"/>
      <c r="H135" s="548" t="n"/>
      <c r="I135" s="548" t="n"/>
      <c r="J135" s="548" t="n"/>
      <c r="K135" s="548" t="n"/>
      <c r="L135" s="548" t="n"/>
      <c r="M135" s="548" t="n"/>
      <c r="N135" s="548" t="n"/>
      <c r="O135" s="548" t="n"/>
      <c r="P135" s="548" t="n"/>
      <c r="Q135" s="548" t="n"/>
      <c r="R135" s="548" t="n"/>
      <c r="S135" s="548" t="n"/>
      <c r="T135" s="548" t="n"/>
      <c r="U135" s="548" t="n"/>
      <c r="V135" s="548" t="n"/>
      <c r="W135" s="548" t="n"/>
      <c r="X135" s="548" t="n"/>
      <c r="Y135" s="548" t="n"/>
      <c r="Z135" s="21" t="n"/>
    </row>
    <row r="136" ht="15.75" customHeight="1" s="545">
      <c r="A136" s="548" t="n"/>
      <c r="B136" s="548" t="n"/>
      <c r="C136" s="548" t="n"/>
      <c r="D136" s="548" t="n"/>
      <c r="E136" s="548" t="n"/>
      <c r="F136" s="548" t="n"/>
      <c r="G136" s="548" t="n"/>
      <c r="H136" s="548" t="n"/>
      <c r="I136" s="548" t="n"/>
      <c r="J136" s="548" t="n"/>
      <c r="K136" s="548" t="n"/>
      <c r="L136" s="548" t="n"/>
      <c r="M136" s="548" t="n"/>
      <c r="N136" s="548" t="n"/>
      <c r="O136" s="548" t="n"/>
      <c r="P136" s="548" t="n"/>
      <c r="Q136" s="548" t="n"/>
      <c r="R136" s="548" t="n"/>
      <c r="S136" s="548" t="n"/>
      <c r="T136" s="548" t="n"/>
      <c r="U136" s="548" t="n"/>
      <c r="V136" s="548" t="n"/>
      <c r="W136" s="548" t="n"/>
      <c r="X136" s="548" t="n"/>
      <c r="Y136" s="548" t="n"/>
      <c r="Z136" s="21" t="n"/>
    </row>
    <row r="137" ht="15.75" customHeight="1" s="545">
      <c r="A137" s="548" t="n"/>
      <c r="B137" s="548" t="n"/>
      <c r="C137" s="548" t="n"/>
      <c r="D137" s="548" t="n"/>
      <c r="E137" s="548" t="n"/>
      <c r="F137" s="548" t="n"/>
      <c r="G137" s="548" t="n"/>
      <c r="H137" s="548" t="n"/>
      <c r="I137" s="548" t="n"/>
      <c r="J137" s="548" t="n"/>
      <c r="K137" s="548" t="n"/>
      <c r="L137" s="548" t="n"/>
      <c r="M137" s="548" t="n"/>
      <c r="N137" s="548" t="n"/>
      <c r="O137" s="548" t="n"/>
      <c r="P137" s="548" t="n"/>
      <c r="Q137" s="548" t="n"/>
      <c r="R137" s="548" t="n"/>
      <c r="S137" s="548" t="n"/>
      <c r="T137" s="548" t="n"/>
      <c r="U137" s="548" t="n"/>
      <c r="V137" s="548" t="n"/>
      <c r="W137" s="548" t="n"/>
      <c r="X137" s="548" t="n"/>
      <c r="Y137" s="548" t="n"/>
      <c r="Z137" s="21" t="n"/>
    </row>
    <row r="138" ht="15.75" customHeight="1" s="545">
      <c r="A138" s="548" t="n"/>
      <c r="B138" s="548" t="n"/>
      <c r="C138" s="548" t="n"/>
      <c r="D138" s="548" t="n"/>
      <c r="E138" s="548" t="n"/>
      <c r="F138" s="548" t="n"/>
      <c r="G138" s="548" t="n"/>
      <c r="H138" s="548" t="n"/>
      <c r="I138" s="548" t="n"/>
      <c r="J138" s="548" t="n"/>
      <c r="K138" s="548" t="n"/>
      <c r="L138" s="548" t="n"/>
      <c r="M138" s="548" t="n"/>
      <c r="N138" s="548" t="n"/>
      <c r="O138" s="548" t="n"/>
      <c r="P138" s="548" t="n"/>
      <c r="Q138" s="548" t="n"/>
      <c r="R138" s="548" t="n"/>
      <c r="S138" s="548" t="n"/>
      <c r="T138" s="548" t="n"/>
      <c r="U138" s="548" t="n"/>
      <c r="V138" s="548" t="n"/>
      <c r="W138" s="548" t="n"/>
      <c r="X138" s="548" t="n"/>
      <c r="Y138" s="548" t="n"/>
      <c r="Z138" s="21" t="n"/>
    </row>
    <row r="139" ht="15.75" customHeight="1" s="545">
      <c r="A139" s="548" t="n"/>
      <c r="B139" s="548" t="n"/>
      <c r="C139" s="548" t="n"/>
      <c r="D139" s="548" t="n"/>
      <c r="E139" s="548" t="n"/>
      <c r="F139" s="548" t="n"/>
      <c r="G139" s="548" t="n"/>
      <c r="H139" s="548" t="n"/>
      <c r="I139" s="548" t="n"/>
      <c r="J139" s="548" t="n"/>
      <c r="K139" s="548" t="n"/>
      <c r="L139" s="548" t="n"/>
      <c r="M139" s="548" t="n"/>
      <c r="N139" s="548" t="n"/>
      <c r="O139" s="548" t="n"/>
      <c r="P139" s="548" t="n"/>
      <c r="Q139" s="548" t="n"/>
      <c r="R139" s="548" t="n"/>
      <c r="S139" s="548" t="n"/>
      <c r="T139" s="548" t="n"/>
      <c r="U139" s="548" t="n"/>
      <c r="V139" s="548" t="n"/>
      <c r="W139" s="548" t="n"/>
      <c r="X139" s="548" t="n"/>
      <c r="Y139" s="548" t="n"/>
      <c r="Z139" s="21" t="n"/>
    </row>
    <row r="140" ht="15.75" customHeight="1" s="545">
      <c r="A140" s="548" t="n"/>
      <c r="B140" s="548" t="n"/>
      <c r="C140" s="548" t="n"/>
      <c r="D140" s="548" t="n"/>
      <c r="E140" s="548" t="n"/>
      <c r="F140" s="548" t="n"/>
      <c r="G140" s="548" t="n"/>
      <c r="H140" s="548" t="n"/>
      <c r="I140" s="548" t="n"/>
      <c r="J140" s="548" t="n"/>
      <c r="K140" s="548" t="n"/>
      <c r="L140" s="548" t="n"/>
      <c r="M140" s="548" t="n"/>
      <c r="N140" s="548" t="n"/>
      <c r="O140" s="548" t="n"/>
      <c r="P140" s="548" t="n"/>
      <c r="Q140" s="548" t="n"/>
      <c r="R140" s="548" t="n"/>
      <c r="S140" s="548" t="n"/>
      <c r="T140" s="548" t="n"/>
      <c r="U140" s="548" t="n"/>
      <c r="V140" s="548" t="n"/>
      <c r="W140" s="548" t="n"/>
      <c r="X140" s="548" t="n"/>
      <c r="Y140" s="548" t="n"/>
      <c r="Z140" s="21" t="n"/>
    </row>
    <row r="141" ht="15.75" customHeight="1" s="545">
      <c r="A141" s="548" t="n"/>
      <c r="B141" s="548" t="n"/>
      <c r="C141" s="548" t="n"/>
      <c r="D141" s="548" t="n"/>
      <c r="E141" s="548" t="n"/>
      <c r="F141" s="548" t="n"/>
      <c r="G141" s="548" t="n"/>
      <c r="H141" s="548" t="n"/>
      <c r="I141" s="548" t="n"/>
      <c r="J141" s="548" t="n"/>
      <c r="K141" s="548" t="n"/>
      <c r="L141" s="548" t="n"/>
      <c r="M141" s="548" t="n"/>
      <c r="N141" s="548" t="n"/>
      <c r="O141" s="548" t="n"/>
      <c r="P141" s="548" t="n"/>
      <c r="Q141" s="548" t="n"/>
      <c r="R141" s="548" t="n"/>
      <c r="S141" s="548" t="n"/>
      <c r="T141" s="548" t="n"/>
      <c r="U141" s="548" t="n"/>
      <c r="V141" s="548" t="n"/>
      <c r="W141" s="548" t="n"/>
      <c r="X141" s="548" t="n"/>
      <c r="Y141" s="548" t="n"/>
      <c r="Z141" s="21" t="n"/>
    </row>
    <row r="142" ht="15.75" customHeight="1" s="545">
      <c r="A142" s="548" t="n"/>
      <c r="B142" s="548" t="n"/>
      <c r="C142" s="548" t="n"/>
      <c r="D142" s="548" t="n"/>
      <c r="E142" s="548" t="n"/>
      <c r="F142" s="548" t="n"/>
      <c r="G142" s="548" t="n"/>
      <c r="H142" s="548" t="n"/>
      <c r="I142" s="548" t="n"/>
      <c r="J142" s="548" t="n"/>
      <c r="K142" s="548" t="n"/>
      <c r="L142" s="548" t="n"/>
      <c r="M142" s="548" t="n"/>
      <c r="N142" s="548" t="n"/>
      <c r="O142" s="548" t="n"/>
      <c r="P142" s="548" t="n"/>
      <c r="Q142" s="548" t="n"/>
      <c r="R142" s="548" t="n"/>
      <c r="S142" s="548" t="n"/>
      <c r="T142" s="548" t="n"/>
      <c r="U142" s="548" t="n"/>
      <c r="V142" s="548" t="n"/>
      <c r="W142" s="548" t="n"/>
      <c r="X142" s="548" t="n"/>
      <c r="Y142" s="548" t="n"/>
      <c r="Z142" s="21" t="n"/>
    </row>
    <row r="143" ht="15.75" customHeight="1" s="545">
      <c r="A143" s="548" t="n"/>
      <c r="B143" s="548" t="n"/>
      <c r="C143" s="548" t="n"/>
      <c r="D143" s="548" t="n"/>
      <c r="E143" s="548" t="n"/>
      <c r="F143" s="548" t="n"/>
      <c r="G143" s="548" t="n"/>
      <c r="H143" s="548" t="n"/>
      <c r="I143" s="548" t="n"/>
      <c r="J143" s="548" t="n"/>
      <c r="K143" s="548" t="n"/>
      <c r="L143" s="548" t="n"/>
      <c r="M143" s="548" t="n"/>
      <c r="N143" s="548" t="n"/>
      <c r="O143" s="548" t="n"/>
      <c r="P143" s="548" t="n"/>
      <c r="Q143" s="548" t="n"/>
      <c r="R143" s="548" t="n"/>
      <c r="S143" s="548" t="n"/>
      <c r="T143" s="548" t="n"/>
      <c r="U143" s="548" t="n"/>
      <c r="V143" s="548" t="n"/>
      <c r="W143" s="548" t="n"/>
      <c r="X143" s="548" t="n"/>
      <c r="Y143" s="548" t="n"/>
      <c r="Z143" s="21" t="n"/>
    </row>
    <row r="144" ht="15.75" customHeight="1" s="545">
      <c r="A144" s="548" t="n"/>
      <c r="B144" s="548" t="n"/>
      <c r="C144" s="548" t="n"/>
      <c r="D144" s="548" t="n"/>
      <c r="E144" s="548" t="n"/>
      <c r="F144" s="548" t="n"/>
      <c r="G144" s="548" t="n"/>
      <c r="H144" s="548" t="n"/>
      <c r="I144" s="548" t="n"/>
      <c r="J144" s="548" t="n"/>
      <c r="K144" s="548" t="n"/>
      <c r="L144" s="548" t="n"/>
      <c r="M144" s="548" t="n"/>
      <c r="N144" s="548" t="n"/>
      <c r="O144" s="548" t="n"/>
      <c r="P144" s="548" t="n"/>
      <c r="Q144" s="548" t="n"/>
      <c r="R144" s="548" t="n"/>
      <c r="S144" s="548" t="n"/>
      <c r="T144" s="548" t="n"/>
      <c r="U144" s="548" t="n"/>
      <c r="V144" s="548" t="n"/>
      <c r="W144" s="548" t="n"/>
      <c r="X144" s="548" t="n"/>
      <c r="Y144" s="548" t="n"/>
      <c r="Z144" s="21" t="n"/>
    </row>
    <row r="145" ht="15.75" customHeight="1" s="545">
      <c r="A145" s="548" t="n"/>
      <c r="B145" s="548" t="n"/>
      <c r="C145" s="548" t="n"/>
      <c r="D145" s="548" t="n"/>
      <c r="E145" s="548" t="n"/>
      <c r="F145" s="548" t="n"/>
      <c r="G145" s="548" t="n"/>
      <c r="H145" s="548" t="n"/>
      <c r="I145" s="548" t="n"/>
      <c r="J145" s="548" t="n"/>
      <c r="K145" s="548" t="n"/>
      <c r="L145" s="548" t="n"/>
      <c r="M145" s="548" t="n"/>
      <c r="N145" s="548" t="n"/>
      <c r="O145" s="548" t="n"/>
      <c r="P145" s="548" t="n"/>
      <c r="Q145" s="548" t="n"/>
      <c r="R145" s="548" t="n"/>
      <c r="S145" s="548" t="n"/>
      <c r="T145" s="548" t="n"/>
      <c r="U145" s="548" t="n"/>
      <c r="V145" s="548" t="n"/>
      <c r="W145" s="548" t="n"/>
      <c r="X145" s="548" t="n"/>
      <c r="Y145" s="548" t="n"/>
      <c r="Z145" s="21" t="n"/>
    </row>
    <row r="146" ht="15.75" customHeight="1" s="545">
      <c r="A146" s="548" t="n"/>
      <c r="B146" s="548" t="n"/>
      <c r="C146" s="548" t="n"/>
      <c r="D146" s="548" t="n"/>
      <c r="E146" s="548" t="n"/>
      <c r="F146" s="548" t="n"/>
      <c r="G146" s="548" t="n"/>
      <c r="H146" s="548" t="n"/>
      <c r="I146" s="548" t="n"/>
      <c r="J146" s="548" t="n"/>
      <c r="K146" s="548" t="n"/>
      <c r="L146" s="548" t="n"/>
      <c r="M146" s="548" t="n"/>
      <c r="N146" s="548" t="n"/>
      <c r="O146" s="548" t="n"/>
      <c r="P146" s="548" t="n"/>
      <c r="Q146" s="548" t="n"/>
      <c r="R146" s="548" t="n"/>
      <c r="S146" s="548" t="n"/>
      <c r="T146" s="548" t="n"/>
      <c r="U146" s="548" t="n"/>
      <c r="V146" s="548" t="n"/>
      <c r="W146" s="548" t="n"/>
      <c r="X146" s="548" t="n"/>
      <c r="Y146" s="548" t="n"/>
      <c r="Z146" s="21" t="n"/>
    </row>
    <row r="147" ht="15.75" customHeight="1" s="545">
      <c r="A147" s="548" t="n"/>
      <c r="B147" s="548" t="n"/>
      <c r="C147" s="548" t="n"/>
      <c r="D147" s="548" t="n"/>
      <c r="E147" s="548" t="n"/>
      <c r="F147" s="548" t="n"/>
      <c r="G147" s="548" t="n"/>
      <c r="H147" s="548" t="n"/>
      <c r="I147" s="548" t="n"/>
      <c r="J147" s="548" t="n"/>
      <c r="K147" s="548" t="n"/>
      <c r="L147" s="548" t="n"/>
      <c r="M147" s="548" t="n"/>
      <c r="N147" s="548" t="n"/>
      <c r="O147" s="548" t="n"/>
      <c r="P147" s="548" t="n"/>
      <c r="Q147" s="548" t="n"/>
      <c r="R147" s="548" t="n"/>
      <c r="S147" s="548" t="n"/>
      <c r="T147" s="548" t="n"/>
      <c r="U147" s="548" t="n"/>
      <c r="V147" s="548" t="n"/>
      <c r="W147" s="548" t="n"/>
      <c r="X147" s="548" t="n"/>
      <c r="Y147" s="548" t="n"/>
      <c r="Z147" s="21" t="n"/>
    </row>
    <row r="148" ht="15.75" customHeight="1" s="545">
      <c r="A148" s="548" t="n"/>
      <c r="B148" s="548" t="n"/>
      <c r="C148" s="548" t="n"/>
      <c r="D148" s="548" t="n"/>
      <c r="E148" s="548" t="n"/>
      <c r="F148" s="548" t="n"/>
      <c r="G148" s="548" t="n"/>
      <c r="H148" s="548" t="n"/>
      <c r="I148" s="548" t="n"/>
      <c r="J148" s="548" t="n"/>
      <c r="K148" s="548" t="n"/>
      <c r="L148" s="548" t="n"/>
      <c r="M148" s="548" t="n"/>
      <c r="N148" s="548" t="n"/>
      <c r="O148" s="548" t="n"/>
      <c r="P148" s="548" t="n"/>
      <c r="Q148" s="548" t="n"/>
      <c r="R148" s="548" t="n"/>
      <c r="S148" s="548" t="n"/>
      <c r="T148" s="548" t="n"/>
      <c r="U148" s="548" t="n"/>
      <c r="V148" s="548" t="n"/>
      <c r="W148" s="548" t="n"/>
      <c r="X148" s="548" t="n"/>
      <c r="Y148" s="548" t="n"/>
      <c r="Z148" s="21" t="n"/>
    </row>
    <row r="149" ht="15.75" customHeight="1" s="545">
      <c r="A149" s="548" t="n"/>
      <c r="B149" s="548" t="n"/>
      <c r="C149" s="548" t="n"/>
      <c r="D149" s="548" t="n"/>
      <c r="E149" s="548" t="n"/>
      <c r="F149" s="548" t="n"/>
      <c r="G149" s="548" t="n"/>
      <c r="H149" s="548" t="n"/>
      <c r="I149" s="548" t="n"/>
      <c r="J149" s="548" t="n"/>
      <c r="K149" s="548" t="n"/>
      <c r="L149" s="548" t="n"/>
      <c r="M149" s="548" t="n"/>
      <c r="N149" s="548" t="n"/>
      <c r="O149" s="548" t="n"/>
      <c r="P149" s="548" t="n"/>
      <c r="Q149" s="548" t="n"/>
      <c r="R149" s="548" t="n"/>
      <c r="S149" s="548" t="n"/>
      <c r="T149" s="548" t="n"/>
      <c r="U149" s="548" t="n"/>
      <c r="V149" s="548" t="n"/>
      <c r="W149" s="548" t="n"/>
      <c r="X149" s="548" t="n"/>
      <c r="Y149" s="548" t="n"/>
      <c r="Z149" s="21" t="n"/>
    </row>
    <row r="150" ht="15.75" customHeight="1" s="545">
      <c r="A150" s="548" t="n"/>
      <c r="B150" s="548" t="n"/>
      <c r="C150" s="548" t="n"/>
      <c r="D150" s="548" t="n"/>
      <c r="E150" s="548" t="n"/>
      <c r="F150" s="548" t="n"/>
      <c r="G150" s="548" t="n"/>
      <c r="H150" s="548" t="n"/>
      <c r="I150" s="548" t="n"/>
      <c r="J150" s="548" t="n"/>
      <c r="K150" s="548" t="n"/>
      <c r="L150" s="548" t="n"/>
      <c r="M150" s="548" t="n"/>
      <c r="N150" s="548" t="n"/>
      <c r="O150" s="548" t="n"/>
      <c r="P150" s="548" t="n"/>
      <c r="Q150" s="548" t="n"/>
      <c r="R150" s="548" t="n"/>
      <c r="S150" s="548" t="n"/>
      <c r="T150" s="548" t="n"/>
      <c r="U150" s="548" t="n"/>
      <c r="V150" s="548" t="n"/>
      <c r="W150" s="548" t="n"/>
      <c r="X150" s="548" t="n"/>
      <c r="Y150" s="548" t="n"/>
      <c r="Z150" s="21" t="n"/>
    </row>
    <row r="151" ht="15.75" customHeight="1" s="545">
      <c r="A151" s="548" t="n"/>
      <c r="B151" s="548" t="n"/>
      <c r="C151" s="548" t="n"/>
      <c r="D151" s="548" t="n"/>
      <c r="E151" s="548" t="n"/>
      <c r="F151" s="548" t="n"/>
      <c r="G151" s="548" t="n"/>
      <c r="H151" s="548" t="n"/>
      <c r="I151" s="548" t="n"/>
      <c r="J151" s="548" t="n"/>
      <c r="K151" s="548" t="n"/>
      <c r="L151" s="548" t="n"/>
      <c r="M151" s="548" t="n"/>
      <c r="N151" s="548" t="n"/>
      <c r="O151" s="548" t="n"/>
      <c r="P151" s="548" t="n"/>
      <c r="Q151" s="548" t="n"/>
      <c r="R151" s="548" t="n"/>
      <c r="S151" s="548" t="n"/>
      <c r="T151" s="548" t="n"/>
      <c r="U151" s="548" t="n"/>
      <c r="V151" s="548" t="n"/>
      <c r="W151" s="548" t="n"/>
      <c r="X151" s="548" t="n"/>
      <c r="Y151" s="548" t="n"/>
      <c r="Z151" s="21" t="n"/>
    </row>
    <row r="152" ht="15.75" customHeight="1" s="545">
      <c r="A152" s="548" t="n"/>
      <c r="B152" s="548" t="n"/>
      <c r="C152" s="548" t="n"/>
      <c r="D152" s="548" t="n"/>
      <c r="E152" s="548" t="n"/>
      <c r="F152" s="548" t="n"/>
      <c r="G152" s="548" t="n"/>
      <c r="H152" s="548" t="n"/>
      <c r="I152" s="548" t="n"/>
      <c r="J152" s="548" t="n"/>
      <c r="K152" s="548" t="n"/>
      <c r="L152" s="548" t="n"/>
      <c r="M152" s="548" t="n"/>
      <c r="N152" s="548" t="n"/>
      <c r="O152" s="548" t="n"/>
      <c r="P152" s="548" t="n"/>
      <c r="Q152" s="548" t="n"/>
      <c r="R152" s="548" t="n"/>
      <c r="S152" s="548" t="n"/>
      <c r="T152" s="548" t="n"/>
      <c r="U152" s="548" t="n"/>
      <c r="V152" s="548" t="n"/>
      <c r="W152" s="548" t="n"/>
      <c r="X152" s="548" t="n"/>
      <c r="Y152" s="548" t="n"/>
      <c r="Z152" s="21" t="n"/>
    </row>
    <row r="153" ht="15.75" customHeight="1" s="545">
      <c r="A153" s="548" t="n"/>
      <c r="B153" s="548" t="n"/>
      <c r="C153" s="548" t="n"/>
      <c r="D153" s="548" t="n"/>
      <c r="E153" s="548" t="n"/>
      <c r="F153" s="548" t="n"/>
      <c r="G153" s="548" t="n"/>
      <c r="H153" s="548" t="n"/>
      <c r="I153" s="548" t="n"/>
      <c r="J153" s="548" t="n"/>
      <c r="K153" s="548" t="n"/>
      <c r="L153" s="548" t="n"/>
      <c r="M153" s="548" t="n"/>
      <c r="N153" s="548" t="n"/>
      <c r="O153" s="548" t="n"/>
      <c r="P153" s="548" t="n"/>
      <c r="Q153" s="548" t="n"/>
      <c r="R153" s="548" t="n"/>
      <c r="S153" s="548" t="n"/>
      <c r="T153" s="548" t="n"/>
      <c r="U153" s="548" t="n"/>
      <c r="V153" s="548" t="n"/>
      <c r="W153" s="548" t="n"/>
      <c r="X153" s="548" t="n"/>
      <c r="Y153" s="548" t="n"/>
      <c r="Z153" s="21" t="n"/>
    </row>
    <row r="154" ht="15.75" customHeight="1" s="545">
      <c r="A154" s="548" t="n"/>
      <c r="B154" s="548" t="n"/>
      <c r="C154" s="548" t="n"/>
      <c r="D154" s="548" t="n"/>
      <c r="E154" s="548" t="n"/>
      <c r="F154" s="548" t="n"/>
      <c r="G154" s="548" t="n"/>
      <c r="H154" s="548" t="n"/>
      <c r="I154" s="548" t="n"/>
      <c r="J154" s="548" t="n"/>
      <c r="K154" s="548" t="n"/>
      <c r="L154" s="548" t="n"/>
      <c r="M154" s="548" t="n"/>
      <c r="N154" s="548" t="n"/>
      <c r="O154" s="548" t="n"/>
      <c r="P154" s="548" t="n"/>
      <c r="Q154" s="548" t="n"/>
      <c r="R154" s="548" t="n"/>
      <c r="S154" s="548" t="n"/>
      <c r="T154" s="548" t="n"/>
      <c r="U154" s="548" t="n"/>
      <c r="V154" s="548" t="n"/>
      <c r="W154" s="548" t="n"/>
      <c r="X154" s="548" t="n"/>
      <c r="Y154" s="548" t="n"/>
      <c r="Z154" s="21" t="n"/>
    </row>
    <row r="155" ht="15.75" customHeight="1" s="545">
      <c r="A155" s="548" t="n"/>
      <c r="B155" s="548" t="n"/>
      <c r="C155" s="548" t="n"/>
      <c r="D155" s="548" t="n"/>
      <c r="E155" s="548" t="n"/>
      <c r="F155" s="548" t="n"/>
      <c r="G155" s="548" t="n"/>
      <c r="H155" s="548" t="n"/>
      <c r="I155" s="548" t="n"/>
      <c r="J155" s="548" t="n"/>
      <c r="K155" s="548" t="n"/>
      <c r="L155" s="548" t="n"/>
      <c r="M155" s="548" t="n"/>
      <c r="N155" s="548" t="n"/>
      <c r="O155" s="548" t="n"/>
      <c r="P155" s="548" t="n"/>
      <c r="Q155" s="548" t="n"/>
      <c r="R155" s="548" t="n"/>
      <c r="S155" s="548" t="n"/>
      <c r="T155" s="548" t="n"/>
      <c r="U155" s="548" t="n"/>
      <c r="V155" s="548" t="n"/>
      <c r="W155" s="548" t="n"/>
      <c r="X155" s="548" t="n"/>
      <c r="Y155" s="548" t="n"/>
      <c r="Z155" s="21" t="n"/>
    </row>
    <row r="156" ht="15.75" customHeight="1" s="545">
      <c r="A156" s="548" t="n"/>
      <c r="B156" s="548" t="n"/>
      <c r="C156" s="548" t="n"/>
      <c r="D156" s="548" t="n"/>
      <c r="E156" s="548" t="n"/>
      <c r="F156" s="548" t="n"/>
      <c r="G156" s="548" t="n"/>
      <c r="H156" s="548" t="n"/>
      <c r="I156" s="548" t="n"/>
      <c r="J156" s="548" t="n"/>
      <c r="K156" s="548" t="n"/>
      <c r="L156" s="548" t="n"/>
      <c r="M156" s="548" t="n"/>
      <c r="N156" s="548" t="n"/>
      <c r="O156" s="548" t="n"/>
      <c r="P156" s="548" t="n"/>
      <c r="Q156" s="548" t="n"/>
      <c r="R156" s="548" t="n"/>
      <c r="S156" s="548" t="n"/>
      <c r="T156" s="548" t="n"/>
      <c r="U156" s="548" t="n"/>
      <c r="V156" s="548" t="n"/>
      <c r="W156" s="548" t="n"/>
      <c r="X156" s="548" t="n"/>
      <c r="Y156" s="548" t="n"/>
      <c r="Z156" s="21" t="n"/>
    </row>
    <row r="157" ht="15.75" customHeight="1" s="545">
      <c r="A157" s="548" t="n"/>
      <c r="B157" s="548" t="n"/>
      <c r="C157" s="548" t="n"/>
      <c r="D157" s="548" t="n"/>
      <c r="E157" s="548" t="n"/>
      <c r="F157" s="548" t="n"/>
      <c r="G157" s="548" t="n"/>
      <c r="H157" s="548" t="n"/>
      <c r="I157" s="548" t="n"/>
      <c r="J157" s="548" t="n"/>
      <c r="K157" s="548" t="n"/>
      <c r="L157" s="548" t="n"/>
      <c r="M157" s="548" t="n"/>
      <c r="N157" s="548" t="n"/>
      <c r="O157" s="548" t="n"/>
      <c r="P157" s="548" t="n"/>
      <c r="Q157" s="548" t="n"/>
      <c r="R157" s="548" t="n"/>
      <c r="S157" s="548" t="n"/>
      <c r="T157" s="548" t="n"/>
      <c r="U157" s="548" t="n"/>
      <c r="V157" s="548" t="n"/>
      <c r="W157" s="548" t="n"/>
      <c r="X157" s="548" t="n"/>
      <c r="Y157" s="548" t="n"/>
      <c r="Z157" s="21" t="n"/>
    </row>
    <row r="158" ht="15.75" customHeight="1" s="545">
      <c r="A158" s="548" t="n"/>
      <c r="B158" s="548" t="n"/>
      <c r="C158" s="548" t="n"/>
      <c r="D158" s="548" t="n"/>
      <c r="E158" s="548" t="n"/>
      <c r="F158" s="548" t="n"/>
      <c r="G158" s="548" t="n"/>
      <c r="H158" s="548" t="n"/>
      <c r="I158" s="548" t="n"/>
      <c r="J158" s="548" t="n"/>
      <c r="K158" s="548" t="n"/>
      <c r="L158" s="548" t="n"/>
      <c r="M158" s="548" t="n"/>
      <c r="N158" s="548" t="n"/>
      <c r="O158" s="548" t="n"/>
      <c r="P158" s="548" t="n"/>
      <c r="Q158" s="548" t="n"/>
      <c r="R158" s="548" t="n"/>
      <c r="S158" s="548" t="n"/>
      <c r="T158" s="548" t="n"/>
      <c r="U158" s="548" t="n"/>
      <c r="V158" s="548" t="n"/>
      <c r="W158" s="548" t="n"/>
      <c r="X158" s="548" t="n"/>
      <c r="Y158" s="548" t="n"/>
      <c r="Z158" s="21" t="n"/>
    </row>
    <row r="159" ht="15.75" customHeight="1" s="545">
      <c r="A159" s="548" t="n"/>
      <c r="B159" s="548" t="n"/>
      <c r="C159" s="548" t="n"/>
      <c r="D159" s="548" t="n"/>
      <c r="E159" s="548" t="n"/>
      <c r="F159" s="548" t="n"/>
      <c r="G159" s="548" t="n"/>
      <c r="H159" s="548" t="n"/>
      <c r="I159" s="548" t="n"/>
      <c r="J159" s="548" t="n"/>
      <c r="K159" s="548" t="n"/>
      <c r="L159" s="548" t="n"/>
      <c r="M159" s="548" t="n"/>
      <c r="N159" s="548" t="n"/>
      <c r="O159" s="548" t="n"/>
      <c r="P159" s="548" t="n"/>
      <c r="Q159" s="548" t="n"/>
      <c r="R159" s="548" t="n"/>
      <c r="S159" s="548" t="n"/>
      <c r="T159" s="548" t="n"/>
      <c r="U159" s="548" t="n"/>
      <c r="V159" s="548" t="n"/>
      <c r="W159" s="548" t="n"/>
      <c r="X159" s="548" t="n"/>
      <c r="Y159" s="548" t="n"/>
      <c r="Z159" s="21" t="n"/>
    </row>
    <row r="160" ht="15.75" customHeight="1" s="545">
      <c r="A160" s="548" t="n"/>
      <c r="B160" s="548" t="n"/>
      <c r="C160" s="548" t="n"/>
      <c r="D160" s="548" t="n"/>
      <c r="E160" s="548" t="n"/>
      <c r="F160" s="548" t="n"/>
      <c r="G160" s="548" t="n"/>
      <c r="H160" s="548" t="n"/>
      <c r="I160" s="548" t="n"/>
      <c r="J160" s="548" t="n"/>
      <c r="K160" s="548" t="n"/>
      <c r="L160" s="548" t="n"/>
      <c r="M160" s="548" t="n"/>
      <c r="N160" s="548" t="n"/>
      <c r="O160" s="548" t="n"/>
      <c r="P160" s="548" t="n"/>
      <c r="Q160" s="548" t="n"/>
      <c r="R160" s="548" t="n"/>
      <c r="S160" s="548" t="n"/>
      <c r="T160" s="548" t="n"/>
      <c r="U160" s="548" t="n"/>
      <c r="V160" s="548" t="n"/>
      <c r="W160" s="548" t="n"/>
      <c r="X160" s="548" t="n"/>
      <c r="Y160" s="548" t="n"/>
      <c r="Z160" s="21" t="n"/>
    </row>
    <row r="161" ht="15.75" customHeight="1" s="545">
      <c r="A161" s="548" t="n"/>
      <c r="B161" s="548" t="n"/>
      <c r="C161" s="548" t="n"/>
      <c r="D161" s="548" t="n"/>
      <c r="E161" s="548" t="n"/>
      <c r="F161" s="548" t="n"/>
      <c r="G161" s="548" t="n"/>
      <c r="H161" s="548" t="n"/>
      <c r="I161" s="548" t="n"/>
      <c r="J161" s="548" t="n"/>
      <c r="K161" s="548" t="n"/>
      <c r="L161" s="548" t="n"/>
      <c r="M161" s="548" t="n"/>
      <c r="N161" s="548" t="n"/>
      <c r="O161" s="548" t="n"/>
      <c r="P161" s="548" t="n"/>
      <c r="Q161" s="548" t="n"/>
      <c r="R161" s="548" t="n"/>
      <c r="S161" s="548" t="n"/>
      <c r="T161" s="548" t="n"/>
      <c r="U161" s="548" t="n"/>
      <c r="V161" s="548" t="n"/>
      <c r="W161" s="548" t="n"/>
      <c r="X161" s="548" t="n"/>
      <c r="Y161" s="548" t="n"/>
      <c r="Z161" s="21" t="n"/>
    </row>
    <row r="162" ht="15.75" customHeight="1" s="545">
      <c r="A162" s="548" t="n"/>
      <c r="B162" s="548" t="n"/>
      <c r="C162" s="548" t="n"/>
      <c r="D162" s="548" t="n"/>
      <c r="E162" s="548" t="n"/>
      <c r="F162" s="548" t="n"/>
      <c r="G162" s="548" t="n"/>
      <c r="H162" s="548" t="n"/>
      <c r="I162" s="548" t="n"/>
      <c r="J162" s="548" t="n"/>
      <c r="K162" s="548" t="n"/>
      <c r="L162" s="548" t="n"/>
      <c r="M162" s="548" t="n"/>
      <c r="N162" s="548" t="n"/>
      <c r="O162" s="548" t="n"/>
      <c r="P162" s="548" t="n"/>
      <c r="Q162" s="548" t="n"/>
      <c r="R162" s="548" t="n"/>
      <c r="S162" s="548" t="n"/>
      <c r="T162" s="548" t="n"/>
      <c r="U162" s="548" t="n"/>
      <c r="V162" s="548" t="n"/>
      <c r="W162" s="548" t="n"/>
      <c r="X162" s="548" t="n"/>
      <c r="Y162" s="548" t="n"/>
      <c r="Z162" s="21" t="n"/>
    </row>
    <row r="163" ht="15.75" customHeight="1" s="545">
      <c r="A163" s="548" t="n"/>
      <c r="B163" s="548" t="n"/>
      <c r="C163" s="548" t="n"/>
      <c r="D163" s="548" t="n"/>
      <c r="E163" s="548" t="n"/>
      <c r="F163" s="548" t="n"/>
      <c r="G163" s="548" t="n"/>
      <c r="H163" s="548" t="n"/>
      <c r="I163" s="548" t="n"/>
      <c r="J163" s="548" t="n"/>
      <c r="K163" s="548" t="n"/>
      <c r="L163" s="548" t="n"/>
      <c r="M163" s="548" t="n"/>
      <c r="N163" s="548" t="n"/>
      <c r="O163" s="548" t="n"/>
      <c r="P163" s="548" t="n"/>
      <c r="Q163" s="548" t="n"/>
      <c r="R163" s="548" t="n"/>
      <c r="S163" s="548" t="n"/>
      <c r="T163" s="548" t="n"/>
      <c r="U163" s="548" t="n"/>
      <c r="V163" s="548" t="n"/>
      <c r="W163" s="548" t="n"/>
      <c r="X163" s="548" t="n"/>
      <c r="Y163" s="548" t="n"/>
      <c r="Z163" s="21" t="n"/>
    </row>
    <row r="164" ht="15.75" customHeight="1" s="545">
      <c r="A164" s="548" t="n"/>
      <c r="B164" s="548" t="n"/>
      <c r="C164" s="548" t="n"/>
      <c r="D164" s="548" t="n"/>
      <c r="E164" s="548" t="n"/>
      <c r="F164" s="548" t="n"/>
      <c r="G164" s="548" t="n"/>
      <c r="H164" s="548" t="n"/>
      <c r="I164" s="548" t="n"/>
      <c r="J164" s="548" t="n"/>
      <c r="K164" s="548" t="n"/>
      <c r="L164" s="548" t="n"/>
      <c r="M164" s="548" t="n"/>
      <c r="N164" s="548" t="n"/>
      <c r="O164" s="548" t="n"/>
      <c r="P164" s="548" t="n"/>
      <c r="Q164" s="548" t="n"/>
      <c r="R164" s="548" t="n"/>
      <c r="S164" s="548" t="n"/>
      <c r="T164" s="548" t="n"/>
      <c r="U164" s="548" t="n"/>
      <c r="V164" s="548" t="n"/>
      <c r="W164" s="548" t="n"/>
      <c r="X164" s="548" t="n"/>
      <c r="Y164" s="548" t="n"/>
      <c r="Z164" s="21" t="n"/>
    </row>
    <row r="165" ht="15.75" customHeight="1" s="545">
      <c r="A165" s="548" t="n"/>
      <c r="B165" s="548" t="n"/>
      <c r="C165" s="548" t="n"/>
      <c r="D165" s="548" t="n"/>
      <c r="E165" s="548" t="n"/>
      <c r="F165" s="548" t="n"/>
      <c r="G165" s="548" t="n"/>
      <c r="H165" s="548" t="n"/>
      <c r="I165" s="548" t="n"/>
      <c r="J165" s="548" t="n"/>
      <c r="K165" s="548" t="n"/>
      <c r="L165" s="548" t="n"/>
      <c r="M165" s="548" t="n"/>
      <c r="N165" s="548" t="n"/>
      <c r="O165" s="548" t="n"/>
      <c r="P165" s="548" t="n"/>
      <c r="Q165" s="548" t="n"/>
      <c r="R165" s="548" t="n"/>
      <c r="S165" s="548" t="n"/>
      <c r="T165" s="548" t="n"/>
      <c r="U165" s="548" t="n"/>
      <c r="V165" s="548" t="n"/>
      <c r="W165" s="548" t="n"/>
      <c r="X165" s="548" t="n"/>
      <c r="Y165" s="548" t="n"/>
      <c r="Z165" s="21" t="n"/>
    </row>
    <row r="166" ht="15.75" customHeight="1" s="545">
      <c r="A166" s="548" t="n"/>
      <c r="B166" s="548" t="n"/>
      <c r="C166" s="548" t="n"/>
      <c r="D166" s="548" t="n"/>
      <c r="E166" s="548" t="n"/>
      <c r="F166" s="548" t="n"/>
      <c r="G166" s="548" t="n"/>
      <c r="H166" s="548" t="n"/>
      <c r="I166" s="548" t="n"/>
      <c r="J166" s="548" t="n"/>
      <c r="K166" s="548" t="n"/>
      <c r="L166" s="548" t="n"/>
      <c r="M166" s="548" t="n"/>
      <c r="N166" s="548" t="n"/>
      <c r="O166" s="548" t="n"/>
      <c r="P166" s="548" t="n"/>
      <c r="Q166" s="548" t="n"/>
      <c r="R166" s="548" t="n"/>
      <c r="S166" s="548" t="n"/>
      <c r="T166" s="548" t="n"/>
      <c r="U166" s="548" t="n"/>
      <c r="V166" s="548" t="n"/>
      <c r="W166" s="548" t="n"/>
      <c r="X166" s="548" t="n"/>
      <c r="Y166" s="548" t="n"/>
      <c r="Z166" s="21" t="n"/>
    </row>
    <row r="167" ht="15.75" customHeight="1" s="545">
      <c r="A167" s="548" t="n"/>
      <c r="B167" s="548" t="n"/>
      <c r="C167" s="548" t="n"/>
      <c r="D167" s="548" t="n"/>
      <c r="E167" s="548" t="n"/>
      <c r="F167" s="548" t="n"/>
      <c r="G167" s="548" t="n"/>
      <c r="H167" s="548" t="n"/>
      <c r="I167" s="548" t="n"/>
      <c r="J167" s="548" t="n"/>
      <c r="K167" s="548" t="n"/>
      <c r="L167" s="548" t="n"/>
      <c r="M167" s="548" t="n"/>
      <c r="N167" s="548" t="n"/>
      <c r="O167" s="548" t="n"/>
      <c r="P167" s="548" t="n"/>
      <c r="Q167" s="548" t="n"/>
      <c r="R167" s="548" t="n"/>
      <c r="S167" s="548" t="n"/>
      <c r="T167" s="548" t="n"/>
      <c r="U167" s="548" t="n"/>
      <c r="V167" s="548" t="n"/>
      <c r="W167" s="548" t="n"/>
      <c r="X167" s="548" t="n"/>
      <c r="Y167" s="548" t="n"/>
      <c r="Z167" s="21" t="n"/>
    </row>
    <row r="168" ht="15.75" customHeight="1" s="545">
      <c r="A168" s="548" t="n"/>
      <c r="B168" s="548" t="n"/>
      <c r="C168" s="548" t="n"/>
      <c r="D168" s="548" t="n"/>
      <c r="E168" s="548" t="n"/>
      <c r="F168" s="548" t="n"/>
      <c r="G168" s="548" t="n"/>
      <c r="H168" s="548" t="n"/>
      <c r="I168" s="548" t="n"/>
      <c r="J168" s="548" t="n"/>
      <c r="K168" s="548" t="n"/>
      <c r="L168" s="548" t="n"/>
      <c r="M168" s="548" t="n"/>
      <c r="N168" s="548" t="n"/>
      <c r="O168" s="548" t="n"/>
      <c r="P168" s="548" t="n"/>
      <c r="Q168" s="548" t="n"/>
      <c r="R168" s="548" t="n"/>
      <c r="S168" s="548" t="n"/>
      <c r="T168" s="548" t="n"/>
      <c r="U168" s="548" t="n"/>
      <c r="V168" s="548" t="n"/>
      <c r="W168" s="548" t="n"/>
      <c r="X168" s="548" t="n"/>
      <c r="Y168" s="548" t="n"/>
      <c r="Z168" s="21" t="n"/>
    </row>
    <row r="169" ht="15.75" customHeight="1" s="545">
      <c r="A169" s="548" t="n"/>
      <c r="B169" s="548" t="n"/>
      <c r="C169" s="548" t="n"/>
      <c r="D169" s="548" t="n"/>
      <c r="E169" s="548" t="n"/>
      <c r="F169" s="548" t="n"/>
      <c r="G169" s="548" t="n"/>
      <c r="H169" s="548" t="n"/>
      <c r="I169" s="548" t="n"/>
      <c r="J169" s="548" t="n"/>
      <c r="K169" s="548" t="n"/>
      <c r="L169" s="548" t="n"/>
      <c r="M169" s="548" t="n"/>
      <c r="N169" s="548" t="n"/>
      <c r="O169" s="548" t="n"/>
      <c r="P169" s="548" t="n"/>
      <c r="Q169" s="548" t="n"/>
      <c r="R169" s="548" t="n"/>
      <c r="S169" s="548" t="n"/>
      <c r="T169" s="548" t="n"/>
      <c r="U169" s="548" t="n"/>
      <c r="V169" s="548" t="n"/>
      <c r="W169" s="548" t="n"/>
      <c r="X169" s="548" t="n"/>
      <c r="Y169" s="548" t="n"/>
      <c r="Z169" s="21" t="n"/>
    </row>
    <row r="170" ht="15.75" customHeight="1" s="545">
      <c r="A170" s="548" t="n"/>
      <c r="B170" s="548" t="n"/>
      <c r="C170" s="548" t="n"/>
      <c r="D170" s="548" t="n"/>
      <c r="E170" s="548" t="n"/>
      <c r="F170" s="548" t="n"/>
      <c r="G170" s="548" t="n"/>
      <c r="H170" s="548" t="n"/>
      <c r="I170" s="548" t="n"/>
      <c r="J170" s="548" t="n"/>
      <c r="K170" s="548" t="n"/>
      <c r="L170" s="548" t="n"/>
      <c r="M170" s="548" t="n"/>
      <c r="N170" s="548" t="n"/>
      <c r="O170" s="548" t="n"/>
      <c r="P170" s="548" t="n"/>
      <c r="Q170" s="548" t="n"/>
      <c r="R170" s="548" t="n"/>
      <c r="S170" s="548" t="n"/>
      <c r="T170" s="548" t="n"/>
      <c r="U170" s="548" t="n"/>
      <c r="V170" s="548" t="n"/>
      <c r="W170" s="548" t="n"/>
      <c r="X170" s="548" t="n"/>
      <c r="Y170" s="548" t="n"/>
      <c r="Z170" s="21" t="n"/>
    </row>
    <row r="171" ht="15.75" customHeight="1" s="545">
      <c r="A171" s="548" t="n"/>
      <c r="B171" s="548" t="n"/>
      <c r="C171" s="548" t="n"/>
      <c r="D171" s="548" t="n"/>
      <c r="E171" s="548" t="n"/>
      <c r="F171" s="548" t="n"/>
      <c r="G171" s="548" t="n"/>
      <c r="H171" s="548" t="n"/>
      <c r="I171" s="548" t="n"/>
      <c r="J171" s="548" t="n"/>
      <c r="K171" s="548" t="n"/>
      <c r="L171" s="548" t="n"/>
      <c r="M171" s="548" t="n"/>
      <c r="N171" s="548" t="n"/>
      <c r="O171" s="548" t="n"/>
      <c r="P171" s="548" t="n"/>
      <c r="Q171" s="548" t="n"/>
      <c r="R171" s="548" t="n"/>
      <c r="S171" s="548" t="n"/>
      <c r="T171" s="548" t="n"/>
      <c r="U171" s="548" t="n"/>
      <c r="V171" s="548" t="n"/>
      <c r="W171" s="548" t="n"/>
      <c r="X171" s="548" t="n"/>
      <c r="Y171" s="548" t="n"/>
      <c r="Z171" s="21" t="n"/>
    </row>
    <row r="172" ht="15.75" customHeight="1" s="545">
      <c r="A172" s="548" t="n"/>
      <c r="B172" s="548" t="n"/>
      <c r="C172" s="548" t="n"/>
      <c r="D172" s="548" t="n"/>
      <c r="E172" s="548" t="n"/>
      <c r="F172" s="548" t="n"/>
      <c r="G172" s="548" t="n"/>
      <c r="H172" s="548" t="n"/>
      <c r="I172" s="548" t="n"/>
      <c r="J172" s="548" t="n"/>
      <c r="K172" s="548" t="n"/>
      <c r="L172" s="548" t="n"/>
      <c r="M172" s="548" t="n"/>
      <c r="N172" s="548" t="n"/>
      <c r="O172" s="548" t="n"/>
      <c r="P172" s="548" t="n"/>
      <c r="Q172" s="548" t="n"/>
      <c r="R172" s="548" t="n"/>
      <c r="S172" s="548" t="n"/>
      <c r="T172" s="548" t="n"/>
      <c r="U172" s="548" t="n"/>
      <c r="V172" s="548" t="n"/>
      <c r="W172" s="548" t="n"/>
      <c r="X172" s="548" t="n"/>
      <c r="Y172" s="548" t="n"/>
      <c r="Z172" s="21" t="n"/>
    </row>
    <row r="173" ht="15.75" customHeight="1" s="545">
      <c r="A173" s="548" t="n"/>
      <c r="B173" s="548" t="n"/>
      <c r="C173" s="548" t="n"/>
      <c r="D173" s="548" t="n"/>
      <c r="E173" s="548" t="n"/>
      <c r="F173" s="548" t="n"/>
      <c r="G173" s="548" t="n"/>
      <c r="H173" s="548" t="n"/>
      <c r="I173" s="548" t="n"/>
      <c r="J173" s="548" t="n"/>
      <c r="K173" s="548" t="n"/>
      <c r="L173" s="548" t="n"/>
      <c r="M173" s="548" t="n"/>
      <c r="N173" s="548" t="n"/>
      <c r="O173" s="548" t="n"/>
      <c r="P173" s="548" t="n"/>
      <c r="Q173" s="548" t="n"/>
      <c r="R173" s="548" t="n"/>
      <c r="S173" s="548" t="n"/>
      <c r="T173" s="548" t="n"/>
      <c r="U173" s="548" t="n"/>
      <c r="V173" s="548" t="n"/>
      <c r="W173" s="548" t="n"/>
      <c r="X173" s="548" t="n"/>
      <c r="Y173" s="548" t="n"/>
      <c r="Z173" s="21" t="n"/>
    </row>
    <row r="174" ht="15.75" customHeight="1" s="545">
      <c r="A174" s="548" t="n"/>
      <c r="B174" s="548" t="n"/>
      <c r="C174" s="548" t="n"/>
      <c r="D174" s="548" t="n"/>
      <c r="E174" s="548" t="n"/>
      <c r="F174" s="548" t="n"/>
      <c r="G174" s="548" t="n"/>
      <c r="H174" s="548" t="n"/>
      <c r="I174" s="548" t="n"/>
      <c r="J174" s="548" t="n"/>
      <c r="K174" s="548" t="n"/>
      <c r="L174" s="548" t="n"/>
      <c r="M174" s="548" t="n"/>
      <c r="N174" s="548" t="n"/>
      <c r="O174" s="548" t="n"/>
      <c r="P174" s="548" t="n"/>
      <c r="Q174" s="548" t="n"/>
      <c r="R174" s="548" t="n"/>
      <c r="S174" s="548" t="n"/>
      <c r="T174" s="548" t="n"/>
      <c r="U174" s="548" t="n"/>
      <c r="V174" s="548" t="n"/>
      <c r="W174" s="548" t="n"/>
      <c r="X174" s="548" t="n"/>
      <c r="Y174" s="548" t="n"/>
      <c r="Z174" s="21" t="n"/>
    </row>
    <row r="175" ht="15.75" customHeight="1" s="545">
      <c r="A175" s="548" t="n"/>
      <c r="B175" s="548" t="n"/>
      <c r="C175" s="548" t="n"/>
      <c r="D175" s="548" t="n"/>
      <c r="E175" s="548" t="n"/>
      <c r="F175" s="548" t="n"/>
      <c r="G175" s="548" t="n"/>
      <c r="H175" s="548" t="n"/>
      <c r="I175" s="548" t="n"/>
      <c r="J175" s="548" t="n"/>
      <c r="K175" s="548" t="n"/>
      <c r="L175" s="548" t="n"/>
      <c r="M175" s="548" t="n"/>
      <c r="N175" s="548" t="n"/>
      <c r="O175" s="548" t="n"/>
      <c r="P175" s="548" t="n"/>
      <c r="Q175" s="548" t="n"/>
      <c r="R175" s="548" t="n"/>
      <c r="S175" s="548" t="n"/>
      <c r="T175" s="548" t="n"/>
      <c r="U175" s="548" t="n"/>
      <c r="V175" s="548" t="n"/>
      <c r="W175" s="548" t="n"/>
      <c r="X175" s="548" t="n"/>
      <c r="Y175" s="548" t="n"/>
      <c r="Z175" s="21" t="n"/>
    </row>
    <row r="176" ht="15.75" customHeight="1" s="545">
      <c r="A176" s="548" t="n"/>
      <c r="B176" s="548" t="n"/>
      <c r="C176" s="548" t="n"/>
      <c r="D176" s="548" t="n"/>
      <c r="E176" s="548" t="n"/>
      <c r="F176" s="548" t="n"/>
      <c r="G176" s="548" t="n"/>
      <c r="H176" s="548" t="n"/>
      <c r="I176" s="548" t="n"/>
      <c r="J176" s="548" t="n"/>
      <c r="K176" s="548" t="n"/>
      <c r="L176" s="548" t="n"/>
      <c r="M176" s="548" t="n"/>
      <c r="N176" s="548" t="n"/>
      <c r="O176" s="548" t="n"/>
      <c r="P176" s="548" t="n"/>
      <c r="Q176" s="548" t="n"/>
      <c r="R176" s="548" t="n"/>
      <c r="S176" s="548" t="n"/>
      <c r="T176" s="548" t="n"/>
      <c r="U176" s="548" t="n"/>
      <c r="V176" s="548" t="n"/>
      <c r="W176" s="548" t="n"/>
      <c r="X176" s="548" t="n"/>
      <c r="Y176" s="548" t="n"/>
      <c r="Z176" s="21" t="n"/>
    </row>
    <row r="177" ht="15.75" customHeight="1" s="545">
      <c r="A177" s="548" t="n"/>
      <c r="B177" s="548" t="n"/>
      <c r="C177" s="548" t="n"/>
      <c r="D177" s="548" t="n"/>
      <c r="E177" s="548" t="n"/>
      <c r="F177" s="548" t="n"/>
      <c r="G177" s="548" t="n"/>
      <c r="H177" s="548" t="n"/>
      <c r="I177" s="548" t="n"/>
      <c r="J177" s="548" t="n"/>
      <c r="K177" s="548" t="n"/>
      <c r="L177" s="548" t="n"/>
      <c r="M177" s="548" t="n"/>
      <c r="N177" s="548" t="n"/>
      <c r="O177" s="548" t="n"/>
      <c r="P177" s="548" t="n"/>
      <c r="Q177" s="548" t="n"/>
      <c r="R177" s="548" t="n"/>
      <c r="S177" s="548" t="n"/>
      <c r="T177" s="548" t="n"/>
      <c r="U177" s="548" t="n"/>
      <c r="V177" s="548" t="n"/>
      <c r="W177" s="548" t="n"/>
      <c r="X177" s="548" t="n"/>
      <c r="Y177" s="548" t="n"/>
      <c r="Z177" s="21" t="n"/>
    </row>
    <row r="178" ht="15.75" customHeight="1" s="545">
      <c r="A178" s="548" t="n"/>
      <c r="B178" s="548" t="n"/>
      <c r="C178" s="548" t="n"/>
      <c r="D178" s="548" t="n"/>
      <c r="E178" s="548" t="n"/>
      <c r="F178" s="548" t="n"/>
      <c r="G178" s="548" t="n"/>
      <c r="H178" s="548" t="n"/>
      <c r="I178" s="548" t="n"/>
      <c r="J178" s="548" t="n"/>
      <c r="K178" s="548" t="n"/>
      <c r="L178" s="548" t="n"/>
      <c r="M178" s="548" t="n"/>
      <c r="N178" s="548" t="n"/>
      <c r="O178" s="548" t="n"/>
      <c r="P178" s="548" t="n"/>
      <c r="Q178" s="548" t="n"/>
      <c r="R178" s="548" t="n"/>
      <c r="S178" s="548" t="n"/>
      <c r="T178" s="548" t="n"/>
      <c r="U178" s="548" t="n"/>
      <c r="V178" s="548" t="n"/>
      <c r="W178" s="548" t="n"/>
      <c r="X178" s="548" t="n"/>
      <c r="Y178" s="548" t="n"/>
      <c r="Z178" s="21" t="n"/>
    </row>
    <row r="179" ht="15.75" customHeight="1" s="545">
      <c r="A179" s="548" t="n"/>
      <c r="B179" s="548" t="n"/>
      <c r="C179" s="548" t="n"/>
      <c r="D179" s="548" t="n"/>
      <c r="E179" s="548" t="n"/>
      <c r="F179" s="548" t="n"/>
      <c r="G179" s="548" t="n"/>
      <c r="H179" s="548" t="n"/>
      <c r="I179" s="548" t="n"/>
      <c r="J179" s="548" t="n"/>
      <c r="K179" s="548" t="n"/>
      <c r="L179" s="548" t="n"/>
      <c r="M179" s="548" t="n"/>
      <c r="N179" s="548" t="n"/>
      <c r="O179" s="548" t="n"/>
      <c r="P179" s="548" t="n"/>
      <c r="Q179" s="548" t="n"/>
      <c r="R179" s="548" t="n"/>
      <c r="S179" s="548" t="n"/>
      <c r="T179" s="548" t="n"/>
      <c r="U179" s="548" t="n"/>
      <c r="V179" s="548" t="n"/>
      <c r="W179" s="548" t="n"/>
      <c r="X179" s="548" t="n"/>
      <c r="Y179" s="548" t="n"/>
      <c r="Z179" s="21" t="n"/>
    </row>
    <row r="180" ht="15.75" customHeight="1" s="545">
      <c r="A180" s="548" t="n"/>
      <c r="B180" s="548" t="n"/>
      <c r="C180" s="548" t="n"/>
      <c r="D180" s="548" t="n"/>
      <c r="E180" s="548" t="n"/>
      <c r="F180" s="548" t="n"/>
      <c r="G180" s="548" t="n"/>
      <c r="H180" s="548" t="n"/>
      <c r="I180" s="548" t="n"/>
      <c r="J180" s="548" t="n"/>
      <c r="K180" s="548" t="n"/>
      <c r="L180" s="548" t="n"/>
      <c r="M180" s="548" t="n"/>
      <c r="N180" s="548" t="n"/>
      <c r="O180" s="548" t="n"/>
      <c r="P180" s="548" t="n"/>
      <c r="Q180" s="548" t="n"/>
      <c r="R180" s="548" t="n"/>
      <c r="S180" s="548" t="n"/>
      <c r="T180" s="548" t="n"/>
      <c r="U180" s="548" t="n"/>
      <c r="V180" s="548" t="n"/>
      <c r="W180" s="548" t="n"/>
      <c r="X180" s="548" t="n"/>
      <c r="Y180" s="548" t="n"/>
      <c r="Z180" s="21" t="n"/>
    </row>
    <row r="181" ht="15.75" customHeight="1" s="545">
      <c r="A181" s="548" t="n"/>
      <c r="B181" s="548" t="n"/>
      <c r="C181" s="548" t="n"/>
      <c r="D181" s="548" t="n"/>
      <c r="E181" s="548" t="n"/>
      <c r="F181" s="548" t="n"/>
      <c r="G181" s="548" t="n"/>
      <c r="H181" s="548" t="n"/>
      <c r="I181" s="548" t="n"/>
      <c r="J181" s="548" t="n"/>
      <c r="K181" s="548" t="n"/>
      <c r="L181" s="548" t="n"/>
      <c r="M181" s="548" t="n"/>
      <c r="N181" s="548" t="n"/>
      <c r="O181" s="548" t="n"/>
      <c r="P181" s="548" t="n"/>
      <c r="Q181" s="548" t="n"/>
      <c r="R181" s="548" t="n"/>
      <c r="S181" s="548" t="n"/>
      <c r="T181" s="548" t="n"/>
      <c r="U181" s="548" t="n"/>
      <c r="V181" s="548" t="n"/>
      <c r="W181" s="548" t="n"/>
      <c r="X181" s="548" t="n"/>
      <c r="Y181" s="548" t="n"/>
      <c r="Z181" s="21" t="n"/>
    </row>
    <row r="182" ht="15.75" customHeight="1" s="545">
      <c r="A182" s="548" t="n"/>
      <c r="B182" s="548" t="n"/>
      <c r="C182" s="548" t="n"/>
      <c r="D182" s="548" t="n"/>
      <c r="E182" s="548" t="n"/>
      <c r="F182" s="548" t="n"/>
      <c r="G182" s="548" t="n"/>
      <c r="H182" s="548" t="n"/>
      <c r="I182" s="548" t="n"/>
      <c r="J182" s="548" t="n"/>
      <c r="K182" s="548" t="n"/>
      <c r="L182" s="548" t="n"/>
      <c r="M182" s="548" t="n"/>
      <c r="N182" s="548" t="n"/>
      <c r="O182" s="548" t="n"/>
      <c r="P182" s="548" t="n"/>
      <c r="Q182" s="548" t="n"/>
      <c r="R182" s="548" t="n"/>
      <c r="S182" s="548" t="n"/>
      <c r="T182" s="548" t="n"/>
      <c r="U182" s="548" t="n"/>
      <c r="V182" s="548" t="n"/>
      <c r="W182" s="548" t="n"/>
      <c r="X182" s="548" t="n"/>
      <c r="Y182" s="548" t="n"/>
      <c r="Z182" s="21" t="n"/>
    </row>
    <row r="183" ht="15.75" customHeight="1" s="545">
      <c r="A183" s="548" t="n"/>
      <c r="B183" s="548" t="n"/>
      <c r="C183" s="548" t="n"/>
      <c r="D183" s="548" t="n"/>
      <c r="E183" s="548" t="n"/>
      <c r="F183" s="548" t="n"/>
      <c r="G183" s="548" t="n"/>
      <c r="H183" s="548" t="n"/>
      <c r="I183" s="548" t="n"/>
      <c r="J183" s="548" t="n"/>
      <c r="K183" s="548" t="n"/>
      <c r="L183" s="548" t="n"/>
      <c r="M183" s="548" t="n"/>
      <c r="N183" s="548" t="n"/>
      <c r="O183" s="548" t="n"/>
      <c r="P183" s="548" t="n"/>
      <c r="Q183" s="548" t="n"/>
      <c r="R183" s="548" t="n"/>
      <c r="S183" s="548" t="n"/>
      <c r="T183" s="548" t="n"/>
      <c r="U183" s="548" t="n"/>
      <c r="V183" s="548" t="n"/>
      <c r="W183" s="548" t="n"/>
      <c r="X183" s="548" t="n"/>
      <c r="Y183" s="548" t="n"/>
      <c r="Z183" s="21" t="n"/>
    </row>
    <row r="184" ht="15.75" customHeight="1" s="545">
      <c r="A184" s="548" t="n"/>
      <c r="B184" s="548" t="n"/>
      <c r="C184" s="548" t="n"/>
      <c r="D184" s="548" t="n"/>
      <c r="E184" s="548" t="n"/>
      <c r="F184" s="548" t="n"/>
      <c r="G184" s="548" t="n"/>
      <c r="H184" s="548" t="n"/>
      <c r="I184" s="548" t="n"/>
      <c r="J184" s="548" t="n"/>
      <c r="K184" s="548" t="n"/>
      <c r="L184" s="548" t="n"/>
      <c r="M184" s="548" t="n"/>
      <c r="N184" s="548" t="n"/>
      <c r="O184" s="548" t="n"/>
      <c r="P184" s="548" t="n"/>
      <c r="Q184" s="548" t="n"/>
      <c r="R184" s="548" t="n"/>
      <c r="S184" s="548" t="n"/>
      <c r="T184" s="548" t="n"/>
      <c r="U184" s="548" t="n"/>
      <c r="V184" s="548" t="n"/>
      <c r="W184" s="548" t="n"/>
      <c r="X184" s="548" t="n"/>
      <c r="Y184" s="548" t="n"/>
      <c r="Z184" s="21" t="n"/>
    </row>
    <row r="185" ht="15.75" customHeight="1" s="545">
      <c r="A185" s="548" t="n"/>
      <c r="B185" s="548" t="n"/>
      <c r="C185" s="548" t="n"/>
      <c r="D185" s="548" t="n"/>
      <c r="E185" s="548" t="n"/>
      <c r="F185" s="548" t="n"/>
      <c r="G185" s="548" t="n"/>
      <c r="H185" s="548" t="n"/>
      <c r="I185" s="548" t="n"/>
      <c r="J185" s="548" t="n"/>
      <c r="K185" s="548" t="n"/>
      <c r="L185" s="548" t="n"/>
      <c r="M185" s="548" t="n"/>
      <c r="N185" s="548" t="n"/>
      <c r="O185" s="548" t="n"/>
      <c r="P185" s="548" t="n"/>
      <c r="Q185" s="548" t="n"/>
      <c r="R185" s="548" t="n"/>
      <c r="S185" s="548" t="n"/>
      <c r="T185" s="548" t="n"/>
      <c r="U185" s="548" t="n"/>
      <c r="V185" s="548" t="n"/>
      <c r="W185" s="548" t="n"/>
      <c r="X185" s="548" t="n"/>
      <c r="Y185" s="548" t="n"/>
      <c r="Z185" s="21" t="n"/>
    </row>
    <row r="186" ht="15.75" customHeight="1" s="545">
      <c r="A186" s="548" t="n"/>
      <c r="B186" s="548" t="n"/>
      <c r="C186" s="548" t="n"/>
      <c r="D186" s="548" t="n"/>
      <c r="E186" s="548" t="n"/>
      <c r="F186" s="548" t="n"/>
      <c r="G186" s="548" t="n"/>
      <c r="H186" s="548" t="n"/>
      <c r="I186" s="548" t="n"/>
      <c r="J186" s="548" t="n"/>
      <c r="K186" s="548" t="n"/>
      <c r="L186" s="548" t="n"/>
      <c r="M186" s="548" t="n"/>
      <c r="N186" s="548" t="n"/>
      <c r="O186" s="548" t="n"/>
      <c r="P186" s="548" t="n"/>
      <c r="Q186" s="548" t="n"/>
      <c r="R186" s="548" t="n"/>
      <c r="S186" s="548" t="n"/>
      <c r="T186" s="548" t="n"/>
      <c r="U186" s="548" t="n"/>
      <c r="V186" s="548" t="n"/>
      <c r="W186" s="548" t="n"/>
      <c r="X186" s="548" t="n"/>
      <c r="Y186" s="548" t="n"/>
      <c r="Z186" s="21" t="n"/>
    </row>
    <row r="187" ht="15.75" customHeight="1" s="545">
      <c r="A187" s="548" t="n"/>
      <c r="B187" s="548" t="n"/>
      <c r="C187" s="548" t="n"/>
      <c r="D187" s="548" t="n"/>
      <c r="E187" s="548" t="n"/>
      <c r="F187" s="548" t="n"/>
      <c r="G187" s="548" t="n"/>
      <c r="H187" s="548" t="n"/>
      <c r="I187" s="548" t="n"/>
      <c r="J187" s="548" t="n"/>
      <c r="K187" s="548" t="n"/>
      <c r="L187" s="548" t="n"/>
      <c r="M187" s="548" t="n"/>
      <c r="N187" s="548" t="n"/>
      <c r="O187" s="548" t="n"/>
      <c r="P187" s="548" t="n"/>
      <c r="Q187" s="548" t="n"/>
      <c r="R187" s="548" t="n"/>
      <c r="S187" s="548" t="n"/>
      <c r="T187" s="548" t="n"/>
      <c r="U187" s="548" t="n"/>
      <c r="V187" s="548" t="n"/>
      <c r="W187" s="548" t="n"/>
      <c r="X187" s="548" t="n"/>
      <c r="Y187" s="548" t="n"/>
      <c r="Z187" s="21" t="n"/>
    </row>
    <row r="188" ht="15.75" customHeight="1" s="545">
      <c r="A188" s="548" t="n"/>
      <c r="B188" s="548" t="n"/>
      <c r="C188" s="548" t="n"/>
      <c r="D188" s="548" t="n"/>
      <c r="E188" s="548" t="n"/>
      <c r="F188" s="548" t="n"/>
      <c r="G188" s="548" t="n"/>
      <c r="H188" s="548" t="n"/>
      <c r="I188" s="548" t="n"/>
      <c r="J188" s="548" t="n"/>
      <c r="K188" s="548" t="n"/>
      <c r="L188" s="548" t="n"/>
      <c r="M188" s="548" t="n"/>
      <c r="N188" s="548" t="n"/>
      <c r="O188" s="548" t="n"/>
      <c r="P188" s="548" t="n"/>
      <c r="Q188" s="548" t="n"/>
      <c r="R188" s="548" t="n"/>
      <c r="S188" s="548" t="n"/>
      <c r="T188" s="548" t="n"/>
      <c r="U188" s="548" t="n"/>
      <c r="V188" s="548" t="n"/>
      <c r="W188" s="548" t="n"/>
      <c r="X188" s="548" t="n"/>
      <c r="Y188" s="548" t="n"/>
      <c r="Z188" s="21" t="n"/>
    </row>
    <row r="189" ht="15.75" customHeight="1" s="545">
      <c r="A189" s="548" t="n"/>
      <c r="B189" s="548" t="n"/>
      <c r="C189" s="548" t="n"/>
      <c r="D189" s="548" t="n"/>
      <c r="E189" s="548" t="n"/>
      <c r="F189" s="548" t="n"/>
      <c r="G189" s="548" t="n"/>
      <c r="H189" s="548" t="n"/>
      <c r="I189" s="548" t="n"/>
      <c r="J189" s="548" t="n"/>
      <c r="K189" s="548" t="n"/>
      <c r="L189" s="548" t="n"/>
      <c r="M189" s="548" t="n"/>
      <c r="N189" s="548" t="n"/>
      <c r="O189" s="548" t="n"/>
      <c r="P189" s="548" t="n"/>
      <c r="Q189" s="548" t="n"/>
      <c r="R189" s="548" t="n"/>
      <c r="S189" s="548" t="n"/>
      <c r="T189" s="548" t="n"/>
      <c r="U189" s="548" t="n"/>
      <c r="V189" s="548" t="n"/>
      <c r="W189" s="548" t="n"/>
      <c r="X189" s="548" t="n"/>
      <c r="Y189" s="548" t="n"/>
      <c r="Z189" s="21" t="n"/>
    </row>
    <row r="190" ht="15.75" customHeight="1" s="545">
      <c r="A190" s="548" t="n"/>
      <c r="B190" s="548" t="n"/>
      <c r="C190" s="548" t="n"/>
      <c r="D190" s="548" t="n"/>
      <c r="E190" s="548" t="n"/>
      <c r="F190" s="548" t="n"/>
      <c r="G190" s="548" t="n"/>
      <c r="H190" s="548" t="n"/>
      <c r="I190" s="548" t="n"/>
      <c r="J190" s="548" t="n"/>
      <c r="K190" s="548" t="n"/>
      <c r="L190" s="548" t="n"/>
      <c r="M190" s="548" t="n"/>
      <c r="N190" s="548" t="n"/>
      <c r="O190" s="548" t="n"/>
      <c r="P190" s="548" t="n"/>
      <c r="Q190" s="548" t="n"/>
      <c r="R190" s="548" t="n"/>
      <c r="S190" s="548" t="n"/>
      <c r="T190" s="548" t="n"/>
      <c r="U190" s="548" t="n"/>
      <c r="V190" s="548" t="n"/>
      <c r="W190" s="548" t="n"/>
      <c r="X190" s="548" t="n"/>
      <c r="Y190" s="548" t="n"/>
      <c r="Z190" s="21" t="n"/>
    </row>
    <row r="191" ht="15.75" customHeight="1" s="545">
      <c r="A191" s="548" t="n"/>
      <c r="B191" s="548" t="n"/>
      <c r="C191" s="548" t="n"/>
      <c r="D191" s="548" t="n"/>
      <c r="E191" s="548" t="n"/>
      <c r="F191" s="548" t="n"/>
      <c r="G191" s="548" t="n"/>
      <c r="H191" s="548" t="n"/>
      <c r="I191" s="548" t="n"/>
      <c r="J191" s="548" t="n"/>
      <c r="K191" s="548" t="n"/>
      <c r="L191" s="548" t="n"/>
      <c r="M191" s="548" t="n"/>
      <c r="N191" s="548" t="n"/>
      <c r="O191" s="548" t="n"/>
      <c r="P191" s="548" t="n"/>
      <c r="Q191" s="548" t="n"/>
      <c r="R191" s="548" t="n"/>
      <c r="S191" s="548" t="n"/>
      <c r="T191" s="548" t="n"/>
      <c r="U191" s="548" t="n"/>
      <c r="V191" s="548" t="n"/>
      <c r="W191" s="548" t="n"/>
      <c r="X191" s="548" t="n"/>
      <c r="Y191" s="548" t="n"/>
      <c r="Z191" s="21" t="n"/>
    </row>
    <row r="192" ht="15.75" customHeight="1" s="545">
      <c r="A192" s="548" t="n"/>
      <c r="B192" s="548" t="n"/>
      <c r="C192" s="548" t="n"/>
      <c r="D192" s="548" t="n"/>
      <c r="E192" s="548" t="n"/>
      <c r="F192" s="548" t="n"/>
      <c r="G192" s="548" t="n"/>
      <c r="H192" s="548" t="n"/>
      <c r="I192" s="548" t="n"/>
      <c r="J192" s="548" t="n"/>
      <c r="K192" s="548" t="n"/>
      <c r="L192" s="548" t="n"/>
      <c r="M192" s="548" t="n"/>
      <c r="N192" s="548" t="n"/>
      <c r="O192" s="548" t="n"/>
      <c r="P192" s="548" t="n"/>
      <c r="Q192" s="548" t="n"/>
      <c r="R192" s="548" t="n"/>
      <c r="S192" s="548" t="n"/>
      <c r="T192" s="548" t="n"/>
      <c r="U192" s="548" t="n"/>
      <c r="V192" s="548" t="n"/>
      <c r="W192" s="548" t="n"/>
      <c r="X192" s="548" t="n"/>
      <c r="Y192" s="548" t="n"/>
      <c r="Z192" s="21" t="n"/>
    </row>
    <row r="193" ht="15.75" customHeight="1" s="545">
      <c r="A193" s="548" t="n"/>
      <c r="B193" s="548" t="n"/>
      <c r="C193" s="548" t="n"/>
      <c r="D193" s="548" t="n"/>
      <c r="E193" s="548" t="n"/>
      <c r="F193" s="548" t="n"/>
      <c r="G193" s="548" t="n"/>
      <c r="H193" s="548" t="n"/>
      <c r="I193" s="548" t="n"/>
      <c r="J193" s="548" t="n"/>
      <c r="K193" s="548" t="n"/>
      <c r="L193" s="548" t="n"/>
      <c r="M193" s="548" t="n"/>
      <c r="N193" s="548" t="n"/>
      <c r="O193" s="548" t="n"/>
      <c r="P193" s="548" t="n"/>
      <c r="Q193" s="548" t="n"/>
      <c r="R193" s="548" t="n"/>
      <c r="S193" s="548" t="n"/>
      <c r="T193" s="548" t="n"/>
      <c r="U193" s="548" t="n"/>
      <c r="V193" s="548" t="n"/>
      <c r="W193" s="548" t="n"/>
      <c r="X193" s="548" t="n"/>
      <c r="Y193" s="548" t="n"/>
      <c r="Z193" s="21" t="n"/>
    </row>
    <row r="194" ht="15.75" customHeight="1" s="545">
      <c r="A194" s="548" t="n"/>
      <c r="B194" s="548" t="n"/>
      <c r="C194" s="548" t="n"/>
      <c r="D194" s="548" t="n"/>
      <c r="E194" s="548" t="n"/>
      <c r="F194" s="548" t="n"/>
      <c r="G194" s="548" t="n"/>
      <c r="H194" s="548" t="n"/>
      <c r="I194" s="548" t="n"/>
      <c r="J194" s="548" t="n"/>
      <c r="K194" s="548" t="n"/>
      <c r="L194" s="548" t="n"/>
      <c r="M194" s="548" t="n"/>
      <c r="N194" s="548" t="n"/>
      <c r="O194" s="548" t="n"/>
      <c r="P194" s="548" t="n"/>
      <c r="Q194" s="548" t="n"/>
      <c r="R194" s="548" t="n"/>
      <c r="S194" s="548" t="n"/>
      <c r="T194" s="548" t="n"/>
      <c r="U194" s="548" t="n"/>
      <c r="V194" s="548" t="n"/>
      <c r="W194" s="548" t="n"/>
      <c r="X194" s="548" t="n"/>
      <c r="Y194" s="548" t="n"/>
      <c r="Z194" s="21" t="n"/>
    </row>
    <row r="195" ht="15.75" customHeight="1" s="545">
      <c r="A195" s="548" t="n"/>
      <c r="B195" s="548" t="n"/>
      <c r="C195" s="548" t="n"/>
      <c r="D195" s="548" t="n"/>
      <c r="E195" s="548" t="n"/>
      <c r="F195" s="548" t="n"/>
      <c r="G195" s="548" t="n"/>
      <c r="H195" s="548" t="n"/>
      <c r="I195" s="548" t="n"/>
      <c r="J195" s="548" t="n"/>
      <c r="K195" s="548" t="n"/>
      <c r="L195" s="548" t="n"/>
      <c r="M195" s="548" t="n"/>
      <c r="N195" s="548" t="n"/>
      <c r="O195" s="548" t="n"/>
      <c r="P195" s="548" t="n"/>
      <c r="Q195" s="548" t="n"/>
      <c r="R195" s="548" t="n"/>
      <c r="S195" s="548" t="n"/>
      <c r="T195" s="548" t="n"/>
      <c r="U195" s="548" t="n"/>
      <c r="V195" s="548" t="n"/>
      <c r="W195" s="548" t="n"/>
      <c r="X195" s="548" t="n"/>
      <c r="Y195" s="548" t="n"/>
      <c r="Z195" s="21" t="n"/>
    </row>
    <row r="196" ht="15.75" customHeight="1" s="545">
      <c r="A196" s="548" t="n"/>
      <c r="B196" s="548" t="n"/>
      <c r="C196" s="548" t="n"/>
      <c r="D196" s="548" t="n"/>
      <c r="E196" s="548" t="n"/>
      <c r="F196" s="548" t="n"/>
      <c r="G196" s="548" t="n"/>
      <c r="H196" s="548" t="n"/>
      <c r="I196" s="548" t="n"/>
      <c r="J196" s="548" t="n"/>
      <c r="K196" s="548" t="n"/>
      <c r="L196" s="548" t="n"/>
      <c r="M196" s="548" t="n"/>
      <c r="N196" s="548" t="n"/>
      <c r="O196" s="548" t="n"/>
      <c r="P196" s="548" t="n"/>
      <c r="Q196" s="548" t="n"/>
      <c r="R196" s="548" t="n"/>
      <c r="S196" s="548" t="n"/>
      <c r="T196" s="548" t="n"/>
      <c r="U196" s="548" t="n"/>
      <c r="V196" s="548" t="n"/>
      <c r="W196" s="548" t="n"/>
      <c r="X196" s="548" t="n"/>
      <c r="Y196" s="548" t="n"/>
      <c r="Z196" s="21" t="n"/>
    </row>
    <row r="197" ht="15.75" customHeight="1" s="545">
      <c r="A197" s="548" t="n"/>
      <c r="B197" s="548" t="n"/>
      <c r="C197" s="548" t="n"/>
      <c r="D197" s="548" t="n"/>
      <c r="E197" s="548" t="n"/>
      <c r="F197" s="548" t="n"/>
      <c r="G197" s="548" t="n"/>
      <c r="H197" s="548" t="n"/>
      <c r="I197" s="548" t="n"/>
      <c r="J197" s="548" t="n"/>
      <c r="K197" s="548" t="n"/>
      <c r="L197" s="548" t="n"/>
      <c r="M197" s="548" t="n"/>
      <c r="N197" s="548" t="n"/>
      <c r="O197" s="548" t="n"/>
      <c r="P197" s="548" t="n"/>
      <c r="Q197" s="548" t="n"/>
      <c r="R197" s="548" t="n"/>
      <c r="S197" s="548" t="n"/>
      <c r="T197" s="548" t="n"/>
      <c r="U197" s="548" t="n"/>
      <c r="V197" s="548" t="n"/>
      <c r="W197" s="548" t="n"/>
      <c r="X197" s="548" t="n"/>
      <c r="Y197" s="548" t="n"/>
      <c r="Z197" s="21" t="n"/>
    </row>
    <row r="198" ht="15.75" customHeight="1" s="545">
      <c r="A198" s="548" t="n"/>
      <c r="B198" s="548" t="n"/>
      <c r="C198" s="548" t="n"/>
      <c r="D198" s="548" t="n"/>
      <c r="E198" s="548" t="n"/>
      <c r="F198" s="548" t="n"/>
      <c r="G198" s="548" t="n"/>
      <c r="H198" s="548" t="n"/>
      <c r="I198" s="548" t="n"/>
      <c r="J198" s="548" t="n"/>
      <c r="K198" s="548" t="n"/>
      <c r="L198" s="548" t="n"/>
      <c r="M198" s="548" t="n"/>
      <c r="N198" s="548" t="n"/>
      <c r="O198" s="548" t="n"/>
      <c r="P198" s="548" t="n"/>
      <c r="Q198" s="548" t="n"/>
      <c r="R198" s="548" t="n"/>
      <c r="S198" s="548" t="n"/>
      <c r="T198" s="548" t="n"/>
      <c r="U198" s="548" t="n"/>
      <c r="V198" s="548" t="n"/>
      <c r="W198" s="548" t="n"/>
      <c r="X198" s="548" t="n"/>
      <c r="Y198" s="548" t="n"/>
      <c r="Z198" s="21" t="n"/>
    </row>
    <row r="199" ht="15.75" customHeight="1" s="545">
      <c r="A199" s="548" t="n"/>
      <c r="B199" s="548" t="n"/>
      <c r="C199" s="548" t="n"/>
      <c r="D199" s="548" t="n"/>
      <c r="E199" s="548" t="n"/>
      <c r="F199" s="548" t="n"/>
      <c r="G199" s="548" t="n"/>
      <c r="H199" s="548" t="n"/>
      <c r="I199" s="548" t="n"/>
      <c r="J199" s="548" t="n"/>
      <c r="K199" s="548" t="n"/>
      <c r="L199" s="548" t="n"/>
      <c r="M199" s="548" t="n"/>
      <c r="N199" s="548" t="n"/>
      <c r="O199" s="548" t="n"/>
      <c r="P199" s="548" t="n"/>
      <c r="Q199" s="548" t="n"/>
      <c r="R199" s="548" t="n"/>
      <c r="S199" s="548" t="n"/>
      <c r="T199" s="548" t="n"/>
      <c r="U199" s="548" t="n"/>
      <c r="V199" s="548" t="n"/>
      <c r="W199" s="548" t="n"/>
      <c r="X199" s="548" t="n"/>
      <c r="Y199" s="548" t="n"/>
      <c r="Z199" s="21" t="n"/>
    </row>
    <row r="200" ht="15.75" customHeight="1" s="545">
      <c r="A200" s="548" t="n"/>
      <c r="B200" s="548" t="n"/>
      <c r="C200" s="548" t="n"/>
      <c r="D200" s="548" t="n"/>
      <c r="E200" s="548" t="n"/>
      <c r="F200" s="548" t="n"/>
      <c r="G200" s="548" t="n"/>
      <c r="H200" s="548" t="n"/>
      <c r="I200" s="548" t="n"/>
      <c r="J200" s="548" t="n"/>
      <c r="K200" s="548" t="n"/>
      <c r="L200" s="548" t="n"/>
      <c r="M200" s="548" t="n"/>
      <c r="N200" s="548" t="n"/>
      <c r="O200" s="548" t="n"/>
      <c r="P200" s="548" t="n"/>
      <c r="Q200" s="548" t="n"/>
      <c r="R200" s="548" t="n"/>
      <c r="S200" s="548" t="n"/>
      <c r="T200" s="548" t="n"/>
      <c r="U200" s="548" t="n"/>
      <c r="V200" s="548" t="n"/>
      <c r="W200" s="548" t="n"/>
      <c r="X200" s="548" t="n"/>
      <c r="Y200" s="548" t="n"/>
      <c r="Z200" s="21" t="n"/>
    </row>
    <row r="201" ht="15.75" customHeight="1" s="545">
      <c r="A201" s="548" t="n"/>
      <c r="B201" s="548" t="n"/>
      <c r="C201" s="548" t="n"/>
      <c r="D201" s="548" t="n"/>
      <c r="E201" s="548" t="n"/>
      <c r="F201" s="548" t="n"/>
      <c r="G201" s="548" t="n"/>
      <c r="H201" s="548" t="n"/>
      <c r="I201" s="548" t="n"/>
      <c r="J201" s="548" t="n"/>
      <c r="K201" s="548" t="n"/>
      <c r="L201" s="548" t="n"/>
      <c r="M201" s="548" t="n"/>
      <c r="N201" s="548" t="n"/>
      <c r="O201" s="548" t="n"/>
      <c r="P201" s="548" t="n"/>
      <c r="Q201" s="548" t="n"/>
      <c r="R201" s="548" t="n"/>
      <c r="S201" s="548" t="n"/>
      <c r="T201" s="548" t="n"/>
      <c r="U201" s="548" t="n"/>
      <c r="V201" s="548" t="n"/>
      <c r="W201" s="548" t="n"/>
      <c r="X201" s="548" t="n"/>
      <c r="Y201" s="548" t="n"/>
      <c r="Z201" s="21" t="n"/>
    </row>
    <row r="202" ht="15.75" customHeight="1" s="545">
      <c r="A202" s="548" t="n"/>
      <c r="B202" s="548" t="n"/>
      <c r="C202" s="548" t="n"/>
      <c r="D202" s="548" t="n"/>
      <c r="E202" s="548" t="n"/>
      <c r="F202" s="548" t="n"/>
      <c r="G202" s="548" t="n"/>
      <c r="H202" s="548" t="n"/>
      <c r="I202" s="548" t="n"/>
      <c r="J202" s="548" t="n"/>
      <c r="K202" s="548" t="n"/>
      <c r="L202" s="548" t="n"/>
      <c r="M202" s="548" t="n"/>
      <c r="N202" s="548" t="n"/>
      <c r="O202" s="548" t="n"/>
      <c r="P202" s="548" t="n"/>
      <c r="Q202" s="548" t="n"/>
      <c r="R202" s="548" t="n"/>
      <c r="S202" s="548" t="n"/>
      <c r="T202" s="548" t="n"/>
      <c r="U202" s="548" t="n"/>
      <c r="V202" s="548" t="n"/>
      <c r="W202" s="548" t="n"/>
      <c r="X202" s="548" t="n"/>
      <c r="Y202" s="548" t="n"/>
      <c r="Z202" s="21" t="n"/>
    </row>
    <row r="203" ht="15.75" customHeight="1" s="545">
      <c r="A203" s="548" t="n"/>
      <c r="B203" s="548" t="n"/>
      <c r="C203" s="548" t="n"/>
      <c r="D203" s="548" t="n"/>
      <c r="E203" s="548" t="n"/>
      <c r="F203" s="548" t="n"/>
      <c r="G203" s="548" t="n"/>
      <c r="H203" s="548" t="n"/>
      <c r="I203" s="548" t="n"/>
      <c r="J203" s="548" t="n"/>
      <c r="K203" s="548" t="n"/>
      <c r="L203" s="548" t="n"/>
      <c r="M203" s="548" t="n"/>
      <c r="N203" s="548" t="n"/>
      <c r="O203" s="548" t="n"/>
      <c r="P203" s="548" t="n"/>
      <c r="Q203" s="548" t="n"/>
      <c r="R203" s="548" t="n"/>
      <c r="S203" s="548" t="n"/>
      <c r="T203" s="548" t="n"/>
      <c r="U203" s="548" t="n"/>
      <c r="V203" s="548" t="n"/>
      <c r="W203" s="548" t="n"/>
      <c r="X203" s="548" t="n"/>
      <c r="Y203" s="548" t="n"/>
      <c r="Z203" s="21" t="n"/>
    </row>
    <row r="204" ht="15.75" customHeight="1" s="545">
      <c r="A204" s="548" t="n"/>
      <c r="B204" s="548" t="n"/>
      <c r="C204" s="548" t="n"/>
      <c r="D204" s="548" t="n"/>
      <c r="E204" s="548" t="n"/>
      <c r="F204" s="548" t="n"/>
      <c r="G204" s="548" t="n"/>
      <c r="H204" s="548" t="n"/>
      <c r="I204" s="548" t="n"/>
      <c r="J204" s="548" t="n"/>
      <c r="K204" s="548" t="n"/>
      <c r="L204" s="548" t="n"/>
      <c r="M204" s="548" t="n"/>
      <c r="N204" s="548" t="n"/>
      <c r="O204" s="548" t="n"/>
      <c r="P204" s="548" t="n"/>
      <c r="Q204" s="548" t="n"/>
      <c r="R204" s="548" t="n"/>
      <c r="S204" s="548" t="n"/>
      <c r="T204" s="548" t="n"/>
      <c r="U204" s="548" t="n"/>
      <c r="V204" s="548" t="n"/>
      <c r="W204" s="548" t="n"/>
      <c r="X204" s="548" t="n"/>
      <c r="Y204" s="548" t="n"/>
      <c r="Z204" s="21" t="n"/>
    </row>
    <row r="205" ht="15.75" customHeight="1" s="545">
      <c r="A205" s="548" t="n"/>
      <c r="B205" s="548" t="n"/>
      <c r="C205" s="548" t="n"/>
      <c r="D205" s="548" t="n"/>
      <c r="E205" s="548" t="n"/>
      <c r="F205" s="548" t="n"/>
      <c r="G205" s="548" t="n"/>
      <c r="H205" s="548" t="n"/>
      <c r="I205" s="548" t="n"/>
      <c r="J205" s="548" t="n"/>
      <c r="K205" s="548" t="n"/>
      <c r="L205" s="548" t="n"/>
      <c r="M205" s="548" t="n"/>
      <c r="N205" s="548" t="n"/>
      <c r="O205" s="548" t="n"/>
      <c r="P205" s="548" t="n"/>
      <c r="Q205" s="548" t="n"/>
      <c r="R205" s="548" t="n"/>
      <c r="S205" s="548" t="n"/>
      <c r="T205" s="548" t="n"/>
      <c r="U205" s="548" t="n"/>
      <c r="V205" s="548" t="n"/>
      <c r="W205" s="548" t="n"/>
      <c r="X205" s="548" t="n"/>
      <c r="Y205" s="548" t="n"/>
      <c r="Z205" s="21" t="n"/>
    </row>
    <row r="206" ht="15.75" customHeight="1" s="545">
      <c r="A206" s="548" t="n"/>
      <c r="B206" s="548" t="n"/>
      <c r="C206" s="548" t="n"/>
      <c r="D206" s="548" t="n"/>
      <c r="E206" s="548" t="n"/>
      <c r="F206" s="548" t="n"/>
      <c r="G206" s="548" t="n"/>
      <c r="H206" s="548" t="n"/>
      <c r="I206" s="548" t="n"/>
      <c r="J206" s="548" t="n"/>
      <c r="K206" s="548" t="n"/>
      <c r="L206" s="548" t="n"/>
      <c r="M206" s="548" t="n"/>
      <c r="N206" s="548" t="n"/>
      <c r="O206" s="548" t="n"/>
      <c r="P206" s="548" t="n"/>
      <c r="Q206" s="548" t="n"/>
      <c r="R206" s="548" t="n"/>
      <c r="S206" s="548" t="n"/>
      <c r="T206" s="548" t="n"/>
      <c r="U206" s="548" t="n"/>
      <c r="V206" s="548" t="n"/>
      <c r="W206" s="548" t="n"/>
      <c r="X206" s="548" t="n"/>
      <c r="Y206" s="548" t="n"/>
      <c r="Z206" s="21" t="n"/>
    </row>
    <row r="207" ht="15.75" customHeight="1" s="545">
      <c r="A207" s="548" t="n"/>
      <c r="B207" s="548" t="n"/>
      <c r="C207" s="548" t="n"/>
      <c r="D207" s="548" t="n"/>
      <c r="E207" s="548" t="n"/>
      <c r="F207" s="548" t="n"/>
      <c r="G207" s="548" t="n"/>
      <c r="H207" s="548" t="n"/>
      <c r="I207" s="548" t="n"/>
      <c r="J207" s="548" t="n"/>
      <c r="K207" s="548" t="n"/>
      <c r="L207" s="548" t="n"/>
      <c r="M207" s="548" t="n"/>
      <c r="N207" s="548" t="n"/>
      <c r="O207" s="548" t="n"/>
      <c r="P207" s="548" t="n"/>
      <c r="Q207" s="548" t="n"/>
      <c r="R207" s="548" t="n"/>
      <c r="S207" s="548" t="n"/>
      <c r="T207" s="548" t="n"/>
      <c r="U207" s="548" t="n"/>
      <c r="V207" s="548" t="n"/>
      <c r="W207" s="548" t="n"/>
      <c r="X207" s="548" t="n"/>
      <c r="Y207" s="548" t="n"/>
      <c r="Z207" s="21" t="n"/>
    </row>
    <row r="208" ht="15.75" customHeight="1" s="545">
      <c r="A208" s="548" t="n"/>
      <c r="B208" s="548" t="n"/>
      <c r="C208" s="548" t="n"/>
      <c r="D208" s="548" t="n"/>
      <c r="E208" s="548" t="n"/>
      <c r="F208" s="548" t="n"/>
      <c r="G208" s="548" t="n"/>
      <c r="H208" s="548" t="n"/>
      <c r="I208" s="548" t="n"/>
      <c r="J208" s="548" t="n"/>
      <c r="K208" s="548" t="n"/>
      <c r="L208" s="548" t="n"/>
      <c r="M208" s="548" t="n"/>
      <c r="N208" s="548" t="n"/>
      <c r="O208" s="548" t="n"/>
      <c r="P208" s="548" t="n"/>
      <c r="Q208" s="548" t="n"/>
      <c r="R208" s="548" t="n"/>
      <c r="S208" s="548" t="n"/>
      <c r="T208" s="548" t="n"/>
      <c r="U208" s="548" t="n"/>
      <c r="V208" s="548" t="n"/>
      <c r="W208" s="548" t="n"/>
      <c r="X208" s="548" t="n"/>
      <c r="Y208" s="548" t="n"/>
      <c r="Z208" s="21" t="n"/>
    </row>
    <row r="209" ht="15.75" customHeight="1" s="545">
      <c r="A209" s="548" t="n"/>
      <c r="B209" s="548" t="n"/>
      <c r="C209" s="548" t="n"/>
      <c r="D209" s="548" t="n"/>
      <c r="E209" s="548" t="n"/>
      <c r="F209" s="548" t="n"/>
      <c r="G209" s="548" t="n"/>
      <c r="H209" s="548" t="n"/>
      <c r="I209" s="548" t="n"/>
      <c r="J209" s="548" t="n"/>
      <c r="K209" s="548" t="n"/>
      <c r="L209" s="548" t="n"/>
      <c r="M209" s="548" t="n"/>
      <c r="N209" s="548" t="n"/>
      <c r="O209" s="548" t="n"/>
      <c r="P209" s="548" t="n"/>
      <c r="Q209" s="548" t="n"/>
      <c r="R209" s="548" t="n"/>
      <c r="S209" s="548" t="n"/>
      <c r="T209" s="548" t="n"/>
      <c r="U209" s="548" t="n"/>
      <c r="V209" s="548" t="n"/>
      <c r="W209" s="548" t="n"/>
      <c r="X209" s="548" t="n"/>
      <c r="Y209" s="548" t="n"/>
      <c r="Z209" s="21" t="n"/>
    </row>
    <row r="210" ht="15.75" customHeight="1" s="545">
      <c r="A210" s="548" t="n"/>
      <c r="B210" s="548" t="n"/>
      <c r="C210" s="548" t="n"/>
      <c r="D210" s="548" t="n"/>
      <c r="E210" s="548" t="n"/>
      <c r="F210" s="548" t="n"/>
      <c r="G210" s="548" t="n"/>
      <c r="H210" s="548" t="n"/>
      <c r="I210" s="548" t="n"/>
      <c r="J210" s="548" t="n"/>
      <c r="K210" s="548" t="n"/>
      <c r="L210" s="548" t="n"/>
      <c r="M210" s="548" t="n"/>
      <c r="N210" s="548" t="n"/>
      <c r="O210" s="548" t="n"/>
      <c r="P210" s="548" t="n"/>
      <c r="Q210" s="548" t="n"/>
      <c r="R210" s="548" t="n"/>
      <c r="S210" s="548" t="n"/>
      <c r="T210" s="548" t="n"/>
      <c r="U210" s="548" t="n"/>
      <c r="V210" s="548" t="n"/>
      <c r="W210" s="548" t="n"/>
      <c r="X210" s="548" t="n"/>
      <c r="Y210" s="548" t="n"/>
      <c r="Z210" s="21" t="n"/>
    </row>
    <row r="211" ht="15.75" customHeight="1" s="545">
      <c r="A211" s="548" t="n"/>
      <c r="B211" s="548" t="n"/>
      <c r="C211" s="548" t="n"/>
      <c r="D211" s="548" t="n"/>
      <c r="E211" s="548" t="n"/>
      <c r="F211" s="548" t="n"/>
      <c r="G211" s="548" t="n"/>
      <c r="H211" s="548" t="n"/>
      <c r="I211" s="548" t="n"/>
      <c r="J211" s="548" t="n"/>
      <c r="K211" s="548" t="n"/>
      <c r="L211" s="548" t="n"/>
      <c r="M211" s="548" t="n"/>
      <c r="N211" s="548" t="n"/>
      <c r="O211" s="548" t="n"/>
      <c r="P211" s="548" t="n"/>
      <c r="Q211" s="548" t="n"/>
      <c r="R211" s="548" t="n"/>
      <c r="S211" s="548" t="n"/>
      <c r="T211" s="548" t="n"/>
      <c r="U211" s="548" t="n"/>
      <c r="V211" s="548" t="n"/>
      <c r="W211" s="548" t="n"/>
      <c r="X211" s="548" t="n"/>
      <c r="Y211" s="548" t="n"/>
      <c r="Z211" s="21" t="n"/>
    </row>
    <row r="212" ht="15.75" customHeight="1" s="545">
      <c r="A212" s="548" t="n"/>
      <c r="B212" s="548" t="n"/>
      <c r="C212" s="548" t="n"/>
      <c r="D212" s="548" t="n"/>
      <c r="E212" s="548" t="n"/>
      <c r="F212" s="548" t="n"/>
      <c r="G212" s="548" t="n"/>
      <c r="H212" s="548" t="n"/>
      <c r="I212" s="548" t="n"/>
      <c r="J212" s="548" t="n"/>
      <c r="K212" s="548" t="n"/>
      <c r="L212" s="548" t="n"/>
      <c r="M212" s="548" t="n"/>
      <c r="N212" s="548" t="n"/>
      <c r="O212" s="548" t="n"/>
      <c r="P212" s="548" t="n"/>
      <c r="Q212" s="548" t="n"/>
      <c r="R212" s="548" t="n"/>
      <c r="S212" s="548" t="n"/>
      <c r="T212" s="548" t="n"/>
      <c r="U212" s="548" t="n"/>
      <c r="V212" s="548" t="n"/>
      <c r="W212" s="548" t="n"/>
      <c r="X212" s="548" t="n"/>
      <c r="Y212" s="548" t="n"/>
      <c r="Z212" s="21" t="n"/>
    </row>
    <row r="213" ht="15.75" customHeight="1" s="545">
      <c r="A213" s="548" t="n"/>
      <c r="B213" s="548" t="n"/>
      <c r="C213" s="548" t="n"/>
      <c r="D213" s="548" t="n"/>
      <c r="E213" s="548" t="n"/>
      <c r="F213" s="548" t="n"/>
      <c r="G213" s="548" t="n"/>
      <c r="H213" s="548" t="n"/>
      <c r="I213" s="548" t="n"/>
      <c r="J213" s="548" t="n"/>
      <c r="K213" s="548" t="n"/>
      <c r="L213" s="548" t="n"/>
      <c r="M213" s="548" t="n"/>
      <c r="N213" s="548" t="n"/>
      <c r="O213" s="548" t="n"/>
      <c r="P213" s="548" t="n"/>
      <c r="Q213" s="548" t="n"/>
      <c r="R213" s="548" t="n"/>
      <c r="S213" s="548" t="n"/>
      <c r="T213" s="548" t="n"/>
      <c r="U213" s="548" t="n"/>
      <c r="V213" s="548" t="n"/>
      <c r="W213" s="548" t="n"/>
      <c r="X213" s="548" t="n"/>
      <c r="Y213" s="548" t="n"/>
      <c r="Z213" s="21" t="n"/>
    </row>
    <row r="214" ht="15.75" customHeight="1" s="545">
      <c r="A214" s="548" t="n"/>
      <c r="B214" s="548" t="n"/>
      <c r="C214" s="548" t="n"/>
      <c r="D214" s="548" t="n"/>
      <c r="E214" s="548" t="n"/>
      <c r="F214" s="548" t="n"/>
      <c r="G214" s="548" t="n"/>
      <c r="H214" s="548" t="n"/>
      <c r="I214" s="548" t="n"/>
      <c r="J214" s="548" t="n"/>
      <c r="K214" s="548" t="n"/>
      <c r="L214" s="548" t="n"/>
      <c r="M214" s="548" t="n"/>
      <c r="N214" s="548" t="n"/>
      <c r="O214" s="548" t="n"/>
      <c r="P214" s="548" t="n"/>
      <c r="Q214" s="548" t="n"/>
      <c r="R214" s="548" t="n"/>
      <c r="S214" s="548" t="n"/>
      <c r="T214" s="548" t="n"/>
      <c r="U214" s="548" t="n"/>
      <c r="V214" s="548" t="n"/>
      <c r="W214" s="548" t="n"/>
      <c r="X214" s="548" t="n"/>
      <c r="Y214" s="548" t="n"/>
      <c r="Z214" s="21" t="n"/>
    </row>
    <row r="215" ht="15.75" customHeight="1" s="545">
      <c r="A215" s="548" t="n"/>
      <c r="B215" s="548" t="n"/>
      <c r="C215" s="548" t="n"/>
      <c r="D215" s="548" t="n"/>
      <c r="E215" s="548" t="n"/>
      <c r="F215" s="548" t="n"/>
      <c r="G215" s="548" t="n"/>
      <c r="H215" s="548" t="n"/>
      <c r="I215" s="548" t="n"/>
      <c r="J215" s="548" t="n"/>
      <c r="K215" s="548" t="n"/>
      <c r="L215" s="548" t="n"/>
      <c r="M215" s="548" t="n"/>
      <c r="N215" s="548" t="n"/>
      <c r="O215" s="548" t="n"/>
      <c r="P215" s="548" t="n"/>
      <c r="Q215" s="548" t="n"/>
      <c r="R215" s="548" t="n"/>
      <c r="S215" s="548" t="n"/>
      <c r="T215" s="548" t="n"/>
      <c r="U215" s="548" t="n"/>
      <c r="V215" s="548" t="n"/>
      <c r="W215" s="548" t="n"/>
      <c r="X215" s="548" t="n"/>
      <c r="Y215" s="548" t="n"/>
      <c r="Z215" s="21" t="n"/>
    </row>
    <row r="216" ht="15.75" customHeight="1" s="545">
      <c r="A216" s="548" t="n"/>
      <c r="B216" s="548" t="n"/>
      <c r="C216" s="548" t="n"/>
      <c r="D216" s="548" t="n"/>
      <c r="E216" s="548" t="n"/>
      <c r="F216" s="548" t="n"/>
      <c r="G216" s="548" t="n"/>
      <c r="H216" s="548" t="n"/>
      <c r="I216" s="548" t="n"/>
      <c r="J216" s="548" t="n"/>
      <c r="K216" s="548" t="n"/>
      <c r="L216" s="548" t="n"/>
      <c r="M216" s="548" t="n"/>
      <c r="N216" s="548" t="n"/>
      <c r="O216" s="548" t="n"/>
      <c r="P216" s="548" t="n"/>
      <c r="Q216" s="548" t="n"/>
      <c r="R216" s="548" t="n"/>
      <c r="S216" s="548" t="n"/>
      <c r="T216" s="548" t="n"/>
      <c r="U216" s="548" t="n"/>
      <c r="V216" s="548" t="n"/>
      <c r="W216" s="548" t="n"/>
      <c r="X216" s="548" t="n"/>
      <c r="Y216" s="548" t="n"/>
      <c r="Z216" s="21" t="n"/>
    </row>
    <row r="217" ht="15.75" customHeight="1" s="545">
      <c r="A217" s="548" t="n"/>
      <c r="B217" s="548" t="n"/>
      <c r="C217" s="548" t="n"/>
      <c r="D217" s="548" t="n"/>
      <c r="E217" s="548" t="n"/>
      <c r="F217" s="548" t="n"/>
      <c r="G217" s="548" t="n"/>
      <c r="H217" s="548" t="n"/>
      <c r="I217" s="548" t="n"/>
      <c r="J217" s="548" t="n"/>
      <c r="K217" s="548" t="n"/>
      <c r="L217" s="548" t="n"/>
      <c r="M217" s="548" t="n"/>
      <c r="N217" s="548" t="n"/>
      <c r="O217" s="548" t="n"/>
      <c r="P217" s="548" t="n"/>
      <c r="Q217" s="548" t="n"/>
      <c r="R217" s="548" t="n"/>
      <c r="S217" s="548" t="n"/>
      <c r="T217" s="548" t="n"/>
      <c r="U217" s="548" t="n"/>
      <c r="V217" s="548" t="n"/>
      <c r="W217" s="548" t="n"/>
      <c r="X217" s="548" t="n"/>
      <c r="Y217" s="548" t="n"/>
      <c r="Z217" s="21" t="n"/>
    </row>
    <row r="218" ht="15.75" customHeight="1" s="545">
      <c r="A218" s="548" t="n"/>
      <c r="B218" s="548" t="n"/>
      <c r="C218" s="548" t="n"/>
      <c r="D218" s="548" t="n"/>
      <c r="E218" s="548" t="n"/>
      <c r="F218" s="548" t="n"/>
      <c r="G218" s="548" t="n"/>
      <c r="H218" s="548" t="n"/>
      <c r="I218" s="548" t="n"/>
      <c r="J218" s="548" t="n"/>
      <c r="K218" s="548" t="n"/>
      <c r="L218" s="548" t="n"/>
      <c r="M218" s="548" t="n"/>
      <c r="N218" s="548" t="n"/>
      <c r="O218" s="548" t="n"/>
      <c r="P218" s="548" t="n"/>
      <c r="Q218" s="548" t="n"/>
      <c r="R218" s="548" t="n"/>
      <c r="S218" s="548" t="n"/>
      <c r="T218" s="548" t="n"/>
      <c r="U218" s="548" t="n"/>
      <c r="V218" s="548" t="n"/>
      <c r="W218" s="548" t="n"/>
      <c r="X218" s="548" t="n"/>
      <c r="Y218" s="548" t="n"/>
      <c r="Z218" s="21" t="n"/>
    </row>
    <row r="219" ht="15.75" customHeight="1" s="545">
      <c r="A219" s="548" t="n"/>
      <c r="B219" s="548" t="n"/>
      <c r="C219" s="548" t="n"/>
      <c r="D219" s="548" t="n"/>
      <c r="E219" s="548" t="n"/>
      <c r="F219" s="548" t="n"/>
      <c r="G219" s="548" t="n"/>
      <c r="H219" s="548" t="n"/>
      <c r="I219" s="548" t="n"/>
      <c r="J219" s="548" t="n"/>
      <c r="K219" s="548" t="n"/>
      <c r="L219" s="548" t="n"/>
      <c r="M219" s="548" t="n"/>
      <c r="N219" s="548" t="n"/>
      <c r="O219" s="548" t="n"/>
      <c r="P219" s="548" t="n"/>
      <c r="Q219" s="548" t="n"/>
      <c r="R219" s="548" t="n"/>
      <c r="S219" s="548" t="n"/>
      <c r="T219" s="548" t="n"/>
      <c r="U219" s="548" t="n"/>
      <c r="V219" s="548" t="n"/>
      <c r="W219" s="548" t="n"/>
      <c r="X219" s="548" t="n"/>
      <c r="Y219" s="548" t="n"/>
      <c r="Z219" s="21" t="n"/>
    </row>
    <row r="220" ht="15.75" customHeight="1" s="545">
      <c r="A220" s="548" t="n"/>
      <c r="B220" s="548" t="n"/>
      <c r="C220" s="548" t="n"/>
      <c r="D220" s="548" t="n"/>
      <c r="E220" s="548" t="n"/>
      <c r="F220" s="548" t="n"/>
      <c r="G220" s="548" t="n"/>
      <c r="H220" s="548" t="n"/>
      <c r="I220" s="548" t="n"/>
      <c r="J220" s="548" t="n"/>
      <c r="K220" s="548" t="n"/>
      <c r="L220" s="548" t="n"/>
      <c r="M220" s="548" t="n"/>
      <c r="N220" s="548" t="n"/>
      <c r="O220" s="548" t="n"/>
      <c r="P220" s="548" t="n"/>
      <c r="Q220" s="548" t="n"/>
      <c r="R220" s="548" t="n"/>
      <c r="S220" s="548" t="n"/>
      <c r="T220" s="548" t="n"/>
      <c r="U220" s="548" t="n"/>
      <c r="V220" s="548" t="n"/>
      <c r="W220" s="548" t="n"/>
      <c r="X220" s="548" t="n"/>
      <c r="Y220" s="548" t="n"/>
      <c r="Z220" s="21" t="n"/>
    </row>
    <row r="221" ht="15.75" customHeight="1" s="545">
      <c r="A221" s="548" t="n"/>
      <c r="B221" s="548" t="n"/>
      <c r="C221" s="548" t="n"/>
      <c r="D221" s="548" t="n"/>
      <c r="E221" s="548" t="n"/>
      <c r="F221" s="548" t="n"/>
      <c r="G221" s="548" t="n"/>
      <c r="H221" s="548" t="n"/>
      <c r="I221" s="548" t="n"/>
      <c r="J221" s="548" t="n"/>
      <c r="K221" s="548" t="n"/>
      <c r="L221" s="548" t="n"/>
      <c r="M221" s="548" t="n"/>
      <c r="N221" s="548" t="n"/>
      <c r="O221" s="548" t="n"/>
      <c r="P221" s="548" t="n"/>
      <c r="Q221" s="548" t="n"/>
      <c r="R221" s="548" t="n"/>
      <c r="S221" s="548" t="n"/>
      <c r="T221" s="548" t="n"/>
      <c r="U221" s="548" t="n"/>
      <c r="V221" s="548" t="n"/>
      <c r="W221" s="548" t="n"/>
      <c r="X221" s="548" t="n"/>
      <c r="Y221" s="548" t="n"/>
      <c r="Z221" s="21" t="n"/>
    </row>
    <row r="222" ht="15.75" customHeight="1" s="545">
      <c r="A222" s="548" t="n"/>
      <c r="B222" s="548" t="n"/>
      <c r="C222" s="548" t="n"/>
      <c r="D222" s="548" t="n"/>
      <c r="E222" s="548" t="n"/>
      <c r="F222" s="548" t="n"/>
      <c r="G222" s="548" t="n"/>
      <c r="H222" s="548" t="n"/>
      <c r="I222" s="548" t="n"/>
      <c r="J222" s="548" t="n"/>
      <c r="K222" s="548" t="n"/>
      <c r="L222" s="548" t="n"/>
      <c r="M222" s="548" t="n"/>
      <c r="N222" s="548" t="n"/>
      <c r="O222" s="548" t="n"/>
      <c r="P222" s="548" t="n"/>
      <c r="Q222" s="548" t="n"/>
      <c r="R222" s="548" t="n"/>
      <c r="S222" s="548" t="n"/>
      <c r="T222" s="548" t="n"/>
      <c r="U222" s="548" t="n"/>
      <c r="V222" s="548" t="n"/>
      <c r="W222" s="548" t="n"/>
      <c r="X222" s="548" t="n"/>
      <c r="Y222" s="548" t="n"/>
      <c r="Z222" s="21" t="n"/>
    </row>
    <row r="223" ht="15.75" customHeight="1" s="545">
      <c r="A223" s="548" t="n"/>
      <c r="B223" s="548" t="n"/>
      <c r="C223" s="548" t="n"/>
      <c r="D223" s="548" t="n"/>
      <c r="E223" s="548" t="n"/>
      <c r="F223" s="548" t="n"/>
      <c r="G223" s="548" t="n"/>
      <c r="H223" s="548" t="n"/>
      <c r="I223" s="548" t="n"/>
      <c r="J223" s="548" t="n"/>
      <c r="K223" s="548" t="n"/>
      <c r="L223" s="548" t="n"/>
      <c r="M223" s="548" t="n"/>
      <c r="N223" s="548" t="n"/>
      <c r="O223" s="548" t="n"/>
      <c r="P223" s="548" t="n"/>
      <c r="Q223" s="548" t="n"/>
      <c r="R223" s="548" t="n"/>
      <c r="S223" s="548" t="n"/>
      <c r="T223" s="548" t="n"/>
      <c r="U223" s="548" t="n"/>
      <c r="V223" s="548" t="n"/>
      <c r="W223" s="548" t="n"/>
      <c r="X223" s="548" t="n"/>
      <c r="Y223" s="548" t="n"/>
      <c r="Z223" s="21" t="n"/>
    </row>
    <row r="224" ht="15.75" customHeight="1" s="545">
      <c r="A224" s="548" t="n"/>
      <c r="B224" s="548" t="n"/>
      <c r="C224" s="548" t="n"/>
      <c r="D224" s="548" t="n"/>
      <c r="E224" s="548" t="n"/>
      <c r="F224" s="548" t="n"/>
      <c r="G224" s="548" t="n"/>
      <c r="H224" s="548" t="n"/>
      <c r="I224" s="548" t="n"/>
      <c r="J224" s="548" t="n"/>
      <c r="K224" s="548" t="n"/>
      <c r="L224" s="548" t="n"/>
      <c r="M224" s="548" t="n"/>
      <c r="N224" s="548" t="n"/>
      <c r="O224" s="548" t="n"/>
      <c r="P224" s="548" t="n"/>
      <c r="Q224" s="548" t="n"/>
      <c r="R224" s="548" t="n"/>
      <c r="S224" s="548" t="n"/>
      <c r="T224" s="548" t="n"/>
      <c r="U224" s="548" t="n"/>
      <c r="V224" s="548" t="n"/>
      <c r="W224" s="548" t="n"/>
      <c r="X224" s="548" t="n"/>
      <c r="Y224" s="548" t="n"/>
      <c r="Z224" s="21" t="n"/>
    </row>
    <row r="225" ht="15.75" customHeight="1" s="545">
      <c r="A225" s="548" t="n"/>
      <c r="B225" s="548" t="n"/>
      <c r="C225" s="548" t="n"/>
      <c r="D225" s="548" t="n"/>
      <c r="E225" s="548" t="n"/>
      <c r="F225" s="548" t="n"/>
      <c r="G225" s="548" t="n"/>
      <c r="H225" s="548" t="n"/>
      <c r="I225" s="548" t="n"/>
      <c r="J225" s="548" t="n"/>
      <c r="K225" s="548" t="n"/>
      <c r="L225" s="548" t="n"/>
      <c r="M225" s="548" t="n"/>
      <c r="N225" s="548" t="n"/>
      <c r="O225" s="548" t="n"/>
      <c r="P225" s="548" t="n"/>
      <c r="Q225" s="548" t="n"/>
      <c r="R225" s="548" t="n"/>
      <c r="S225" s="548" t="n"/>
      <c r="T225" s="548" t="n"/>
      <c r="U225" s="548" t="n"/>
      <c r="V225" s="548" t="n"/>
      <c r="W225" s="548" t="n"/>
      <c r="X225" s="548" t="n"/>
      <c r="Y225" s="548" t="n"/>
      <c r="Z225" s="21" t="n"/>
    </row>
    <row r="226" ht="15.75" customHeight="1" s="545">
      <c r="A226" s="548" t="n"/>
      <c r="B226" s="548" t="n"/>
      <c r="C226" s="548" t="n"/>
      <c r="D226" s="548" t="n"/>
      <c r="E226" s="548" t="n"/>
      <c r="F226" s="548" t="n"/>
      <c r="G226" s="548" t="n"/>
      <c r="H226" s="548" t="n"/>
      <c r="I226" s="548" t="n"/>
      <c r="J226" s="548" t="n"/>
      <c r="K226" s="548" t="n"/>
      <c r="L226" s="548" t="n"/>
      <c r="M226" s="548" t="n"/>
      <c r="N226" s="548" t="n"/>
      <c r="O226" s="548" t="n"/>
      <c r="P226" s="548" t="n"/>
      <c r="Q226" s="548" t="n"/>
      <c r="R226" s="548" t="n"/>
      <c r="S226" s="548" t="n"/>
      <c r="T226" s="548" t="n"/>
      <c r="U226" s="548" t="n"/>
      <c r="V226" s="548" t="n"/>
      <c r="W226" s="548" t="n"/>
      <c r="X226" s="548" t="n"/>
      <c r="Y226" s="548" t="n"/>
      <c r="Z226" s="21" t="n"/>
    </row>
    <row r="227" ht="15.75" customHeight="1" s="545">
      <c r="A227" s="548" t="n"/>
      <c r="B227" s="548" t="n"/>
      <c r="C227" s="548" t="n"/>
      <c r="D227" s="548" t="n"/>
      <c r="E227" s="548" t="n"/>
      <c r="F227" s="548" t="n"/>
      <c r="G227" s="548" t="n"/>
      <c r="H227" s="548" t="n"/>
      <c r="I227" s="548" t="n"/>
      <c r="J227" s="548" t="n"/>
      <c r="K227" s="548" t="n"/>
      <c r="L227" s="548" t="n"/>
      <c r="M227" s="548" t="n"/>
      <c r="N227" s="548" t="n"/>
      <c r="O227" s="548" t="n"/>
      <c r="P227" s="548" t="n"/>
      <c r="Q227" s="548" t="n"/>
      <c r="R227" s="548" t="n"/>
      <c r="S227" s="548" t="n"/>
      <c r="T227" s="548" t="n"/>
      <c r="U227" s="548" t="n"/>
      <c r="V227" s="548" t="n"/>
      <c r="W227" s="548" t="n"/>
      <c r="X227" s="548" t="n"/>
      <c r="Y227" s="548" t="n"/>
      <c r="Z227" s="21" t="n"/>
    </row>
    <row r="228" ht="15.75" customHeight="1" s="545">
      <c r="A228" s="21" t="n"/>
      <c r="B228" s="21" t="n"/>
      <c r="C228" s="21" t="n"/>
      <c r="D228" s="21" t="n"/>
      <c r="E228" s="21" t="n"/>
      <c r="F228" s="21" t="n"/>
      <c r="G228" s="21" t="n"/>
      <c r="H228" s="21" t="n"/>
      <c r="I228" s="21" t="n"/>
      <c r="J228" s="21" t="n"/>
      <c r="K228" s="21" t="n"/>
      <c r="L228" s="21" t="n"/>
      <c r="M228" s="21" t="n"/>
      <c r="N228" s="21" t="n"/>
      <c r="O228" s="21" t="n"/>
      <c r="P228" s="21" t="n"/>
      <c r="Q228" s="21" t="n"/>
      <c r="R228" s="21" t="n"/>
      <c r="S228" s="21" t="n"/>
      <c r="T228" s="21" t="n"/>
      <c r="U228" s="21" t="n"/>
      <c r="V228" s="21" t="n"/>
      <c r="W228" s="21" t="n"/>
      <c r="X228" s="21" t="n"/>
      <c r="Y228" s="21" t="n"/>
      <c r="Z228" s="21" t="n"/>
    </row>
    <row r="229" ht="15.75" customHeight="1" s="545">
      <c r="A229" s="19" t="n"/>
      <c r="B229" s="19" t="n"/>
      <c r="C229" s="19" t="n"/>
      <c r="D229" s="19" t="n"/>
      <c r="E229" s="19" t="n"/>
      <c r="F229" s="19" t="n"/>
      <c r="G229" s="19" t="n"/>
      <c r="H229" s="19" t="n"/>
      <c r="I229" s="19" t="n"/>
    </row>
    <row r="230" ht="15.75" customHeight="1" s="545">
      <c r="A230" s="19" t="n"/>
      <c r="B230" s="19" t="n"/>
      <c r="C230" s="19" t="n"/>
      <c r="D230" s="19" t="n"/>
      <c r="E230" s="19" t="n"/>
      <c r="F230" s="19" t="n"/>
      <c r="G230" s="19" t="n"/>
      <c r="H230" s="19" t="n"/>
      <c r="I230" s="19" t="n"/>
    </row>
    <row r="231" ht="15.75" customHeight="1" s="545">
      <c r="A231" s="19" t="n"/>
      <c r="B231" s="19" t="n"/>
      <c r="C231" s="19" t="n"/>
      <c r="D231" s="19" t="n"/>
      <c r="E231" s="19" t="n"/>
      <c r="F231" s="19" t="n"/>
      <c r="G231" s="19" t="n"/>
      <c r="H231" s="19" t="n"/>
      <c r="I231" s="19" t="n"/>
    </row>
    <row r="232" ht="15.75" customHeight="1" s="545">
      <c r="A232" s="19" t="n"/>
      <c r="B232" s="19" t="n"/>
      <c r="C232" s="19" t="n"/>
      <c r="D232" s="19" t="n"/>
      <c r="E232" s="19" t="n"/>
      <c r="F232" s="19" t="n"/>
      <c r="G232" s="19" t="n"/>
      <c r="H232" s="19" t="n"/>
      <c r="I232" s="19" t="n"/>
    </row>
    <row r="233" ht="15.75" customHeight="1" s="545">
      <c r="A233" s="19" t="n"/>
      <c r="B233" s="19" t="n"/>
      <c r="C233" s="19" t="n"/>
      <c r="D233" s="19" t="n"/>
      <c r="E233" s="19" t="n"/>
      <c r="F233" s="19" t="n"/>
      <c r="G233" s="19" t="n"/>
      <c r="H233" s="19" t="n"/>
      <c r="I233" s="19" t="n"/>
    </row>
    <row r="234" ht="15.75" customHeight="1" s="545">
      <c r="A234" s="19" t="n"/>
      <c r="B234" s="19" t="n"/>
      <c r="C234" s="19" t="n"/>
      <c r="D234" s="19" t="n"/>
      <c r="E234" s="19" t="n"/>
      <c r="F234" s="19" t="n"/>
      <c r="G234" s="19" t="n"/>
      <c r="H234" s="19" t="n"/>
      <c r="I234" s="19" t="n"/>
    </row>
    <row r="235" ht="15.75" customHeight="1" s="545">
      <c r="A235" s="19" t="n"/>
      <c r="B235" s="19" t="n"/>
      <c r="C235" s="19" t="n"/>
      <c r="D235" s="19" t="n"/>
      <c r="E235" s="19" t="n"/>
      <c r="F235" s="19" t="n"/>
      <c r="G235" s="19" t="n"/>
      <c r="H235" s="19" t="n"/>
      <c r="I235" s="19" t="n"/>
    </row>
    <row r="236" ht="15.75" customHeight="1" s="545">
      <c r="A236" s="19" t="n"/>
      <c r="B236" s="19" t="n"/>
      <c r="C236" s="19" t="n"/>
      <c r="D236" s="19" t="n"/>
      <c r="E236" s="19" t="n"/>
      <c r="F236" s="19" t="n"/>
      <c r="G236" s="19" t="n"/>
      <c r="H236" s="19" t="n"/>
      <c r="I236" s="19" t="n"/>
    </row>
    <row r="237" ht="15.75" customHeight="1" s="545">
      <c r="A237" s="19" t="n"/>
      <c r="B237" s="19" t="n"/>
      <c r="C237" s="19" t="n"/>
      <c r="D237" s="19" t="n"/>
      <c r="E237" s="19" t="n"/>
      <c r="F237" s="19" t="n"/>
      <c r="G237" s="19" t="n"/>
      <c r="H237" s="19" t="n"/>
      <c r="I237" s="19" t="n"/>
    </row>
    <row r="238" ht="15.75" customHeight="1" s="545">
      <c r="A238" s="19" t="n"/>
      <c r="B238" s="19" t="n"/>
      <c r="C238" s="19" t="n"/>
      <c r="D238" s="19" t="n"/>
      <c r="E238" s="19" t="n"/>
      <c r="F238" s="19" t="n"/>
      <c r="G238" s="19" t="n"/>
      <c r="H238" s="19" t="n"/>
      <c r="I238" s="19" t="n"/>
    </row>
    <row r="239" ht="15.75" customHeight="1" s="545">
      <c r="A239" s="19" t="n"/>
      <c r="B239" s="19" t="n"/>
      <c r="C239" s="19" t="n"/>
      <c r="D239" s="19" t="n"/>
      <c r="E239" s="19" t="n"/>
      <c r="F239" s="19" t="n"/>
      <c r="G239" s="19" t="n"/>
      <c r="H239" s="19" t="n"/>
      <c r="I239" s="19" t="n"/>
    </row>
    <row r="240" ht="15.75" customHeight="1" s="545">
      <c r="A240" s="19" t="n"/>
      <c r="B240" s="19" t="n"/>
      <c r="C240" s="19" t="n"/>
      <c r="D240" s="19" t="n"/>
      <c r="E240" s="19" t="n"/>
      <c r="F240" s="19" t="n"/>
      <c r="G240" s="19" t="n"/>
      <c r="H240" s="19" t="n"/>
      <c r="I240" s="19" t="n"/>
    </row>
    <row r="241" ht="15.75" customHeight="1" s="545">
      <c r="A241" s="19" t="n"/>
      <c r="B241" s="19" t="n"/>
      <c r="C241" s="19" t="n"/>
      <c r="D241" s="19" t="n"/>
      <c r="E241" s="19" t="n"/>
      <c r="F241" s="19" t="n"/>
      <c r="G241" s="19" t="n"/>
      <c r="H241" s="19" t="n"/>
      <c r="I241" s="19" t="n"/>
    </row>
    <row r="242" ht="15.75" customHeight="1" s="545">
      <c r="A242" s="19" t="n"/>
      <c r="B242" s="19" t="n"/>
      <c r="C242" s="19" t="n"/>
      <c r="D242" s="19" t="n"/>
      <c r="E242" s="19" t="n"/>
      <c r="F242" s="19" t="n"/>
      <c r="G242" s="19" t="n"/>
      <c r="H242" s="19" t="n"/>
      <c r="I242" s="19" t="n"/>
    </row>
    <row r="243" ht="15.75" customHeight="1" s="545">
      <c r="A243" s="19" t="n"/>
      <c r="B243" s="19" t="n"/>
      <c r="C243" s="19" t="n"/>
      <c r="D243" s="19" t="n"/>
      <c r="E243" s="19" t="n"/>
      <c r="F243" s="19" t="n"/>
      <c r="G243" s="19" t="n"/>
      <c r="H243" s="19" t="n"/>
      <c r="I243" s="19" t="n"/>
    </row>
    <row r="244" ht="15.75" customHeight="1" s="545">
      <c r="A244" s="19" t="n"/>
      <c r="B244" s="19" t="n"/>
      <c r="C244" s="19" t="n"/>
      <c r="D244" s="19" t="n"/>
      <c r="E244" s="19" t="n"/>
      <c r="F244" s="19" t="n"/>
      <c r="G244" s="19" t="n"/>
      <c r="H244" s="19" t="n"/>
      <c r="I244" s="19" t="n"/>
    </row>
    <row r="245" ht="15.75" customHeight="1" s="545">
      <c r="A245" s="19" t="n"/>
      <c r="B245" s="19" t="n"/>
      <c r="C245" s="19" t="n"/>
      <c r="D245" s="19" t="n"/>
      <c r="E245" s="19" t="n"/>
      <c r="F245" s="19" t="n"/>
      <c r="G245" s="19" t="n"/>
      <c r="H245" s="19" t="n"/>
      <c r="I245" s="19" t="n"/>
    </row>
    <row r="246" ht="15.75" customHeight="1" s="545">
      <c r="A246" s="19" t="n"/>
      <c r="B246" s="19" t="n"/>
      <c r="C246" s="19" t="n"/>
      <c r="D246" s="19" t="n"/>
      <c r="E246" s="19" t="n"/>
      <c r="F246" s="19" t="n"/>
      <c r="G246" s="19" t="n"/>
      <c r="H246" s="19" t="n"/>
      <c r="I246" s="19" t="n"/>
    </row>
    <row r="247" ht="15.75" customHeight="1" s="545">
      <c r="A247" s="19" t="n"/>
      <c r="B247" s="19" t="n"/>
      <c r="C247" s="19" t="n"/>
      <c r="D247" s="19" t="n"/>
      <c r="E247" s="19" t="n"/>
      <c r="F247" s="19" t="n"/>
      <c r="G247" s="19" t="n"/>
      <c r="H247" s="19" t="n"/>
      <c r="I247" s="19" t="n"/>
    </row>
    <row r="248" ht="15.75" customHeight="1" s="545">
      <c r="A248" s="19" t="n"/>
      <c r="B248" s="19" t="n"/>
      <c r="C248" s="19" t="n"/>
      <c r="D248" s="19" t="n"/>
      <c r="E248" s="19" t="n"/>
      <c r="F248" s="19" t="n"/>
      <c r="G248" s="19" t="n"/>
      <c r="H248" s="19" t="n"/>
      <c r="I248" s="19" t="n"/>
    </row>
    <row r="249" ht="15.75" customHeight="1" s="545">
      <c r="A249" s="19" t="n"/>
      <c r="B249" s="19" t="n"/>
      <c r="C249" s="19" t="n"/>
      <c r="D249" s="19" t="n"/>
      <c r="E249" s="19" t="n"/>
      <c r="F249" s="19" t="n"/>
      <c r="G249" s="19" t="n"/>
      <c r="H249" s="19" t="n"/>
      <c r="I249" s="19" t="n"/>
    </row>
    <row r="250" ht="15.75" customHeight="1" s="545">
      <c r="A250" s="19" t="n"/>
      <c r="B250" s="19" t="n"/>
      <c r="C250" s="19" t="n"/>
      <c r="D250" s="19" t="n"/>
      <c r="E250" s="19" t="n"/>
      <c r="F250" s="19" t="n"/>
      <c r="G250" s="19" t="n"/>
      <c r="H250" s="19" t="n"/>
      <c r="I250" s="19" t="n"/>
    </row>
    <row r="251" ht="15.75" customHeight="1" s="545">
      <c r="A251" s="19" t="n"/>
      <c r="B251" s="19" t="n"/>
      <c r="C251" s="19" t="n"/>
      <c r="D251" s="19" t="n"/>
      <c r="E251" s="19" t="n"/>
      <c r="F251" s="19" t="n"/>
      <c r="G251" s="19" t="n"/>
      <c r="H251" s="19" t="n"/>
      <c r="I251" s="19" t="n"/>
    </row>
    <row r="252" ht="15.75" customHeight="1" s="545">
      <c r="A252" s="19" t="n"/>
      <c r="B252" s="19" t="n"/>
      <c r="C252" s="19" t="n"/>
      <c r="D252" s="19" t="n"/>
      <c r="E252" s="19" t="n"/>
      <c r="F252" s="19" t="n"/>
      <c r="G252" s="19" t="n"/>
      <c r="H252" s="19" t="n"/>
      <c r="I252" s="19" t="n"/>
    </row>
    <row r="253" ht="15.75" customHeight="1" s="545">
      <c r="A253" s="19" t="n"/>
      <c r="B253" s="19" t="n"/>
      <c r="C253" s="19" t="n"/>
      <c r="D253" s="19" t="n"/>
      <c r="E253" s="19" t="n"/>
      <c r="F253" s="19" t="n"/>
      <c r="G253" s="19" t="n"/>
      <c r="H253" s="19" t="n"/>
      <c r="I253" s="19" t="n"/>
    </row>
    <row r="254" ht="15.75" customHeight="1" s="545">
      <c r="A254" s="19" t="n"/>
      <c r="B254" s="19" t="n"/>
      <c r="C254" s="19" t="n"/>
      <c r="D254" s="19" t="n"/>
      <c r="E254" s="19" t="n"/>
      <c r="F254" s="19" t="n"/>
      <c r="G254" s="19" t="n"/>
      <c r="H254" s="19" t="n"/>
      <c r="I254" s="19" t="n"/>
    </row>
    <row r="255" ht="15.75" customHeight="1" s="545">
      <c r="A255" s="19" t="n"/>
      <c r="B255" s="19" t="n"/>
      <c r="C255" s="19" t="n"/>
      <c r="D255" s="19" t="n"/>
      <c r="E255" s="19" t="n"/>
      <c r="F255" s="19" t="n"/>
      <c r="G255" s="19" t="n"/>
      <c r="H255" s="19" t="n"/>
      <c r="I255" s="19" t="n"/>
    </row>
    <row r="256" ht="15.75" customHeight="1" s="545">
      <c r="A256" s="19" t="n"/>
      <c r="B256" s="19" t="n"/>
      <c r="C256" s="19" t="n"/>
      <c r="D256" s="19" t="n"/>
      <c r="E256" s="19" t="n"/>
      <c r="F256" s="19" t="n"/>
      <c r="G256" s="19" t="n"/>
      <c r="H256" s="19" t="n"/>
      <c r="I256" s="19" t="n"/>
    </row>
    <row r="257" ht="15.75" customHeight="1" s="545">
      <c r="A257" s="19" t="n"/>
      <c r="B257" s="19" t="n"/>
      <c r="C257" s="19" t="n"/>
      <c r="D257" s="19" t="n"/>
      <c r="E257" s="19" t="n"/>
      <c r="F257" s="19" t="n"/>
      <c r="G257" s="19" t="n"/>
      <c r="H257" s="19" t="n"/>
      <c r="I257" s="19" t="n"/>
    </row>
    <row r="258" ht="15.75" customHeight="1" s="545">
      <c r="A258" s="19" t="n"/>
      <c r="B258" s="19" t="n"/>
      <c r="C258" s="19" t="n"/>
      <c r="D258" s="19" t="n"/>
      <c r="E258" s="19" t="n"/>
      <c r="F258" s="19" t="n"/>
      <c r="G258" s="19" t="n"/>
      <c r="H258" s="19" t="n"/>
      <c r="I258" s="19" t="n"/>
    </row>
    <row r="259" ht="15.75" customHeight="1" s="545">
      <c r="A259" s="19" t="n"/>
      <c r="B259" s="19" t="n"/>
      <c r="C259" s="19" t="n"/>
      <c r="D259" s="19" t="n"/>
      <c r="E259" s="19" t="n"/>
      <c r="F259" s="19" t="n"/>
      <c r="G259" s="19" t="n"/>
      <c r="H259" s="19" t="n"/>
      <c r="I259" s="19" t="n"/>
    </row>
    <row r="260" ht="15.75" customHeight="1" s="545">
      <c r="A260" s="19" t="n"/>
      <c r="B260" s="19" t="n"/>
      <c r="C260" s="19" t="n"/>
      <c r="D260" s="19" t="n"/>
      <c r="E260" s="19" t="n"/>
      <c r="F260" s="19" t="n"/>
      <c r="G260" s="19" t="n"/>
      <c r="H260" s="19" t="n"/>
      <c r="I260" s="19" t="n"/>
    </row>
    <row r="261" ht="15.75" customHeight="1" s="545">
      <c r="A261" s="19" t="n"/>
      <c r="B261" s="19" t="n"/>
      <c r="C261" s="19" t="n"/>
      <c r="D261" s="19" t="n"/>
      <c r="E261" s="19" t="n"/>
      <c r="F261" s="19" t="n"/>
      <c r="G261" s="19" t="n"/>
      <c r="H261" s="19" t="n"/>
      <c r="I261" s="19" t="n"/>
    </row>
    <row r="262" ht="15.75" customHeight="1" s="545">
      <c r="A262" s="19" t="n"/>
      <c r="B262" s="19" t="n"/>
      <c r="C262" s="19" t="n"/>
      <c r="D262" s="19" t="n"/>
      <c r="E262" s="19" t="n"/>
      <c r="F262" s="19" t="n"/>
      <c r="G262" s="19" t="n"/>
      <c r="H262" s="19" t="n"/>
      <c r="I262" s="19" t="n"/>
    </row>
    <row r="263" ht="15.75" customHeight="1" s="545">
      <c r="A263" s="19" t="n"/>
      <c r="B263" s="19" t="n"/>
      <c r="C263" s="19" t="n"/>
      <c r="D263" s="19" t="n"/>
      <c r="E263" s="19" t="n"/>
      <c r="F263" s="19" t="n"/>
      <c r="G263" s="19" t="n"/>
      <c r="H263" s="19" t="n"/>
      <c r="I263" s="19" t="n"/>
    </row>
    <row r="264" ht="15.75" customHeight="1" s="545">
      <c r="A264" s="19" t="n"/>
      <c r="B264" s="19" t="n"/>
      <c r="C264" s="19" t="n"/>
      <c r="D264" s="19" t="n"/>
      <c r="E264" s="19" t="n"/>
      <c r="F264" s="19" t="n"/>
      <c r="G264" s="19" t="n"/>
      <c r="H264" s="19" t="n"/>
      <c r="I264" s="19" t="n"/>
    </row>
    <row r="265" ht="15.75" customHeight="1" s="545">
      <c r="A265" s="19" t="n"/>
      <c r="B265" s="19" t="n"/>
      <c r="C265" s="19" t="n"/>
      <c r="D265" s="19" t="n"/>
      <c r="E265" s="19" t="n"/>
      <c r="F265" s="19" t="n"/>
      <c r="G265" s="19" t="n"/>
      <c r="H265" s="19" t="n"/>
      <c r="I265" s="19" t="n"/>
    </row>
    <row r="266" ht="15.75" customHeight="1" s="545">
      <c r="A266" s="19" t="n"/>
      <c r="B266" s="19" t="n"/>
      <c r="C266" s="19" t="n"/>
      <c r="D266" s="19" t="n"/>
      <c r="E266" s="19" t="n"/>
      <c r="F266" s="19" t="n"/>
      <c r="G266" s="19" t="n"/>
      <c r="H266" s="19" t="n"/>
      <c r="I266" s="19" t="n"/>
    </row>
    <row r="267" ht="15.75" customHeight="1" s="545">
      <c r="A267" s="19" t="n"/>
      <c r="B267" s="19" t="n"/>
      <c r="C267" s="19" t="n"/>
      <c r="D267" s="19" t="n"/>
      <c r="E267" s="19" t="n"/>
      <c r="F267" s="19" t="n"/>
      <c r="G267" s="19" t="n"/>
      <c r="H267" s="19" t="n"/>
      <c r="I267" s="19" t="n"/>
    </row>
    <row r="268" ht="15.75" customHeight="1" s="545">
      <c r="A268" s="19" t="n"/>
      <c r="B268" s="19" t="n"/>
      <c r="C268" s="19" t="n"/>
      <c r="D268" s="19" t="n"/>
      <c r="E268" s="19" t="n"/>
      <c r="F268" s="19" t="n"/>
      <c r="G268" s="19" t="n"/>
      <c r="H268" s="19" t="n"/>
      <c r="I268" s="19" t="n"/>
    </row>
    <row r="269" ht="15.75" customHeight="1" s="545">
      <c r="A269" s="19" t="n"/>
      <c r="B269" s="19" t="n"/>
      <c r="C269" s="19" t="n"/>
      <c r="D269" s="19" t="n"/>
      <c r="E269" s="19" t="n"/>
      <c r="F269" s="19" t="n"/>
      <c r="G269" s="19" t="n"/>
      <c r="H269" s="19" t="n"/>
      <c r="I269" s="19" t="n"/>
    </row>
    <row r="270" ht="15.75" customHeight="1" s="545">
      <c r="A270" s="19" t="n"/>
      <c r="B270" s="19" t="n"/>
      <c r="C270" s="19" t="n"/>
      <c r="D270" s="19" t="n"/>
      <c r="E270" s="19" t="n"/>
      <c r="F270" s="19" t="n"/>
      <c r="G270" s="19" t="n"/>
      <c r="H270" s="19" t="n"/>
      <c r="I270" s="19" t="n"/>
    </row>
    <row r="271" ht="15.75" customHeight="1" s="545">
      <c r="A271" s="19" t="n"/>
      <c r="B271" s="19" t="n"/>
      <c r="C271" s="19" t="n"/>
      <c r="D271" s="19" t="n"/>
      <c r="E271" s="19" t="n"/>
      <c r="F271" s="19" t="n"/>
      <c r="G271" s="19" t="n"/>
      <c r="H271" s="19" t="n"/>
      <c r="I271" s="19" t="n"/>
    </row>
    <row r="272" ht="15.75" customHeight="1" s="545">
      <c r="A272" s="19" t="n"/>
      <c r="B272" s="19" t="n"/>
      <c r="C272" s="19" t="n"/>
      <c r="D272" s="19" t="n"/>
      <c r="E272" s="19" t="n"/>
      <c r="F272" s="19" t="n"/>
      <c r="G272" s="19" t="n"/>
      <c r="H272" s="19" t="n"/>
      <c r="I272" s="19" t="n"/>
    </row>
    <row r="273" ht="15.75" customHeight="1" s="545">
      <c r="A273" s="19" t="n"/>
      <c r="B273" s="19" t="n"/>
      <c r="C273" s="19" t="n"/>
      <c r="D273" s="19" t="n"/>
      <c r="E273" s="19" t="n"/>
      <c r="F273" s="19" t="n"/>
      <c r="G273" s="19" t="n"/>
      <c r="H273" s="19" t="n"/>
      <c r="I273" s="19" t="n"/>
    </row>
    <row r="274" ht="15.75" customHeight="1" s="545">
      <c r="A274" s="19" t="n"/>
      <c r="B274" s="19" t="n"/>
      <c r="C274" s="19" t="n"/>
      <c r="D274" s="19" t="n"/>
      <c r="E274" s="19" t="n"/>
      <c r="F274" s="19" t="n"/>
      <c r="G274" s="19" t="n"/>
      <c r="H274" s="19" t="n"/>
      <c r="I274" s="19" t="n"/>
    </row>
    <row r="275" ht="15.75" customHeight="1" s="545">
      <c r="A275" s="19" t="n"/>
      <c r="B275" s="19" t="n"/>
      <c r="C275" s="19" t="n"/>
      <c r="D275" s="19" t="n"/>
      <c r="E275" s="19" t="n"/>
      <c r="F275" s="19" t="n"/>
      <c r="G275" s="19" t="n"/>
      <c r="H275" s="19" t="n"/>
      <c r="I275" s="19" t="n"/>
    </row>
    <row r="276" ht="15.75" customHeight="1" s="545">
      <c r="A276" s="19" t="n"/>
      <c r="B276" s="19" t="n"/>
      <c r="C276" s="19" t="n"/>
      <c r="D276" s="19" t="n"/>
      <c r="E276" s="19" t="n"/>
      <c r="F276" s="19" t="n"/>
      <c r="G276" s="19" t="n"/>
      <c r="H276" s="19" t="n"/>
      <c r="I276" s="19" t="n"/>
    </row>
    <row r="277" ht="15.75" customHeight="1" s="545">
      <c r="A277" s="19" t="n"/>
      <c r="B277" s="19" t="n"/>
      <c r="C277" s="19" t="n"/>
      <c r="D277" s="19" t="n"/>
      <c r="E277" s="19" t="n"/>
      <c r="F277" s="19" t="n"/>
      <c r="G277" s="19" t="n"/>
      <c r="H277" s="19" t="n"/>
      <c r="I277" s="19" t="n"/>
    </row>
    <row r="278" ht="15.75" customHeight="1" s="545">
      <c r="A278" s="19" t="n"/>
      <c r="B278" s="19" t="n"/>
      <c r="C278" s="19" t="n"/>
      <c r="D278" s="19" t="n"/>
      <c r="E278" s="19" t="n"/>
      <c r="F278" s="19" t="n"/>
      <c r="G278" s="19" t="n"/>
      <c r="H278" s="19" t="n"/>
      <c r="I278" s="19" t="n"/>
    </row>
    <row r="279" ht="15.75" customHeight="1" s="545">
      <c r="A279" s="19" t="n"/>
      <c r="B279" s="19" t="n"/>
      <c r="C279" s="19" t="n"/>
      <c r="D279" s="19" t="n"/>
      <c r="E279" s="19" t="n"/>
      <c r="F279" s="19" t="n"/>
      <c r="G279" s="19" t="n"/>
      <c r="H279" s="19" t="n"/>
      <c r="I279" s="19" t="n"/>
    </row>
    <row r="280" ht="15.75" customHeight="1" s="545">
      <c r="A280" s="19" t="n"/>
      <c r="B280" s="19" t="n"/>
      <c r="C280" s="19" t="n"/>
      <c r="D280" s="19" t="n"/>
      <c r="E280" s="19" t="n"/>
      <c r="F280" s="19" t="n"/>
      <c r="G280" s="19" t="n"/>
      <c r="H280" s="19" t="n"/>
      <c r="I280" s="19" t="n"/>
    </row>
    <row r="281" ht="15.75" customHeight="1" s="545">
      <c r="A281" s="19" t="n"/>
      <c r="B281" s="19" t="n"/>
      <c r="C281" s="19" t="n"/>
      <c r="D281" s="19" t="n"/>
      <c r="E281" s="19" t="n"/>
      <c r="F281" s="19" t="n"/>
      <c r="G281" s="19" t="n"/>
      <c r="H281" s="19" t="n"/>
      <c r="I281" s="19" t="n"/>
    </row>
    <row r="282" ht="15.75" customHeight="1" s="545">
      <c r="A282" s="19" t="n"/>
      <c r="B282" s="19" t="n"/>
      <c r="C282" s="19" t="n"/>
      <c r="D282" s="19" t="n"/>
      <c r="E282" s="19" t="n"/>
      <c r="F282" s="19" t="n"/>
      <c r="G282" s="19" t="n"/>
      <c r="H282" s="19" t="n"/>
      <c r="I282" s="19" t="n"/>
    </row>
    <row r="283" ht="15.75" customHeight="1" s="545">
      <c r="A283" s="19" t="n"/>
      <c r="B283" s="19" t="n"/>
      <c r="C283" s="19" t="n"/>
      <c r="D283" s="19" t="n"/>
      <c r="E283" s="19" t="n"/>
      <c r="F283" s="19" t="n"/>
      <c r="G283" s="19" t="n"/>
      <c r="H283" s="19" t="n"/>
      <c r="I283" s="19" t="n"/>
    </row>
    <row r="284" ht="15.75" customHeight="1" s="545">
      <c r="A284" s="19" t="n"/>
      <c r="B284" s="19" t="n"/>
      <c r="C284" s="19" t="n"/>
      <c r="D284" s="19" t="n"/>
      <c r="E284" s="19" t="n"/>
      <c r="F284" s="19" t="n"/>
      <c r="G284" s="19" t="n"/>
      <c r="H284" s="19" t="n"/>
      <c r="I284" s="19" t="n"/>
    </row>
    <row r="285" ht="15.75" customHeight="1" s="545">
      <c r="A285" s="19" t="n"/>
      <c r="B285" s="19" t="n"/>
      <c r="C285" s="19" t="n"/>
      <c r="D285" s="19" t="n"/>
      <c r="E285" s="19" t="n"/>
      <c r="F285" s="19" t="n"/>
      <c r="G285" s="19" t="n"/>
      <c r="H285" s="19" t="n"/>
      <c r="I285" s="19" t="n"/>
    </row>
    <row r="286" ht="15.75" customHeight="1" s="545">
      <c r="A286" s="19" t="n"/>
      <c r="B286" s="19" t="n"/>
      <c r="C286" s="19" t="n"/>
      <c r="D286" s="19" t="n"/>
      <c r="E286" s="19" t="n"/>
      <c r="F286" s="19" t="n"/>
      <c r="G286" s="19" t="n"/>
      <c r="H286" s="19" t="n"/>
      <c r="I286" s="19" t="n"/>
    </row>
    <row r="287" ht="15.75" customHeight="1" s="545">
      <c r="A287" s="19" t="n"/>
      <c r="B287" s="19" t="n"/>
      <c r="C287" s="19" t="n"/>
      <c r="D287" s="19" t="n"/>
      <c r="E287" s="19" t="n"/>
      <c r="F287" s="19" t="n"/>
      <c r="G287" s="19" t="n"/>
      <c r="H287" s="19" t="n"/>
      <c r="I287" s="19" t="n"/>
    </row>
    <row r="288" ht="15.75" customHeight="1" s="545">
      <c r="A288" s="19" t="n"/>
      <c r="B288" s="19" t="n"/>
      <c r="C288" s="19" t="n"/>
      <c r="D288" s="19" t="n"/>
      <c r="E288" s="19" t="n"/>
      <c r="F288" s="19" t="n"/>
      <c r="G288" s="19" t="n"/>
      <c r="H288" s="19" t="n"/>
      <c r="I288" s="19" t="n"/>
    </row>
    <row r="289" ht="15.75" customHeight="1" s="545">
      <c r="A289" s="19" t="n"/>
      <c r="B289" s="19" t="n"/>
      <c r="C289" s="19" t="n"/>
      <c r="D289" s="19" t="n"/>
      <c r="E289" s="19" t="n"/>
      <c r="F289" s="19" t="n"/>
      <c r="G289" s="19" t="n"/>
      <c r="H289" s="19" t="n"/>
      <c r="I289" s="19" t="n"/>
    </row>
    <row r="290" ht="15.75" customHeight="1" s="545">
      <c r="A290" s="19" t="n"/>
      <c r="B290" s="19" t="n"/>
      <c r="C290" s="19" t="n"/>
      <c r="D290" s="19" t="n"/>
      <c r="E290" s="19" t="n"/>
      <c r="F290" s="19" t="n"/>
      <c r="G290" s="19" t="n"/>
      <c r="H290" s="19" t="n"/>
      <c r="I290" s="19" t="n"/>
    </row>
    <row r="291" ht="15.75" customHeight="1" s="545">
      <c r="A291" s="19" t="n"/>
      <c r="B291" s="19" t="n"/>
      <c r="C291" s="19" t="n"/>
      <c r="D291" s="19" t="n"/>
      <c r="E291" s="19" t="n"/>
      <c r="F291" s="19" t="n"/>
      <c r="G291" s="19" t="n"/>
      <c r="H291" s="19" t="n"/>
      <c r="I291" s="19" t="n"/>
    </row>
    <row r="292" ht="15.75" customHeight="1" s="545">
      <c r="A292" s="19" t="n"/>
      <c r="B292" s="19" t="n"/>
      <c r="C292" s="19" t="n"/>
      <c r="D292" s="19" t="n"/>
      <c r="E292" s="19" t="n"/>
      <c r="F292" s="19" t="n"/>
      <c r="G292" s="19" t="n"/>
      <c r="H292" s="19" t="n"/>
      <c r="I292" s="19" t="n"/>
    </row>
    <row r="293" ht="15.75" customHeight="1" s="545">
      <c r="A293" s="19" t="n"/>
      <c r="B293" s="19" t="n"/>
      <c r="C293" s="19" t="n"/>
      <c r="D293" s="19" t="n"/>
      <c r="E293" s="19" t="n"/>
      <c r="F293" s="19" t="n"/>
      <c r="G293" s="19" t="n"/>
      <c r="H293" s="19" t="n"/>
      <c r="I293" s="19" t="n"/>
    </row>
    <row r="294" ht="15.75" customHeight="1" s="545">
      <c r="A294" s="19" t="n"/>
      <c r="B294" s="19" t="n"/>
      <c r="C294" s="19" t="n"/>
      <c r="D294" s="19" t="n"/>
      <c r="E294" s="19" t="n"/>
      <c r="F294" s="19" t="n"/>
      <c r="G294" s="19" t="n"/>
      <c r="H294" s="19" t="n"/>
      <c r="I294" s="19" t="n"/>
    </row>
    <row r="295" ht="15.75" customHeight="1" s="545">
      <c r="A295" s="19" t="n"/>
      <c r="B295" s="19" t="n"/>
      <c r="C295" s="19" t="n"/>
      <c r="D295" s="19" t="n"/>
      <c r="E295" s="19" t="n"/>
      <c r="F295" s="19" t="n"/>
      <c r="G295" s="19" t="n"/>
      <c r="H295" s="19" t="n"/>
      <c r="I295" s="19" t="n"/>
    </row>
    <row r="296" ht="15.75" customHeight="1" s="545">
      <c r="A296" s="19" t="n"/>
      <c r="B296" s="19" t="n"/>
      <c r="C296" s="19" t="n"/>
      <c r="D296" s="19" t="n"/>
      <c r="E296" s="19" t="n"/>
      <c r="F296" s="19" t="n"/>
      <c r="G296" s="19" t="n"/>
      <c r="H296" s="19" t="n"/>
      <c r="I296" s="19" t="n"/>
    </row>
    <row r="297" ht="15.75" customHeight="1" s="545">
      <c r="A297" s="19" t="n"/>
      <c r="B297" s="19" t="n"/>
      <c r="C297" s="19" t="n"/>
      <c r="D297" s="19" t="n"/>
      <c r="E297" s="19" t="n"/>
      <c r="F297" s="19" t="n"/>
      <c r="G297" s="19" t="n"/>
      <c r="H297" s="19" t="n"/>
      <c r="I297" s="19" t="n"/>
    </row>
    <row r="298" ht="15.75" customHeight="1" s="545">
      <c r="A298" s="19" t="n"/>
      <c r="B298" s="19" t="n"/>
      <c r="C298" s="19" t="n"/>
      <c r="D298" s="19" t="n"/>
      <c r="E298" s="19" t="n"/>
      <c r="F298" s="19" t="n"/>
      <c r="G298" s="19" t="n"/>
      <c r="H298" s="19" t="n"/>
      <c r="I298" s="19" t="n"/>
    </row>
    <row r="299" ht="15.75" customHeight="1" s="545">
      <c r="A299" s="19" t="n"/>
      <c r="B299" s="19" t="n"/>
      <c r="C299" s="19" t="n"/>
      <c r="D299" s="19" t="n"/>
      <c r="E299" s="19" t="n"/>
      <c r="F299" s="19" t="n"/>
      <c r="G299" s="19" t="n"/>
      <c r="H299" s="19" t="n"/>
      <c r="I299" s="19" t="n"/>
    </row>
    <row r="300" ht="15.75" customHeight="1" s="545">
      <c r="A300" s="19" t="n"/>
      <c r="B300" s="19" t="n"/>
      <c r="C300" s="19" t="n"/>
      <c r="D300" s="19" t="n"/>
      <c r="E300" s="19" t="n"/>
      <c r="F300" s="19" t="n"/>
      <c r="G300" s="19" t="n"/>
      <c r="H300" s="19" t="n"/>
      <c r="I300" s="19" t="n"/>
    </row>
    <row r="301" ht="15.75" customHeight="1" s="545">
      <c r="A301" s="19" t="n"/>
      <c r="B301" s="19" t="n"/>
      <c r="C301" s="19" t="n"/>
      <c r="D301" s="19" t="n"/>
      <c r="E301" s="19" t="n"/>
      <c r="F301" s="19" t="n"/>
      <c r="G301" s="19" t="n"/>
      <c r="H301" s="19" t="n"/>
      <c r="I301" s="19" t="n"/>
    </row>
    <row r="302" ht="15.75" customHeight="1" s="545">
      <c r="A302" s="19" t="n"/>
      <c r="B302" s="19" t="n"/>
      <c r="C302" s="19" t="n"/>
      <c r="D302" s="19" t="n"/>
      <c r="E302" s="19" t="n"/>
      <c r="F302" s="19" t="n"/>
      <c r="G302" s="19" t="n"/>
      <c r="H302" s="19" t="n"/>
      <c r="I302" s="19" t="n"/>
    </row>
    <row r="303" ht="15.75" customHeight="1" s="545">
      <c r="A303" s="19" t="n"/>
      <c r="B303" s="19" t="n"/>
      <c r="C303" s="19" t="n"/>
      <c r="D303" s="19" t="n"/>
      <c r="E303" s="19" t="n"/>
      <c r="F303" s="19" t="n"/>
      <c r="G303" s="19" t="n"/>
      <c r="H303" s="19" t="n"/>
      <c r="I303" s="19" t="n"/>
    </row>
    <row r="304" ht="15.75" customHeight="1" s="545">
      <c r="A304" s="19" t="n"/>
      <c r="B304" s="19" t="n"/>
      <c r="C304" s="19" t="n"/>
      <c r="D304" s="19" t="n"/>
      <c r="E304" s="19" t="n"/>
      <c r="F304" s="19" t="n"/>
      <c r="G304" s="19" t="n"/>
      <c r="H304" s="19" t="n"/>
      <c r="I304" s="19" t="n"/>
    </row>
    <row r="305" ht="15.75" customHeight="1" s="545">
      <c r="A305" s="19" t="n"/>
      <c r="B305" s="19" t="n"/>
      <c r="C305" s="19" t="n"/>
      <c r="D305" s="19" t="n"/>
      <c r="E305" s="19" t="n"/>
      <c r="F305" s="19" t="n"/>
      <c r="G305" s="19" t="n"/>
      <c r="H305" s="19" t="n"/>
      <c r="I305" s="19" t="n"/>
    </row>
    <row r="306" ht="15.75" customHeight="1" s="545">
      <c r="A306" s="19" t="n"/>
      <c r="B306" s="19" t="n"/>
      <c r="C306" s="19" t="n"/>
      <c r="D306" s="19" t="n"/>
      <c r="E306" s="19" t="n"/>
      <c r="F306" s="19" t="n"/>
      <c r="G306" s="19" t="n"/>
      <c r="H306" s="19" t="n"/>
      <c r="I306" s="19" t="n"/>
    </row>
    <row r="307" ht="15.75" customHeight="1" s="545">
      <c r="A307" s="19" t="n"/>
      <c r="B307" s="19" t="n"/>
      <c r="C307" s="19" t="n"/>
      <c r="D307" s="19" t="n"/>
      <c r="E307" s="19" t="n"/>
      <c r="F307" s="19" t="n"/>
      <c r="G307" s="19" t="n"/>
      <c r="H307" s="19" t="n"/>
      <c r="I307" s="19" t="n"/>
    </row>
    <row r="308" ht="15.75" customHeight="1" s="545">
      <c r="A308" s="19" t="n"/>
      <c r="B308" s="19" t="n"/>
      <c r="C308" s="19" t="n"/>
      <c r="D308" s="19" t="n"/>
      <c r="E308" s="19" t="n"/>
      <c r="F308" s="19" t="n"/>
      <c r="G308" s="19" t="n"/>
      <c r="H308" s="19" t="n"/>
      <c r="I308" s="19" t="n"/>
    </row>
    <row r="309" ht="15.75" customHeight="1" s="545">
      <c r="A309" s="19" t="n"/>
      <c r="B309" s="19" t="n"/>
      <c r="C309" s="19" t="n"/>
      <c r="D309" s="19" t="n"/>
      <c r="E309" s="19" t="n"/>
      <c r="F309" s="19" t="n"/>
      <c r="G309" s="19" t="n"/>
      <c r="H309" s="19" t="n"/>
      <c r="I309" s="19" t="n"/>
    </row>
    <row r="310" ht="15.75" customHeight="1" s="545">
      <c r="A310" s="19" t="n"/>
      <c r="B310" s="19" t="n"/>
      <c r="C310" s="19" t="n"/>
      <c r="D310" s="19" t="n"/>
      <c r="E310" s="19" t="n"/>
      <c r="F310" s="19" t="n"/>
      <c r="G310" s="19" t="n"/>
      <c r="H310" s="19" t="n"/>
      <c r="I310" s="19" t="n"/>
    </row>
    <row r="311" ht="15.75" customHeight="1" s="545">
      <c r="A311" s="19" t="n"/>
      <c r="B311" s="19" t="n"/>
      <c r="C311" s="19" t="n"/>
      <c r="D311" s="19" t="n"/>
      <c r="E311" s="19" t="n"/>
      <c r="F311" s="19" t="n"/>
      <c r="G311" s="19" t="n"/>
      <c r="H311" s="19" t="n"/>
      <c r="I311" s="19" t="n"/>
    </row>
    <row r="312" ht="15.75" customHeight="1" s="545">
      <c r="A312" s="19" t="n"/>
      <c r="B312" s="19" t="n"/>
      <c r="C312" s="19" t="n"/>
      <c r="D312" s="19" t="n"/>
      <c r="E312" s="19" t="n"/>
      <c r="F312" s="19" t="n"/>
      <c r="G312" s="19" t="n"/>
      <c r="H312" s="19" t="n"/>
      <c r="I312" s="19" t="n"/>
    </row>
    <row r="313" ht="15.75" customHeight="1" s="545">
      <c r="A313" s="19" t="n"/>
      <c r="B313" s="19" t="n"/>
      <c r="C313" s="19" t="n"/>
      <c r="D313" s="19" t="n"/>
      <c r="E313" s="19" t="n"/>
      <c r="F313" s="19" t="n"/>
      <c r="G313" s="19" t="n"/>
      <c r="H313" s="19" t="n"/>
      <c r="I313" s="19" t="n"/>
    </row>
    <row r="314" ht="15.75" customHeight="1" s="545">
      <c r="A314" s="19" t="n"/>
      <c r="B314" s="19" t="n"/>
      <c r="C314" s="19" t="n"/>
      <c r="D314" s="19" t="n"/>
      <c r="E314" s="19" t="n"/>
      <c r="F314" s="19" t="n"/>
      <c r="G314" s="19" t="n"/>
      <c r="H314" s="19" t="n"/>
      <c r="I314" s="19" t="n"/>
    </row>
    <row r="315" ht="15.75" customHeight="1" s="545">
      <c r="A315" s="19" t="n"/>
      <c r="B315" s="19" t="n"/>
      <c r="C315" s="19" t="n"/>
      <c r="D315" s="19" t="n"/>
      <c r="E315" s="19" t="n"/>
      <c r="F315" s="19" t="n"/>
      <c r="G315" s="19" t="n"/>
      <c r="H315" s="19" t="n"/>
      <c r="I315" s="19" t="n"/>
    </row>
    <row r="316" ht="15.75" customHeight="1" s="545">
      <c r="A316" s="19" t="n"/>
      <c r="B316" s="19" t="n"/>
      <c r="C316" s="19" t="n"/>
      <c r="D316" s="19" t="n"/>
      <c r="E316" s="19" t="n"/>
      <c r="F316" s="19" t="n"/>
      <c r="G316" s="19" t="n"/>
      <c r="H316" s="19" t="n"/>
      <c r="I316" s="19" t="n"/>
    </row>
    <row r="317" ht="15.75" customHeight="1" s="545">
      <c r="A317" s="19" t="n"/>
      <c r="B317" s="19" t="n"/>
      <c r="C317" s="19" t="n"/>
      <c r="D317" s="19" t="n"/>
      <c r="E317" s="19" t="n"/>
      <c r="F317" s="19" t="n"/>
      <c r="G317" s="19" t="n"/>
      <c r="H317" s="19" t="n"/>
      <c r="I317" s="19" t="n"/>
    </row>
    <row r="318" ht="15.75" customHeight="1" s="545">
      <c r="A318" s="19" t="n"/>
      <c r="B318" s="19" t="n"/>
      <c r="C318" s="19" t="n"/>
      <c r="D318" s="19" t="n"/>
      <c r="E318" s="19" t="n"/>
      <c r="F318" s="19" t="n"/>
      <c r="G318" s="19" t="n"/>
      <c r="H318" s="19" t="n"/>
      <c r="I318" s="19" t="n"/>
    </row>
    <row r="319" ht="15.75" customHeight="1" s="545">
      <c r="A319" s="19" t="n"/>
      <c r="B319" s="19" t="n"/>
      <c r="C319" s="19" t="n"/>
      <c r="D319" s="19" t="n"/>
      <c r="E319" s="19" t="n"/>
      <c r="F319" s="19" t="n"/>
      <c r="G319" s="19" t="n"/>
      <c r="H319" s="19" t="n"/>
      <c r="I319" s="19" t="n"/>
    </row>
    <row r="320" ht="15.75" customHeight="1" s="545">
      <c r="A320" s="19" t="n"/>
      <c r="B320" s="19" t="n"/>
      <c r="C320" s="19" t="n"/>
      <c r="D320" s="19" t="n"/>
      <c r="E320" s="19" t="n"/>
      <c r="F320" s="19" t="n"/>
      <c r="G320" s="19" t="n"/>
      <c r="H320" s="19" t="n"/>
      <c r="I320" s="19" t="n"/>
    </row>
    <row r="321" ht="15.75" customHeight="1" s="545">
      <c r="A321" s="19" t="n"/>
      <c r="B321" s="19" t="n"/>
      <c r="C321" s="19" t="n"/>
      <c r="D321" s="19" t="n"/>
      <c r="E321" s="19" t="n"/>
      <c r="F321" s="19" t="n"/>
      <c r="G321" s="19" t="n"/>
      <c r="H321" s="19" t="n"/>
      <c r="I321" s="19" t="n"/>
    </row>
    <row r="322" ht="15.75" customHeight="1" s="545">
      <c r="A322" s="19" t="n"/>
      <c r="B322" s="19" t="n"/>
      <c r="C322" s="19" t="n"/>
      <c r="D322" s="19" t="n"/>
      <c r="E322" s="19" t="n"/>
      <c r="F322" s="19" t="n"/>
      <c r="G322" s="19" t="n"/>
      <c r="H322" s="19" t="n"/>
      <c r="I322" s="19" t="n"/>
    </row>
    <row r="323" ht="15.75" customHeight="1" s="545">
      <c r="A323" s="19" t="n"/>
      <c r="B323" s="19" t="n"/>
      <c r="C323" s="19" t="n"/>
      <c r="D323" s="19" t="n"/>
      <c r="E323" s="19" t="n"/>
      <c r="F323" s="19" t="n"/>
      <c r="G323" s="19" t="n"/>
      <c r="H323" s="19" t="n"/>
      <c r="I323" s="19" t="n"/>
    </row>
    <row r="324" ht="15.75" customHeight="1" s="545">
      <c r="A324" s="19" t="n"/>
      <c r="B324" s="19" t="n"/>
      <c r="C324" s="19" t="n"/>
      <c r="D324" s="19" t="n"/>
      <c r="E324" s="19" t="n"/>
      <c r="F324" s="19" t="n"/>
      <c r="G324" s="19" t="n"/>
      <c r="H324" s="19" t="n"/>
      <c r="I324" s="19" t="n"/>
    </row>
    <row r="325" ht="15.75" customHeight="1" s="545">
      <c r="A325" s="19" t="n"/>
      <c r="B325" s="19" t="n"/>
      <c r="C325" s="19" t="n"/>
      <c r="D325" s="19" t="n"/>
      <c r="E325" s="19" t="n"/>
      <c r="F325" s="19" t="n"/>
      <c r="G325" s="19" t="n"/>
      <c r="H325" s="19" t="n"/>
      <c r="I325" s="19" t="n"/>
    </row>
    <row r="326" ht="15.75" customHeight="1" s="545">
      <c r="A326" s="19" t="n"/>
      <c r="B326" s="19" t="n"/>
      <c r="C326" s="19" t="n"/>
      <c r="D326" s="19" t="n"/>
      <c r="E326" s="19" t="n"/>
      <c r="F326" s="19" t="n"/>
      <c r="G326" s="19" t="n"/>
      <c r="H326" s="19" t="n"/>
      <c r="I326" s="19" t="n"/>
    </row>
    <row r="327" ht="15.75" customHeight="1" s="545">
      <c r="A327" s="19" t="n"/>
      <c r="B327" s="19" t="n"/>
      <c r="C327" s="19" t="n"/>
      <c r="D327" s="19" t="n"/>
      <c r="E327" s="19" t="n"/>
      <c r="F327" s="19" t="n"/>
      <c r="G327" s="19" t="n"/>
      <c r="H327" s="19" t="n"/>
      <c r="I327" s="19" t="n"/>
    </row>
    <row r="328" ht="15.75" customHeight="1" s="545">
      <c r="A328" s="19" t="n"/>
      <c r="B328" s="19" t="n"/>
      <c r="C328" s="19" t="n"/>
      <c r="D328" s="19" t="n"/>
      <c r="E328" s="19" t="n"/>
      <c r="F328" s="19" t="n"/>
      <c r="G328" s="19" t="n"/>
      <c r="H328" s="19" t="n"/>
      <c r="I328" s="19" t="n"/>
    </row>
    <row r="329" ht="15.75" customHeight="1" s="545">
      <c r="A329" s="19" t="n"/>
      <c r="B329" s="19" t="n"/>
      <c r="C329" s="19" t="n"/>
      <c r="D329" s="19" t="n"/>
      <c r="E329" s="19" t="n"/>
      <c r="F329" s="19" t="n"/>
      <c r="G329" s="19" t="n"/>
      <c r="H329" s="19" t="n"/>
      <c r="I329" s="19" t="n"/>
    </row>
    <row r="330" ht="15.75" customHeight="1" s="545">
      <c r="A330" s="19" t="n"/>
      <c r="B330" s="19" t="n"/>
      <c r="C330" s="19" t="n"/>
      <c r="D330" s="19" t="n"/>
      <c r="E330" s="19" t="n"/>
      <c r="F330" s="19" t="n"/>
      <c r="G330" s="19" t="n"/>
      <c r="H330" s="19" t="n"/>
      <c r="I330" s="19" t="n"/>
    </row>
    <row r="331" ht="15.75" customHeight="1" s="545">
      <c r="A331" s="19" t="n"/>
      <c r="B331" s="19" t="n"/>
      <c r="C331" s="19" t="n"/>
      <c r="D331" s="19" t="n"/>
      <c r="E331" s="19" t="n"/>
      <c r="F331" s="19" t="n"/>
      <c r="G331" s="19" t="n"/>
      <c r="H331" s="19" t="n"/>
      <c r="I331" s="19" t="n"/>
    </row>
    <row r="332" ht="15.75" customHeight="1" s="545">
      <c r="A332" s="19" t="n"/>
      <c r="B332" s="19" t="n"/>
      <c r="C332" s="19" t="n"/>
      <c r="D332" s="19" t="n"/>
      <c r="E332" s="19" t="n"/>
      <c r="F332" s="19" t="n"/>
      <c r="G332" s="19" t="n"/>
      <c r="H332" s="19" t="n"/>
      <c r="I332" s="19" t="n"/>
    </row>
    <row r="333" ht="15.75" customHeight="1" s="545">
      <c r="A333" s="19" t="n"/>
      <c r="B333" s="19" t="n"/>
      <c r="C333" s="19" t="n"/>
      <c r="D333" s="19" t="n"/>
      <c r="E333" s="19" t="n"/>
      <c r="F333" s="19" t="n"/>
      <c r="G333" s="19" t="n"/>
      <c r="H333" s="19" t="n"/>
      <c r="I333" s="19" t="n"/>
    </row>
    <row r="334" ht="15.75" customHeight="1" s="545">
      <c r="A334" s="19" t="n"/>
      <c r="B334" s="19" t="n"/>
      <c r="C334" s="19" t="n"/>
      <c r="D334" s="19" t="n"/>
      <c r="E334" s="19" t="n"/>
      <c r="F334" s="19" t="n"/>
      <c r="G334" s="19" t="n"/>
      <c r="H334" s="19" t="n"/>
      <c r="I334" s="19" t="n"/>
    </row>
    <row r="335" ht="15.75" customHeight="1" s="545">
      <c r="A335" s="19" t="n"/>
      <c r="B335" s="19" t="n"/>
      <c r="C335" s="19" t="n"/>
      <c r="D335" s="19" t="n"/>
      <c r="E335" s="19" t="n"/>
      <c r="F335" s="19" t="n"/>
      <c r="G335" s="19" t="n"/>
      <c r="H335" s="19" t="n"/>
      <c r="I335" s="19" t="n"/>
    </row>
    <row r="336" ht="15.75" customHeight="1" s="545">
      <c r="A336" s="19" t="n"/>
      <c r="B336" s="19" t="n"/>
      <c r="C336" s="19" t="n"/>
      <c r="D336" s="19" t="n"/>
      <c r="E336" s="19" t="n"/>
      <c r="F336" s="19" t="n"/>
      <c r="G336" s="19" t="n"/>
      <c r="H336" s="19" t="n"/>
      <c r="I336" s="19" t="n"/>
    </row>
    <row r="337" ht="15.75" customHeight="1" s="545">
      <c r="A337" s="19" t="n"/>
      <c r="B337" s="19" t="n"/>
      <c r="C337" s="19" t="n"/>
      <c r="D337" s="19" t="n"/>
      <c r="E337" s="19" t="n"/>
      <c r="F337" s="19" t="n"/>
      <c r="G337" s="19" t="n"/>
      <c r="H337" s="19" t="n"/>
      <c r="I337" s="19" t="n"/>
    </row>
    <row r="338" ht="15.75" customHeight="1" s="545">
      <c r="A338" s="19" t="n"/>
      <c r="B338" s="19" t="n"/>
      <c r="C338" s="19" t="n"/>
      <c r="D338" s="19" t="n"/>
      <c r="E338" s="19" t="n"/>
      <c r="F338" s="19" t="n"/>
      <c r="G338" s="19" t="n"/>
      <c r="H338" s="19" t="n"/>
      <c r="I338" s="19" t="n"/>
    </row>
    <row r="339" ht="15.75" customHeight="1" s="545">
      <c r="A339" s="19" t="n"/>
      <c r="B339" s="19" t="n"/>
      <c r="C339" s="19" t="n"/>
      <c r="D339" s="19" t="n"/>
      <c r="E339" s="19" t="n"/>
      <c r="F339" s="19" t="n"/>
      <c r="G339" s="19" t="n"/>
      <c r="H339" s="19" t="n"/>
      <c r="I339" s="19" t="n"/>
    </row>
    <row r="340" ht="15.75" customHeight="1" s="545">
      <c r="A340" s="19" t="n"/>
      <c r="B340" s="19" t="n"/>
      <c r="C340" s="19" t="n"/>
      <c r="D340" s="19" t="n"/>
      <c r="E340" s="19" t="n"/>
      <c r="F340" s="19" t="n"/>
      <c r="G340" s="19" t="n"/>
      <c r="H340" s="19" t="n"/>
      <c r="I340" s="19" t="n"/>
    </row>
    <row r="341" ht="15.75" customHeight="1" s="545">
      <c r="A341" s="19" t="n"/>
      <c r="B341" s="19" t="n"/>
      <c r="C341" s="19" t="n"/>
      <c r="D341" s="19" t="n"/>
      <c r="E341" s="19" t="n"/>
      <c r="F341" s="19" t="n"/>
      <c r="G341" s="19" t="n"/>
      <c r="H341" s="19" t="n"/>
      <c r="I341" s="19" t="n"/>
    </row>
    <row r="342" ht="15.75" customHeight="1" s="545">
      <c r="A342" s="19" t="n"/>
      <c r="B342" s="19" t="n"/>
      <c r="C342" s="19" t="n"/>
      <c r="D342" s="19" t="n"/>
      <c r="E342" s="19" t="n"/>
      <c r="F342" s="19" t="n"/>
      <c r="G342" s="19" t="n"/>
      <c r="H342" s="19" t="n"/>
      <c r="I342" s="19" t="n"/>
    </row>
    <row r="343" ht="15.75" customHeight="1" s="545">
      <c r="A343" s="19" t="n"/>
      <c r="B343" s="19" t="n"/>
      <c r="C343" s="19" t="n"/>
      <c r="D343" s="19" t="n"/>
      <c r="E343" s="19" t="n"/>
      <c r="F343" s="19" t="n"/>
      <c r="G343" s="19" t="n"/>
      <c r="H343" s="19" t="n"/>
      <c r="I343" s="19" t="n"/>
    </row>
    <row r="344" ht="15.75" customHeight="1" s="545">
      <c r="A344" s="19" t="n"/>
      <c r="B344" s="19" t="n"/>
      <c r="C344" s="19" t="n"/>
      <c r="D344" s="19" t="n"/>
      <c r="E344" s="19" t="n"/>
      <c r="F344" s="19" t="n"/>
      <c r="G344" s="19" t="n"/>
      <c r="H344" s="19" t="n"/>
      <c r="I344" s="19" t="n"/>
    </row>
    <row r="345" ht="15.75" customHeight="1" s="545">
      <c r="A345" s="19" t="n"/>
      <c r="B345" s="19" t="n"/>
      <c r="C345" s="19" t="n"/>
      <c r="D345" s="19" t="n"/>
      <c r="E345" s="19" t="n"/>
      <c r="F345" s="19" t="n"/>
      <c r="G345" s="19" t="n"/>
      <c r="H345" s="19" t="n"/>
      <c r="I345" s="19" t="n"/>
    </row>
    <row r="346" ht="15.75" customHeight="1" s="545">
      <c r="A346" s="19" t="n"/>
      <c r="B346" s="19" t="n"/>
      <c r="C346" s="19" t="n"/>
      <c r="D346" s="19" t="n"/>
      <c r="E346" s="19" t="n"/>
      <c r="F346" s="19" t="n"/>
      <c r="G346" s="19" t="n"/>
      <c r="H346" s="19" t="n"/>
      <c r="I346" s="19" t="n"/>
    </row>
    <row r="347" ht="15.75" customHeight="1" s="545">
      <c r="A347" s="19" t="n"/>
      <c r="B347" s="19" t="n"/>
      <c r="C347" s="19" t="n"/>
      <c r="D347" s="19" t="n"/>
      <c r="E347" s="19" t="n"/>
      <c r="F347" s="19" t="n"/>
      <c r="G347" s="19" t="n"/>
      <c r="H347" s="19" t="n"/>
      <c r="I347" s="19" t="n"/>
    </row>
    <row r="348" ht="15.75" customHeight="1" s="545">
      <c r="A348" s="19" t="n"/>
      <c r="B348" s="19" t="n"/>
      <c r="C348" s="19" t="n"/>
      <c r="D348" s="19" t="n"/>
      <c r="E348" s="19" t="n"/>
      <c r="F348" s="19" t="n"/>
      <c r="G348" s="19" t="n"/>
      <c r="H348" s="19" t="n"/>
      <c r="I348" s="19" t="n"/>
    </row>
    <row r="349" ht="15.75" customHeight="1" s="545">
      <c r="A349" s="19" t="n"/>
      <c r="B349" s="19" t="n"/>
      <c r="C349" s="19" t="n"/>
      <c r="D349" s="19" t="n"/>
      <c r="E349" s="19" t="n"/>
      <c r="F349" s="19" t="n"/>
      <c r="G349" s="19" t="n"/>
      <c r="H349" s="19" t="n"/>
      <c r="I349" s="19" t="n"/>
    </row>
    <row r="350" ht="15.75" customHeight="1" s="545">
      <c r="A350" s="19" t="n"/>
      <c r="B350" s="19" t="n"/>
      <c r="C350" s="19" t="n"/>
      <c r="D350" s="19" t="n"/>
      <c r="E350" s="19" t="n"/>
      <c r="F350" s="19" t="n"/>
      <c r="G350" s="19" t="n"/>
      <c r="H350" s="19" t="n"/>
      <c r="I350" s="19" t="n"/>
    </row>
    <row r="351" ht="15.75" customHeight="1" s="545">
      <c r="A351" s="19" t="n"/>
      <c r="B351" s="19" t="n"/>
      <c r="C351" s="19" t="n"/>
      <c r="D351" s="19" t="n"/>
      <c r="E351" s="19" t="n"/>
      <c r="F351" s="19" t="n"/>
      <c r="G351" s="19" t="n"/>
      <c r="H351" s="19" t="n"/>
      <c r="I351" s="19" t="n"/>
    </row>
    <row r="352" ht="15.75" customHeight="1" s="545">
      <c r="A352" s="19" t="n"/>
      <c r="B352" s="19" t="n"/>
      <c r="C352" s="19" t="n"/>
      <c r="D352" s="19" t="n"/>
      <c r="E352" s="19" t="n"/>
      <c r="F352" s="19" t="n"/>
      <c r="G352" s="19" t="n"/>
      <c r="H352" s="19" t="n"/>
      <c r="I352" s="19" t="n"/>
    </row>
    <row r="353" ht="15.75" customHeight="1" s="545">
      <c r="A353" s="19" t="n"/>
      <c r="B353" s="19" t="n"/>
      <c r="C353" s="19" t="n"/>
      <c r="D353" s="19" t="n"/>
      <c r="E353" s="19" t="n"/>
      <c r="F353" s="19" t="n"/>
      <c r="G353" s="19" t="n"/>
      <c r="H353" s="19" t="n"/>
      <c r="I353" s="19" t="n"/>
    </row>
    <row r="354" ht="15.75" customHeight="1" s="545">
      <c r="A354" s="19" t="n"/>
      <c r="B354" s="19" t="n"/>
      <c r="C354" s="19" t="n"/>
      <c r="D354" s="19" t="n"/>
      <c r="E354" s="19" t="n"/>
      <c r="F354" s="19" t="n"/>
      <c r="G354" s="19" t="n"/>
      <c r="H354" s="19" t="n"/>
      <c r="I354" s="19" t="n"/>
    </row>
    <row r="355" ht="15.75" customHeight="1" s="545">
      <c r="A355" s="19" t="n"/>
      <c r="B355" s="19" t="n"/>
      <c r="C355" s="19" t="n"/>
      <c r="D355" s="19" t="n"/>
      <c r="E355" s="19" t="n"/>
      <c r="F355" s="19" t="n"/>
      <c r="G355" s="19" t="n"/>
      <c r="H355" s="19" t="n"/>
      <c r="I355" s="19" t="n"/>
    </row>
    <row r="356" ht="15.75" customHeight="1" s="545">
      <c r="A356" s="19" t="n"/>
      <c r="B356" s="19" t="n"/>
      <c r="C356" s="19" t="n"/>
      <c r="D356" s="19" t="n"/>
      <c r="E356" s="19" t="n"/>
      <c r="F356" s="19" t="n"/>
      <c r="G356" s="19" t="n"/>
      <c r="H356" s="19" t="n"/>
      <c r="I356" s="19" t="n"/>
    </row>
    <row r="357" ht="15.75" customHeight="1" s="545">
      <c r="A357" s="19" t="n"/>
      <c r="B357" s="19" t="n"/>
      <c r="C357" s="19" t="n"/>
      <c r="D357" s="19" t="n"/>
      <c r="E357" s="19" t="n"/>
      <c r="F357" s="19" t="n"/>
      <c r="G357" s="19" t="n"/>
      <c r="H357" s="19" t="n"/>
      <c r="I357" s="19" t="n"/>
    </row>
    <row r="358" ht="15.75" customHeight="1" s="545">
      <c r="A358" s="19" t="n"/>
      <c r="B358" s="19" t="n"/>
      <c r="C358" s="19" t="n"/>
      <c r="D358" s="19" t="n"/>
      <c r="E358" s="19" t="n"/>
      <c r="F358" s="19" t="n"/>
      <c r="G358" s="19" t="n"/>
      <c r="H358" s="19" t="n"/>
      <c r="I358" s="19" t="n"/>
    </row>
    <row r="359" ht="15.75" customHeight="1" s="545">
      <c r="A359" s="19" t="n"/>
      <c r="B359" s="19" t="n"/>
      <c r="C359" s="19" t="n"/>
      <c r="D359" s="19" t="n"/>
      <c r="E359" s="19" t="n"/>
      <c r="F359" s="19" t="n"/>
      <c r="G359" s="19" t="n"/>
      <c r="H359" s="19" t="n"/>
      <c r="I359" s="19" t="n"/>
    </row>
    <row r="360" ht="15.75" customHeight="1" s="545">
      <c r="A360" s="19" t="n"/>
      <c r="B360" s="19" t="n"/>
      <c r="C360" s="19" t="n"/>
      <c r="D360" s="19" t="n"/>
      <c r="E360" s="19" t="n"/>
      <c r="F360" s="19" t="n"/>
      <c r="G360" s="19" t="n"/>
      <c r="H360" s="19" t="n"/>
      <c r="I360" s="19" t="n"/>
    </row>
    <row r="361" ht="15.75" customHeight="1" s="545">
      <c r="A361" s="19" t="n"/>
      <c r="B361" s="19" t="n"/>
      <c r="C361" s="19" t="n"/>
      <c r="D361" s="19" t="n"/>
      <c r="E361" s="19" t="n"/>
      <c r="F361" s="19" t="n"/>
      <c r="G361" s="19" t="n"/>
      <c r="H361" s="19" t="n"/>
      <c r="I361" s="19" t="n"/>
    </row>
    <row r="362" ht="15.75" customHeight="1" s="545">
      <c r="A362" s="19" t="n"/>
      <c r="B362" s="19" t="n"/>
      <c r="C362" s="19" t="n"/>
      <c r="D362" s="19" t="n"/>
      <c r="E362" s="19" t="n"/>
      <c r="F362" s="19" t="n"/>
      <c r="G362" s="19" t="n"/>
      <c r="H362" s="19" t="n"/>
      <c r="I362" s="19" t="n"/>
    </row>
    <row r="363" ht="15.75" customHeight="1" s="545">
      <c r="A363" s="19" t="n"/>
      <c r="B363" s="19" t="n"/>
      <c r="C363" s="19" t="n"/>
      <c r="D363" s="19" t="n"/>
      <c r="E363" s="19" t="n"/>
      <c r="F363" s="19" t="n"/>
      <c r="G363" s="19" t="n"/>
      <c r="H363" s="19" t="n"/>
      <c r="I363" s="19" t="n"/>
    </row>
    <row r="364" ht="15.75" customHeight="1" s="545">
      <c r="A364" s="19" t="n"/>
      <c r="B364" s="19" t="n"/>
      <c r="C364" s="19" t="n"/>
      <c r="D364" s="19" t="n"/>
      <c r="E364" s="19" t="n"/>
      <c r="F364" s="19" t="n"/>
      <c r="G364" s="19" t="n"/>
      <c r="H364" s="19" t="n"/>
      <c r="I364" s="19" t="n"/>
    </row>
    <row r="365" ht="15.75" customHeight="1" s="545">
      <c r="A365" s="19" t="n"/>
      <c r="B365" s="19" t="n"/>
      <c r="C365" s="19" t="n"/>
      <c r="D365" s="19" t="n"/>
      <c r="E365" s="19" t="n"/>
      <c r="F365" s="19" t="n"/>
      <c r="G365" s="19" t="n"/>
      <c r="H365" s="19" t="n"/>
      <c r="I365" s="19" t="n"/>
    </row>
    <row r="366" ht="15.75" customHeight="1" s="545">
      <c r="A366" s="19" t="n"/>
      <c r="B366" s="19" t="n"/>
      <c r="C366" s="19" t="n"/>
      <c r="D366" s="19" t="n"/>
      <c r="E366" s="19" t="n"/>
      <c r="F366" s="19" t="n"/>
      <c r="G366" s="19" t="n"/>
      <c r="H366" s="19" t="n"/>
      <c r="I366" s="19" t="n"/>
    </row>
    <row r="367" ht="15.75" customHeight="1" s="545">
      <c r="A367" s="19" t="n"/>
      <c r="B367" s="19" t="n"/>
      <c r="C367" s="19" t="n"/>
      <c r="D367" s="19" t="n"/>
      <c r="E367" s="19" t="n"/>
      <c r="F367" s="19" t="n"/>
      <c r="G367" s="19" t="n"/>
      <c r="H367" s="19" t="n"/>
      <c r="I367" s="19" t="n"/>
    </row>
    <row r="368" ht="15.75" customHeight="1" s="545">
      <c r="A368" s="19" t="n"/>
      <c r="B368" s="19" t="n"/>
      <c r="C368" s="19" t="n"/>
      <c r="D368" s="19" t="n"/>
      <c r="E368" s="19" t="n"/>
      <c r="F368" s="19" t="n"/>
      <c r="G368" s="19" t="n"/>
      <c r="H368" s="19" t="n"/>
      <c r="I368" s="19" t="n"/>
    </row>
    <row r="369" ht="15.75" customHeight="1" s="545">
      <c r="A369" s="19" t="n"/>
      <c r="B369" s="19" t="n"/>
      <c r="C369" s="19" t="n"/>
      <c r="D369" s="19" t="n"/>
      <c r="E369" s="19" t="n"/>
      <c r="F369" s="19" t="n"/>
      <c r="G369" s="19" t="n"/>
      <c r="H369" s="19" t="n"/>
      <c r="I369" s="19" t="n"/>
    </row>
    <row r="370" ht="15.75" customHeight="1" s="545">
      <c r="A370" s="19" t="n"/>
      <c r="B370" s="19" t="n"/>
      <c r="C370" s="19" t="n"/>
      <c r="D370" s="19" t="n"/>
      <c r="E370" s="19" t="n"/>
      <c r="F370" s="19" t="n"/>
      <c r="G370" s="19" t="n"/>
      <c r="H370" s="19" t="n"/>
      <c r="I370" s="19" t="n"/>
    </row>
    <row r="371" ht="15.75" customHeight="1" s="545">
      <c r="A371" s="19" t="n"/>
      <c r="B371" s="19" t="n"/>
      <c r="C371" s="19" t="n"/>
      <c r="D371" s="19" t="n"/>
      <c r="E371" s="19" t="n"/>
      <c r="F371" s="19" t="n"/>
      <c r="G371" s="19" t="n"/>
      <c r="H371" s="19" t="n"/>
      <c r="I371" s="19" t="n"/>
    </row>
    <row r="372" ht="15.75" customHeight="1" s="545">
      <c r="A372" s="19" t="n"/>
      <c r="B372" s="19" t="n"/>
      <c r="C372" s="19" t="n"/>
      <c r="D372" s="19" t="n"/>
      <c r="E372" s="19" t="n"/>
      <c r="F372" s="19" t="n"/>
      <c r="G372" s="19" t="n"/>
      <c r="H372" s="19" t="n"/>
      <c r="I372" s="19" t="n"/>
    </row>
    <row r="373" ht="15.75" customHeight="1" s="545">
      <c r="A373" s="19" t="n"/>
      <c r="B373" s="19" t="n"/>
      <c r="C373" s="19" t="n"/>
      <c r="D373" s="19" t="n"/>
      <c r="E373" s="19" t="n"/>
      <c r="F373" s="19" t="n"/>
      <c r="G373" s="19" t="n"/>
      <c r="H373" s="19" t="n"/>
      <c r="I373" s="19" t="n"/>
    </row>
    <row r="374" ht="15.75" customHeight="1" s="545">
      <c r="A374" s="19" t="n"/>
      <c r="B374" s="19" t="n"/>
      <c r="C374" s="19" t="n"/>
      <c r="D374" s="19" t="n"/>
      <c r="E374" s="19" t="n"/>
      <c r="F374" s="19" t="n"/>
      <c r="G374" s="19" t="n"/>
      <c r="H374" s="19" t="n"/>
      <c r="I374" s="19" t="n"/>
    </row>
    <row r="375" ht="15.75" customHeight="1" s="545">
      <c r="A375" s="19" t="n"/>
      <c r="B375" s="19" t="n"/>
      <c r="C375" s="19" t="n"/>
      <c r="D375" s="19" t="n"/>
      <c r="E375" s="19" t="n"/>
      <c r="F375" s="19" t="n"/>
      <c r="G375" s="19" t="n"/>
      <c r="H375" s="19" t="n"/>
      <c r="I375" s="19" t="n"/>
    </row>
    <row r="376" ht="15.75" customHeight="1" s="545">
      <c r="A376" s="19" t="n"/>
      <c r="B376" s="19" t="n"/>
      <c r="C376" s="19" t="n"/>
      <c r="D376" s="19" t="n"/>
      <c r="E376" s="19" t="n"/>
      <c r="F376" s="19" t="n"/>
      <c r="G376" s="19" t="n"/>
      <c r="H376" s="19" t="n"/>
      <c r="I376" s="19" t="n"/>
    </row>
    <row r="377" ht="15.75" customHeight="1" s="545">
      <c r="A377" s="19" t="n"/>
      <c r="B377" s="19" t="n"/>
      <c r="C377" s="19" t="n"/>
      <c r="D377" s="19" t="n"/>
      <c r="E377" s="19" t="n"/>
      <c r="F377" s="19" t="n"/>
      <c r="G377" s="19" t="n"/>
      <c r="H377" s="19" t="n"/>
      <c r="I377" s="19" t="n"/>
    </row>
    <row r="378" ht="15.75" customHeight="1" s="545">
      <c r="A378" s="19" t="n"/>
      <c r="B378" s="19" t="n"/>
      <c r="C378" s="19" t="n"/>
      <c r="D378" s="19" t="n"/>
      <c r="E378" s="19" t="n"/>
      <c r="F378" s="19" t="n"/>
      <c r="G378" s="19" t="n"/>
      <c r="H378" s="19" t="n"/>
      <c r="I378" s="19" t="n"/>
    </row>
    <row r="379" ht="15.75" customHeight="1" s="545">
      <c r="A379" s="19" t="n"/>
      <c r="B379" s="19" t="n"/>
      <c r="C379" s="19" t="n"/>
      <c r="D379" s="19" t="n"/>
      <c r="E379" s="19" t="n"/>
      <c r="F379" s="19" t="n"/>
      <c r="G379" s="19" t="n"/>
      <c r="H379" s="19" t="n"/>
      <c r="I379" s="19" t="n"/>
    </row>
    <row r="380" ht="15.75" customHeight="1" s="545">
      <c r="A380" s="19" t="n"/>
      <c r="B380" s="19" t="n"/>
      <c r="C380" s="19" t="n"/>
      <c r="D380" s="19" t="n"/>
      <c r="E380" s="19" t="n"/>
      <c r="F380" s="19" t="n"/>
      <c r="G380" s="19" t="n"/>
      <c r="H380" s="19" t="n"/>
      <c r="I380" s="19" t="n"/>
    </row>
    <row r="381" ht="15.75" customHeight="1" s="545">
      <c r="A381" s="19" t="n"/>
      <c r="B381" s="19" t="n"/>
      <c r="C381" s="19" t="n"/>
      <c r="D381" s="19" t="n"/>
      <c r="E381" s="19" t="n"/>
      <c r="F381" s="19" t="n"/>
      <c r="G381" s="19" t="n"/>
      <c r="H381" s="19" t="n"/>
      <c r="I381" s="19" t="n"/>
    </row>
    <row r="382" ht="15.75" customHeight="1" s="545">
      <c r="A382" s="19" t="n"/>
      <c r="B382" s="19" t="n"/>
      <c r="C382" s="19" t="n"/>
      <c r="D382" s="19" t="n"/>
      <c r="E382" s="19" t="n"/>
      <c r="F382" s="19" t="n"/>
      <c r="G382" s="19" t="n"/>
      <c r="H382" s="19" t="n"/>
      <c r="I382" s="19" t="n"/>
    </row>
    <row r="383" ht="15.75" customHeight="1" s="545">
      <c r="A383" s="19" t="n"/>
      <c r="B383" s="19" t="n"/>
      <c r="C383" s="19" t="n"/>
      <c r="D383" s="19" t="n"/>
      <c r="E383" s="19" t="n"/>
      <c r="F383" s="19" t="n"/>
      <c r="G383" s="19" t="n"/>
      <c r="H383" s="19" t="n"/>
      <c r="I383" s="19" t="n"/>
    </row>
    <row r="384" ht="15.75" customHeight="1" s="545">
      <c r="A384" s="19" t="n"/>
      <c r="B384" s="19" t="n"/>
      <c r="C384" s="19" t="n"/>
      <c r="D384" s="19" t="n"/>
      <c r="E384" s="19" t="n"/>
      <c r="F384" s="19" t="n"/>
      <c r="G384" s="19" t="n"/>
      <c r="H384" s="19" t="n"/>
      <c r="I384" s="19" t="n"/>
    </row>
    <row r="385" ht="15.75" customHeight="1" s="545">
      <c r="A385" s="19" t="n"/>
      <c r="B385" s="19" t="n"/>
      <c r="C385" s="19" t="n"/>
      <c r="D385" s="19" t="n"/>
      <c r="E385" s="19" t="n"/>
      <c r="F385" s="19" t="n"/>
      <c r="G385" s="19" t="n"/>
      <c r="H385" s="19" t="n"/>
      <c r="I385" s="19" t="n"/>
    </row>
    <row r="386" ht="15.75" customHeight="1" s="545">
      <c r="A386" s="19" t="n"/>
      <c r="B386" s="19" t="n"/>
      <c r="C386" s="19" t="n"/>
      <c r="D386" s="19" t="n"/>
      <c r="E386" s="19" t="n"/>
      <c r="F386" s="19" t="n"/>
      <c r="G386" s="19" t="n"/>
      <c r="H386" s="19" t="n"/>
      <c r="I386" s="19" t="n"/>
    </row>
    <row r="387" ht="15.75" customHeight="1" s="545">
      <c r="A387" s="19" t="n"/>
      <c r="B387" s="19" t="n"/>
      <c r="C387" s="19" t="n"/>
      <c r="D387" s="19" t="n"/>
      <c r="E387" s="19" t="n"/>
      <c r="F387" s="19" t="n"/>
      <c r="G387" s="19" t="n"/>
      <c r="H387" s="19" t="n"/>
      <c r="I387" s="19" t="n"/>
    </row>
    <row r="388" ht="15.75" customHeight="1" s="545">
      <c r="A388" s="19" t="n"/>
      <c r="B388" s="19" t="n"/>
      <c r="C388" s="19" t="n"/>
      <c r="D388" s="19" t="n"/>
      <c r="E388" s="19" t="n"/>
      <c r="F388" s="19" t="n"/>
      <c r="G388" s="19" t="n"/>
      <c r="H388" s="19" t="n"/>
      <c r="I388" s="19" t="n"/>
    </row>
    <row r="389" ht="15.75" customHeight="1" s="545">
      <c r="A389" s="19" t="n"/>
      <c r="B389" s="19" t="n"/>
      <c r="C389" s="19" t="n"/>
      <c r="D389" s="19" t="n"/>
      <c r="E389" s="19" t="n"/>
      <c r="F389" s="19" t="n"/>
      <c r="G389" s="19" t="n"/>
      <c r="H389" s="19" t="n"/>
      <c r="I389" s="19" t="n"/>
    </row>
    <row r="390" ht="15.75" customHeight="1" s="545">
      <c r="A390" s="19" t="n"/>
      <c r="B390" s="19" t="n"/>
      <c r="C390" s="19" t="n"/>
      <c r="D390" s="19" t="n"/>
      <c r="E390" s="19" t="n"/>
      <c r="F390" s="19" t="n"/>
      <c r="G390" s="19" t="n"/>
      <c r="H390" s="19" t="n"/>
      <c r="I390" s="19" t="n"/>
    </row>
    <row r="391" ht="15.75" customHeight="1" s="545">
      <c r="A391" s="19" t="n"/>
      <c r="B391" s="19" t="n"/>
      <c r="C391" s="19" t="n"/>
      <c r="D391" s="19" t="n"/>
      <c r="E391" s="19" t="n"/>
      <c r="F391" s="19" t="n"/>
      <c r="G391" s="19" t="n"/>
      <c r="H391" s="19" t="n"/>
      <c r="I391" s="19" t="n"/>
    </row>
    <row r="392" ht="15.75" customHeight="1" s="545">
      <c r="A392" s="19" t="n"/>
      <c r="B392" s="19" t="n"/>
      <c r="C392" s="19" t="n"/>
      <c r="D392" s="19" t="n"/>
      <c r="E392" s="19" t="n"/>
      <c r="F392" s="19" t="n"/>
      <c r="G392" s="19" t="n"/>
      <c r="H392" s="19" t="n"/>
      <c r="I392" s="19" t="n"/>
    </row>
    <row r="393" ht="15.75" customHeight="1" s="545">
      <c r="A393" s="19" t="n"/>
      <c r="B393" s="19" t="n"/>
      <c r="C393" s="19" t="n"/>
      <c r="D393" s="19" t="n"/>
      <c r="E393" s="19" t="n"/>
      <c r="F393" s="19" t="n"/>
      <c r="G393" s="19" t="n"/>
      <c r="H393" s="19" t="n"/>
      <c r="I393" s="19" t="n"/>
    </row>
    <row r="394" ht="15.75" customHeight="1" s="545">
      <c r="A394" s="19" t="n"/>
      <c r="B394" s="19" t="n"/>
      <c r="C394" s="19" t="n"/>
      <c r="D394" s="19" t="n"/>
      <c r="E394" s="19" t="n"/>
      <c r="F394" s="19" t="n"/>
      <c r="G394" s="19" t="n"/>
      <c r="H394" s="19" t="n"/>
      <c r="I394" s="19" t="n"/>
    </row>
    <row r="395" ht="15.75" customHeight="1" s="545">
      <c r="A395" s="19" t="n"/>
      <c r="B395" s="19" t="n"/>
      <c r="C395" s="19" t="n"/>
      <c r="D395" s="19" t="n"/>
      <c r="E395" s="19" t="n"/>
      <c r="F395" s="19" t="n"/>
      <c r="G395" s="19" t="n"/>
      <c r="H395" s="19" t="n"/>
      <c r="I395" s="19" t="n"/>
    </row>
    <row r="396" ht="15.75" customHeight="1" s="545">
      <c r="A396" s="19" t="n"/>
      <c r="B396" s="19" t="n"/>
      <c r="C396" s="19" t="n"/>
      <c r="D396" s="19" t="n"/>
      <c r="E396" s="19" t="n"/>
      <c r="F396" s="19" t="n"/>
      <c r="G396" s="19" t="n"/>
      <c r="H396" s="19" t="n"/>
      <c r="I396" s="19" t="n"/>
    </row>
    <row r="397" ht="15.75" customHeight="1" s="545">
      <c r="A397" s="19" t="n"/>
      <c r="B397" s="19" t="n"/>
      <c r="C397" s="19" t="n"/>
      <c r="D397" s="19" t="n"/>
      <c r="E397" s="19" t="n"/>
      <c r="F397" s="19" t="n"/>
      <c r="G397" s="19" t="n"/>
      <c r="H397" s="19" t="n"/>
      <c r="I397" s="19" t="n"/>
    </row>
    <row r="398" ht="15.75" customHeight="1" s="545">
      <c r="A398" s="19" t="n"/>
      <c r="B398" s="19" t="n"/>
      <c r="C398" s="19" t="n"/>
      <c r="D398" s="19" t="n"/>
      <c r="E398" s="19" t="n"/>
      <c r="F398" s="19" t="n"/>
      <c r="G398" s="19" t="n"/>
      <c r="H398" s="19" t="n"/>
      <c r="I398" s="19" t="n"/>
    </row>
    <row r="399" ht="15.75" customHeight="1" s="545">
      <c r="A399" s="19" t="n"/>
      <c r="B399" s="19" t="n"/>
      <c r="C399" s="19" t="n"/>
      <c r="D399" s="19" t="n"/>
      <c r="E399" s="19" t="n"/>
      <c r="F399" s="19" t="n"/>
      <c r="G399" s="19" t="n"/>
      <c r="H399" s="19" t="n"/>
      <c r="I399" s="19" t="n"/>
    </row>
    <row r="400" ht="15.75" customHeight="1" s="545">
      <c r="A400" s="19" t="n"/>
      <c r="B400" s="19" t="n"/>
      <c r="C400" s="19" t="n"/>
      <c r="D400" s="19" t="n"/>
      <c r="E400" s="19" t="n"/>
      <c r="F400" s="19" t="n"/>
      <c r="G400" s="19" t="n"/>
      <c r="H400" s="19" t="n"/>
      <c r="I400" s="19" t="n"/>
    </row>
    <row r="401" ht="15.75" customHeight="1" s="545">
      <c r="A401" s="19" t="n"/>
      <c r="B401" s="19" t="n"/>
      <c r="C401" s="19" t="n"/>
      <c r="D401" s="19" t="n"/>
      <c r="E401" s="19" t="n"/>
      <c r="F401" s="19" t="n"/>
      <c r="G401" s="19" t="n"/>
      <c r="H401" s="19" t="n"/>
      <c r="I401" s="19" t="n"/>
    </row>
    <row r="402" ht="15.75" customHeight="1" s="545">
      <c r="A402" s="19" t="n"/>
      <c r="B402" s="19" t="n"/>
      <c r="C402" s="19" t="n"/>
      <c r="D402" s="19" t="n"/>
      <c r="E402" s="19" t="n"/>
      <c r="F402" s="19" t="n"/>
      <c r="G402" s="19" t="n"/>
      <c r="H402" s="19" t="n"/>
      <c r="I402" s="19" t="n"/>
    </row>
    <row r="403" ht="15.75" customHeight="1" s="545">
      <c r="A403" s="19" t="n"/>
      <c r="B403" s="19" t="n"/>
      <c r="C403" s="19" t="n"/>
      <c r="D403" s="19" t="n"/>
      <c r="E403" s="19" t="n"/>
      <c r="F403" s="19" t="n"/>
      <c r="G403" s="19" t="n"/>
      <c r="H403" s="19" t="n"/>
      <c r="I403" s="19" t="n"/>
    </row>
    <row r="404" ht="15.75" customHeight="1" s="545">
      <c r="A404" s="19" t="n"/>
      <c r="B404" s="19" t="n"/>
      <c r="C404" s="19" t="n"/>
      <c r="D404" s="19" t="n"/>
      <c r="E404" s="19" t="n"/>
      <c r="F404" s="19" t="n"/>
      <c r="G404" s="19" t="n"/>
      <c r="H404" s="19" t="n"/>
      <c r="I404" s="19" t="n"/>
    </row>
    <row r="405" ht="15.75" customHeight="1" s="545">
      <c r="A405" s="19" t="n"/>
      <c r="B405" s="19" t="n"/>
      <c r="C405" s="19" t="n"/>
      <c r="D405" s="19" t="n"/>
      <c r="E405" s="19" t="n"/>
      <c r="F405" s="19" t="n"/>
      <c r="G405" s="19" t="n"/>
      <c r="H405" s="19" t="n"/>
      <c r="I405" s="19" t="n"/>
    </row>
    <row r="406" ht="15.75" customHeight="1" s="545">
      <c r="A406" s="19" t="n"/>
      <c r="B406" s="19" t="n"/>
      <c r="C406" s="19" t="n"/>
      <c r="D406" s="19" t="n"/>
      <c r="E406" s="19" t="n"/>
      <c r="F406" s="19" t="n"/>
      <c r="G406" s="19" t="n"/>
      <c r="H406" s="19" t="n"/>
      <c r="I406" s="19" t="n"/>
    </row>
    <row r="407" ht="15.75" customHeight="1" s="545">
      <c r="A407" s="19" t="n"/>
      <c r="B407" s="19" t="n"/>
      <c r="C407" s="19" t="n"/>
      <c r="D407" s="19" t="n"/>
      <c r="E407" s="19" t="n"/>
      <c r="F407" s="19" t="n"/>
      <c r="G407" s="19" t="n"/>
      <c r="H407" s="19" t="n"/>
      <c r="I407" s="19" t="n"/>
    </row>
    <row r="408" ht="15.75" customHeight="1" s="545">
      <c r="A408" s="19" t="n"/>
      <c r="B408" s="19" t="n"/>
      <c r="C408" s="19" t="n"/>
      <c r="D408" s="19" t="n"/>
      <c r="E408" s="19" t="n"/>
      <c r="F408" s="19" t="n"/>
      <c r="G408" s="19" t="n"/>
      <c r="H408" s="19" t="n"/>
      <c r="I408" s="19" t="n"/>
    </row>
    <row r="409" ht="15.75" customHeight="1" s="545">
      <c r="A409" s="19" t="n"/>
      <c r="B409" s="19" t="n"/>
      <c r="C409" s="19" t="n"/>
      <c r="D409" s="19" t="n"/>
      <c r="E409" s="19" t="n"/>
      <c r="F409" s="19" t="n"/>
      <c r="G409" s="19" t="n"/>
      <c r="H409" s="19" t="n"/>
      <c r="I409" s="19" t="n"/>
    </row>
    <row r="410" ht="15.75" customHeight="1" s="545">
      <c r="A410" s="19" t="n"/>
      <c r="B410" s="19" t="n"/>
      <c r="C410" s="19" t="n"/>
      <c r="D410" s="19" t="n"/>
      <c r="E410" s="19" t="n"/>
      <c r="F410" s="19" t="n"/>
      <c r="G410" s="19" t="n"/>
      <c r="H410" s="19" t="n"/>
      <c r="I410" s="19" t="n"/>
    </row>
    <row r="411" ht="15.75" customHeight="1" s="545">
      <c r="A411" s="19" t="n"/>
      <c r="B411" s="19" t="n"/>
      <c r="C411" s="19" t="n"/>
      <c r="D411" s="19" t="n"/>
      <c r="E411" s="19" t="n"/>
      <c r="F411" s="19" t="n"/>
      <c r="G411" s="19" t="n"/>
      <c r="H411" s="19" t="n"/>
      <c r="I411" s="19" t="n"/>
    </row>
    <row r="412" ht="15.75" customHeight="1" s="545">
      <c r="A412" s="19" t="n"/>
      <c r="B412" s="19" t="n"/>
      <c r="C412" s="19" t="n"/>
      <c r="D412" s="19" t="n"/>
      <c r="E412" s="19" t="n"/>
      <c r="F412" s="19" t="n"/>
      <c r="G412" s="19" t="n"/>
      <c r="H412" s="19" t="n"/>
      <c r="I412" s="19" t="n"/>
    </row>
    <row r="413" ht="15.75" customHeight="1" s="545">
      <c r="A413" s="19" t="n"/>
      <c r="B413" s="19" t="n"/>
      <c r="C413" s="19" t="n"/>
      <c r="D413" s="19" t="n"/>
      <c r="E413" s="19" t="n"/>
      <c r="F413" s="19" t="n"/>
      <c r="G413" s="19" t="n"/>
      <c r="H413" s="19" t="n"/>
      <c r="I413" s="19" t="n"/>
    </row>
    <row r="414" ht="15.75" customHeight="1" s="545">
      <c r="A414" s="19" t="n"/>
      <c r="B414" s="19" t="n"/>
      <c r="C414" s="19" t="n"/>
      <c r="D414" s="19" t="n"/>
      <c r="E414" s="19" t="n"/>
      <c r="F414" s="19" t="n"/>
      <c r="G414" s="19" t="n"/>
      <c r="H414" s="19" t="n"/>
      <c r="I414" s="19" t="n"/>
    </row>
    <row r="415" ht="15.75" customHeight="1" s="545">
      <c r="A415" s="19" t="n"/>
      <c r="B415" s="19" t="n"/>
      <c r="C415" s="19" t="n"/>
      <c r="D415" s="19" t="n"/>
      <c r="E415" s="19" t="n"/>
      <c r="F415" s="19" t="n"/>
      <c r="G415" s="19" t="n"/>
      <c r="H415" s="19" t="n"/>
      <c r="I415" s="19" t="n"/>
    </row>
    <row r="416" ht="15.75" customHeight="1" s="545">
      <c r="A416" s="19" t="n"/>
      <c r="B416" s="19" t="n"/>
      <c r="C416" s="19" t="n"/>
      <c r="D416" s="19" t="n"/>
      <c r="E416" s="19" t="n"/>
      <c r="F416" s="19" t="n"/>
      <c r="G416" s="19" t="n"/>
      <c r="H416" s="19" t="n"/>
      <c r="I416" s="19" t="n"/>
    </row>
    <row r="417" ht="15.75" customHeight="1" s="545">
      <c r="A417" s="19" t="n"/>
      <c r="B417" s="19" t="n"/>
      <c r="C417" s="19" t="n"/>
      <c r="D417" s="19" t="n"/>
      <c r="E417" s="19" t="n"/>
      <c r="F417" s="19" t="n"/>
      <c r="G417" s="19" t="n"/>
      <c r="H417" s="19" t="n"/>
      <c r="I417" s="19" t="n"/>
    </row>
    <row r="418" ht="15.75" customHeight="1" s="545">
      <c r="A418" s="19" t="n"/>
      <c r="B418" s="19" t="n"/>
      <c r="C418" s="19" t="n"/>
      <c r="D418" s="19" t="n"/>
      <c r="E418" s="19" t="n"/>
      <c r="F418" s="19" t="n"/>
      <c r="G418" s="19" t="n"/>
      <c r="H418" s="19" t="n"/>
      <c r="I418" s="19" t="n"/>
    </row>
    <row r="419" ht="15.75" customHeight="1" s="545">
      <c r="A419" s="19" t="n"/>
      <c r="B419" s="19" t="n"/>
      <c r="C419" s="19" t="n"/>
      <c r="D419" s="19" t="n"/>
      <c r="E419" s="19" t="n"/>
      <c r="F419" s="19" t="n"/>
      <c r="G419" s="19" t="n"/>
      <c r="H419" s="19" t="n"/>
      <c r="I419" s="19" t="n"/>
    </row>
    <row r="420" ht="15.75" customHeight="1" s="545">
      <c r="A420" s="19" t="n"/>
      <c r="B420" s="19" t="n"/>
      <c r="C420" s="19" t="n"/>
      <c r="D420" s="19" t="n"/>
      <c r="E420" s="19" t="n"/>
      <c r="F420" s="19" t="n"/>
      <c r="G420" s="19" t="n"/>
      <c r="H420" s="19" t="n"/>
      <c r="I420" s="19" t="n"/>
    </row>
    <row r="421" ht="15.75" customHeight="1" s="545">
      <c r="A421" s="19" t="n"/>
      <c r="B421" s="19" t="n"/>
      <c r="C421" s="19" t="n"/>
      <c r="D421" s="19" t="n"/>
      <c r="E421" s="19" t="n"/>
      <c r="F421" s="19" t="n"/>
      <c r="G421" s="19" t="n"/>
      <c r="H421" s="19" t="n"/>
      <c r="I421" s="19" t="n"/>
    </row>
    <row r="422" ht="15.75" customHeight="1" s="545">
      <c r="A422" s="19" t="n"/>
      <c r="B422" s="19" t="n"/>
      <c r="C422" s="19" t="n"/>
      <c r="D422" s="19" t="n"/>
      <c r="E422" s="19" t="n"/>
      <c r="F422" s="19" t="n"/>
      <c r="G422" s="19" t="n"/>
      <c r="H422" s="19" t="n"/>
      <c r="I422" s="19" t="n"/>
    </row>
    <row r="423" ht="15.75" customHeight="1" s="545">
      <c r="A423" s="19" t="n"/>
      <c r="B423" s="19" t="n"/>
      <c r="C423" s="19" t="n"/>
      <c r="D423" s="19" t="n"/>
      <c r="E423" s="19" t="n"/>
      <c r="F423" s="19" t="n"/>
      <c r="G423" s="19" t="n"/>
      <c r="H423" s="19" t="n"/>
      <c r="I423" s="19" t="n"/>
    </row>
    <row r="424" ht="15.75" customHeight="1" s="545">
      <c r="A424" s="19" t="n"/>
      <c r="B424" s="19" t="n"/>
      <c r="C424" s="19" t="n"/>
      <c r="D424" s="19" t="n"/>
      <c r="E424" s="19" t="n"/>
      <c r="F424" s="19" t="n"/>
      <c r="G424" s="19" t="n"/>
      <c r="H424" s="19" t="n"/>
      <c r="I424" s="19" t="n"/>
    </row>
    <row r="425" ht="15.75" customHeight="1" s="545">
      <c r="A425" s="19" t="n"/>
      <c r="B425" s="19" t="n"/>
      <c r="C425" s="19" t="n"/>
      <c r="D425" s="19" t="n"/>
      <c r="E425" s="19" t="n"/>
      <c r="F425" s="19" t="n"/>
      <c r="G425" s="19" t="n"/>
      <c r="H425" s="19" t="n"/>
      <c r="I425" s="19" t="n"/>
    </row>
    <row r="426" ht="15.75" customHeight="1" s="545">
      <c r="A426" s="19" t="n"/>
      <c r="B426" s="19" t="n"/>
      <c r="C426" s="19" t="n"/>
      <c r="D426" s="19" t="n"/>
      <c r="E426" s="19" t="n"/>
      <c r="F426" s="19" t="n"/>
      <c r="G426" s="19" t="n"/>
      <c r="H426" s="19" t="n"/>
      <c r="I426" s="19" t="n"/>
    </row>
    <row r="427" ht="15.75" customHeight="1" s="545">
      <c r="A427" s="19" t="n"/>
      <c r="B427" s="19" t="n"/>
      <c r="C427" s="19" t="n"/>
      <c r="D427" s="19" t="n"/>
      <c r="E427" s="19" t="n"/>
      <c r="F427" s="19" t="n"/>
      <c r="G427" s="19" t="n"/>
      <c r="H427" s="19" t="n"/>
      <c r="I427" s="19" t="n"/>
    </row>
    <row r="428" ht="15.75" customHeight="1" s="545">
      <c r="A428" s="19" t="n"/>
      <c r="B428" s="19" t="n"/>
      <c r="C428" s="19" t="n"/>
      <c r="D428" s="19" t="n"/>
      <c r="E428" s="19" t="n"/>
      <c r="F428" s="19" t="n"/>
      <c r="G428" s="19" t="n"/>
      <c r="H428" s="19" t="n"/>
      <c r="I428" s="19" t="n"/>
    </row>
    <row r="429" ht="15.75" customHeight="1" s="545">
      <c r="A429" s="19" t="n"/>
      <c r="B429" s="19" t="n"/>
      <c r="C429" s="19" t="n"/>
      <c r="D429" s="19" t="n"/>
      <c r="E429" s="19" t="n"/>
      <c r="F429" s="19" t="n"/>
      <c r="G429" s="19" t="n"/>
      <c r="H429" s="19" t="n"/>
      <c r="I429" s="19" t="n"/>
    </row>
    <row r="430" ht="15.75" customHeight="1" s="545">
      <c r="A430" s="19" t="n"/>
      <c r="B430" s="19" t="n"/>
      <c r="C430" s="19" t="n"/>
      <c r="D430" s="19" t="n"/>
      <c r="E430" s="19" t="n"/>
      <c r="F430" s="19" t="n"/>
      <c r="G430" s="19" t="n"/>
      <c r="H430" s="19" t="n"/>
      <c r="I430" s="19" t="n"/>
    </row>
    <row r="431" ht="15.75" customHeight="1" s="545">
      <c r="A431" s="19" t="n"/>
      <c r="B431" s="19" t="n"/>
      <c r="C431" s="19" t="n"/>
      <c r="D431" s="19" t="n"/>
      <c r="E431" s="19" t="n"/>
      <c r="F431" s="19" t="n"/>
      <c r="G431" s="19" t="n"/>
      <c r="H431" s="19" t="n"/>
      <c r="I431" s="19" t="n"/>
    </row>
    <row r="432" ht="15.75" customHeight="1" s="545">
      <c r="A432" s="19" t="n"/>
      <c r="B432" s="19" t="n"/>
      <c r="C432" s="19" t="n"/>
      <c r="D432" s="19" t="n"/>
      <c r="E432" s="19" t="n"/>
      <c r="F432" s="19" t="n"/>
      <c r="G432" s="19" t="n"/>
      <c r="H432" s="19" t="n"/>
      <c r="I432" s="19" t="n"/>
    </row>
    <row r="433" ht="15.75" customHeight="1" s="545">
      <c r="A433" s="19" t="n"/>
      <c r="B433" s="19" t="n"/>
      <c r="C433" s="19" t="n"/>
      <c r="D433" s="19" t="n"/>
      <c r="E433" s="19" t="n"/>
      <c r="F433" s="19" t="n"/>
      <c r="G433" s="19" t="n"/>
      <c r="H433" s="19" t="n"/>
      <c r="I433" s="19" t="n"/>
    </row>
    <row r="434" ht="15.75" customHeight="1" s="545">
      <c r="A434" s="19" t="n"/>
      <c r="B434" s="19" t="n"/>
      <c r="C434" s="19" t="n"/>
      <c r="D434" s="19" t="n"/>
      <c r="E434" s="19" t="n"/>
      <c r="F434" s="19" t="n"/>
      <c r="G434" s="19" t="n"/>
      <c r="H434" s="19" t="n"/>
      <c r="I434" s="19" t="n"/>
    </row>
    <row r="435" ht="15.75" customHeight="1" s="545">
      <c r="A435" s="19" t="n"/>
      <c r="B435" s="19" t="n"/>
      <c r="C435" s="19" t="n"/>
      <c r="D435" s="19" t="n"/>
      <c r="E435" s="19" t="n"/>
      <c r="F435" s="19" t="n"/>
      <c r="G435" s="19" t="n"/>
      <c r="H435" s="19" t="n"/>
      <c r="I435" s="19" t="n"/>
    </row>
    <row r="436" ht="15.75" customHeight="1" s="545">
      <c r="A436" s="19" t="n"/>
      <c r="B436" s="19" t="n"/>
      <c r="C436" s="19" t="n"/>
      <c r="D436" s="19" t="n"/>
      <c r="E436" s="19" t="n"/>
      <c r="F436" s="19" t="n"/>
      <c r="G436" s="19" t="n"/>
      <c r="H436" s="19" t="n"/>
      <c r="I436" s="19" t="n"/>
    </row>
    <row r="437" ht="15.75" customHeight="1" s="545">
      <c r="A437" s="19" t="n"/>
      <c r="B437" s="19" t="n"/>
      <c r="C437" s="19" t="n"/>
      <c r="D437" s="19" t="n"/>
      <c r="E437" s="19" t="n"/>
      <c r="F437" s="19" t="n"/>
      <c r="G437" s="19" t="n"/>
      <c r="H437" s="19" t="n"/>
      <c r="I437" s="19" t="n"/>
    </row>
    <row r="438" ht="15.75" customHeight="1" s="545">
      <c r="A438" s="19" t="n"/>
      <c r="B438" s="19" t="n"/>
      <c r="C438" s="19" t="n"/>
      <c r="D438" s="19" t="n"/>
      <c r="E438" s="19" t="n"/>
      <c r="F438" s="19" t="n"/>
      <c r="G438" s="19" t="n"/>
      <c r="H438" s="19" t="n"/>
      <c r="I438" s="19" t="n"/>
    </row>
    <row r="439" ht="15.75" customHeight="1" s="545">
      <c r="A439" s="19" t="n"/>
      <c r="B439" s="19" t="n"/>
      <c r="C439" s="19" t="n"/>
      <c r="D439" s="19" t="n"/>
      <c r="E439" s="19" t="n"/>
      <c r="F439" s="19" t="n"/>
      <c r="G439" s="19" t="n"/>
      <c r="H439" s="19" t="n"/>
      <c r="I439" s="19" t="n"/>
    </row>
    <row r="440" ht="15.75" customHeight="1" s="545">
      <c r="A440" s="19" t="n"/>
      <c r="B440" s="19" t="n"/>
      <c r="C440" s="19" t="n"/>
      <c r="D440" s="19" t="n"/>
      <c r="E440" s="19" t="n"/>
      <c r="F440" s="19" t="n"/>
      <c r="G440" s="19" t="n"/>
      <c r="H440" s="19" t="n"/>
      <c r="I440" s="19" t="n"/>
    </row>
    <row r="441" ht="15.75" customHeight="1" s="545">
      <c r="A441" s="19" t="n"/>
      <c r="B441" s="19" t="n"/>
      <c r="C441" s="19" t="n"/>
      <c r="D441" s="19" t="n"/>
      <c r="E441" s="19" t="n"/>
      <c r="F441" s="19" t="n"/>
      <c r="G441" s="19" t="n"/>
      <c r="H441" s="19" t="n"/>
      <c r="I441" s="19" t="n"/>
    </row>
    <row r="442" ht="15.75" customHeight="1" s="545">
      <c r="A442" s="19" t="n"/>
      <c r="B442" s="19" t="n"/>
      <c r="C442" s="19" t="n"/>
      <c r="D442" s="19" t="n"/>
      <c r="E442" s="19" t="n"/>
      <c r="F442" s="19" t="n"/>
      <c r="G442" s="19" t="n"/>
      <c r="H442" s="19" t="n"/>
      <c r="I442" s="19" t="n"/>
    </row>
    <row r="443" ht="15.75" customHeight="1" s="545">
      <c r="A443" s="19" t="n"/>
      <c r="B443" s="19" t="n"/>
      <c r="C443" s="19" t="n"/>
      <c r="D443" s="19" t="n"/>
      <c r="E443" s="19" t="n"/>
      <c r="F443" s="19" t="n"/>
      <c r="G443" s="19" t="n"/>
      <c r="H443" s="19" t="n"/>
      <c r="I443" s="19" t="n"/>
    </row>
    <row r="444" ht="15.75" customHeight="1" s="545">
      <c r="A444" s="19" t="n"/>
      <c r="B444" s="19" t="n"/>
      <c r="C444" s="19" t="n"/>
      <c r="D444" s="19" t="n"/>
      <c r="E444" s="19" t="n"/>
      <c r="F444" s="19" t="n"/>
      <c r="G444" s="19" t="n"/>
      <c r="H444" s="19" t="n"/>
      <c r="I444" s="19" t="n"/>
    </row>
    <row r="445" ht="15.75" customHeight="1" s="545">
      <c r="A445" s="19" t="n"/>
      <c r="B445" s="19" t="n"/>
      <c r="C445" s="19" t="n"/>
      <c r="D445" s="19" t="n"/>
      <c r="E445" s="19" t="n"/>
      <c r="F445" s="19" t="n"/>
      <c r="G445" s="19" t="n"/>
      <c r="H445" s="19" t="n"/>
      <c r="I445" s="19" t="n"/>
    </row>
    <row r="446" ht="15.75" customHeight="1" s="545">
      <c r="A446" s="19" t="n"/>
      <c r="B446" s="19" t="n"/>
      <c r="C446" s="19" t="n"/>
      <c r="D446" s="19" t="n"/>
      <c r="E446" s="19" t="n"/>
      <c r="F446" s="19" t="n"/>
      <c r="G446" s="19" t="n"/>
      <c r="H446" s="19" t="n"/>
      <c r="I446" s="19" t="n"/>
    </row>
    <row r="447" ht="15.75" customHeight="1" s="545">
      <c r="A447" s="19" t="n"/>
      <c r="B447" s="19" t="n"/>
      <c r="C447" s="19" t="n"/>
      <c r="D447" s="19" t="n"/>
      <c r="E447" s="19" t="n"/>
      <c r="F447" s="19" t="n"/>
      <c r="G447" s="19" t="n"/>
      <c r="H447" s="19" t="n"/>
      <c r="I447" s="19" t="n"/>
    </row>
    <row r="448" ht="15.75" customHeight="1" s="545">
      <c r="A448" s="19" t="n"/>
      <c r="B448" s="19" t="n"/>
      <c r="C448" s="19" t="n"/>
      <c r="D448" s="19" t="n"/>
      <c r="E448" s="19" t="n"/>
      <c r="F448" s="19" t="n"/>
      <c r="G448" s="19" t="n"/>
      <c r="H448" s="19" t="n"/>
      <c r="I448" s="19" t="n"/>
    </row>
    <row r="449" ht="15.75" customHeight="1" s="545">
      <c r="A449" s="19" t="n"/>
      <c r="B449" s="19" t="n"/>
      <c r="C449" s="19" t="n"/>
      <c r="D449" s="19" t="n"/>
      <c r="E449" s="19" t="n"/>
      <c r="F449" s="19" t="n"/>
      <c r="G449" s="19" t="n"/>
      <c r="H449" s="19" t="n"/>
      <c r="I449" s="19" t="n"/>
    </row>
    <row r="450" ht="15.75" customHeight="1" s="545">
      <c r="A450" s="19" t="n"/>
      <c r="B450" s="19" t="n"/>
      <c r="C450" s="19" t="n"/>
      <c r="D450" s="19" t="n"/>
      <c r="E450" s="19" t="n"/>
      <c r="F450" s="19" t="n"/>
      <c r="G450" s="19" t="n"/>
      <c r="H450" s="19" t="n"/>
      <c r="I450" s="19" t="n"/>
    </row>
    <row r="451" ht="15.75" customHeight="1" s="545">
      <c r="A451" s="19" t="n"/>
      <c r="B451" s="19" t="n"/>
      <c r="C451" s="19" t="n"/>
      <c r="D451" s="19" t="n"/>
      <c r="E451" s="19" t="n"/>
      <c r="F451" s="19" t="n"/>
      <c r="G451" s="19" t="n"/>
      <c r="H451" s="19" t="n"/>
      <c r="I451" s="19" t="n"/>
    </row>
    <row r="452" ht="15.75" customHeight="1" s="545">
      <c r="A452" s="19" t="n"/>
      <c r="B452" s="19" t="n"/>
      <c r="C452" s="19" t="n"/>
      <c r="D452" s="19" t="n"/>
      <c r="E452" s="19" t="n"/>
      <c r="F452" s="19" t="n"/>
      <c r="G452" s="19" t="n"/>
      <c r="H452" s="19" t="n"/>
      <c r="I452" s="19" t="n"/>
    </row>
    <row r="453" ht="15.75" customHeight="1" s="545">
      <c r="A453" s="19" t="n"/>
      <c r="B453" s="19" t="n"/>
      <c r="C453" s="19" t="n"/>
      <c r="D453" s="19" t="n"/>
      <c r="E453" s="19" t="n"/>
      <c r="F453" s="19" t="n"/>
      <c r="G453" s="19" t="n"/>
      <c r="H453" s="19" t="n"/>
      <c r="I453" s="19" t="n"/>
    </row>
    <row r="454" ht="15.75" customHeight="1" s="545">
      <c r="A454" s="19" t="n"/>
      <c r="B454" s="19" t="n"/>
      <c r="C454" s="19" t="n"/>
      <c r="D454" s="19" t="n"/>
      <c r="E454" s="19" t="n"/>
      <c r="F454" s="19" t="n"/>
      <c r="G454" s="19" t="n"/>
      <c r="H454" s="19" t="n"/>
      <c r="I454" s="19" t="n"/>
    </row>
    <row r="455" ht="15.75" customHeight="1" s="545">
      <c r="A455" s="19" t="n"/>
      <c r="B455" s="19" t="n"/>
      <c r="C455" s="19" t="n"/>
      <c r="D455" s="19" t="n"/>
      <c r="E455" s="19" t="n"/>
      <c r="F455" s="19" t="n"/>
      <c r="G455" s="19" t="n"/>
      <c r="H455" s="19" t="n"/>
      <c r="I455" s="19" t="n"/>
    </row>
    <row r="456" ht="15.75" customHeight="1" s="545">
      <c r="A456" s="19" t="n"/>
      <c r="B456" s="19" t="n"/>
      <c r="C456" s="19" t="n"/>
      <c r="D456" s="19" t="n"/>
      <c r="E456" s="19" t="n"/>
      <c r="F456" s="19" t="n"/>
      <c r="G456" s="19" t="n"/>
      <c r="H456" s="19" t="n"/>
      <c r="I456" s="19" t="n"/>
    </row>
    <row r="457" ht="15.75" customHeight="1" s="545">
      <c r="A457" s="19" t="n"/>
      <c r="B457" s="19" t="n"/>
      <c r="C457" s="19" t="n"/>
      <c r="D457" s="19" t="n"/>
      <c r="E457" s="19" t="n"/>
      <c r="F457" s="19" t="n"/>
      <c r="G457" s="19" t="n"/>
      <c r="H457" s="19" t="n"/>
      <c r="I457" s="19" t="n"/>
    </row>
    <row r="458" ht="15.75" customHeight="1" s="545">
      <c r="A458" s="19" t="n"/>
      <c r="B458" s="19" t="n"/>
      <c r="C458" s="19" t="n"/>
      <c r="D458" s="19" t="n"/>
      <c r="E458" s="19" t="n"/>
      <c r="F458" s="19" t="n"/>
      <c r="G458" s="19" t="n"/>
      <c r="H458" s="19" t="n"/>
      <c r="I458" s="19" t="n"/>
    </row>
    <row r="459" ht="15.75" customHeight="1" s="545">
      <c r="A459" s="19" t="n"/>
      <c r="B459" s="19" t="n"/>
      <c r="C459" s="19" t="n"/>
      <c r="D459" s="19" t="n"/>
      <c r="E459" s="19" t="n"/>
      <c r="F459" s="19" t="n"/>
      <c r="G459" s="19" t="n"/>
      <c r="H459" s="19" t="n"/>
      <c r="I459" s="19" t="n"/>
    </row>
    <row r="460" ht="15.75" customHeight="1" s="545">
      <c r="A460" s="19" t="n"/>
      <c r="B460" s="19" t="n"/>
      <c r="C460" s="19" t="n"/>
      <c r="D460" s="19" t="n"/>
      <c r="E460" s="19" t="n"/>
      <c r="F460" s="19" t="n"/>
      <c r="G460" s="19" t="n"/>
      <c r="H460" s="19" t="n"/>
      <c r="I460" s="19" t="n"/>
    </row>
    <row r="461" ht="15.75" customHeight="1" s="545">
      <c r="A461" s="19" t="n"/>
      <c r="B461" s="19" t="n"/>
      <c r="C461" s="19" t="n"/>
      <c r="D461" s="19" t="n"/>
      <c r="E461" s="19" t="n"/>
      <c r="F461" s="19" t="n"/>
      <c r="G461" s="19" t="n"/>
      <c r="H461" s="19" t="n"/>
      <c r="I461" s="19" t="n"/>
    </row>
    <row r="462" ht="15.75" customHeight="1" s="545">
      <c r="A462" s="19" t="n"/>
      <c r="B462" s="19" t="n"/>
      <c r="C462" s="19" t="n"/>
      <c r="D462" s="19" t="n"/>
      <c r="E462" s="19" t="n"/>
      <c r="F462" s="19" t="n"/>
      <c r="G462" s="19" t="n"/>
      <c r="H462" s="19" t="n"/>
      <c r="I462" s="19" t="n"/>
    </row>
    <row r="463" ht="15.75" customHeight="1" s="545">
      <c r="A463" s="19" t="n"/>
      <c r="B463" s="19" t="n"/>
      <c r="C463" s="19" t="n"/>
      <c r="D463" s="19" t="n"/>
      <c r="E463" s="19" t="n"/>
      <c r="F463" s="19" t="n"/>
      <c r="G463" s="19" t="n"/>
      <c r="H463" s="19" t="n"/>
      <c r="I463" s="19" t="n"/>
    </row>
    <row r="464" ht="15.75" customHeight="1" s="545">
      <c r="A464" s="19" t="n"/>
      <c r="B464" s="19" t="n"/>
      <c r="C464" s="19" t="n"/>
      <c r="D464" s="19" t="n"/>
      <c r="E464" s="19" t="n"/>
      <c r="F464" s="19" t="n"/>
      <c r="G464" s="19" t="n"/>
      <c r="H464" s="19" t="n"/>
      <c r="I464" s="19" t="n"/>
    </row>
    <row r="465" ht="15.75" customHeight="1" s="545">
      <c r="A465" s="19" t="n"/>
      <c r="B465" s="19" t="n"/>
      <c r="C465" s="19" t="n"/>
      <c r="D465" s="19" t="n"/>
      <c r="E465" s="19" t="n"/>
      <c r="F465" s="19" t="n"/>
      <c r="G465" s="19" t="n"/>
      <c r="H465" s="19" t="n"/>
      <c r="I465" s="19" t="n"/>
    </row>
    <row r="466" ht="15.75" customHeight="1" s="545">
      <c r="A466" s="19" t="n"/>
      <c r="B466" s="19" t="n"/>
      <c r="C466" s="19" t="n"/>
      <c r="D466" s="19" t="n"/>
      <c r="E466" s="19" t="n"/>
      <c r="F466" s="19" t="n"/>
      <c r="G466" s="19" t="n"/>
      <c r="H466" s="19" t="n"/>
      <c r="I466" s="19" t="n"/>
    </row>
    <row r="467" ht="15.75" customHeight="1" s="545">
      <c r="A467" s="19" t="n"/>
      <c r="B467" s="19" t="n"/>
      <c r="C467" s="19" t="n"/>
      <c r="D467" s="19" t="n"/>
      <c r="E467" s="19" t="n"/>
      <c r="F467" s="19" t="n"/>
      <c r="G467" s="19" t="n"/>
      <c r="H467" s="19" t="n"/>
      <c r="I467" s="19" t="n"/>
    </row>
    <row r="468" ht="15.75" customHeight="1" s="545">
      <c r="A468" s="19" t="n"/>
      <c r="B468" s="19" t="n"/>
      <c r="C468" s="19" t="n"/>
      <c r="D468" s="19" t="n"/>
      <c r="E468" s="19" t="n"/>
      <c r="F468" s="19" t="n"/>
      <c r="G468" s="19" t="n"/>
      <c r="H468" s="19" t="n"/>
      <c r="I468" s="19" t="n"/>
    </row>
    <row r="469" ht="15.75" customHeight="1" s="545">
      <c r="A469" s="19" t="n"/>
      <c r="B469" s="19" t="n"/>
      <c r="C469" s="19" t="n"/>
      <c r="D469" s="19" t="n"/>
      <c r="E469" s="19" t="n"/>
      <c r="F469" s="19" t="n"/>
      <c r="G469" s="19" t="n"/>
      <c r="H469" s="19" t="n"/>
      <c r="I469" s="19" t="n"/>
    </row>
    <row r="470" ht="15.75" customHeight="1" s="545">
      <c r="A470" s="19" t="n"/>
      <c r="B470" s="19" t="n"/>
      <c r="C470" s="19" t="n"/>
      <c r="D470" s="19" t="n"/>
      <c r="E470" s="19" t="n"/>
      <c r="F470" s="19" t="n"/>
      <c r="G470" s="19" t="n"/>
      <c r="H470" s="19" t="n"/>
      <c r="I470" s="19" t="n"/>
    </row>
    <row r="471" ht="15.75" customHeight="1" s="545">
      <c r="A471" s="19" t="n"/>
      <c r="B471" s="19" t="n"/>
      <c r="C471" s="19" t="n"/>
      <c r="D471" s="19" t="n"/>
      <c r="E471" s="19" t="n"/>
      <c r="F471" s="19" t="n"/>
      <c r="G471" s="19" t="n"/>
      <c r="H471" s="19" t="n"/>
      <c r="I471" s="19" t="n"/>
    </row>
    <row r="472" ht="15.75" customHeight="1" s="545">
      <c r="A472" s="19" t="n"/>
      <c r="B472" s="19" t="n"/>
      <c r="C472" s="19" t="n"/>
      <c r="D472" s="19" t="n"/>
      <c r="E472" s="19" t="n"/>
      <c r="F472" s="19" t="n"/>
      <c r="G472" s="19" t="n"/>
      <c r="H472" s="19" t="n"/>
      <c r="I472" s="19" t="n"/>
    </row>
    <row r="473" ht="15.75" customHeight="1" s="545">
      <c r="A473" s="19" t="n"/>
      <c r="B473" s="19" t="n"/>
      <c r="C473" s="19" t="n"/>
      <c r="D473" s="19" t="n"/>
      <c r="E473" s="19" t="n"/>
      <c r="F473" s="19" t="n"/>
      <c r="G473" s="19" t="n"/>
      <c r="H473" s="19" t="n"/>
      <c r="I473" s="19" t="n"/>
    </row>
    <row r="474" ht="15.75" customHeight="1" s="545">
      <c r="A474" s="19" t="n"/>
      <c r="B474" s="19" t="n"/>
      <c r="C474" s="19" t="n"/>
      <c r="D474" s="19" t="n"/>
      <c r="E474" s="19" t="n"/>
      <c r="F474" s="19" t="n"/>
      <c r="G474" s="19" t="n"/>
      <c r="H474" s="19" t="n"/>
      <c r="I474" s="19" t="n"/>
    </row>
    <row r="475" ht="15.75" customHeight="1" s="545">
      <c r="A475" s="19" t="n"/>
      <c r="B475" s="19" t="n"/>
      <c r="C475" s="19" t="n"/>
      <c r="D475" s="19" t="n"/>
      <c r="E475" s="19" t="n"/>
      <c r="F475" s="19" t="n"/>
      <c r="G475" s="19" t="n"/>
      <c r="H475" s="19" t="n"/>
      <c r="I475" s="19" t="n"/>
    </row>
    <row r="476" ht="15.75" customHeight="1" s="545">
      <c r="A476" s="19" t="n"/>
      <c r="B476" s="19" t="n"/>
      <c r="C476" s="19" t="n"/>
      <c r="D476" s="19" t="n"/>
      <c r="E476" s="19" t="n"/>
      <c r="F476" s="19" t="n"/>
      <c r="G476" s="19" t="n"/>
      <c r="H476" s="19" t="n"/>
      <c r="I476" s="19" t="n"/>
    </row>
    <row r="477" ht="15.75" customHeight="1" s="545">
      <c r="A477" s="19" t="n"/>
      <c r="B477" s="19" t="n"/>
      <c r="C477" s="19" t="n"/>
      <c r="D477" s="19" t="n"/>
      <c r="E477" s="19" t="n"/>
      <c r="F477" s="19" t="n"/>
      <c r="G477" s="19" t="n"/>
      <c r="H477" s="19" t="n"/>
      <c r="I477" s="19" t="n"/>
    </row>
    <row r="478" ht="15.75" customHeight="1" s="545">
      <c r="A478" s="19" t="n"/>
      <c r="B478" s="19" t="n"/>
      <c r="C478" s="19" t="n"/>
      <c r="D478" s="19" t="n"/>
      <c r="E478" s="19" t="n"/>
      <c r="F478" s="19" t="n"/>
      <c r="G478" s="19" t="n"/>
      <c r="H478" s="19" t="n"/>
      <c r="I478" s="19" t="n"/>
    </row>
    <row r="479" ht="15.75" customHeight="1" s="545">
      <c r="A479" s="19" t="n"/>
      <c r="B479" s="19" t="n"/>
      <c r="C479" s="19" t="n"/>
      <c r="D479" s="19" t="n"/>
      <c r="E479" s="19" t="n"/>
      <c r="F479" s="19" t="n"/>
      <c r="G479" s="19" t="n"/>
      <c r="H479" s="19" t="n"/>
      <c r="I479" s="19" t="n"/>
    </row>
    <row r="480" ht="15.75" customHeight="1" s="545">
      <c r="A480" s="19" t="n"/>
      <c r="B480" s="19" t="n"/>
      <c r="C480" s="19" t="n"/>
      <c r="D480" s="19" t="n"/>
      <c r="E480" s="19" t="n"/>
      <c r="F480" s="19" t="n"/>
      <c r="G480" s="19" t="n"/>
      <c r="H480" s="19" t="n"/>
      <c r="I480" s="19" t="n"/>
    </row>
    <row r="481" ht="15.75" customHeight="1" s="545">
      <c r="A481" s="19" t="n"/>
      <c r="B481" s="19" t="n"/>
      <c r="C481" s="19" t="n"/>
      <c r="D481" s="19" t="n"/>
      <c r="E481" s="19" t="n"/>
      <c r="F481" s="19" t="n"/>
      <c r="G481" s="19" t="n"/>
      <c r="H481" s="19" t="n"/>
      <c r="I481" s="19" t="n"/>
    </row>
    <row r="482" ht="15.75" customHeight="1" s="545">
      <c r="A482" s="19" t="n"/>
      <c r="B482" s="19" t="n"/>
      <c r="C482" s="19" t="n"/>
      <c r="D482" s="19" t="n"/>
      <c r="E482" s="19" t="n"/>
      <c r="F482" s="19" t="n"/>
      <c r="G482" s="19" t="n"/>
      <c r="H482" s="19" t="n"/>
      <c r="I482" s="19" t="n"/>
    </row>
    <row r="483" ht="15.75" customHeight="1" s="545">
      <c r="A483" s="19" t="n"/>
      <c r="B483" s="19" t="n"/>
      <c r="C483" s="19" t="n"/>
      <c r="D483" s="19" t="n"/>
      <c r="E483" s="19" t="n"/>
      <c r="F483" s="19" t="n"/>
      <c r="G483" s="19" t="n"/>
      <c r="H483" s="19" t="n"/>
      <c r="I483" s="19" t="n"/>
    </row>
    <row r="484" ht="15.75" customHeight="1" s="545">
      <c r="A484" s="19" t="n"/>
      <c r="B484" s="19" t="n"/>
      <c r="C484" s="19" t="n"/>
      <c r="D484" s="19" t="n"/>
      <c r="E484" s="19" t="n"/>
      <c r="F484" s="19" t="n"/>
      <c r="G484" s="19" t="n"/>
      <c r="H484" s="19" t="n"/>
      <c r="I484" s="19" t="n"/>
    </row>
    <row r="485" ht="15.75" customHeight="1" s="545">
      <c r="A485" s="19" t="n"/>
      <c r="B485" s="19" t="n"/>
      <c r="C485" s="19" t="n"/>
      <c r="D485" s="19" t="n"/>
      <c r="E485" s="19" t="n"/>
      <c r="F485" s="19" t="n"/>
      <c r="G485" s="19" t="n"/>
      <c r="H485" s="19" t="n"/>
      <c r="I485" s="19" t="n"/>
    </row>
    <row r="486" ht="15.75" customHeight="1" s="545">
      <c r="A486" s="19" t="n"/>
      <c r="B486" s="19" t="n"/>
      <c r="C486" s="19" t="n"/>
      <c r="D486" s="19" t="n"/>
      <c r="E486" s="19" t="n"/>
      <c r="F486" s="19" t="n"/>
      <c r="G486" s="19" t="n"/>
      <c r="H486" s="19" t="n"/>
      <c r="I486" s="19" t="n"/>
    </row>
    <row r="487" ht="15.75" customHeight="1" s="545">
      <c r="A487" s="19" t="n"/>
      <c r="B487" s="19" t="n"/>
      <c r="C487" s="19" t="n"/>
      <c r="D487" s="19" t="n"/>
      <c r="E487" s="19" t="n"/>
      <c r="F487" s="19" t="n"/>
      <c r="G487" s="19" t="n"/>
      <c r="H487" s="19" t="n"/>
      <c r="I487" s="19" t="n"/>
    </row>
    <row r="488" ht="15.75" customHeight="1" s="545">
      <c r="A488" s="19" t="n"/>
      <c r="B488" s="19" t="n"/>
      <c r="C488" s="19" t="n"/>
      <c r="D488" s="19" t="n"/>
      <c r="E488" s="19" t="n"/>
      <c r="F488" s="19" t="n"/>
      <c r="G488" s="19" t="n"/>
      <c r="H488" s="19" t="n"/>
      <c r="I488" s="19" t="n"/>
    </row>
    <row r="489" ht="15.75" customHeight="1" s="545">
      <c r="A489" s="19" t="n"/>
      <c r="B489" s="19" t="n"/>
      <c r="C489" s="19" t="n"/>
      <c r="D489" s="19" t="n"/>
      <c r="E489" s="19" t="n"/>
      <c r="F489" s="19" t="n"/>
      <c r="G489" s="19" t="n"/>
      <c r="H489" s="19" t="n"/>
      <c r="I489" s="19" t="n"/>
    </row>
    <row r="490" ht="15.75" customHeight="1" s="545">
      <c r="A490" s="19" t="n"/>
      <c r="B490" s="19" t="n"/>
      <c r="C490" s="19" t="n"/>
      <c r="D490" s="19" t="n"/>
      <c r="E490" s="19" t="n"/>
      <c r="F490" s="19" t="n"/>
      <c r="G490" s="19" t="n"/>
      <c r="H490" s="19" t="n"/>
      <c r="I490" s="19" t="n"/>
    </row>
    <row r="491" ht="15.75" customHeight="1" s="545">
      <c r="A491" s="19" t="n"/>
      <c r="B491" s="19" t="n"/>
      <c r="C491" s="19" t="n"/>
      <c r="D491" s="19" t="n"/>
      <c r="E491" s="19" t="n"/>
      <c r="F491" s="19" t="n"/>
      <c r="G491" s="19" t="n"/>
      <c r="H491" s="19" t="n"/>
      <c r="I491" s="19" t="n"/>
    </row>
    <row r="492" ht="15.75" customHeight="1" s="545">
      <c r="A492" s="19" t="n"/>
      <c r="B492" s="19" t="n"/>
      <c r="C492" s="19" t="n"/>
      <c r="D492" s="19" t="n"/>
      <c r="E492" s="19" t="n"/>
      <c r="F492" s="19" t="n"/>
      <c r="G492" s="19" t="n"/>
      <c r="H492" s="19" t="n"/>
      <c r="I492" s="19" t="n"/>
    </row>
    <row r="493" ht="15.75" customHeight="1" s="545">
      <c r="A493" s="19" t="n"/>
      <c r="B493" s="19" t="n"/>
      <c r="C493" s="19" t="n"/>
      <c r="D493" s="19" t="n"/>
      <c r="E493" s="19" t="n"/>
      <c r="F493" s="19" t="n"/>
      <c r="G493" s="19" t="n"/>
      <c r="H493" s="19" t="n"/>
      <c r="I493" s="19" t="n"/>
    </row>
    <row r="494" ht="15.75" customHeight="1" s="545">
      <c r="A494" s="19" t="n"/>
      <c r="B494" s="19" t="n"/>
      <c r="C494" s="19" t="n"/>
      <c r="D494" s="19" t="n"/>
      <c r="E494" s="19" t="n"/>
      <c r="F494" s="19" t="n"/>
      <c r="G494" s="19" t="n"/>
      <c r="H494" s="19" t="n"/>
      <c r="I494" s="19" t="n"/>
    </row>
    <row r="495" ht="15.75" customHeight="1" s="545">
      <c r="A495" s="19" t="n"/>
      <c r="B495" s="19" t="n"/>
      <c r="C495" s="19" t="n"/>
      <c r="D495" s="19" t="n"/>
      <c r="E495" s="19" t="n"/>
      <c r="F495" s="19" t="n"/>
      <c r="G495" s="19" t="n"/>
      <c r="H495" s="19" t="n"/>
      <c r="I495" s="19" t="n"/>
    </row>
    <row r="496" ht="15.75" customHeight="1" s="545">
      <c r="A496" s="19" t="n"/>
      <c r="B496" s="19" t="n"/>
      <c r="C496" s="19" t="n"/>
      <c r="D496" s="19" t="n"/>
      <c r="E496" s="19" t="n"/>
      <c r="F496" s="19" t="n"/>
      <c r="G496" s="19" t="n"/>
      <c r="H496" s="19" t="n"/>
      <c r="I496" s="19" t="n"/>
    </row>
    <row r="497" ht="15.75" customHeight="1" s="545">
      <c r="A497" s="19" t="n"/>
      <c r="B497" s="19" t="n"/>
      <c r="C497" s="19" t="n"/>
      <c r="D497" s="19" t="n"/>
      <c r="E497" s="19" t="n"/>
      <c r="F497" s="19" t="n"/>
      <c r="G497" s="19" t="n"/>
      <c r="H497" s="19" t="n"/>
      <c r="I497" s="19" t="n"/>
    </row>
    <row r="498" ht="15.75" customHeight="1" s="545">
      <c r="A498" s="19" t="n"/>
      <c r="B498" s="19" t="n"/>
      <c r="C498" s="19" t="n"/>
      <c r="D498" s="19" t="n"/>
      <c r="E498" s="19" t="n"/>
      <c r="F498" s="19" t="n"/>
      <c r="G498" s="19" t="n"/>
      <c r="H498" s="19" t="n"/>
      <c r="I498" s="19" t="n"/>
    </row>
    <row r="499" ht="15.75" customHeight="1" s="545">
      <c r="A499" s="19" t="n"/>
      <c r="B499" s="19" t="n"/>
      <c r="C499" s="19" t="n"/>
      <c r="D499" s="19" t="n"/>
      <c r="E499" s="19" t="n"/>
      <c r="F499" s="19" t="n"/>
      <c r="G499" s="19" t="n"/>
      <c r="H499" s="19" t="n"/>
      <c r="I499" s="19" t="n"/>
    </row>
    <row r="500" ht="15.75" customHeight="1" s="545">
      <c r="A500" s="19" t="n"/>
      <c r="B500" s="19" t="n"/>
      <c r="C500" s="19" t="n"/>
      <c r="D500" s="19" t="n"/>
      <c r="E500" s="19" t="n"/>
      <c r="F500" s="19" t="n"/>
      <c r="G500" s="19" t="n"/>
      <c r="H500" s="19" t="n"/>
      <c r="I500" s="19" t="n"/>
    </row>
    <row r="501" ht="15.75" customHeight="1" s="545">
      <c r="A501" s="19" t="n"/>
      <c r="B501" s="19" t="n"/>
      <c r="C501" s="19" t="n"/>
      <c r="D501" s="19" t="n"/>
      <c r="E501" s="19" t="n"/>
      <c r="F501" s="19" t="n"/>
      <c r="G501" s="19" t="n"/>
      <c r="H501" s="19" t="n"/>
      <c r="I501" s="19" t="n"/>
    </row>
    <row r="502" ht="15.75" customHeight="1" s="545">
      <c r="A502" s="19" t="n"/>
      <c r="B502" s="19" t="n"/>
      <c r="C502" s="19" t="n"/>
      <c r="D502" s="19" t="n"/>
      <c r="E502" s="19" t="n"/>
      <c r="F502" s="19" t="n"/>
      <c r="G502" s="19" t="n"/>
      <c r="H502" s="19" t="n"/>
      <c r="I502" s="19" t="n"/>
    </row>
    <row r="503" ht="15.75" customHeight="1" s="545">
      <c r="A503" s="19" t="n"/>
      <c r="B503" s="19" t="n"/>
      <c r="C503" s="19" t="n"/>
      <c r="D503" s="19" t="n"/>
      <c r="E503" s="19" t="n"/>
      <c r="F503" s="19" t="n"/>
      <c r="G503" s="19" t="n"/>
      <c r="H503" s="19" t="n"/>
      <c r="I503" s="19" t="n"/>
    </row>
    <row r="504" ht="15.75" customHeight="1" s="545">
      <c r="A504" s="19" t="n"/>
      <c r="B504" s="19" t="n"/>
      <c r="C504" s="19" t="n"/>
      <c r="D504" s="19" t="n"/>
      <c r="E504" s="19" t="n"/>
      <c r="F504" s="19" t="n"/>
      <c r="G504" s="19" t="n"/>
      <c r="H504" s="19" t="n"/>
      <c r="I504" s="19" t="n"/>
    </row>
    <row r="505" ht="15.75" customHeight="1" s="545">
      <c r="A505" s="19" t="n"/>
      <c r="B505" s="19" t="n"/>
      <c r="C505" s="19" t="n"/>
      <c r="D505" s="19" t="n"/>
      <c r="E505" s="19" t="n"/>
      <c r="F505" s="19" t="n"/>
      <c r="G505" s="19" t="n"/>
      <c r="H505" s="19" t="n"/>
      <c r="I505" s="19" t="n"/>
    </row>
    <row r="506" ht="15.75" customHeight="1" s="545">
      <c r="A506" s="19" t="n"/>
      <c r="B506" s="19" t="n"/>
      <c r="C506" s="19" t="n"/>
      <c r="D506" s="19" t="n"/>
      <c r="E506" s="19" t="n"/>
      <c r="F506" s="19" t="n"/>
      <c r="G506" s="19" t="n"/>
      <c r="H506" s="19" t="n"/>
      <c r="I506" s="19" t="n"/>
    </row>
    <row r="507" ht="15.75" customHeight="1" s="545">
      <c r="A507" s="19" t="n"/>
      <c r="B507" s="19" t="n"/>
      <c r="C507" s="19" t="n"/>
      <c r="D507" s="19" t="n"/>
      <c r="E507" s="19" t="n"/>
      <c r="F507" s="19" t="n"/>
      <c r="G507" s="19" t="n"/>
      <c r="H507" s="19" t="n"/>
      <c r="I507" s="19" t="n"/>
    </row>
    <row r="508" ht="15.75" customHeight="1" s="545">
      <c r="A508" s="19" t="n"/>
      <c r="B508" s="19" t="n"/>
      <c r="C508" s="19" t="n"/>
      <c r="D508" s="19" t="n"/>
      <c r="E508" s="19" t="n"/>
      <c r="F508" s="19" t="n"/>
      <c r="G508" s="19" t="n"/>
      <c r="H508" s="19" t="n"/>
      <c r="I508" s="19" t="n"/>
    </row>
    <row r="509" ht="15.75" customHeight="1" s="545">
      <c r="A509" s="19" t="n"/>
      <c r="B509" s="19" t="n"/>
      <c r="C509" s="19" t="n"/>
      <c r="D509" s="19" t="n"/>
      <c r="E509" s="19" t="n"/>
      <c r="F509" s="19" t="n"/>
      <c r="G509" s="19" t="n"/>
      <c r="H509" s="19" t="n"/>
      <c r="I509" s="19" t="n"/>
    </row>
    <row r="510" ht="15.75" customHeight="1" s="545">
      <c r="A510" s="19" t="n"/>
      <c r="B510" s="19" t="n"/>
      <c r="C510" s="19" t="n"/>
      <c r="D510" s="19" t="n"/>
      <c r="E510" s="19" t="n"/>
      <c r="F510" s="19" t="n"/>
      <c r="G510" s="19" t="n"/>
      <c r="H510" s="19" t="n"/>
      <c r="I510" s="19" t="n"/>
    </row>
    <row r="511" ht="15.75" customHeight="1" s="545">
      <c r="A511" s="19" t="n"/>
      <c r="B511" s="19" t="n"/>
      <c r="C511" s="19" t="n"/>
      <c r="D511" s="19" t="n"/>
      <c r="E511" s="19" t="n"/>
      <c r="F511" s="19" t="n"/>
      <c r="G511" s="19" t="n"/>
      <c r="H511" s="19" t="n"/>
      <c r="I511" s="19" t="n"/>
    </row>
    <row r="512" ht="15.75" customHeight="1" s="545">
      <c r="A512" s="19" t="n"/>
      <c r="B512" s="19" t="n"/>
      <c r="C512" s="19" t="n"/>
      <c r="D512" s="19" t="n"/>
      <c r="E512" s="19" t="n"/>
      <c r="F512" s="19" t="n"/>
      <c r="G512" s="19" t="n"/>
      <c r="H512" s="19" t="n"/>
      <c r="I512" s="19" t="n"/>
    </row>
    <row r="513" ht="15.75" customHeight="1" s="545">
      <c r="A513" s="19" t="n"/>
      <c r="B513" s="19" t="n"/>
      <c r="C513" s="19" t="n"/>
      <c r="D513" s="19" t="n"/>
      <c r="E513" s="19" t="n"/>
      <c r="F513" s="19" t="n"/>
      <c r="G513" s="19" t="n"/>
      <c r="H513" s="19" t="n"/>
      <c r="I513" s="19" t="n"/>
    </row>
    <row r="514" ht="15.75" customHeight="1" s="545">
      <c r="A514" s="19" t="n"/>
      <c r="B514" s="19" t="n"/>
      <c r="C514" s="19" t="n"/>
      <c r="D514" s="19" t="n"/>
      <c r="E514" s="19" t="n"/>
      <c r="F514" s="19" t="n"/>
      <c r="G514" s="19" t="n"/>
      <c r="H514" s="19" t="n"/>
      <c r="I514" s="19" t="n"/>
    </row>
    <row r="515" ht="15.75" customHeight="1" s="545">
      <c r="A515" s="19" t="n"/>
      <c r="B515" s="19" t="n"/>
      <c r="C515" s="19" t="n"/>
      <c r="D515" s="19" t="n"/>
      <c r="E515" s="19" t="n"/>
      <c r="F515" s="19" t="n"/>
      <c r="G515" s="19" t="n"/>
      <c r="H515" s="19" t="n"/>
      <c r="I515" s="19" t="n"/>
    </row>
    <row r="516" ht="15.75" customHeight="1" s="545">
      <c r="A516" s="19" t="n"/>
      <c r="B516" s="19" t="n"/>
      <c r="C516" s="19" t="n"/>
      <c r="D516" s="19" t="n"/>
      <c r="E516" s="19" t="n"/>
      <c r="F516" s="19" t="n"/>
      <c r="G516" s="19" t="n"/>
      <c r="H516" s="19" t="n"/>
      <c r="I516" s="19" t="n"/>
    </row>
    <row r="517" ht="15.75" customHeight="1" s="545">
      <c r="A517" s="19" t="n"/>
      <c r="B517" s="19" t="n"/>
      <c r="C517" s="19" t="n"/>
      <c r="D517" s="19" t="n"/>
      <c r="E517" s="19" t="n"/>
      <c r="F517" s="19" t="n"/>
      <c r="G517" s="19" t="n"/>
      <c r="H517" s="19" t="n"/>
      <c r="I517" s="19" t="n"/>
    </row>
    <row r="518" ht="15.75" customHeight="1" s="545">
      <c r="A518" s="19" t="n"/>
      <c r="B518" s="19" t="n"/>
      <c r="C518" s="19" t="n"/>
      <c r="D518" s="19" t="n"/>
      <c r="E518" s="19" t="n"/>
      <c r="F518" s="19" t="n"/>
      <c r="G518" s="19" t="n"/>
      <c r="H518" s="19" t="n"/>
      <c r="I518" s="19" t="n"/>
    </row>
    <row r="519" ht="15.75" customHeight="1" s="545">
      <c r="A519" s="19" t="n"/>
      <c r="B519" s="19" t="n"/>
      <c r="C519" s="19" t="n"/>
      <c r="D519" s="19" t="n"/>
      <c r="E519" s="19" t="n"/>
      <c r="F519" s="19" t="n"/>
      <c r="G519" s="19" t="n"/>
      <c r="H519" s="19" t="n"/>
      <c r="I519" s="19" t="n"/>
    </row>
    <row r="520" ht="15.75" customHeight="1" s="545">
      <c r="A520" s="19" t="n"/>
      <c r="B520" s="19" t="n"/>
      <c r="C520" s="19" t="n"/>
      <c r="D520" s="19" t="n"/>
      <c r="E520" s="19" t="n"/>
      <c r="F520" s="19" t="n"/>
      <c r="G520" s="19" t="n"/>
      <c r="H520" s="19" t="n"/>
      <c r="I520" s="19" t="n"/>
    </row>
    <row r="521" ht="15.75" customHeight="1" s="545">
      <c r="A521" s="19" t="n"/>
      <c r="B521" s="19" t="n"/>
      <c r="C521" s="19" t="n"/>
      <c r="D521" s="19" t="n"/>
      <c r="E521" s="19" t="n"/>
      <c r="F521" s="19" t="n"/>
      <c r="G521" s="19" t="n"/>
      <c r="H521" s="19" t="n"/>
      <c r="I521" s="19" t="n"/>
    </row>
    <row r="522" ht="15.75" customHeight="1" s="545">
      <c r="A522" s="19" t="n"/>
      <c r="B522" s="19" t="n"/>
      <c r="C522" s="19" t="n"/>
      <c r="D522" s="19" t="n"/>
      <c r="E522" s="19" t="n"/>
      <c r="F522" s="19" t="n"/>
      <c r="G522" s="19" t="n"/>
      <c r="H522" s="19" t="n"/>
      <c r="I522" s="19" t="n"/>
    </row>
    <row r="523" ht="15.75" customHeight="1" s="545">
      <c r="A523" s="19" t="n"/>
      <c r="B523" s="19" t="n"/>
      <c r="C523" s="19" t="n"/>
      <c r="D523" s="19" t="n"/>
      <c r="E523" s="19" t="n"/>
      <c r="F523" s="19" t="n"/>
      <c r="G523" s="19" t="n"/>
      <c r="H523" s="19" t="n"/>
      <c r="I523" s="19" t="n"/>
    </row>
    <row r="524" ht="15.75" customHeight="1" s="545">
      <c r="A524" s="19" t="n"/>
      <c r="B524" s="19" t="n"/>
      <c r="C524" s="19" t="n"/>
      <c r="D524" s="19" t="n"/>
      <c r="E524" s="19" t="n"/>
      <c r="F524" s="19" t="n"/>
      <c r="G524" s="19" t="n"/>
      <c r="H524" s="19" t="n"/>
      <c r="I524" s="19" t="n"/>
    </row>
    <row r="525" ht="15.75" customHeight="1" s="545">
      <c r="A525" s="19" t="n"/>
      <c r="B525" s="19" t="n"/>
      <c r="C525" s="19" t="n"/>
      <c r="D525" s="19" t="n"/>
      <c r="E525" s="19" t="n"/>
      <c r="F525" s="19" t="n"/>
      <c r="G525" s="19" t="n"/>
      <c r="H525" s="19" t="n"/>
      <c r="I525" s="19" t="n"/>
    </row>
    <row r="526" ht="15.75" customHeight="1" s="545">
      <c r="A526" s="19" t="n"/>
      <c r="B526" s="19" t="n"/>
      <c r="C526" s="19" t="n"/>
      <c r="D526" s="19" t="n"/>
      <c r="E526" s="19" t="n"/>
      <c r="F526" s="19" t="n"/>
      <c r="G526" s="19" t="n"/>
      <c r="H526" s="19" t="n"/>
      <c r="I526" s="19" t="n"/>
    </row>
    <row r="527" ht="15.75" customHeight="1" s="545">
      <c r="A527" s="19" t="n"/>
      <c r="B527" s="19" t="n"/>
      <c r="C527" s="19" t="n"/>
      <c r="D527" s="19" t="n"/>
      <c r="E527" s="19" t="n"/>
      <c r="F527" s="19" t="n"/>
      <c r="G527" s="19" t="n"/>
      <c r="H527" s="19" t="n"/>
      <c r="I527" s="19" t="n"/>
    </row>
    <row r="528" ht="15.75" customHeight="1" s="545">
      <c r="A528" s="19" t="n"/>
      <c r="B528" s="19" t="n"/>
      <c r="C528" s="19" t="n"/>
      <c r="D528" s="19" t="n"/>
      <c r="E528" s="19" t="n"/>
      <c r="F528" s="19" t="n"/>
      <c r="G528" s="19" t="n"/>
      <c r="H528" s="19" t="n"/>
      <c r="I528" s="19" t="n"/>
    </row>
    <row r="529" ht="15.75" customHeight="1" s="545">
      <c r="A529" s="19" t="n"/>
      <c r="B529" s="19" t="n"/>
      <c r="C529" s="19" t="n"/>
      <c r="D529" s="19" t="n"/>
      <c r="E529" s="19" t="n"/>
      <c r="F529" s="19" t="n"/>
      <c r="G529" s="19" t="n"/>
      <c r="H529" s="19" t="n"/>
      <c r="I529" s="19" t="n"/>
    </row>
    <row r="530" ht="15.75" customHeight="1" s="545">
      <c r="A530" s="19" t="n"/>
      <c r="B530" s="19" t="n"/>
      <c r="C530" s="19" t="n"/>
      <c r="D530" s="19" t="n"/>
      <c r="E530" s="19" t="n"/>
      <c r="F530" s="19" t="n"/>
      <c r="G530" s="19" t="n"/>
      <c r="H530" s="19" t="n"/>
      <c r="I530" s="19" t="n"/>
    </row>
    <row r="531" ht="15.75" customHeight="1" s="545">
      <c r="A531" s="19" t="n"/>
      <c r="B531" s="19" t="n"/>
      <c r="C531" s="19" t="n"/>
      <c r="D531" s="19" t="n"/>
      <c r="E531" s="19" t="n"/>
      <c r="F531" s="19" t="n"/>
      <c r="G531" s="19" t="n"/>
      <c r="H531" s="19" t="n"/>
      <c r="I531" s="19" t="n"/>
    </row>
    <row r="532" ht="15.75" customHeight="1" s="545">
      <c r="A532" s="19" t="n"/>
      <c r="B532" s="19" t="n"/>
      <c r="C532" s="19" t="n"/>
      <c r="D532" s="19" t="n"/>
      <c r="E532" s="19" t="n"/>
      <c r="F532" s="19" t="n"/>
      <c r="G532" s="19" t="n"/>
      <c r="H532" s="19" t="n"/>
      <c r="I532" s="19" t="n"/>
    </row>
    <row r="533" ht="15.75" customHeight="1" s="545">
      <c r="A533" s="19" t="n"/>
      <c r="B533" s="19" t="n"/>
      <c r="C533" s="19" t="n"/>
      <c r="D533" s="19" t="n"/>
      <c r="E533" s="19" t="n"/>
      <c r="F533" s="19" t="n"/>
      <c r="G533" s="19" t="n"/>
      <c r="H533" s="19" t="n"/>
      <c r="I533" s="19" t="n"/>
    </row>
    <row r="534" ht="15.75" customHeight="1" s="545">
      <c r="A534" s="19" t="n"/>
      <c r="B534" s="19" t="n"/>
      <c r="C534" s="19" t="n"/>
      <c r="D534" s="19" t="n"/>
      <c r="E534" s="19" t="n"/>
      <c r="F534" s="19" t="n"/>
      <c r="G534" s="19" t="n"/>
      <c r="H534" s="19" t="n"/>
      <c r="I534" s="19" t="n"/>
    </row>
    <row r="535" ht="15.75" customHeight="1" s="545">
      <c r="A535" s="19" t="n"/>
      <c r="B535" s="19" t="n"/>
      <c r="C535" s="19" t="n"/>
      <c r="D535" s="19" t="n"/>
      <c r="E535" s="19" t="n"/>
      <c r="F535" s="19" t="n"/>
      <c r="G535" s="19" t="n"/>
      <c r="H535" s="19" t="n"/>
      <c r="I535" s="19" t="n"/>
    </row>
    <row r="536" ht="15.75" customHeight="1" s="545">
      <c r="A536" s="19" t="n"/>
      <c r="B536" s="19" t="n"/>
      <c r="C536" s="19" t="n"/>
      <c r="D536" s="19" t="n"/>
      <c r="E536" s="19" t="n"/>
      <c r="F536" s="19" t="n"/>
      <c r="G536" s="19" t="n"/>
      <c r="H536" s="19" t="n"/>
      <c r="I536" s="19" t="n"/>
    </row>
    <row r="537" ht="15.75" customHeight="1" s="545">
      <c r="A537" s="19" t="n"/>
      <c r="B537" s="19" t="n"/>
      <c r="C537" s="19" t="n"/>
      <c r="D537" s="19" t="n"/>
      <c r="E537" s="19" t="n"/>
      <c r="F537" s="19" t="n"/>
      <c r="G537" s="19" t="n"/>
      <c r="H537" s="19" t="n"/>
      <c r="I537" s="19" t="n"/>
    </row>
    <row r="538" ht="15.75" customHeight="1" s="545">
      <c r="A538" s="19" t="n"/>
      <c r="B538" s="19" t="n"/>
      <c r="C538" s="19" t="n"/>
      <c r="D538" s="19" t="n"/>
      <c r="E538" s="19" t="n"/>
      <c r="F538" s="19" t="n"/>
      <c r="G538" s="19" t="n"/>
      <c r="H538" s="19" t="n"/>
      <c r="I538" s="19" t="n"/>
    </row>
    <row r="539" ht="15.75" customHeight="1" s="545">
      <c r="A539" s="19" t="n"/>
      <c r="B539" s="19" t="n"/>
      <c r="C539" s="19" t="n"/>
      <c r="D539" s="19" t="n"/>
      <c r="E539" s="19" t="n"/>
      <c r="F539" s="19" t="n"/>
      <c r="G539" s="19" t="n"/>
      <c r="H539" s="19" t="n"/>
      <c r="I539" s="19" t="n"/>
    </row>
    <row r="540" ht="15.75" customHeight="1" s="545">
      <c r="A540" s="19" t="n"/>
      <c r="B540" s="19" t="n"/>
      <c r="C540" s="19" t="n"/>
      <c r="D540" s="19" t="n"/>
      <c r="E540" s="19" t="n"/>
      <c r="F540" s="19" t="n"/>
      <c r="G540" s="19" t="n"/>
      <c r="H540" s="19" t="n"/>
      <c r="I540" s="19" t="n"/>
    </row>
    <row r="541" ht="15.75" customHeight="1" s="545">
      <c r="A541" s="19" t="n"/>
      <c r="B541" s="19" t="n"/>
      <c r="C541" s="19" t="n"/>
      <c r="D541" s="19" t="n"/>
      <c r="E541" s="19" t="n"/>
      <c r="F541" s="19" t="n"/>
      <c r="G541" s="19" t="n"/>
      <c r="H541" s="19" t="n"/>
      <c r="I541" s="19" t="n"/>
    </row>
    <row r="542" ht="15.75" customHeight="1" s="545">
      <c r="A542" s="19" t="n"/>
      <c r="B542" s="19" t="n"/>
      <c r="C542" s="19" t="n"/>
      <c r="D542" s="19" t="n"/>
      <c r="E542" s="19" t="n"/>
      <c r="F542" s="19" t="n"/>
      <c r="G542" s="19" t="n"/>
      <c r="H542" s="19" t="n"/>
      <c r="I542" s="19" t="n"/>
    </row>
    <row r="543" ht="15.75" customHeight="1" s="545">
      <c r="A543" s="19" t="n"/>
      <c r="B543" s="19" t="n"/>
      <c r="C543" s="19" t="n"/>
      <c r="D543" s="19" t="n"/>
      <c r="E543" s="19" t="n"/>
      <c r="F543" s="19" t="n"/>
      <c r="G543" s="19" t="n"/>
      <c r="H543" s="19" t="n"/>
      <c r="I543" s="19" t="n"/>
    </row>
    <row r="544" ht="15.75" customHeight="1" s="545">
      <c r="A544" s="19" t="n"/>
      <c r="B544" s="19" t="n"/>
      <c r="C544" s="19" t="n"/>
      <c r="D544" s="19" t="n"/>
      <c r="E544" s="19" t="n"/>
      <c r="F544" s="19" t="n"/>
      <c r="G544" s="19" t="n"/>
      <c r="H544" s="19" t="n"/>
      <c r="I544" s="19" t="n"/>
    </row>
    <row r="545" ht="15.75" customHeight="1" s="545">
      <c r="A545" s="19" t="n"/>
      <c r="B545" s="19" t="n"/>
      <c r="C545" s="19" t="n"/>
      <c r="D545" s="19" t="n"/>
      <c r="E545" s="19" t="n"/>
      <c r="F545" s="19" t="n"/>
      <c r="G545" s="19" t="n"/>
      <c r="H545" s="19" t="n"/>
      <c r="I545" s="19" t="n"/>
    </row>
    <row r="546" ht="15.75" customHeight="1" s="545">
      <c r="A546" s="19" t="n"/>
      <c r="B546" s="19" t="n"/>
      <c r="C546" s="19" t="n"/>
      <c r="D546" s="19" t="n"/>
      <c r="E546" s="19" t="n"/>
      <c r="F546" s="19" t="n"/>
      <c r="G546" s="19" t="n"/>
      <c r="H546" s="19" t="n"/>
      <c r="I546" s="19" t="n"/>
    </row>
    <row r="547" ht="15.75" customHeight="1" s="545">
      <c r="A547" s="19" t="n"/>
      <c r="B547" s="19" t="n"/>
      <c r="C547" s="19" t="n"/>
      <c r="D547" s="19" t="n"/>
      <c r="E547" s="19" t="n"/>
      <c r="F547" s="19" t="n"/>
      <c r="G547" s="19" t="n"/>
      <c r="H547" s="19" t="n"/>
      <c r="I547" s="19" t="n"/>
    </row>
    <row r="548" ht="15.75" customHeight="1" s="545">
      <c r="A548" s="19" t="n"/>
      <c r="B548" s="19" t="n"/>
      <c r="C548" s="19" t="n"/>
      <c r="D548" s="19" t="n"/>
      <c r="E548" s="19" t="n"/>
      <c r="F548" s="19" t="n"/>
      <c r="G548" s="19" t="n"/>
      <c r="H548" s="19" t="n"/>
      <c r="I548" s="19" t="n"/>
    </row>
    <row r="549" ht="15.75" customHeight="1" s="545">
      <c r="A549" s="19" t="n"/>
      <c r="B549" s="19" t="n"/>
      <c r="C549" s="19" t="n"/>
      <c r="D549" s="19" t="n"/>
      <c r="E549" s="19" t="n"/>
      <c r="F549" s="19" t="n"/>
      <c r="G549" s="19" t="n"/>
      <c r="H549" s="19" t="n"/>
      <c r="I549" s="19" t="n"/>
    </row>
    <row r="550" ht="15.75" customHeight="1" s="545">
      <c r="A550" s="19" t="n"/>
      <c r="B550" s="19" t="n"/>
      <c r="C550" s="19" t="n"/>
      <c r="D550" s="19" t="n"/>
      <c r="E550" s="19" t="n"/>
      <c r="F550" s="19" t="n"/>
      <c r="G550" s="19" t="n"/>
      <c r="H550" s="19" t="n"/>
      <c r="I550" s="19" t="n"/>
    </row>
    <row r="551" ht="15.75" customHeight="1" s="545">
      <c r="A551" s="19" t="n"/>
      <c r="B551" s="19" t="n"/>
      <c r="C551" s="19" t="n"/>
      <c r="D551" s="19" t="n"/>
      <c r="E551" s="19" t="n"/>
      <c r="F551" s="19" t="n"/>
      <c r="G551" s="19" t="n"/>
      <c r="H551" s="19" t="n"/>
      <c r="I551" s="19" t="n"/>
    </row>
    <row r="552" ht="15.75" customHeight="1" s="545">
      <c r="A552" s="19" t="n"/>
      <c r="B552" s="19" t="n"/>
      <c r="C552" s="19" t="n"/>
      <c r="D552" s="19" t="n"/>
      <c r="E552" s="19" t="n"/>
      <c r="F552" s="19" t="n"/>
      <c r="G552" s="19" t="n"/>
      <c r="H552" s="19" t="n"/>
      <c r="I552" s="19" t="n"/>
    </row>
    <row r="553" ht="15.75" customHeight="1" s="545">
      <c r="A553" s="19" t="n"/>
      <c r="B553" s="19" t="n"/>
      <c r="C553" s="19" t="n"/>
      <c r="D553" s="19" t="n"/>
      <c r="E553" s="19" t="n"/>
      <c r="F553" s="19" t="n"/>
      <c r="G553" s="19" t="n"/>
      <c r="H553" s="19" t="n"/>
      <c r="I553" s="19" t="n"/>
    </row>
    <row r="554" ht="15.75" customHeight="1" s="545">
      <c r="A554" s="19" t="n"/>
      <c r="B554" s="19" t="n"/>
      <c r="C554" s="19" t="n"/>
      <c r="D554" s="19" t="n"/>
      <c r="E554" s="19" t="n"/>
      <c r="F554" s="19" t="n"/>
      <c r="G554" s="19" t="n"/>
      <c r="H554" s="19" t="n"/>
      <c r="I554" s="19" t="n"/>
    </row>
    <row r="555" ht="15.75" customHeight="1" s="545">
      <c r="A555" s="19" t="n"/>
      <c r="B555" s="19" t="n"/>
      <c r="C555" s="19" t="n"/>
      <c r="D555" s="19" t="n"/>
      <c r="E555" s="19" t="n"/>
      <c r="F555" s="19" t="n"/>
      <c r="G555" s="19" t="n"/>
      <c r="H555" s="19" t="n"/>
      <c r="I555" s="19" t="n"/>
    </row>
    <row r="556" ht="15.75" customHeight="1" s="545">
      <c r="A556" s="19" t="n"/>
      <c r="B556" s="19" t="n"/>
      <c r="C556" s="19" t="n"/>
      <c r="D556" s="19" t="n"/>
      <c r="E556" s="19" t="n"/>
      <c r="F556" s="19" t="n"/>
      <c r="G556" s="19" t="n"/>
      <c r="H556" s="19" t="n"/>
      <c r="I556" s="19" t="n"/>
    </row>
    <row r="557" ht="15.75" customHeight="1" s="545">
      <c r="A557" s="19" t="n"/>
      <c r="B557" s="19" t="n"/>
      <c r="C557" s="19" t="n"/>
      <c r="D557" s="19" t="n"/>
      <c r="E557" s="19" t="n"/>
      <c r="F557" s="19" t="n"/>
      <c r="G557" s="19" t="n"/>
      <c r="H557" s="19" t="n"/>
      <c r="I557" s="19" t="n"/>
    </row>
    <row r="558" ht="15.75" customHeight="1" s="545">
      <c r="A558" s="19" t="n"/>
      <c r="B558" s="19" t="n"/>
      <c r="C558" s="19" t="n"/>
      <c r="D558" s="19" t="n"/>
      <c r="E558" s="19" t="n"/>
      <c r="F558" s="19" t="n"/>
      <c r="G558" s="19" t="n"/>
      <c r="H558" s="19" t="n"/>
      <c r="I558" s="19" t="n"/>
    </row>
    <row r="559" ht="15.75" customHeight="1" s="545">
      <c r="A559" s="19" t="n"/>
      <c r="B559" s="19" t="n"/>
      <c r="C559" s="19" t="n"/>
      <c r="D559" s="19" t="n"/>
      <c r="E559" s="19" t="n"/>
      <c r="F559" s="19" t="n"/>
      <c r="G559" s="19" t="n"/>
      <c r="H559" s="19" t="n"/>
      <c r="I559" s="19" t="n"/>
    </row>
    <row r="560" ht="15.75" customHeight="1" s="545">
      <c r="A560" s="19" t="n"/>
      <c r="B560" s="19" t="n"/>
      <c r="C560" s="19" t="n"/>
      <c r="D560" s="19" t="n"/>
      <c r="E560" s="19" t="n"/>
      <c r="F560" s="19" t="n"/>
      <c r="G560" s="19" t="n"/>
      <c r="H560" s="19" t="n"/>
      <c r="I560" s="19" t="n"/>
    </row>
    <row r="561" ht="15.75" customHeight="1" s="545">
      <c r="A561" s="19" t="n"/>
      <c r="B561" s="19" t="n"/>
      <c r="C561" s="19" t="n"/>
      <c r="D561" s="19" t="n"/>
      <c r="E561" s="19" t="n"/>
      <c r="F561" s="19" t="n"/>
      <c r="G561" s="19" t="n"/>
      <c r="H561" s="19" t="n"/>
      <c r="I561" s="19" t="n"/>
    </row>
    <row r="562" ht="15.75" customHeight="1" s="545">
      <c r="A562" s="19" t="n"/>
      <c r="B562" s="19" t="n"/>
      <c r="C562" s="19" t="n"/>
      <c r="D562" s="19" t="n"/>
      <c r="E562" s="19" t="n"/>
      <c r="F562" s="19" t="n"/>
      <c r="G562" s="19" t="n"/>
      <c r="H562" s="19" t="n"/>
      <c r="I562" s="19" t="n"/>
    </row>
    <row r="563" ht="15.75" customHeight="1" s="545">
      <c r="A563" s="19" t="n"/>
      <c r="B563" s="19" t="n"/>
      <c r="C563" s="19" t="n"/>
      <c r="D563" s="19" t="n"/>
      <c r="E563" s="19" t="n"/>
      <c r="F563" s="19" t="n"/>
      <c r="G563" s="19" t="n"/>
      <c r="H563" s="19" t="n"/>
      <c r="I563" s="19" t="n"/>
    </row>
    <row r="564" ht="15.75" customHeight="1" s="545">
      <c r="A564" s="19" t="n"/>
      <c r="B564" s="19" t="n"/>
      <c r="C564" s="19" t="n"/>
      <c r="D564" s="19" t="n"/>
      <c r="E564" s="19" t="n"/>
      <c r="F564" s="19" t="n"/>
      <c r="G564" s="19" t="n"/>
      <c r="H564" s="19" t="n"/>
      <c r="I564" s="19" t="n"/>
    </row>
    <row r="565" ht="15.75" customHeight="1" s="545">
      <c r="A565" s="19" t="n"/>
      <c r="B565" s="19" t="n"/>
      <c r="C565" s="19" t="n"/>
      <c r="D565" s="19" t="n"/>
      <c r="E565" s="19" t="n"/>
      <c r="F565" s="19" t="n"/>
      <c r="G565" s="19" t="n"/>
      <c r="H565" s="19" t="n"/>
      <c r="I565" s="19" t="n"/>
    </row>
    <row r="566" ht="15.75" customHeight="1" s="545">
      <c r="A566" s="19" t="n"/>
      <c r="B566" s="19" t="n"/>
      <c r="C566" s="19" t="n"/>
      <c r="D566" s="19" t="n"/>
      <c r="E566" s="19" t="n"/>
      <c r="F566" s="19" t="n"/>
      <c r="G566" s="19" t="n"/>
      <c r="H566" s="19" t="n"/>
      <c r="I566" s="19" t="n"/>
    </row>
    <row r="567" ht="15.75" customHeight="1" s="545">
      <c r="A567" s="19" t="n"/>
      <c r="B567" s="19" t="n"/>
      <c r="C567" s="19" t="n"/>
      <c r="D567" s="19" t="n"/>
      <c r="E567" s="19" t="n"/>
      <c r="F567" s="19" t="n"/>
      <c r="G567" s="19" t="n"/>
      <c r="H567" s="19" t="n"/>
      <c r="I567" s="19" t="n"/>
    </row>
    <row r="568" ht="15.75" customHeight="1" s="545">
      <c r="A568" s="19" t="n"/>
      <c r="B568" s="19" t="n"/>
      <c r="C568" s="19" t="n"/>
      <c r="D568" s="19" t="n"/>
      <c r="E568" s="19" t="n"/>
      <c r="F568" s="19" t="n"/>
      <c r="G568" s="19" t="n"/>
      <c r="H568" s="19" t="n"/>
      <c r="I568" s="19" t="n"/>
    </row>
    <row r="569" ht="15.75" customHeight="1" s="545">
      <c r="A569" s="19" t="n"/>
      <c r="B569" s="19" t="n"/>
      <c r="C569" s="19" t="n"/>
      <c r="D569" s="19" t="n"/>
      <c r="E569" s="19" t="n"/>
      <c r="F569" s="19" t="n"/>
      <c r="G569" s="19" t="n"/>
      <c r="H569" s="19" t="n"/>
      <c r="I569" s="19" t="n"/>
    </row>
    <row r="570" ht="15.75" customHeight="1" s="545">
      <c r="A570" s="19" t="n"/>
      <c r="B570" s="19" t="n"/>
      <c r="C570" s="19" t="n"/>
      <c r="D570" s="19" t="n"/>
      <c r="E570" s="19" t="n"/>
      <c r="F570" s="19" t="n"/>
      <c r="G570" s="19" t="n"/>
      <c r="H570" s="19" t="n"/>
      <c r="I570" s="19" t="n"/>
    </row>
    <row r="571" ht="15.75" customHeight="1" s="545">
      <c r="A571" s="19" t="n"/>
      <c r="B571" s="19" t="n"/>
      <c r="C571" s="19" t="n"/>
      <c r="D571" s="19" t="n"/>
      <c r="E571" s="19" t="n"/>
      <c r="F571" s="19" t="n"/>
      <c r="G571" s="19" t="n"/>
      <c r="H571" s="19" t="n"/>
      <c r="I571" s="19" t="n"/>
    </row>
    <row r="572" ht="15.75" customHeight="1" s="545">
      <c r="A572" s="19" t="n"/>
      <c r="B572" s="19" t="n"/>
      <c r="C572" s="19" t="n"/>
      <c r="D572" s="19" t="n"/>
      <c r="E572" s="19" t="n"/>
      <c r="F572" s="19" t="n"/>
      <c r="G572" s="19" t="n"/>
      <c r="H572" s="19" t="n"/>
      <c r="I572" s="19" t="n"/>
    </row>
    <row r="573" ht="15.75" customHeight="1" s="545">
      <c r="A573" s="19" t="n"/>
      <c r="B573" s="19" t="n"/>
      <c r="C573" s="19" t="n"/>
      <c r="D573" s="19" t="n"/>
      <c r="E573" s="19" t="n"/>
      <c r="F573" s="19" t="n"/>
      <c r="G573" s="19" t="n"/>
      <c r="H573" s="19" t="n"/>
      <c r="I573" s="19" t="n"/>
    </row>
    <row r="574" ht="15.75" customHeight="1" s="545">
      <c r="A574" s="19" t="n"/>
      <c r="B574" s="19" t="n"/>
      <c r="C574" s="19" t="n"/>
      <c r="D574" s="19" t="n"/>
      <c r="E574" s="19" t="n"/>
      <c r="F574" s="19" t="n"/>
      <c r="G574" s="19" t="n"/>
      <c r="H574" s="19" t="n"/>
      <c r="I574" s="19" t="n"/>
    </row>
    <row r="575" ht="15.75" customHeight="1" s="545">
      <c r="A575" s="19" t="n"/>
      <c r="B575" s="19" t="n"/>
      <c r="C575" s="19" t="n"/>
      <c r="D575" s="19" t="n"/>
      <c r="E575" s="19" t="n"/>
      <c r="F575" s="19" t="n"/>
      <c r="G575" s="19" t="n"/>
      <c r="H575" s="19" t="n"/>
      <c r="I575" s="19" t="n"/>
    </row>
    <row r="576" ht="15.75" customHeight="1" s="545">
      <c r="A576" s="19" t="n"/>
      <c r="B576" s="19" t="n"/>
      <c r="C576" s="19" t="n"/>
      <c r="D576" s="19" t="n"/>
      <c r="E576" s="19" t="n"/>
      <c r="F576" s="19" t="n"/>
      <c r="G576" s="19" t="n"/>
      <c r="H576" s="19" t="n"/>
      <c r="I576" s="19" t="n"/>
    </row>
    <row r="577" ht="15.75" customHeight="1" s="545">
      <c r="A577" s="19" t="n"/>
      <c r="B577" s="19" t="n"/>
      <c r="C577" s="19" t="n"/>
      <c r="D577" s="19" t="n"/>
      <c r="E577" s="19" t="n"/>
      <c r="F577" s="19" t="n"/>
      <c r="G577" s="19" t="n"/>
      <c r="H577" s="19" t="n"/>
      <c r="I577" s="19" t="n"/>
    </row>
    <row r="578" ht="15.75" customHeight="1" s="545">
      <c r="A578" s="19" t="n"/>
      <c r="B578" s="19" t="n"/>
      <c r="C578" s="19" t="n"/>
      <c r="D578" s="19" t="n"/>
      <c r="E578" s="19" t="n"/>
      <c r="F578" s="19" t="n"/>
      <c r="G578" s="19" t="n"/>
      <c r="H578" s="19" t="n"/>
      <c r="I578" s="19" t="n"/>
    </row>
    <row r="579" ht="15.75" customHeight="1" s="545">
      <c r="A579" s="19" t="n"/>
      <c r="B579" s="19" t="n"/>
      <c r="C579" s="19" t="n"/>
      <c r="D579" s="19" t="n"/>
      <c r="E579" s="19" t="n"/>
      <c r="F579" s="19" t="n"/>
      <c r="G579" s="19" t="n"/>
      <c r="H579" s="19" t="n"/>
      <c r="I579" s="19" t="n"/>
    </row>
    <row r="580" ht="15.75" customHeight="1" s="545">
      <c r="A580" s="19" t="n"/>
      <c r="B580" s="19" t="n"/>
      <c r="C580" s="19" t="n"/>
      <c r="D580" s="19" t="n"/>
      <c r="E580" s="19" t="n"/>
      <c r="F580" s="19" t="n"/>
      <c r="G580" s="19" t="n"/>
      <c r="H580" s="19" t="n"/>
      <c r="I580" s="19" t="n"/>
    </row>
    <row r="581" ht="15.75" customHeight="1" s="545">
      <c r="A581" s="19" t="n"/>
      <c r="B581" s="19" t="n"/>
      <c r="C581" s="19" t="n"/>
      <c r="D581" s="19" t="n"/>
      <c r="E581" s="19" t="n"/>
      <c r="F581" s="19" t="n"/>
      <c r="G581" s="19" t="n"/>
      <c r="H581" s="19" t="n"/>
      <c r="I581" s="19" t="n"/>
    </row>
    <row r="582" ht="15.75" customHeight="1" s="545">
      <c r="A582" s="19" t="n"/>
      <c r="B582" s="19" t="n"/>
      <c r="C582" s="19" t="n"/>
      <c r="D582" s="19" t="n"/>
      <c r="E582" s="19" t="n"/>
      <c r="F582" s="19" t="n"/>
      <c r="G582" s="19" t="n"/>
      <c r="H582" s="19" t="n"/>
      <c r="I582" s="19" t="n"/>
    </row>
    <row r="583" ht="15.75" customHeight="1" s="545">
      <c r="A583" s="19" t="n"/>
      <c r="B583" s="19" t="n"/>
      <c r="C583" s="19" t="n"/>
      <c r="D583" s="19" t="n"/>
      <c r="E583" s="19" t="n"/>
      <c r="F583" s="19" t="n"/>
      <c r="G583" s="19" t="n"/>
      <c r="H583" s="19" t="n"/>
      <c r="I583" s="19" t="n"/>
    </row>
    <row r="584" ht="15.75" customHeight="1" s="545">
      <c r="A584" s="19" t="n"/>
      <c r="B584" s="19" t="n"/>
      <c r="C584" s="19" t="n"/>
      <c r="D584" s="19" t="n"/>
      <c r="E584" s="19" t="n"/>
      <c r="F584" s="19" t="n"/>
      <c r="G584" s="19" t="n"/>
      <c r="H584" s="19" t="n"/>
      <c r="I584" s="19" t="n"/>
    </row>
    <row r="585" ht="15.75" customHeight="1" s="545">
      <c r="A585" s="19" t="n"/>
      <c r="B585" s="19" t="n"/>
      <c r="C585" s="19" t="n"/>
      <c r="D585" s="19" t="n"/>
      <c r="E585" s="19" t="n"/>
      <c r="F585" s="19" t="n"/>
      <c r="G585" s="19" t="n"/>
      <c r="H585" s="19" t="n"/>
      <c r="I585" s="19" t="n"/>
    </row>
    <row r="586" ht="15.75" customHeight="1" s="545">
      <c r="A586" s="19" t="n"/>
      <c r="B586" s="19" t="n"/>
      <c r="C586" s="19" t="n"/>
      <c r="D586" s="19" t="n"/>
      <c r="E586" s="19" t="n"/>
      <c r="F586" s="19" t="n"/>
      <c r="G586" s="19" t="n"/>
      <c r="H586" s="19" t="n"/>
      <c r="I586" s="19" t="n"/>
    </row>
    <row r="587" ht="15.75" customHeight="1" s="545">
      <c r="A587" s="19" t="n"/>
      <c r="B587" s="19" t="n"/>
      <c r="C587" s="19" t="n"/>
      <c r="D587" s="19" t="n"/>
      <c r="E587" s="19" t="n"/>
      <c r="F587" s="19" t="n"/>
      <c r="G587" s="19" t="n"/>
      <c r="H587" s="19" t="n"/>
      <c r="I587" s="19" t="n"/>
    </row>
    <row r="588" ht="15.75" customHeight="1" s="545">
      <c r="A588" s="19" t="n"/>
      <c r="B588" s="19" t="n"/>
      <c r="C588" s="19" t="n"/>
      <c r="D588" s="19" t="n"/>
      <c r="E588" s="19" t="n"/>
      <c r="F588" s="19" t="n"/>
      <c r="G588" s="19" t="n"/>
      <c r="H588" s="19" t="n"/>
      <c r="I588" s="19" t="n"/>
    </row>
    <row r="589" ht="15.75" customHeight="1" s="545">
      <c r="A589" s="19" t="n"/>
      <c r="B589" s="19" t="n"/>
      <c r="C589" s="19" t="n"/>
      <c r="D589" s="19" t="n"/>
      <c r="E589" s="19" t="n"/>
      <c r="F589" s="19" t="n"/>
      <c r="G589" s="19" t="n"/>
      <c r="H589" s="19" t="n"/>
      <c r="I589" s="19" t="n"/>
    </row>
    <row r="590" ht="15.75" customHeight="1" s="545">
      <c r="A590" s="19" t="n"/>
      <c r="B590" s="19" t="n"/>
      <c r="C590" s="19" t="n"/>
      <c r="D590" s="19" t="n"/>
      <c r="E590" s="19" t="n"/>
      <c r="F590" s="19" t="n"/>
      <c r="G590" s="19" t="n"/>
      <c r="H590" s="19" t="n"/>
      <c r="I590" s="19" t="n"/>
    </row>
    <row r="591" ht="15.75" customHeight="1" s="545">
      <c r="A591" s="19" t="n"/>
      <c r="B591" s="19" t="n"/>
      <c r="C591" s="19" t="n"/>
      <c r="D591" s="19" t="n"/>
      <c r="E591" s="19" t="n"/>
      <c r="F591" s="19" t="n"/>
      <c r="G591" s="19" t="n"/>
      <c r="H591" s="19" t="n"/>
      <c r="I591" s="19" t="n"/>
    </row>
    <row r="592" ht="15.75" customHeight="1" s="545">
      <c r="A592" s="19" t="n"/>
      <c r="B592" s="19" t="n"/>
      <c r="C592" s="19" t="n"/>
      <c r="D592" s="19" t="n"/>
      <c r="E592" s="19" t="n"/>
      <c r="F592" s="19" t="n"/>
      <c r="G592" s="19" t="n"/>
      <c r="H592" s="19" t="n"/>
      <c r="I592" s="19" t="n"/>
    </row>
    <row r="593" ht="15.75" customHeight="1" s="545">
      <c r="A593" s="19" t="n"/>
      <c r="B593" s="19" t="n"/>
      <c r="C593" s="19" t="n"/>
      <c r="D593" s="19" t="n"/>
      <c r="E593" s="19" t="n"/>
      <c r="F593" s="19" t="n"/>
      <c r="G593" s="19" t="n"/>
      <c r="H593" s="19" t="n"/>
      <c r="I593" s="19" t="n"/>
    </row>
    <row r="594" ht="15.75" customHeight="1" s="545">
      <c r="A594" s="19" t="n"/>
      <c r="B594" s="19" t="n"/>
      <c r="C594" s="19" t="n"/>
      <c r="D594" s="19" t="n"/>
      <c r="E594" s="19" t="n"/>
      <c r="F594" s="19" t="n"/>
      <c r="G594" s="19" t="n"/>
      <c r="H594" s="19" t="n"/>
      <c r="I594" s="19" t="n"/>
    </row>
    <row r="595" ht="15.75" customHeight="1" s="545">
      <c r="A595" s="19" t="n"/>
      <c r="B595" s="19" t="n"/>
      <c r="C595" s="19" t="n"/>
      <c r="D595" s="19" t="n"/>
      <c r="E595" s="19" t="n"/>
      <c r="F595" s="19" t="n"/>
      <c r="G595" s="19" t="n"/>
      <c r="H595" s="19" t="n"/>
      <c r="I595" s="19" t="n"/>
    </row>
    <row r="596" ht="15.75" customHeight="1" s="545">
      <c r="A596" s="19" t="n"/>
      <c r="B596" s="19" t="n"/>
      <c r="C596" s="19" t="n"/>
      <c r="D596" s="19" t="n"/>
      <c r="E596" s="19" t="n"/>
      <c r="F596" s="19" t="n"/>
      <c r="G596" s="19" t="n"/>
      <c r="H596" s="19" t="n"/>
      <c r="I596" s="19" t="n"/>
    </row>
    <row r="597" ht="15.75" customHeight="1" s="545">
      <c r="A597" s="19" t="n"/>
      <c r="B597" s="19" t="n"/>
      <c r="C597" s="19" t="n"/>
      <c r="D597" s="19" t="n"/>
      <c r="E597" s="19" t="n"/>
      <c r="F597" s="19" t="n"/>
      <c r="G597" s="19" t="n"/>
      <c r="H597" s="19" t="n"/>
      <c r="I597" s="19" t="n"/>
    </row>
    <row r="598" ht="15.75" customHeight="1" s="545">
      <c r="A598" s="19" t="n"/>
      <c r="B598" s="19" t="n"/>
      <c r="C598" s="19" t="n"/>
      <c r="D598" s="19" t="n"/>
      <c r="E598" s="19" t="n"/>
      <c r="F598" s="19" t="n"/>
      <c r="G598" s="19" t="n"/>
      <c r="H598" s="19" t="n"/>
      <c r="I598" s="19" t="n"/>
    </row>
    <row r="599" ht="15.75" customHeight="1" s="545">
      <c r="A599" s="19" t="n"/>
      <c r="B599" s="19" t="n"/>
      <c r="C599" s="19" t="n"/>
      <c r="D599" s="19" t="n"/>
      <c r="E599" s="19" t="n"/>
      <c r="F599" s="19" t="n"/>
      <c r="G599" s="19" t="n"/>
      <c r="H599" s="19" t="n"/>
      <c r="I599" s="19" t="n"/>
    </row>
    <row r="600" ht="15.75" customHeight="1" s="545">
      <c r="A600" s="19" t="n"/>
      <c r="B600" s="19" t="n"/>
      <c r="C600" s="19" t="n"/>
      <c r="D600" s="19" t="n"/>
      <c r="E600" s="19" t="n"/>
      <c r="F600" s="19" t="n"/>
      <c r="G600" s="19" t="n"/>
      <c r="H600" s="19" t="n"/>
      <c r="I600" s="19" t="n"/>
    </row>
    <row r="601" ht="15.75" customHeight="1" s="545">
      <c r="A601" s="19" t="n"/>
      <c r="B601" s="19" t="n"/>
      <c r="C601" s="19" t="n"/>
      <c r="D601" s="19" t="n"/>
      <c r="E601" s="19" t="n"/>
      <c r="F601" s="19" t="n"/>
      <c r="G601" s="19" t="n"/>
      <c r="H601" s="19" t="n"/>
      <c r="I601" s="19" t="n"/>
    </row>
    <row r="602" ht="15.75" customHeight="1" s="545">
      <c r="A602" s="19" t="n"/>
      <c r="B602" s="19" t="n"/>
      <c r="C602" s="19" t="n"/>
      <c r="D602" s="19" t="n"/>
      <c r="E602" s="19" t="n"/>
      <c r="F602" s="19" t="n"/>
      <c r="G602" s="19" t="n"/>
      <c r="H602" s="19" t="n"/>
      <c r="I602" s="19" t="n"/>
    </row>
    <row r="603" ht="15.75" customHeight="1" s="545">
      <c r="A603" s="19" t="n"/>
      <c r="B603" s="19" t="n"/>
      <c r="C603" s="19" t="n"/>
      <c r="D603" s="19" t="n"/>
      <c r="E603" s="19" t="n"/>
      <c r="F603" s="19" t="n"/>
      <c r="G603" s="19" t="n"/>
      <c r="H603" s="19" t="n"/>
      <c r="I603" s="19" t="n"/>
    </row>
    <row r="604" ht="15.75" customHeight="1" s="545">
      <c r="A604" s="19" t="n"/>
      <c r="B604" s="19" t="n"/>
      <c r="C604" s="19" t="n"/>
      <c r="D604" s="19" t="n"/>
      <c r="E604" s="19" t="n"/>
      <c r="F604" s="19" t="n"/>
      <c r="G604" s="19" t="n"/>
      <c r="H604" s="19" t="n"/>
      <c r="I604" s="19" t="n"/>
    </row>
    <row r="605" ht="15.75" customHeight="1" s="545">
      <c r="A605" s="19" t="n"/>
      <c r="B605" s="19" t="n"/>
      <c r="C605" s="19" t="n"/>
      <c r="D605" s="19" t="n"/>
      <c r="E605" s="19" t="n"/>
      <c r="F605" s="19" t="n"/>
      <c r="G605" s="19" t="n"/>
      <c r="H605" s="19" t="n"/>
      <c r="I605" s="19" t="n"/>
    </row>
    <row r="606" ht="15.75" customHeight="1" s="545">
      <c r="A606" s="19" t="n"/>
      <c r="B606" s="19" t="n"/>
      <c r="C606" s="19" t="n"/>
      <c r="D606" s="19" t="n"/>
      <c r="E606" s="19" t="n"/>
      <c r="F606" s="19" t="n"/>
      <c r="G606" s="19" t="n"/>
      <c r="H606" s="19" t="n"/>
      <c r="I606" s="19" t="n"/>
    </row>
    <row r="607" ht="15.75" customHeight="1" s="545">
      <c r="A607" s="19" t="n"/>
      <c r="B607" s="19" t="n"/>
      <c r="C607" s="19" t="n"/>
      <c r="D607" s="19" t="n"/>
      <c r="E607" s="19" t="n"/>
      <c r="F607" s="19" t="n"/>
      <c r="G607" s="19" t="n"/>
      <c r="H607" s="19" t="n"/>
      <c r="I607" s="19" t="n"/>
    </row>
    <row r="608" ht="15.75" customHeight="1" s="545">
      <c r="A608" s="19" t="n"/>
      <c r="B608" s="19" t="n"/>
      <c r="C608" s="19" t="n"/>
      <c r="D608" s="19" t="n"/>
      <c r="E608" s="19" t="n"/>
      <c r="F608" s="19" t="n"/>
      <c r="G608" s="19" t="n"/>
      <c r="H608" s="19" t="n"/>
      <c r="I608" s="19" t="n"/>
    </row>
    <row r="609" ht="15.75" customHeight="1" s="545">
      <c r="A609" s="19" t="n"/>
      <c r="B609" s="19" t="n"/>
      <c r="C609" s="19" t="n"/>
      <c r="D609" s="19" t="n"/>
      <c r="E609" s="19" t="n"/>
      <c r="F609" s="19" t="n"/>
      <c r="G609" s="19" t="n"/>
      <c r="H609" s="19" t="n"/>
      <c r="I609" s="19" t="n"/>
    </row>
    <row r="610" ht="15.75" customHeight="1" s="545">
      <c r="A610" s="19" t="n"/>
      <c r="B610" s="19" t="n"/>
      <c r="C610" s="19" t="n"/>
      <c r="D610" s="19" t="n"/>
      <c r="E610" s="19" t="n"/>
      <c r="F610" s="19" t="n"/>
      <c r="G610" s="19" t="n"/>
      <c r="H610" s="19" t="n"/>
      <c r="I610" s="19" t="n"/>
    </row>
    <row r="611" ht="15.75" customHeight="1" s="545">
      <c r="A611" s="19" t="n"/>
      <c r="B611" s="19" t="n"/>
      <c r="C611" s="19" t="n"/>
      <c r="D611" s="19" t="n"/>
      <c r="E611" s="19" t="n"/>
      <c r="F611" s="19" t="n"/>
      <c r="G611" s="19" t="n"/>
      <c r="H611" s="19" t="n"/>
      <c r="I611" s="19" t="n"/>
    </row>
    <row r="612" ht="15.75" customHeight="1" s="545">
      <c r="A612" s="19" t="n"/>
      <c r="B612" s="19" t="n"/>
      <c r="C612" s="19" t="n"/>
      <c r="D612" s="19" t="n"/>
      <c r="E612" s="19" t="n"/>
      <c r="F612" s="19" t="n"/>
      <c r="G612" s="19" t="n"/>
      <c r="H612" s="19" t="n"/>
      <c r="I612" s="19" t="n"/>
    </row>
    <row r="613" ht="15.75" customHeight="1" s="545">
      <c r="A613" s="19" t="n"/>
      <c r="B613" s="19" t="n"/>
      <c r="C613" s="19" t="n"/>
      <c r="D613" s="19" t="n"/>
      <c r="E613" s="19" t="n"/>
      <c r="F613" s="19" t="n"/>
      <c r="G613" s="19" t="n"/>
      <c r="H613" s="19" t="n"/>
      <c r="I613" s="19" t="n"/>
    </row>
    <row r="614" ht="15.75" customHeight="1" s="545">
      <c r="A614" s="19" t="n"/>
      <c r="B614" s="19" t="n"/>
      <c r="C614" s="19" t="n"/>
      <c r="D614" s="19" t="n"/>
      <c r="E614" s="19" t="n"/>
      <c r="F614" s="19" t="n"/>
      <c r="G614" s="19" t="n"/>
      <c r="H614" s="19" t="n"/>
      <c r="I614" s="19" t="n"/>
    </row>
    <row r="615" ht="15.75" customHeight="1" s="545">
      <c r="A615" s="19" t="n"/>
      <c r="B615" s="19" t="n"/>
      <c r="C615" s="19" t="n"/>
      <c r="D615" s="19" t="n"/>
      <c r="E615" s="19" t="n"/>
      <c r="F615" s="19" t="n"/>
      <c r="G615" s="19" t="n"/>
      <c r="H615" s="19" t="n"/>
      <c r="I615" s="19" t="n"/>
    </row>
    <row r="616" ht="15.75" customHeight="1" s="545">
      <c r="A616" s="19" t="n"/>
      <c r="B616" s="19" t="n"/>
      <c r="C616" s="19" t="n"/>
      <c r="D616" s="19" t="n"/>
      <c r="E616" s="19" t="n"/>
      <c r="F616" s="19" t="n"/>
      <c r="G616" s="19" t="n"/>
      <c r="H616" s="19" t="n"/>
      <c r="I616" s="19" t="n"/>
    </row>
    <row r="617" ht="15.75" customHeight="1" s="545">
      <c r="A617" s="19" t="n"/>
      <c r="B617" s="19" t="n"/>
      <c r="C617" s="19" t="n"/>
      <c r="D617" s="19" t="n"/>
      <c r="E617" s="19" t="n"/>
      <c r="F617" s="19" t="n"/>
      <c r="G617" s="19" t="n"/>
      <c r="H617" s="19" t="n"/>
      <c r="I617" s="19" t="n"/>
    </row>
    <row r="618" ht="15.75" customHeight="1" s="545">
      <c r="A618" s="19" t="n"/>
      <c r="B618" s="19" t="n"/>
      <c r="C618" s="19" t="n"/>
      <c r="D618" s="19" t="n"/>
      <c r="E618" s="19" t="n"/>
      <c r="F618" s="19" t="n"/>
      <c r="G618" s="19" t="n"/>
      <c r="H618" s="19" t="n"/>
      <c r="I618" s="19" t="n"/>
    </row>
    <row r="619" ht="15.75" customHeight="1" s="545">
      <c r="A619" s="19" t="n"/>
      <c r="B619" s="19" t="n"/>
      <c r="C619" s="19" t="n"/>
      <c r="D619" s="19" t="n"/>
      <c r="E619" s="19" t="n"/>
      <c r="F619" s="19" t="n"/>
      <c r="G619" s="19" t="n"/>
      <c r="H619" s="19" t="n"/>
      <c r="I619" s="19" t="n"/>
    </row>
    <row r="620" ht="15.75" customHeight="1" s="545">
      <c r="A620" s="19" t="n"/>
      <c r="B620" s="19" t="n"/>
      <c r="C620" s="19" t="n"/>
      <c r="D620" s="19" t="n"/>
      <c r="E620" s="19" t="n"/>
      <c r="F620" s="19" t="n"/>
      <c r="G620" s="19" t="n"/>
      <c r="H620" s="19" t="n"/>
      <c r="I620" s="19" t="n"/>
    </row>
    <row r="621" ht="15.75" customHeight="1" s="545">
      <c r="A621" s="19" t="n"/>
      <c r="B621" s="19" t="n"/>
      <c r="C621" s="19" t="n"/>
      <c r="D621" s="19" t="n"/>
      <c r="E621" s="19" t="n"/>
      <c r="F621" s="19" t="n"/>
      <c r="G621" s="19" t="n"/>
      <c r="H621" s="19" t="n"/>
      <c r="I621" s="19" t="n"/>
    </row>
    <row r="622" ht="15.75" customHeight="1" s="545">
      <c r="A622" s="19" t="n"/>
      <c r="B622" s="19" t="n"/>
      <c r="C622" s="19" t="n"/>
      <c r="D622" s="19" t="n"/>
      <c r="E622" s="19" t="n"/>
      <c r="F622" s="19" t="n"/>
      <c r="G622" s="19" t="n"/>
      <c r="H622" s="19" t="n"/>
      <c r="I622" s="19" t="n"/>
    </row>
    <row r="623" ht="15.75" customHeight="1" s="545">
      <c r="A623" s="19" t="n"/>
      <c r="B623" s="19" t="n"/>
      <c r="C623" s="19" t="n"/>
      <c r="D623" s="19" t="n"/>
      <c r="E623" s="19" t="n"/>
      <c r="F623" s="19" t="n"/>
      <c r="G623" s="19" t="n"/>
      <c r="H623" s="19" t="n"/>
      <c r="I623" s="19" t="n"/>
    </row>
    <row r="624" ht="15.75" customHeight="1" s="545">
      <c r="A624" s="19" t="n"/>
      <c r="B624" s="19" t="n"/>
      <c r="C624" s="19" t="n"/>
      <c r="D624" s="19" t="n"/>
      <c r="E624" s="19" t="n"/>
      <c r="F624" s="19" t="n"/>
      <c r="G624" s="19" t="n"/>
      <c r="H624" s="19" t="n"/>
      <c r="I624" s="19" t="n"/>
    </row>
    <row r="625" ht="15.75" customHeight="1" s="545">
      <c r="A625" s="19" t="n"/>
      <c r="B625" s="19" t="n"/>
      <c r="C625" s="19" t="n"/>
      <c r="D625" s="19" t="n"/>
      <c r="E625" s="19" t="n"/>
      <c r="F625" s="19" t="n"/>
      <c r="G625" s="19" t="n"/>
      <c r="H625" s="19" t="n"/>
      <c r="I625" s="19" t="n"/>
    </row>
    <row r="626" ht="15.75" customHeight="1" s="545">
      <c r="A626" s="19" t="n"/>
      <c r="B626" s="19" t="n"/>
      <c r="C626" s="19" t="n"/>
      <c r="D626" s="19" t="n"/>
      <c r="E626" s="19" t="n"/>
      <c r="F626" s="19" t="n"/>
      <c r="G626" s="19" t="n"/>
      <c r="H626" s="19" t="n"/>
      <c r="I626" s="19" t="n"/>
    </row>
    <row r="627" ht="15.75" customHeight="1" s="545">
      <c r="A627" s="19" t="n"/>
      <c r="B627" s="19" t="n"/>
      <c r="C627" s="19" t="n"/>
      <c r="D627" s="19" t="n"/>
      <c r="E627" s="19" t="n"/>
      <c r="F627" s="19" t="n"/>
      <c r="G627" s="19" t="n"/>
      <c r="H627" s="19" t="n"/>
      <c r="I627" s="19" t="n"/>
    </row>
    <row r="628" ht="15.75" customHeight="1" s="545">
      <c r="A628" s="19" t="n"/>
      <c r="B628" s="19" t="n"/>
      <c r="C628" s="19" t="n"/>
      <c r="D628" s="19" t="n"/>
      <c r="E628" s="19" t="n"/>
      <c r="F628" s="19" t="n"/>
      <c r="G628" s="19" t="n"/>
      <c r="H628" s="19" t="n"/>
      <c r="I628" s="19" t="n"/>
    </row>
    <row r="629" ht="15.75" customHeight="1" s="545">
      <c r="A629" s="19" t="n"/>
      <c r="B629" s="19" t="n"/>
      <c r="C629" s="19" t="n"/>
      <c r="D629" s="19" t="n"/>
      <c r="E629" s="19" t="n"/>
      <c r="F629" s="19" t="n"/>
      <c r="G629" s="19" t="n"/>
      <c r="H629" s="19" t="n"/>
      <c r="I629" s="19" t="n"/>
    </row>
    <row r="630" ht="15.75" customHeight="1" s="545">
      <c r="A630" s="19" t="n"/>
      <c r="B630" s="19" t="n"/>
      <c r="C630" s="19" t="n"/>
      <c r="D630" s="19" t="n"/>
      <c r="E630" s="19" t="n"/>
      <c r="F630" s="19" t="n"/>
      <c r="G630" s="19" t="n"/>
      <c r="H630" s="19" t="n"/>
      <c r="I630" s="19" t="n"/>
    </row>
    <row r="631" ht="15.75" customHeight="1" s="545">
      <c r="A631" s="19" t="n"/>
      <c r="B631" s="19" t="n"/>
      <c r="C631" s="19" t="n"/>
      <c r="D631" s="19" t="n"/>
      <c r="E631" s="19" t="n"/>
      <c r="F631" s="19" t="n"/>
      <c r="G631" s="19" t="n"/>
      <c r="H631" s="19" t="n"/>
      <c r="I631" s="19" t="n"/>
    </row>
    <row r="632" ht="15.75" customHeight="1" s="545">
      <c r="A632" s="19" t="n"/>
      <c r="B632" s="19" t="n"/>
      <c r="C632" s="19" t="n"/>
      <c r="D632" s="19" t="n"/>
      <c r="E632" s="19" t="n"/>
      <c r="F632" s="19" t="n"/>
      <c r="G632" s="19" t="n"/>
      <c r="H632" s="19" t="n"/>
      <c r="I632" s="19" t="n"/>
    </row>
    <row r="633" ht="15.75" customHeight="1" s="545">
      <c r="A633" s="19" t="n"/>
      <c r="B633" s="19" t="n"/>
      <c r="C633" s="19" t="n"/>
      <c r="D633" s="19" t="n"/>
      <c r="E633" s="19" t="n"/>
      <c r="F633" s="19" t="n"/>
      <c r="G633" s="19" t="n"/>
      <c r="H633" s="19" t="n"/>
      <c r="I633" s="19" t="n"/>
    </row>
    <row r="634" ht="15.75" customHeight="1" s="545">
      <c r="A634" s="19" t="n"/>
      <c r="B634" s="19" t="n"/>
      <c r="C634" s="19" t="n"/>
      <c r="D634" s="19" t="n"/>
      <c r="E634" s="19" t="n"/>
      <c r="F634" s="19" t="n"/>
      <c r="G634" s="19" t="n"/>
      <c r="H634" s="19" t="n"/>
      <c r="I634" s="19" t="n"/>
    </row>
    <row r="635" ht="15.75" customHeight="1" s="545">
      <c r="A635" s="19" t="n"/>
      <c r="B635" s="19" t="n"/>
      <c r="C635" s="19" t="n"/>
      <c r="D635" s="19" t="n"/>
      <c r="E635" s="19" t="n"/>
      <c r="F635" s="19" t="n"/>
      <c r="G635" s="19" t="n"/>
      <c r="H635" s="19" t="n"/>
      <c r="I635" s="19" t="n"/>
    </row>
    <row r="636" ht="15.75" customHeight="1" s="545">
      <c r="A636" s="19" t="n"/>
      <c r="B636" s="19" t="n"/>
      <c r="C636" s="19" t="n"/>
      <c r="D636" s="19" t="n"/>
      <c r="E636" s="19" t="n"/>
      <c r="F636" s="19" t="n"/>
      <c r="G636" s="19" t="n"/>
      <c r="H636" s="19" t="n"/>
      <c r="I636" s="19" t="n"/>
    </row>
    <row r="637" ht="15.75" customHeight="1" s="545">
      <c r="A637" s="19" t="n"/>
      <c r="B637" s="19" t="n"/>
      <c r="C637" s="19" t="n"/>
      <c r="D637" s="19" t="n"/>
      <c r="E637" s="19" t="n"/>
      <c r="F637" s="19" t="n"/>
      <c r="G637" s="19" t="n"/>
      <c r="H637" s="19" t="n"/>
      <c r="I637" s="19" t="n"/>
    </row>
    <row r="638" ht="15.75" customHeight="1" s="545">
      <c r="A638" s="19" t="n"/>
      <c r="B638" s="19" t="n"/>
      <c r="C638" s="19" t="n"/>
      <c r="D638" s="19" t="n"/>
      <c r="E638" s="19" t="n"/>
      <c r="F638" s="19" t="n"/>
      <c r="G638" s="19" t="n"/>
      <c r="H638" s="19" t="n"/>
      <c r="I638" s="19" t="n"/>
    </row>
    <row r="639" ht="15.75" customHeight="1" s="545">
      <c r="A639" s="19" t="n"/>
      <c r="B639" s="19" t="n"/>
      <c r="C639" s="19" t="n"/>
      <c r="D639" s="19" t="n"/>
      <c r="E639" s="19" t="n"/>
      <c r="F639" s="19" t="n"/>
      <c r="G639" s="19" t="n"/>
      <c r="H639" s="19" t="n"/>
      <c r="I639" s="19" t="n"/>
    </row>
    <row r="640" ht="15.75" customHeight="1" s="545">
      <c r="A640" s="19" t="n"/>
      <c r="B640" s="19" t="n"/>
      <c r="C640" s="19" t="n"/>
      <c r="D640" s="19" t="n"/>
      <c r="E640" s="19" t="n"/>
      <c r="F640" s="19" t="n"/>
      <c r="G640" s="19" t="n"/>
      <c r="H640" s="19" t="n"/>
      <c r="I640" s="19" t="n"/>
    </row>
    <row r="641" ht="15.75" customHeight="1" s="545">
      <c r="A641" s="19" t="n"/>
      <c r="B641" s="19" t="n"/>
      <c r="C641" s="19" t="n"/>
      <c r="D641" s="19" t="n"/>
      <c r="E641" s="19" t="n"/>
      <c r="F641" s="19" t="n"/>
      <c r="G641" s="19" t="n"/>
      <c r="H641" s="19" t="n"/>
      <c r="I641" s="19" t="n"/>
    </row>
    <row r="642" ht="15.75" customHeight="1" s="545">
      <c r="A642" s="19" t="n"/>
      <c r="B642" s="19" t="n"/>
      <c r="C642" s="19" t="n"/>
      <c r="D642" s="19" t="n"/>
      <c r="E642" s="19" t="n"/>
      <c r="F642" s="19" t="n"/>
      <c r="G642" s="19" t="n"/>
      <c r="H642" s="19" t="n"/>
      <c r="I642" s="19" t="n"/>
    </row>
    <row r="643" ht="15.75" customHeight="1" s="545">
      <c r="A643" s="19" t="n"/>
      <c r="B643" s="19" t="n"/>
      <c r="C643" s="19" t="n"/>
      <c r="D643" s="19" t="n"/>
      <c r="E643" s="19" t="n"/>
      <c r="F643" s="19" t="n"/>
      <c r="G643" s="19" t="n"/>
      <c r="H643" s="19" t="n"/>
      <c r="I643" s="19" t="n"/>
    </row>
    <row r="644" ht="15.75" customHeight="1" s="545">
      <c r="A644" s="19" t="n"/>
      <c r="B644" s="19" t="n"/>
      <c r="C644" s="19" t="n"/>
      <c r="D644" s="19" t="n"/>
      <c r="E644" s="19" t="n"/>
      <c r="F644" s="19" t="n"/>
      <c r="G644" s="19" t="n"/>
      <c r="H644" s="19" t="n"/>
      <c r="I644" s="19" t="n"/>
    </row>
    <row r="645" ht="15.75" customHeight="1" s="545">
      <c r="A645" s="19" t="n"/>
      <c r="B645" s="19" t="n"/>
      <c r="C645" s="19" t="n"/>
      <c r="D645" s="19" t="n"/>
      <c r="E645" s="19" t="n"/>
      <c r="F645" s="19" t="n"/>
      <c r="G645" s="19" t="n"/>
      <c r="H645" s="19" t="n"/>
      <c r="I645" s="19" t="n"/>
    </row>
    <row r="646" ht="15.75" customHeight="1" s="545">
      <c r="A646" s="19" t="n"/>
      <c r="B646" s="19" t="n"/>
      <c r="C646" s="19" t="n"/>
      <c r="D646" s="19" t="n"/>
      <c r="E646" s="19" t="n"/>
      <c r="F646" s="19" t="n"/>
      <c r="G646" s="19" t="n"/>
      <c r="H646" s="19" t="n"/>
      <c r="I646" s="19" t="n"/>
    </row>
    <row r="647" ht="15.75" customHeight="1" s="545">
      <c r="A647" s="19" t="n"/>
      <c r="B647" s="19" t="n"/>
      <c r="C647" s="19" t="n"/>
      <c r="D647" s="19" t="n"/>
      <c r="E647" s="19" t="n"/>
      <c r="F647" s="19" t="n"/>
      <c r="G647" s="19" t="n"/>
      <c r="H647" s="19" t="n"/>
      <c r="I647" s="19" t="n"/>
    </row>
    <row r="648" ht="15.75" customHeight="1" s="545">
      <c r="A648" s="19" t="n"/>
      <c r="B648" s="19" t="n"/>
      <c r="C648" s="19" t="n"/>
      <c r="D648" s="19" t="n"/>
      <c r="E648" s="19" t="n"/>
      <c r="F648" s="19" t="n"/>
      <c r="G648" s="19" t="n"/>
      <c r="H648" s="19" t="n"/>
      <c r="I648" s="19" t="n"/>
    </row>
    <row r="649" ht="15.75" customHeight="1" s="545">
      <c r="A649" s="19" t="n"/>
      <c r="B649" s="19" t="n"/>
      <c r="C649" s="19" t="n"/>
      <c r="D649" s="19" t="n"/>
      <c r="E649" s="19" t="n"/>
      <c r="F649" s="19" t="n"/>
      <c r="G649" s="19" t="n"/>
      <c r="H649" s="19" t="n"/>
      <c r="I649" s="19" t="n"/>
    </row>
    <row r="650" ht="15.75" customHeight="1" s="545">
      <c r="A650" s="19" t="n"/>
      <c r="B650" s="19" t="n"/>
      <c r="C650" s="19" t="n"/>
      <c r="D650" s="19" t="n"/>
      <c r="E650" s="19" t="n"/>
      <c r="F650" s="19" t="n"/>
      <c r="G650" s="19" t="n"/>
      <c r="H650" s="19" t="n"/>
      <c r="I650" s="19" t="n"/>
    </row>
    <row r="651" ht="15.75" customHeight="1" s="545">
      <c r="A651" s="19" t="n"/>
      <c r="B651" s="19" t="n"/>
      <c r="C651" s="19" t="n"/>
      <c r="D651" s="19" t="n"/>
      <c r="E651" s="19" t="n"/>
      <c r="F651" s="19" t="n"/>
      <c r="G651" s="19" t="n"/>
      <c r="H651" s="19" t="n"/>
      <c r="I651" s="19" t="n"/>
    </row>
    <row r="652" ht="15.75" customHeight="1" s="545">
      <c r="A652" s="19" t="n"/>
      <c r="B652" s="19" t="n"/>
      <c r="C652" s="19" t="n"/>
      <c r="D652" s="19" t="n"/>
      <c r="E652" s="19" t="n"/>
      <c r="F652" s="19" t="n"/>
      <c r="G652" s="19" t="n"/>
      <c r="H652" s="19" t="n"/>
      <c r="I652" s="19" t="n"/>
    </row>
    <row r="653" ht="15.75" customHeight="1" s="545">
      <c r="A653" s="19" t="n"/>
      <c r="B653" s="19" t="n"/>
      <c r="C653" s="19" t="n"/>
      <c r="D653" s="19" t="n"/>
      <c r="E653" s="19" t="n"/>
      <c r="F653" s="19" t="n"/>
      <c r="G653" s="19" t="n"/>
      <c r="H653" s="19" t="n"/>
      <c r="I653" s="19" t="n"/>
    </row>
    <row r="654" ht="15.75" customHeight="1" s="545">
      <c r="A654" s="19" t="n"/>
      <c r="B654" s="19" t="n"/>
      <c r="C654" s="19" t="n"/>
      <c r="D654" s="19" t="n"/>
      <c r="E654" s="19" t="n"/>
      <c r="F654" s="19" t="n"/>
      <c r="G654" s="19" t="n"/>
      <c r="H654" s="19" t="n"/>
      <c r="I654" s="19" t="n"/>
    </row>
    <row r="655" ht="15.75" customHeight="1" s="545">
      <c r="A655" s="19" t="n"/>
      <c r="B655" s="19" t="n"/>
      <c r="C655" s="19" t="n"/>
      <c r="D655" s="19" t="n"/>
      <c r="E655" s="19" t="n"/>
      <c r="F655" s="19" t="n"/>
      <c r="G655" s="19" t="n"/>
      <c r="H655" s="19" t="n"/>
      <c r="I655" s="19" t="n"/>
    </row>
    <row r="656" ht="15.75" customHeight="1" s="545">
      <c r="A656" s="19" t="n"/>
      <c r="B656" s="19" t="n"/>
      <c r="C656" s="19" t="n"/>
      <c r="D656" s="19" t="n"/>
      <c r="E656" s="19" t="n"/>
      <c r="F656" s="19" t="n"/>
      <c r="G656" s="19" t="n"/>
      <c r="H656" s="19" t="n"/>
      <c r="I656" s="19" t="n"/>
    </row>
    <row r="657" ht="15.75" customHeight="1" s="545">
      <c r="A657" s="19" t="n"/>
      <c r="B657" s="19" t="n"/>
      <c r="C657" s="19" t="n"/>
      <c r="D657" s="19" t="n"/>
      <c r="E657" s="19" t="n"/>
      <c r="F657" s="19" t="n"/>
      <c r="G657" s="19" t="n"/>
      <c r="H657" s="19" t="n"/>
      <c r="I657" s="19" t="n"/>
    </row>
    <row r="658" ht="15.75" customHeight="1" s="545">
      <c r="A658" s="19" t="n"/>
      <c r="B658" s="19" t="n"/>
      <c r="C658" s="19" t="n"/>
      <c r="D658" s="19" t="n"/>
      <c r="E658" s="19" t="n"/>
      <c r="F658" s="19" t="n"/>
      <c r="G658" s="19" t="n"/>
      <c r="H658" s="19" t="n"/>
      <c r="I658" s="19" t="n"/>
    </row>
    <row r="659" ht="15.75" customHeight="1" s="545">
      <c r="A659" s="19" t="n"/>
      <c r="B659" s="19" t="n"/>
      <c r="C659" s="19" t="n"/>
      <c r="D659" s="19" t="n"/>
      <c r="E659" s="19" t="n"/>
      <c r="F659" s="19" t="n"/>
      <c r="G659" s="19" t="n"/>
      <c r="H659" s="19" t="n"/>
      <c r="I659" s="19" t="n"/>
    </row>
    <row r="660" ht="15.75" customHeight="1" s="545">
      <c r="A660" s="19" t="n"/>
      <c r="B660" s="19" t="n"/>
      <c r="C660" s="19" t="n"/>
      <c r="D660" s="19" t="n"/>
      <c r="E660" s="19" t="n"/>
      <c r="F660" s="19" t="n"/>
      <c r="G660" s="19" t="n"/>
      <c r="H660" s="19" t="n"/>
      <c r="I660" s="19" t="n"/>
    </row>
    <row r="661" ht="15.75" customHeight="1" s="545">
      <c r="A661" s="19" t="n"/>
      <c r="B661" s="19" t="n"/>
      <c r="C661" s="19" t="n"/>
      <c r="D661" s="19" t="n"/>
      <c r="E661" s="19" t="n"/>
      <c r="F661" s="19" t="n"/>
      <c r="G661" s="19" t="n"/>
      <c r="H661" s="19" t="n"/>
      <c r="I661" s="19" t="n"/>
    </row>
    <row r="662" ht="15.75" customHeight="1" s="545">
      <c r="A662" s="19" t="n"/>
      <c r="B662" s="19" t="n"/>
      <c r="C662" s="19" t="n"/>
      <c r="D662" s="19" t="n"/>
      <c r="E662" s="19" t="n"/>
      <c r="F662" s="19" t="n"/>
      <c r="G662" s="19" t="n"/>
      <c r="H662" s="19" t="n"/>
      <c r="I662" s="19" t="n"/>
    </row>
    <row r="663" ht="15.75" customHeight="1" s="545">
      <c r="A663" s="19" t="n"/>
      <c r="B663" s="19" t="n"/>
      <c r="C663" s="19" t="n"/>
      <c r="D663" s="19" t="n"/>
      <c r="E663" s="19" t="n"/>
      <c r="F663" s="19" t="n"/>
      <c r="G663" s="19" t="n"/>
      <c r="H663" s="19" t="n"/>
      <c r="I663" s="19" t="n"/>
    </row>
    <row r="664" ht="15.75" customHeight="1" s="545">
      <c r="A664" s="19" t="n"/>
      <c r="B664" s="19" t="n"/>
      <c r="C664" s="19" t="n"/>
      <c r="D664" s="19" t="n"/>
      <c r="E664" s="19" t="n"/>
      <c r="F664" s="19" t="n"/>
      <c r="G664" s="19" t="n"/>
      <c r="H664" s="19" t="n"/>
      <c r="I664" s="19" t="n"/>
    </row>
    <row r="665" ht="15.75" customHeight="1" s="545">
      <c r="A665" s="19" t="n"/>
      <c r="B665" s="19" t="n"/>
      <c r="C665" s="19" t="n"/>
      <c r="D665" s="19" t="n"/>
      <c r="E665" s="19" t="n"/>
      <c r="F665" s="19" t="n"/>
      <c r="G665" s="19" t="n"/>
      <c r="H665" s="19" t="n"/>
      <c r="I665" s="19" t="n"/>
    </row>
    <row r="666" ht="15.75" customHeight="1" s="545">
      <c r="A666" s="19" t="n"/>
      <c r="B666" s="19" t="n"/>
      <c r="C666" s="19" t="n"/>
      <c r="D666" s="19" t="n"/>
      <c r="E666" s="19" t="n"/>
      <c r="F666" s="19" t="n"/>
      <c r="G666" s="19" t="n"/>
      <c r="H666" s="19" t="n"/>
      <c r="I666" s="19" t="n"/>
    </row>
    <row r="667" ht="15.75" customHeight="1" s="545">
      <c r="A667" s="19" t="n"/>
      <c r="B667" s="19" t="n"/>
      <c r="C667" s="19" t="n"/>
      <c r="D667" s="19" t="n"/>
      <c r="E667" s="19" t="n"/>
      <c r="F667" s="19" t="n"/>
      <c r="G667" s="19" t="n"/>
      <c r="H667" s="19" t="n"/>
      <c r="I667" s="19" t="n"/>
    </row>
    <row r="668" ht="15.75" customHeight="1" s="545">
      <c r="A668" s="19" t="n"/>
      <c r="B668" s="19" t="n"/>
      <c r="C668" s="19" t="n"/>
      <c r="D668" s="19" t="n"/>
      <c r="E668" s="19" t="n"/>
      <c r="F668" s="19" t="n"/>
      <c r="G668" s="19" t="n"/>
      <c r="H668" s="19" t="n"/>
      <c r="I668" s="19" t="n"/>
    </row>
    <row r="669" ht="15.75" customHeight="1" s="545">
      <c r="A669" s="19" t="n"/>
      <c r="B669" s="19" t="n"/>
      <c r="C669" s="19" t="n"/>
      <c r="D669" s="19" t="n"/>
      <c r="E669" s="19" t="n"/>
      <c r="F669" s="19" t="n"/>
      <c r="G669" s="19" t="n"/>
      <c r="H669" s="19" t="n"/>
      <c r="I669" s="19" t="n"/>
    </row>
    <row r="670" ht="15.75" customHeight="1" s="545">
      <c r="A670" s="19" t="n"/>
      <c r="B670" s="19" t="n"/>
      <c r="C670" s="19" t="n"/>
      <c r="D670" s="19" t="n"/>
      <c r="E670" s="19" t="n"/>
      <c r="F670" s="19" t="n"/>
      <c r="G670" s="19" t="n"/>
      <c r="H670" s="19" t="n"/>
      <c r="I670" s="19" t="n"/>
    </row>
    <row r="671" ht="15.75" customHeight="1" s="545">
      <c r="A671" s="19" t="n"/>
      <c r="B671" s="19" t="n"/>
      <c r="C671" s="19" t="n"/>
      <c r="D671" s="19" t="n"/>
      <c r="E671" s="19" t="n"/>
      <c r="F671" s="19" t="n"/>
      <c r="G671" s="19" t="n"/>
      <c r="H671" s="19" t="n"/>
      <c r="I671" s="19" t="n"/>
    </row>
    <row r="672" ht="15.75" customHeight="1" s="545">
      <c r="A672" s="19" t="n"/>
      <c r="B672" s="19" t="n"/>
      <c r="C672" s="19" t="n"/>
      <c r="D672" s="19" t="n"/>
      <c r="E672" s="19" t="n"/>
      <c r="F672" s="19" t="n"/>
      <c r="G672" s="19" t="n"/>
      <c r="H672" s="19" t="n"/>
      <c r="I672" s="19" t="n"/>
    </row>
    <row r="673" ht="15.75" customHeight="1" s="545">
      <c r="A673" s="19" t="n"/>
      <c r="B673" s="19" t="n"/>
      <c r="C673" s="19" t="n"/>
      <c r="D673" s="19" t="n"/>
      <c r="E673" s="19" t="n"/>
      <c r="F673" s="19" t="n"/>
      <c r="G673" s="19" t="n"/>
      <c r="H673" s="19" t="n"/>
      <c r="I673" s="19" t="n"/>
    </row>
    <row r="674" ht="15.75" customHeight="1" s="545">
      <c r="A674" s="19" t="n"/>
      <c r="B674" s="19" t="n"/>
      <c r="C674" s="19" t="n"/>
      <c r="D674" s="19" t="n"/>
      <c r="E674" s="19" t="n"/>
      <c r="F674" s="19" t="n"/>
      <c r="G674" s="19" t="n"/>
      <c r="H674" s="19" t="n"/>
      <c r="I674" s="19" t="n"/>
    </row>
    <row r="675" ht="15.75" customHeight="1" s="545">
      <c r="A675" s="19" t="n"/>
      <c r="B675" s="19" t="n"/>
      <c r="C675" s="19" t="n"/>
      <c r="D675" s="19" t="n"/>
      <c r="E675" s="19" t="n"/>
      <c r="F675" s="19" t="n"/>
      <c r="G675" s="19" t="n"/>
      <c r="H675" s="19" t="n"/>
      <c r="I675" s="19" t="n"/>
    </row>
    <row r="676" ht="15.75" customHeight="1" s="545">
      <c r="A676" s="19" t="n"/>
      <c r="B676" s="19" t="n"/>
      <c r="C676" s="19" t="n"/>
      <c r="D676" s="19" t="n"/>
      <c r="E676" s="19" t="n"/>
      <c r="F676" s="19" t="n"/>
      <c r="G676" s="19" t="n"/>
      <c r="H676" s="19" t="n"/>
      <c r="I676" s="19" t="n"/>
    </row>
    <row r="677" ht="15.75" customHeight="1" s="545">
      <c r="A677" s="19" t="n"/>
      <c r="B677" s="19" t="n"/>
      <c r="C677" s="19" t="n"/>
      <c r="D677" s="19" t="n"/>
      <c r="E677" s="19" t="n"/>
      <c r="F677" s="19" t="n"/>
      <c r="G677" s="19" t="n"/>
      <c r="H677" s="19" t="n"/>
      <c r="I677" s="19" t="n"/>
    </row>
    <row r="678" ht="15.75" customHeight="1" s="545">
      <c r="A678" s="19" t="n"/>
      <c r="B678" s="19" t="n"/>
      <c r="C678" s="19" t="n"/>
      <c r="D678" s="19" t="n"/>
      <c r="E678" s="19" t="n"/>
      <c r="F678" s="19" t="n"/>
      <c r="G678" s="19" t="n"/>
      <c r="H678" s="19" t="n"/>
      <c r="I678" s="19" t="n"/>
    </row>
    <row r="679" ht="15.75" customHeight="1" s="545">
      <c r="A679" s="19" t="n"/>
      <c r="B679" s="19" t="n"/>
      <c r="C679" s="19" t="n"/>
      <c r="D679" s="19" t="n"/>
      <c r="E679" s="19" t="n"/>
      <c r="F679" s="19" t="n"/>
      <c r="G679" s="19" t="n"/>
      <c r="H679" s="19" t="n"/>
      <c r="I679" s="19" t="n"/>
    </row>
    <row r="680" ht="15.75" customHeight="1" s="545">
      <c r="A680" s="19" t="n"/>
      <c r="B680" s="19" t="n"/>
      <c r="C680" s="19" t="n"/>
      <c r="D680" s="19" t="n"/>
      <c r="E680" s="19" t="n"/>
      <c r="F680" s="19" t="n"/>
      <c r="G680" s="19" t="n"/>
      <c r="H680" s="19" t="n"/>
      <c r="I680" s="19" t="n"/>
    </row>
    <row r="681" ht="15.75" customHeight="1" s="545">
      <c r="A681" s="19" t="n"/>
      <c r="B681" s="19" t="n"/>
      <c r="C681" s="19" t="n"/>
      <c r="D681" s="19" t="n"/>
      <c r="E681" s="19" t="n"/>
      <c r="F681" s="19" t="n"/>
      <c r="G681" s="19" t="n"/>
      <c r="H681" s="19" t="n"/>
      <c r="I681" s="19" t="n"/>
    </row>
    <row r="682" ht="15.75" customHeight="1" s="545">
      <c r="A682" s="19" t="n"/>
      <c r="B682" s="19" t="n"/>
      <c r="C682" s="19" t="n"/>
      <c r="D682" s="19" t="n"/>
      <c r="E682" s="19" t="n"/>
      <c r="F682" s="19" t="n"/>
      <c r="G682" s="19" t="n"/>
      <c r="H682" s="19" t="n"/>
      <c r="I682" s="19" t="n"/>
    </row>
    <row r="683" ht="15.75" customHeight="1" s="545">
      <c r="A683" s="19" t="n"/>
      <c r="B683" s="19" t="n"/>
      <c r="C683" s="19" t="n"/>
      <c r="D683" s="19" t="n"/>
      <c r="E683" s="19" t="n"/>
      <c r="F683" s="19" t="n"/>
      <c r="G683" s="19" t="n"/>
      <c r="H683" s="19" t="n"/>
      <c r="I683" s="19" t="n"/>
    </row>
    <row r="684" ht="15.75" customHeight="1" s="545">
      <c r="A684" s="19" t="n"/>
      <c r="B684" s="19" t="n"/>
      <c r="C684" s="19" t="n"/>
      <c r="D684" s="19" t="n"/>
      <c r="E684" s="19" t="n"/>
      <c r="F684" s="19" t="n"/>
      <c r="G684" s="19" t="n"/>
      <c r="H684" s="19" t="n"/>
      <c r="I684" s="19" t="n"/>
    </row>
    <row r="685" ht="15.75" customHeight="1" s="545">
      <c r="A685" s="19" t="n"/>
      <c r="B685" s="19" t="n"/>
      <c r="C685" s="19" t="n"/>
      <c r="D685" s="19" t="n"/>
      <c r="E685" s="19" t="n"/>
      <c r="F685" s="19" t="n"/>
      <c r="G685" s="19" t="n"/>
      <c r="H685" s="19" t="n"/>
      <c r="I685" s="19" t="n"/>
    </row>
    <row r="686" ht="15.75" customHeight="1" s="545">
      <c r="A686" s="19" t="n"/>
      <c r="B686" s="19" t="n"/>
      <c r="C686" s="19" t="n"/>
      <c r="D686" s="19" t="n"/>
      <c r="E686" s="19" t="n"/>
      <c r="F686" s="19" t="n"/>
      <c r="G686" s="19" t="n"/>
      <c r="H686" s="19" t="n"/>
      <c r="I686" s="19" t="n"/>
    </row>
    <row r="687" ht="15.75" customHeight="1" s="545">
      <c r="A687" s="19" t="n"/>
      <c r="B687" s="19" t="n"/>
      <c r="C687" s="19" t="n"/>
      <c r="D687" s="19" t="n"/>
      <c r="E687" s="19" t="n"/>
      <c r="F687" s="19" t="n"/>
      <c r="G687" s="19" t="n"/>
      <c r="H687" s="19" t="n"/>
      <c r="I687" s="19" t="n"/>
    </row>
    <row r="688" ht="15.75" customHeight="1" s="545">
      <c r="A688" s="19" t="n"/>
      <c r="B688" s="19" t="n"/>
      <c r="C688" s="19" t="n"/>
      <c r="D688" s="19" t="n"/>
      <c r="E688" s="19" t="n"/>
      <c r="F688" s="19" t="n"/>
      <c r="G688" s="19" t="n"/>
      <c r="H688" s="19" t="n"/>
      <c r="I688" s="19" t="n"/>
    </row>
    <row r="689" ht="15.75" customHeight="1" s="545">
      <c r="A689" s="19" t="n"/>
      <c r="B689" s="19" t="n"/>
      <c r="C689" s="19" t="n"/>
      <c r="D689" s="19" t="n"/>
      <c r="E689" s="19" t="n"/>
      <c r="F689" s="19" t="n"/>
      <c r="G689" s="19" t="n"/>
      <c r="H689" s="19" t="n"/>
      <c r="I689" s="19" t="n"/>
    </row>
    <row r="690" ht="15.75" customHeight="1" s="545">
      <c r="A690" s="19" t="n"/>
      <c r="B690" s="19" t="n"/>
      <c r="C690" s="19" t="n"/>
      <c r="D690" s="19" t="n"/>
      <c r="E690" s="19" t="n"/>
      <c r="F690" s="19" t="n"/>
      <c r="G690" s="19" t="n"/>
      <c r="H690" s="19" t="n"/>
      <c r="I690" s="19" t="n"/>
    </row>
    <row r="691" ht="15.75" customHeight="1" s="545">
      <c r="A691" s="19" t="n"/>
      <c r="B691" s="19" t="n"/>
      <c r="C691" s="19" t="n"/>
      <c r="D691" s="19" t="n"/>
      <c r="E691" s="19" t="n"/>
      <c r="F691" s="19" t="n"/>
      <c r="G691" s="19" t="n"/>
      <c r="H691" s="19" t="n"/>
      <c r="I691" s="19" t="n"/>
    </row>
    <row r="692" ht="15.75" customHeight="1" s="545">
      <c r="A692" s="19" t="n"/>
      <c r="B692" s="19" t="n"/>
      <c r="C692" s="19" t="n"/>
      <c r="D692" s="19" t="n"/>
      <c r="E692" s="19" t="n"/>
      <c r="F692" s="19" t="n"/>
      <c r="G692" s="19" t="n"/>
      <c r="H692" s="19" t="n"/>
      <c r="I692" s="19" t="n"/>
    </row>
    <row r="693" ht="15.75" customHeight="1" s="545">
      <c r="A693" s="19" t="n"/>
      <c r="B693" s="19" t="n"/>
      <c r="C693" s="19" t="n"/>
      <c r="D693" s="19" t="n"/>
      <c r="E693" s="19" t="n"/>
      <c r="F693" s="19" t="n"/>
      <c r="G693" s="19" t="n"/>
      <c r="H693" s="19" t="n"/>
      <c r="I693" s="19" t="n"/>
    </row>
    <row r="694" ht="15.75" customHeight="1" s="545">
      <c r="A694" s="19" t="n"/>
      <c r="B694" s="19" t="n"/>
      <c r="C694" s="19" t="n"/>
      <c r="D694" s="19" t="n"/>
      <c r="E694" s="19" t="n"/>
      <c r="F694" s="19" t="n"/>
      <c r="G694" s="19" t="n"/>
      <c r="H694" s="19" t="n"/>
      <c r="I694" s="19" t="n"/>
    </row>
    <row r="695" ht="15.75" customHeight="1" s="545">
      <c r="A695" s="19" t="n"/>
      <c r="B695" s="19" t="n"/>
      <c r="C695" s="19" t="n"/>
      <c r="D695" s="19" t="n"/>
      <c r="E695" s="19" t="n"/>
      <c r="F695" s="19" t="n"/>
      <c r="G695" s="19" t="n"/>
      <c r="H695" s="19" t="n"/>
      <c r="I695" s="19" t="n"/>
    </row>
    <row r="696" ht="15.75" customHeight="1" s="545">
      <c r="A696" s="19" t="n"/>
      <c r="B696" s="19" t="n"/>
      <c r="C696" s="19" t="n"/>
      <c r="D696" s="19" t="n"/>
      <c r="E696" s="19" t="n"/>
      <c r="F696" s="19" t="n"/>
      <c r="G696" s="19" t="n"/>
      <c r="H696" s="19" t="n"/>
      <c r="I696" s="19" t="n"/>
    </row>
    <row r="697" ht="15.75" customHeight="1" s="545">
      <c r="A697" s="19" t="n"/>
      <c r="B697" s="19" t="n"/>
      <c r="C697" s="19" t="n"/>
      <c r="D697" s="19" t="n"/>
      <c r="E697" s="19" t="n"/>
      <c r="F697" s="19" t="n"/>
      <c r="G697" s="19" t="n"/>
      <c r="H697" s="19" t="n"/>
      <c r="I697" s="19" t="n"/>
    </row>
    <row r="698" ht="15.75" customHeight="1" s="545">
      <c r="A698" s="19" t="n"/>
      <c r="B698" s="19" t="n"/>
      <c r="C698" s="19" t="n"/>
      <c r="D698" s="19" t="n"/>
      <c r="E698" s="19" t="n"/>
      <c r="F698" s="19" t="n"/>
      <c r="G698" s="19" t="n"/>
      <c r="H698" s="19" t="n"/>
      <c r="I698" s="19" t="n"/>
    </row>
    <row r="699" ht="15.75" customHeight="1" s="545">
      <c r="A699" s="19" t="n"/>
      <c r="B699" s="19" t="n"/>
      <c r="C699" s="19" t="n"/>
      <c r="D699" s="19" t="n"/>
      <c r="E699" s="19" t="n"/>
      <c r="F699" s="19" t="n"/>
      <c r="G699" s="19" t="n"/>
      <c r="H699" s="19" t="n"/>
      <c r="I699" s="19" t="n"/>
    </row>
    <row r="700" ht="15.75" customHeight="1" s="545">
      <c r="A700" s="19" t="n"/>
      <c r="B700" s="19" t="n"/>
      <c r="C700" s="19" t="n"/>
      <c r="D700" s="19" t="n"/>
      <c r="E700" s="19" t="n"/>
      <c r="F700" s="19" t="n"/>
      <c r="G700" s="19" t="n"/>
      <c r="H700" s="19" t="n"/>
      <c r="I700" s="19" t="n"/>
    </row>
    <row r="701" ht="15.75" customHeight="1" s="545">
      <c r="A701" s="19" t="n"/>
      <c r="B701" s="19" t="n"/>
      <c r="C701" s="19" t="n"/>
      <c r="D701" s="19" t="n"/>
      <c r="E701" s="19" t="n"/>
      <c r="F701" s="19" t="n"/>
      <c r="G701" s="19" t="n"/>
      <c r="H701" s="19" t="n"/>
      <c r="I701" s="19" t="n"/>
    </row>
    <row r="702" ht="15.75" customHeight="1" s="545">
      <c r="A702" s="19" t="n"/>
      <c r="B702" s="19" t="n"/>
      <c r="C702" s="19" t="n"/>
      <c r="D702" s="19" t="n"/>
      <c r="E702" s="19" t="n"/>
      <c r="F702" s="19" t="n"/>
      <c r="G702" s="19" t="n"/>
      <c r="H702" s="19" t="n"/>
      <c r="I702" s="19" t="n"/>
    </row>
    <row r="703" ht="15.75" customHeight="1" s="545">
      <c r="A703" s="19" t="n"/>
      <c r="B703" s="19" t="n"/>
      <c r="C703" s="19" t="n"/>
      <c r="D703" s="19" t="n"/>
      <c r="E703" s="19" t="n"/>
      <c r="F703" s="19" t="n"/>
      <c r="G703" s="19" t="n"/>
      <c r="H703" s="19" t="n"/>
      <c r="I703" s="19" t="n"/>
    </row>
    <row r="704" ht="15.75" customHeight="1" s="545">
      <c r="A704" s="19" t="n"/>
      <c r="B704" s="19" t="n"/>
      <c r="C704" s="19" t="n"/>
      <c r="D704" s="19" t="n"/>
      <c r="E704" s="19" t="n"/>
      <c r="F704" s="19" t="n"/>
      <c r="G704" s="19" t="n"/>
      <c r="H704" s="19" t="n"/>
      <c r="I704" s="19" t="n"/>
    </row>
    <row r="705" ht="15.75" customHeight="1" s="545">
      <c r="A705" s="19" t="n"/>
      <c r="B705" s="19" t="n"/>
      <c r="C705" s="19" t="n"/>
      <c r="D705" s="19" t="n"/>
      <c r="E705" s="19" t="n"/>
      <c r="F705" s="19" t="n"/>
      <c r="G705" s="19" t="n"/>
      <c r="H705" s="19" t="n"/>
      <c r="I705" s="19" t="n"/>
    </row>
    <row r="706" ht="15.75" customHeight="1" s="545">
      <c r="A706" s="19" t="n"/>
      <c r="B706" s="19" t="n"/>
      <c r="C706" s="19" t="n"/>
      <c r="D706" s="19" t="n"/>
      <c r="E706" s="19" t="n"/>
      <c r="F706" s="19" t="n"/>
      <c r="G706" s="19" t="n"/>
      <c r="H706" s="19" t="n"/>
      <c r="I706" s="19" t="n"/>
    </row>
    <row r="707" ht="15.75" customHeight="1" s="545">
      <c r="A707" s="19" t="n"/>
      <c r="B707" s="19" t="n"/>
      <c r="C707" s="19" t="n"/>
      <c r="D707" s="19" t="n"/>
      <c r="E707" s="19" t="n"/>
      <c r="F707" s="19" t="n"/>
      <c r="G707" s="19" t="n"/>
      <c r="H707" s="19" t="n"/>
      <c r="I707" s="19" t="n"/>
    </row>
    <row r="708" ht="15.75" customHeight="1" s="545">
      <c r="A708" s="19" t="n"/>
      <c r="B708" s="19" t="n"/>
      <c r="C708" s="19" t="n"/>
      <c r="D708" s="19" t="n"/>
      <c r="E708" s="19" t="n"/>
      <c r="F708" s="19" t="n"/>
      <c r="G708" s="19" t="n"/>
      <c r="H708" s="19" t="n"/>
      <c r="I708" s="19" t="n"/>
    </row>
    <row r="709" ht="15.75" customHeight="1" s="545">
      <c r="A709" s="19" t="n"/>
      <c r="B709" s="19" t="n"/>
      <c r="C709" s="19" t="n"/>
      <c r="D709" s="19" t="n"/>
      <c r="E709" s="19" t="n"/>
      <c r="F709" s="19" t="n"/>
      <c r="G709" s="19" t="n"/>
      <c r="H709" s="19" t="n"/>
      <c r="I709" s="19" t="n"/>
    </row>
    <row r="710" ht="15.75" customHeight="1" s="545">
      <c r="A710" s="19" t="n"/>
      <c r="B710" s="19" t="n"/>
      <c r="C710" s="19" t="n"/>
      <c r="D710" s="19" t="n"/>
      <c r="E710" s="19" t="n"/>
      <c r="F710" s="19" t="n"/>
      <c r="G710" s="19" t="n"/>
      <c r="H710" s="19" t="n"/>
      <c r="I710" s="19" t="n"/>
    </row>
    <row r="711" ht="15.75" customHeight="1" s="545">
      <c r="A711" s="19" t="n"/>
      <c r="B711" s="19" t="n"/>
      <c r="C711" s="19" t="n"/>
      <c r="D711" s="19" t="n"/>
      <c r="E711" s="19" t="n"/>
      <c r="F711" s="19" t="n"/>
      <c r="G711" s="19" t="n"/>
      <c r="H711" s="19" t="n"/>
      <c r="I711" s="19" t="n"/>
    </row>
    <row r="712" ht="15.75" customHeight="1" s="545">
      <c r="A712" s="19" t="n"/>
      <c r="B712" s="19" t="n"/>
      <c r="C712" s="19" t="n"/>
      <c r="D712" s="19" t="n"/>
      <c r="E712" s="19" t="n"/>
      <c r="F712" s="19" t="n"/>
      <c r="G712" s="19" t="n"/>
      <c r="H712" s="19" t="n"/>
      <c r="I712" s="19" t="n"/>
    </row>
    <row r="713" ht="15.75" customHeight="1" s="545">
      <c r="A713" s="19" t="n"/>
      <c r="B713" s="19" t="n"/>
      <c r="C713" s="19" t="n"/>
      <c r="D713" s="19" t="n"/>
      <c r="E713" s="19" t="n"/>
      <c r="F713" s="19" t="n"/>
      <c r="G713" s="19" t="n"/>
      <c r="H713" s="19" t="n"/>
      <c r="I713" s="19" t="n"/>
    </row>
    <row r="714" ht="15.75" customHeight="1" s="545">
      <c r="A714" s="19" t="n"/>
      <c r="B714" s="19" t="n"/>
      <c r="C714" s="19" t="n"/>
      <c r="D714" s="19" t="n"/>
      <c r="E714" s="19" t="n"/>
      <c r="F714" s="19" t="n"/>
      <c r="G714" s="19" t="n"/>
      <c r="H714" s="19" t="n"/>
      <c r="I714" s="19" t="n"/>
    </row>
    <row r="715" ht="15.75" customHeight="1" s="545">
      <c r="A715" s="19" t="n"/>
      <c r="B715" s="19" t="n"/>
      <c r="C715" s="19" t="n"/>
      <c r="D715" s="19" t="n"/>
      <c r="E715" s="19" t="n"/>
      <c r="F715" s="19" t="n"/>
      <c r="G715" s="19" t="n"/>
      <c r="H715" s="19" t="n"/>
      <c r="I715" s="19" t="n"/>
    </row>
    <row r="716" ht="15.75" customHeight="1" s="545">
      <c r="A716" s="19" t="n"/>
      <c r="B716" s="19" t="n"/>
      <c r="C716" s="19" t="n"/>
      <c r="D716" s="19" t="n"/>
      <c r="E716" s="19" t="n"/>
      <c r="F716" s="19" t="n"/>
      <c r="G716" s="19" t="n"/>
      <c r="H716" s="19" t="n"/>
      <c r="I716" s="19" t="n"/>
    </row>
    <row r="717" ht="15.75" customHeight="1" s="545">
      <c r="A717" s="19" t="n"/>
      <c r="B717" s="19" t="n"/>
      <c r="C717" s="19" t="n"/>
      <c r="D717" s="19" t="n"/>
      <c r="E717" s="19" t="n"/>
      <c r="F717" s="19" t="n"/>
      <c r="G717" s="19" t="n"/>
      <c r="H717" s="19" t="n"/>
      <c r="I717" s="19" t="n"/>
    </row>
    <row r="718" ht="15.75" customHeight="1" s="545">
      <c r="A718" s="19" t="n"/>
      <c r="B718" s="19" t="n"/>
      <c r="C718" s="19" t="n"/>
      <c r="D718" s="19" t="n"/>
      <c r="E718" s="19" t="n"/>
      <c r="F718" s="19" t="n"/>
      <c r="G718" s="19" t="n"/>
      <c r="H718" s="19" t="n"/>
      <c r="I718" s="19" t="n"/>
    </row>
    <row r="719" ht="15.75" customHeight="1" s="545">
      <c r="A719" s="19" t="n"/>
      <c r="B719" s="19" t="n"/>
      <c r="C719" s="19" t="n"/>
      <c r="D719" s="19" t="n"/>
      <c r="E719" s="19" t="n"/>
      <c r="F719" s="19" t="n"/>
      <c r="G719" s="19" t="n"/>
      <c r="H719" s="19" t="n"/>
      <c r="I719" s="19" t="n"/>
    </row>
    <row r="720" ht="15.75" customHeight="1" s="545">
      <c r="A720" s="19" t="n"/>
      <c r="B720" s="19" t="n"/>
      <c r="C720" s="19" t="n"/>
      <c r="D720" s="19" t="n"/>
      <c r="E720" s="19" t="n"/>
      <c r="F720" s="19" t="n"/>
      <c r="G720" s="19" t="n"/>
      <c r="H720" s="19" t="n"/>
      <c r="I720" s="19" t="n"/>
    </row>
    <row r="721" ht="15.75" customHeight="1" s="545">
      <c r="A721" s="19" t="n"/>
      <c r="B721" s="19" t="n"/>
      <c r="C721" s="19" t="n"/>
      <c r="D721" s="19" t="n"/>
      <c r="E721" s="19" t="n"/>
      <c r="F721" s="19" t="n"/>
      <c r="G721" s="19" t="n"/>
      <c r="H721" s="19" t="n"/>
      <c r="I721" s="19" t="n"/>
    </row>
    <row r="722" ht="15.75" customHeight="1" s="545">
      <c r="A722" s="19" t="n"/>
      <c r="B722" s="19" t="n"/>
      <c r="C722" s="19" t="n"/>
      <c r="D722" s="19" t="n"/>
      <c r="E722" s="19" t="n"/>
      <c r="F722" s="19" t="n"/>
      <c r="G722" s="19" t="n"/>
      <c r="H722" s="19" t="n"/>
      <c r="I722" s="19" t="n"/>
    </row>
    <row r="723" ht="15.75" customHeight="1" s="545">
      <c r="A723" s="19" t="n"/>
      <c r="B723" s="19" t="n"/>
      <c r="C723" s="19" t="n"/>
      <c r="D723" s="19" t="n"/>
      <c r="E723" s="19" t="n"/>
      <c r="F723" s="19" t="n"/>
      <c r="G723" s="19" t="n"/>
      <c r="H723" s="19" t="n"/>
      <c r="I723" s="19" t="n"/>
    </row>
    <row r="724" ht="15.75" customHeight="1" s="545">
      <c r="A724" s="19" t="n"/>
      <c r="B724" s="19" t="n"/>
      <c r="C724" s="19" t="n"/>
      <c r="D724" s="19" t="n"/>
      <c r="E724" s="19" t="n"/>
      <c r="F724" s="19" t="n"/>
      <c r="G724" s="19" t="n"/>
      <c r="H724" s="19" t="n"/>
      <c r="I724" s="19" t="n"/>
    </row>
    <row r="725" ht="15.75" customHeight="1" s="545">
      <c r="A725" s="19" t="n"/>
      <c r="B725" s="19" t="n"/>
      <c r="C725" s="19" t="n"/>
      <c r="D725" s="19" t="n"/>
      <c r="E725" s="19" t="n"/>
      <c r="F725" s="19" t="n"/>
      <c r="G725" s="19" t="n"/>
      <c r="H725" s="19" t="n"/>
      <c r="I725" s="19" t="n"/>
    </row>
    <row r="726" ht="15.75" customHeight="1" s="545">
      <c r="A726" s="19" t="n"/>
      <c r="B726" s="19" t="n"/>
      <c r="C726" s="19" t="n"/>
      <c r="D726" s="19" t="n"/>
      <c r="E726" s="19" t="n"/>
      <c r="F726" s="19" t="n"/>
      <c r="G726" s="19" t="n"/>
      <c r="H726" s="19" t="n"/>
      <c r="I726" s="19" t="n"/>
    </row>
    <row r="727" ht="15.75" customHeight="1" s="545">
      <c r="A727" s="19" t="n"/>
      <c r="B727" s="19" t="n"/>
      <c r="C727" s="19" t="n"/>
      <c r="D727" s="19" t="n"/>
      <c r="E727" s="19" t="n"/>
      <c r="F727" s="19" t="n"/>
      <c r="G727" s="19" t="n"/>
      <c r="H727" s="19" t="n"/>
      <c r="I727" s="19" t="n"/>
    </row>
    <row r="728" ht="15.75" customHeight="1" s="545">
      <c r="A728" s="19" t="n"/>
      <c r="B728" s="19" t="n"/>
      <c r="C728" s="19" t="n"/>
      <c r="D728" s="19" t="n"/>
      <c r="E728" s="19" t="n"/>
      <c r="F728" s="19" t="n"/>
      <c r="G728" s="19" t="n"/>
      <c r="H728" s="19" t="n"/>
      <c r="I728" s="19" t="n"/>
    </row>
    <row r="729" ht="15.75" customHeight="1" s="545">
      <c r="A729" s="19" t="n"/>
      <c r="B729" s="19" t="n"/>
      <c r="C729" s="19" t="n"/>
      <c r="D729" s="19" t="n"/>
      <c r="E729" s="19" t="n"/>
      <c r="F729" s="19" t="n"/>
      <c r="G729" s="19" t="n"/>
      <c r="H729" s="19" t="n"/>
      <c r="I729" s="19" t="n"/>
    </row>
    <row r="730" ht="15.75" customHeight="1" s="545">
      <c r="A730" s="19" t="n"/>
      <c r="B730" s="19" t="n"/>
      <c r="C730" s="19" t="n"/>
      <c r="D730" s="19" t="n"/>
      <c r="E730" s="19" t="n"/>
      <c r="F730" s="19" t="n"/>
      <c r="G730" s="19" t="n"/>
      <c r="H730" s="19" t="n"/>
      <c r="I730" s="19" t="n"/>
    </row>
    <row r="731" ht="15.75" customHeight="1" s="545">
      <c r="A731" s="19" t="n"/>
      <c r="B731" s="19" t="n"/>
      <c r="C731" s="19" t="n"/>
      <c r="D731" s="19" t="n"/>
      <c r="E731" s="19" t="n"/>
      <c r="F731" s="19" t="n"/>
      <c r="G731" s="19" t="n"/>
      <c r="H731" s="19" t="n"/>
      <c r="I731" s="19" t="n"/>
    </row>
    <row r="732" ht="15.75" customHeight="1" s="545">
      <c r="A732" s="19" t="n"/>
      <c r="B732" s="19" t="n"/>
      <c r="C732" s="19" t="n"/>
      <c r="D732" s="19" t="n"/>
      <c r="E732" s="19" t="n"/>
      <c r="F732" s="19" t="n"/>
      <c r="G732" s="19" t="n"/>
      <c r="H732" s="19" t="n"/>
      <c r="I732" s="19" t="n"/>
    </row>
    <row r="733" ht="15.75" customHeight="1" s="545">
      <c r="A733" s="19" t="n"/>
      <c r="B733" s="19" t="n"/>
      <c r="C733" s="19" t="n"/>
      <c r="D733" s="19" t="n"/>
      <c r="E733" s="19" t="n"/>
      <c r="F733" s="19" t="n"/>
      <c r="G733" s="19" t="n"/>
      <c r="H733" s="19" t="n"/>
      <c r="I733" s="19" t="n"/>
    </row>
    <row r="734" ht="15.75" customHeight="1" s="545">
      <c r="A734" s="19" t="n"/>
      <c r="B734" s="19" t="n"/>
      <c r="C734" s="19" t="n"/>
      <c r="D734" s="19" t="n"/>
      <c r="E734" s="19" t="n"/>
      <c r="F734" s="19" t="n"/>
      <c r="G734" s="19" t="n"/>
      <c r="H734" s="19" t="n"/>
      <c r="I734" s="19" t="n"/>
    </row>
    <row r="735" ht="15.75" customHeight="1" s="545">
      <c r="A735" s="19" t="n"/>
      <c r="B735" s="19" t="n"/>
      <c r="C735" s="19" t="n"/>
      <c r="D735" s="19" t="n"/>
      <c r="E735" s="19" t="n"/>
      <c r="F735" s="19" t="n"/>
      <c r="G735" s="19" t="n"/>
      <c r="H735" s="19" t="n"/>
      <c r="I735" s="19" t="n"/>
    </row>
    <row r="736" ht="15.75" customHeight="1" s="545">
      <c r="A736" s="19" t="n"/>
      <c r="B736" s="19" t="n"/>
      <c r="C736" s="19" t="n"/>
      <c r="D736" s="19" t="n"/>
      <c r="E736" s="19" t="n"/>
      <c r="F736" s="19" t="n"/>
      <c r="G736" s="19" t="n"/>
      <c r="H736" s="19" t="n"/>
      <c r="I736" s="19" t="n"/>
    </row>
    <row r="737" ht="15.75" customHeight="1" s="545">
      <c r="A737" s="19" t="n"/>
      <c r="B737" s="19" t="n"/>
      <c r="C737" s="19" t="n"/>
      <c r="D737" s="19" t="n"/>
      <c r="E737" s="19" t="n"/>
      <c r="F737" s="19" t="n"/>
      <c r="G737" s="19" t="n"/>
      <c r="H737" s="19" t="n"/>
      <c r="I737" s="19" t="n"/>
    </row>
    <row r="738" ht="15.75" customHeight="1" s="545">
      <c r="A738" s="19" t="n"/>
      <c r="B738" s="19" t="n"/>
      <c r="C738" s="19" t="n"/>
      <c r="D738" s="19" t="n"/>
      <c r="E738" s="19" t="n"/>
      <c r="F738" s="19" t="n"/>
      <c r="G738" s="19" t="n"/>
      <c r="H738" s="19" t="n"/>
      <c r="I738" s="19" t="n"/>
    </row>
    <row r="739" ht="15.75" customHeight="1" s="545">
      <c r="A739" s="19" t="n"/>
      <c r="B739" s="19" t="n"/>
      <c r="C739" s="19" t="n"/>
      <c r="D739" s="19" t="n"/>
      <c r="E739" s="19" t="n"/>
      <c r="F739" s="19" t="n"/>
      <c r="G739" s="19" t="n"/>
      <c r="H739" s="19" t="n"/>
      <c r="I739" s="19" t="n"/>
    </row>
    <row r="740" ht="15.75" customHeight="1" s="545">
      <c r="A740" s="19" t="n"/>
      <c r="B740" s="19" t="n"/>
      <c r="C740" s="19" t="n"/>
      <c r="D740" s="19" t="n"/>
      <c r="E740" s="19" t="n"/>
      <c r="F740" s="19" t="n"/>
      <c r="G740" s="19" t="n"/>
      <c r="H740" s="19" t="n"/>
      <c r="I740" s="19" t="n"/>
    </row>
    <row r="741" ht="15.75" customHeight="1" s="545">
      <c r="A741" s="19" t="n"/>
      <c r="B741" s="19" t="n"/>
      <c r="C741" s="19" t="n"/>
      <c r="D741" s="19" t="n"/>
      <c r="E741" s="19" t="n"/>
      <c r="F741" s="19" t="n"/>
      <c r="G741" s="19" t="n"/>
      <c r="H741" s="19" t="n"/>
      <c r="I741" s="19" t="n"/>
    </row>
    <row r="742" ht="15.75" customHeight="1" s="545">
      <c r="A742" s="19" t="n"/>
      <c r="B742" s="19" t="n"/>
      <c r="C742" s="19" t="n"/>
      <c r="D742" s="19" t="n"/>
      <c r="E742" s="19" t="n"/>
      <c r="F742" s="19" t="n"/>
      <c r="G742" s="19" t="n"/>
      <c r="H742" s="19" t="n"/>
      <c r="I742" s="19" t="n"/>
    </row>
    <row r="743" ht="15.75" customHeight="1" s="545">
      <c r="A743" s="19" t="n"/>
      <c r="B743" s="19" t="n"/>
      <c r="C743" s="19" t="n"/>
      <c r="D743" s="19" t="n"/>
      <c r="E743" s="19" t="n"/>
      <c r="F743" s="19" t="n"/>
      <c r="G743" s="19" t="n"/>
      <c r="H743" s="19" t="n"/>
      <c r="I743" s="19" t="n"/>
    </row>
    <row r="744" ht="15.75" customHeight="1" s="545">
      <c r="A744" s="19" t="n"/>
      <c r="B744" s="19" t="n"/>
      <c r="C744" s="19" t="n"/>
      <c r="D744" s="19" t="n"/>
      <c r="E744" s="19" t="n"/>
      <c r="F744" s="19" t="n"/>
      <c r="G744" s="19" t="n"/>
      <c r="H744" s="19" t="n"/>
      <c r="I744" s="19" t="n"/>
    </row>
    <row r="745" ht="15.75" customHeight="1" s="545">
      <c r="A745" s="19" t="n"/>
      <c r="B745" s="19" t="n"/>
      <c r="C745" s="19" t="n"/>
      <c r="D745" s="19" t="n"/>
      <c r="E745" s="19" t="n"/>
      <c r="F745" s="19" t="n"/>
      <c r="G745" s="19" t="n"/>
      <c r="H745" s="19" t="n"/>
      <c r="I745" s="19" t="n"/>
    </row>
    <row r="746" ht="15.75" customHeight="1" s="545">
      <c r="A746" s="19" t="n"/>
      <c r="B746" s="19" t="n"/>
      <c r="C746" s="19" t="n"/>
      <c r="D746" s="19" t="n"/>
      <c r="E746" s="19" t="n"/>
      <c r="F746" s="19" t="n"/>
      <c r="G746" s="19" t="n"/>
      <c r="H746" s="19" t="n"/>
      <c r="I746" s="19" t="n"/>
    </row>
    <row r="747" ht="15.75" customHeight="1" s="545">
      <c r="A747" s="19" t="n"/>
      <c r="B747" s="19" t="n"/>
      <c r="C747" s="19" t="n"/>
      <c r="D747" s="19" t="n"/>
      <c r="E747" s="19" t="n"/>
      <c r="F747" s="19" t="n"/>
      <c r="G747" s="19" t="n"/>
      <c r="H747" s="19" t="n"/>
      <c r="I747" s="19" t="n"/>
    </row>
    <row r="748" ht="15.75" customHeight="1" s="545">
      <c r="A748" s="19" t="n"/>
      <c r="B748" s="19" t="n"/>
      <c r="C748" s="19" t="n"/>
      <c r="D748" s="19" t="n"/>
      <c r="E748" s="19" t="n"/>
      <c r="F748" s="19" t="n"/>
      <c r="G748" s="19" t="n"/>
      <c r="H748" s="19" t="n"/>
      <c r="I748" s="19" t="n"/>
    </row>
    <row r="749" ht="15.75" customHeight="1" s="545">
      <c r="A749" s="19" t="n"/>
      <c r="B749" s="19" t="n"/>
      <c r="C749" s="19" t="n"/>
      <c r="D749" s="19" t="n"/>
      <c r="E749" s="19" t="n"/>
      <c r="F749" s="19" t="n"/>
      <c r="G749" s="19" t="n"/>
      <c r="H749" s="19" t="n"/>
      <c r="I749" s="19" t="n"/>
    </row>
    <row r="750" ht="15.75" customHeight="1" s="545">
      <c r="A750" s="19" t="n"/>
      <c r="B750" s="19" t="n"/>
      <c r="C750" s="19" t="n"/>
      <c r="D750" s="19" t="n"/>
      <c r="E750" s="19" t="n"/>
      <c r="F750" s="19" t="n"/>
      <c r="G750" s="19" t="n"/>
      <c r="H750" s="19" t="n"/>
      <c r="I750" s="19" t="n"/>
    </row>
    <row r="751" ht="15.75" customHeight="1" s="545">
      <c r="A751" s="19" t="n"/>
      <c r="B751" s="19" t="n"/>
      <c r="C751" s="19" t="n"/>
      <c r="D751" s="19" t="n"/>
      <c r="E751" s="19" t="n"/>
      <c r="F751" s="19" t="n"/>
      <c r="G751" s="19" t="n"/>
      <c r="H751" s="19" t="n"/>
      <c r="I751" s="19" t="n"/>
    </row>
    <row r="752" ht="15.75" customHeight="1" s="545">
      <c r="A752" s="19" t="n"/>
      <c r="B752" s="19" t="n"/>
      <c r="C752" s="19" t="n"/>
      <c r="D752" s="19" t="n"/>
      <c r="E752" s="19" t="n"/>
      <c r="F752" s="19" t="n"/>
      <c r="G752" s="19" t="n"/>
      <c r="H752" s="19" t="n"/>
      <c r="I752" s="19" t="n"/>
    </row>
    <row r="753" ht="15.75" customHeight="1" s="545">
      <c r="A753" s="19" t="n"/>
      <c r="B753" s="19" t="n"/>
      <c r="C753" s="19" t="n"/>
      <c r="D753" s="19" t="n"/>
      <c r="E753" s="19" t="n"/>
      <c r="F753" s="19" t="n"/>
      <c r="G753" s="19" t="n"/>
      <c r="H753" s="19" t="n"/>
      <c r="I753" s="19" t="n"/>
    </row>
    <row r="754" ht="15.75" customHeight="1" s="545">
      <c r="A754" s="19" t="n"/>
      <c r="B754" s="19" t="n"/>
      <c r="C754" s="19" t="n"/>
      <c r="D754" s="19" t="n"/>
      <c r="E754" s="19" t="n"/>
      <c r="F754" s="19" t="n"/>
      <c r="G754" s="19" t="n"/>
      <c r="H754" s="19" t="n"/>
      <c r="I754" s="19" t="n"/>
    </row>
    <row r="755" ht="15.75" customHeight="1" s="545">
      <c r="A755" s="19" t="n"/>
      <c r="B755" s="19" t="n"/>
      <c r="C755" s="19" t="n"/>
      <c r="D755" s="19" t="n"/>
      <c r="E755" s="19" t="n"/>
      <c r="F755" s="19" t="n"/>
      <c r="G755" s="19" t="n"/>
      <c r="H755" s="19" t="n"/>
      <c r="I755" s="19" t="n"/>
    </row>
    <row r="756" ht="15.75" customHeight="1" s="545">
      <c r="A756" s="19" t="n"/>
      <c r="B756" s="19" t="n"/>
      <c r="C756" s="19" t="n"/>
      <c r="D756" s="19" t="n"/>
      <c r="E756" s="19" t="n"/>
      <c r="F756" s="19" t="n"/>
      <c r="G756" s="19" t="n"/>
      <c r="H756" s="19" t="n"/>
      <c r="I756" s="19" t="n"/>
    </row>
    <row r="757" ht="15.75" customHeight="1" s="545">
      <c r="A757" s="19" t="n"/>
      <c r="B757" s="19" t="n"/>
      <c r="C757" s="19" t="n"/>
      <c r="D757" s="19" t="n"/>
      <c r="E757" s="19" t="n"/>
      <c r="F757" s="19" t="n"/>
      <c r="G757" s="19" t="n"/>
      <c r="H757" s="19" t="n"/>
      <c r="I757" s="19" t="n"/>
    </row>
    <row r="758" ht="15.75" customHeight="1" s="545">
      <c r="A758" s="19" t="n"/>
      <c r="B758" s="19" t="n"/>
      <c r="C758" s="19" t="n"/>
      <c r="D758" s="19" t="n"/>
      <c r="E758" s="19" t="n"/>
      <c r="F758" s="19" t="n"/>
      <c r="G758" s="19" t="n"/>
      <c r="H758" s="19" t="n"/>
      <c r="I758" s="19" t="n"/>
    </row>
    <row r="759" ht="15.75" customHeight="1" s="545">
      <c r="A759" s="19" t="n"/>
      <c r="B759" s="19" t="n"/>
      <c r="C759" s="19" t="n"/>
      <c r="D759" s="19" t="n"/>
      <c r="E759" s="19" t="n"/>
      <c r="F759" s="19" t="n"/>
      <c r="G759" s="19" t="n"/>
      <c r="H759" s="19" t="n"/>
      <c r="I759" s="19" t="n"/>
    </row>
    <row r="760" ht="15.75" customHeight="1" s="545">
      <c r="A760" s="19" t="n"/>
      <c r="B760" s="19" t="n"/>
      <c r="C760" s="19" t="n"/>
      <c r="D760" s="19" t="n"/>
      <c r="E760" s="19" t="n"/>
      <c r="F760" s="19" t="n"/>
      <c r="G760" s="19" t="n"/>
      <c r="H760" s="19" t="n"/>
      <c r="I760" s="19" t="n"/>
    </row>
    <row r="761" ht="15.75" customHeight="1" s="545">
      <c r="A761" s="19" t="n"/>
      <c r="B761" s="19" t="n"/>
      <c r="C761" s="19" t="n"/>
      <c r="D761" s="19" t="n"/>
      <c r="E761" s="19" t="n"/>
      <c r="F761" s="19" t="n"/>
      <c r="G761" s="19" t="n"/>
      <c r="H761" s="19" t="n"/>
      <c r="I761" s="19" t="n"/>
    </row>
    <row r="762" ht="15.75" customHeight="1" s="545">
      <c r="A762" s="19" t="n"/>
      <c r="B762" s="19" t="n"/>
      <c r="C762" s="19" t="n"/>
      <c r="D762" s="19" t="n"/>
      <c r="E762" s="19" t="n"/>
      <c r="F762" s="19" t="n"/>
      <c r="G762" s="19" t="n"/>
      <c r="H762" s="19" t="n"/>
      <c r="I762" s="19" t="n"/>
    </row>
    <row r="763" ht="15.75" customHeight="1" s="545">
      <c r="A763" s="19" t="n"/>
      <c r="B763" s="19" t="n"/>
      <c r="C763" s="19" t="n"/>
      <c r="D763" s="19" t="n"/>
      <c r="E763" s="19" t="n"/>
      <c r="F763" s="19" t="n"/>
      <c r="G763" s="19" t="n"/>
      <c r="H763" s="19" t="n"/>
      <c r="I763" s="19" t="n"/>
    </row>
    <row r="764" ht="15.75" customHeight="1" s="545">
      <c r="A764" s="19" t="n"/>
      <c r="B764" s="19" t="n"/>
      <c r="C764" s="19" t="n"/>
      <c r="D764" s="19" t="n"/>
      <c r="E764" s="19" t="n"/>
      <c r="F764" s="19" t="n"/>
      <c r="G764" s="19" t="n"/>
      <c r="H764" s="19" t="n"/>
      <c r="I764" s="19" t="n"/>
    </row>
    <row r="765" ht="15.75" customHeight="1" s="545">
      <c r="A765" s="19" t="n"/>
      <c r="B765" s="19" t="n"/>
      <c r="C765" s="19" t="n"/>
      <c r="D765" s="19" t="n"/>
      <c r="E765" s="19" t="n"/>
      <c r="F765" s="19" t="n"/>
      <c r="G765" s="19" t="n"/>
      <c r="H765" s="19" t="n"/>
      <c r="I765" s="19" t="n"/>
    </row>
    <row r="766" ht="15.75" customHeight="1" s="545">
      <c r="A766" s="19" t="n"/>
      <c r="B766" s="19" t="n"/>
      <c r="C766" s="19" t="n"/>
      <c r="D766" s="19" t="n"/>
      <c r="E766" s="19" t="n"/>
      <c r="F766" s="19" t="n"/>
      <c r="G766" s="19" t="n"/>
      <c r="H766" s="19" t="n"/>
      <c r="I766" s="19" t="n"/>
    </row>
    <row r="767" ht="15.75" customHeight="1" s="545">
      <c r="A767" s="19" t="n"/>
      <c r="B767" s="19" t="n"/>
      <c r="C767" s="19" t="n"/>
      <c r="D767" s="19" t="n"/>
      <c r="E767" s="19" t="n"/>
      <c r="F767" s="19" t="n"/>
      <c r="G767" s="19" t="n"/>
      <c r="H767" s="19" t="n"/>
      <c r="I767" s="19" t="n"/>
    </row>
    <row r="768" ht="15.75" customHeight="1" s="545">
      <c r="A768" s="19" t="n"/>
      <c r="B768" s="19" t="n"/>
      <c r="C768" s="19" t="n"/>
      <c r="D768" s="19" t="n"/>
      <c r="E768" s="19" t="n"/>
      <c r="F768" s="19" t="n"/>
      <c r="G768" s="19" t="n"/>
      <c r="H768" s="19" t="n"/>
      <c r="I768" s="19" t="n"/>
    </row>
    <row r="769" ht="15.75" customHeight="1" s="545">
      <c r="A769" s="19" t="n"/>
      <c r="B769" s="19" t="n"/>
      <c r="C769" s="19" t="n"/>
      <c r="D769" s="19" t="n"/>
      <c r="E769" s="19" t="n"/>
      <c r="F769" s="19" t="n"/>
      <c r="G769" s="19" t="n"/>
      <c r="H769" s="19" t="n"/>
      <c r="I769" s="19" t="n"/>
    </row>
    <row r="770" ht="15.75" customHeight="1" s="545">
      <c r="A770" s="19" t="n"/>
      <c r="B770" s="19" t="n"/>
      <c r="C770" s="19" t="n"/>
      <c r="D770" s="19" t="n"/>
      <c r="E770" s="19" t="n"/>
      <c r="F770" s="19" t="n"/>
      <c r="G770" s="19" t="n"/>
      <c r="H770" s="19" t="n"/>
      <c r="I770" s="19" t="n"/>
    </row>
    <row r="771" ht="15.75" customHeight="1" s="545">
      <c r="A771" s="19" t="n"/>
      <c r="B771" s="19" t="n"/>
      <c r="C771" s="19" t="n"/>
      <c r="D771" s="19" t="n"/>
      <c r="E771" s="19" t="n"/>
      <c r="F771" s="19" t="n"/>
      <c r="G771" s="19" t="n"/>
      <c r="H771" s="19" t="n"/>
      <c r="I771" s="19" t="n"/>
    </row>
    <row r="772" ht="15.75" customHeight="1" s="545">
      <c r="A772" s="19" t="n"/>
      <c r="B772" s="19" t="n"/>
      <c r="C772" s="19" t="n"/>
      <c r="D772" s="19" t="n"/>
      <c r="E772" s="19" t="n"/>
      <c r="F772" s="19" t="n"/>
      <c r="G772" s="19" t="n"/>
      <c r="H772" s="19" t="n"/>
      <c r="I772" s="19" t="n"/>
    </row>
    <row r="773" ht="15.75" customHeight="1" s="545">
      <c r="A773" s="19" t="n"/>
      <c r="B773" s="19" t="n"/>
      <c r="C773" s="19" t="n"/>
      <c r="D773" s="19" t="n"/>
      <c r="E773" s="19" t="n"/>
      <c r="F773" s="19" t="n"/>
      <c r="G773" s="19" t="n"/>
      <c r="H773" s="19" t="n"/>
      <c r="I773" s="19" t="n"/>
    </row>
    <row r="774" ht="15.75" customHeight="1" s="545">
      <c r="A774" s="19" t="n"/>
      <c r="B774" s="19" t="n"/>
      <c r="C774" s="19" t="n"/>
      <c r="D774" s="19" t="n"/>
      <c r="E774" s="19" t="n"/>
      <c r="F774" s="19" t="n"/>
      <c r="G774" s="19" t="n"/>
      <c r="H774" s="19" t="n"/>
      <c r="I774" s="19" t="n"/>
    </row>
    <row r="775" ht="15.75" customHeight="1" s="545">
      <c r="A775" s="19" t="n"/>
      <c r="B775" s="19" t="n"/>
      <c r="C775" s="19" t="n"/>
      <c r="D775" s="19" t="n"/>
      <c r="E775" s="19" t="n"/>
      <c r="F775" s="19" t="n"/>
      <c r="G775" s="19" t="n"/>
      <c r="H775" s="19" t="n"/>
      <c r="I775" s="19" t="n"/>
    </row>
    <row r="776" ht="15.75" customHeight="1" s="545">
      <c r="A776" s="19" t="n"/>
      <c r="B776" s="19" t="n"/>
      <c r="C776" s="19" t="n"/>
      <c r="D776" s="19" t="n"/>
      <c r="E776" s="19" t="n"/>
      <c r="F776" s="19" t="n"/>
      <c r="G776" s="19" t="n"/>
      <c r="H776" s="19" t="n"/>
      <c r="I776" s="19" t="n"/>
    </row>
    <row r="777" ht="15.75" customHeight="1" s="545">
      <c r="A777" s="19" t="n"/>
      <c r="B777" s="19" t="n"/>
      <c r="C777" s="19" t="n"/>
      <c r="D777" s="19" t="n"/>
      <c r="E777" s="19" t="n"/>
      <c r="F777" s="19" t="n"/>
      <c r="G777" s="19" t="n"/>
      <c r="H777" s="19" t="n"/>
      <c r="I777" s="19" t="n"/>
    </row>
    <row r="778" ht="15.75" customHeight="1" s="545">
      <c r="A778" s="19" t="n"/>
      <c r="B778" s="19" t="n"/>
      <c r="C778" s="19" t="n"/>
      <c r="D778" s="19" t="n"/>
      <c r="E778" s="19" t="n"/>
      <c r="F778" s="19" t="n"/>
      <c r="G778" s="19" t="n"/>
      <c r="H778" s="19" t="n"/>
      <c r="I778" s="19" t="n"/>
    </row>
    <row r="779" ht="15.75" customHeight="1" s="545">
      <c r="A779" s="19" t="n"/>
      <c r="B779" s="19" t="n"/>
      <c r="C779" s="19" t="n"/>
      <c r="D779" s="19" t="n"/>
      <c r="E779" s="19" t="n"/>
      <c r="F779" s="19" t="n"/>
      <c r="G779" s="19" t="n"/>
      <c r="H779" s="19" t="n"/>
      <c r="I779" s="19" t="n"/>
    </row>
    <row r="780" ht="15.75" customHeight="1" s="545">
      <c r="A780" s="19" t="n"/>
      <c r="B780" s="19" t="n"/>
      <c r="C780" s="19" t="n"/>
      <c r="D780" s="19" t="n"/>
      <c r="E780" s="19" t="n"/>
      <c r="F780" s="19" t="n"/>
      <c r="G780" s="19" t="n"/>
      <c r="H780" s="19" t="n"/>
      <c r="I780" s="19" t="n"/>
    </row>
    <row r="781" ht="15.75" customHeight="1" s="545">
      <c r="A781" s="19" t="n"/>
      <c r="B781" s="19" t="n"/>
      <c r="C781" s="19" t="n"/>
      <c r="D781" s="19" t="n"/>
      <c r="E781" s="19" t="n"/>
      <c r="F781" s="19" t="n"/>
      <c r="G781" s="19" t="n"/>
      <c r="H781" s="19" t="n"/>
      <c r="I781" s="19" t="n"/>
    </row>
    <row r="782" ht="15.75" customHeight="1" s="545">
      <c r="A782" s="19" t="n"/>
      <c r="B782" s="19" t="n"/>
      <c r="C782" s="19" t="n"/>
      <c r="D782" s="19" t="n"/>
      <c r="E782" s="19" t="n"/>
      <c r="F782" s="19" t="n"/>
      <c r="G782" s="19" t="n"/>
      <c r="H782" s="19" t="n"/>
      <c r="I782" s="19" t="n"/>
    </row>
    <row r="783" ht="15.75" customHeight="1" s="545">
      <c r="A783" s="19" t="n"/>
      <c r="B783" s="19" t="n"/>
      <c r="C783" s="19" t="n"/>
      <c r="D783" s="19" t="n"/>
      <c r="E783" s="19" t="n"/>
      <c r="F783" s="19" t="n"/>
      <c r="G783" s="19" t="n"/>
      <c r="H783" s="19" t="n"/>
      <c r="I783" s="19" t="n"/>
    </row>
    <row r="784" ht="15.75" customHeight="1" s="545">
      <c r="A784" s="19" t="n"/>
      <c r="B784" s="19" t="n"/>
      <c r="C784" s="19" t="n"/>
      <c r="D784" s="19" t="n"/>
      <c r="E784" s="19" t="n"/>
      <c r="F784" s="19" t="n"/>
      <c r="G784" s="19" t="n"/>
      <c r="H784" s="19" t="n"/>
      <c r="I784" s="19" t="n"/>
    </row>
    <row r="785" ht="15.75" customHeight="1" s="545">
      <c r="A785" s="19" t="n"/>
      <c r="B785" s="19" t="n"/>
      <c r="C785" s="19" t="n"/>
      <c r="D785" s="19" t="n"/>
      <c r="E785" s="19" t="n"/>
      <c r="F785" s="19" t="n"/>
      <c r="G785" s="19" t="n"/>
      <c r="H785" s="19" t="n"/>
      <c r="I785" s="19" t="n"/>
    </row>
    <row r="786" ht="15.75" customHeight="1" s="545">
      <c r="A786" s="19" t="n"/>
      <c r="B786" s="19" t="n"/>
      <c r="C786" s="19" t="n"/>
      <c r="D786" s="19" t="n"/>
      <c r="E786" s="19" t="n"/>
      <c r="F786" s="19" t="n"/>
      <c r="G786" s="19" t="n"/>
      <c r="H786" s="19" t="n"/>
      <c r="I786" s="19" t="n"/>
    </row>
    <row r="787" ht="15.75" customHeight="1" s="545">
      <c r="A787" s="19" t="n"/>
      <c r="B787" s="19" t="n"/>
      <c r="C787" s="19" t="n"/>
      <c r="D787" s="19" t="n"/>
      <c r="E787" s="19" t="n"/>
      <c r="F787" s="19" t="n"/>
      <c r="G787" s="19" t="n"/>
      <c r="H787" s="19" t="n"/>
      <c r="I787" s="19" t="n"/>
    </row>
    <row r="788" ht="15.75" customHeight="1" s="545">
      <c r="A788" s="19" t="n"/>
      <c r="B788" s="19" t="n"/>
      <c r="C788" s="19" t="n"/>
      <c r="D788" s="19" t="n"/>
      <c r="E788" s="19" t="n"/>
      <c r="F788" s="19" t="n"/>
      <c r="G788" s="19" t="n"/>
      <c r="H788" s="19" t="n"/>
      <c r="I788" s="19" t="n"/>
    </row>
    <row r="789" ht="15.75" customHeight="1" s="545">
      <c r="A789" s="19" t="n"/>
      <c r="B789" s="19" t="n"/>
      <c r="C789" s="19" t="n"/>
      <c r="D789" s="19" t="n"/>
      <c r="E789" s="19" t="n"/>
      <c r="F789" s="19" t="n"/>
      <c r="G789" s="19" t="n"/>
      <c r="H789" s="19" t="n"/>
      <c r="I789" s="19" t="n"/>
    </row>
    <row r="790" ht="15.75" customHeight="1" s="545">
      <c r="A790" s="19" t="n"/>
      <c r="B790" s="19" t="n"/>
      <c r="C790" s="19" t="n"/>
      <c r="D790" s="19" t="n"/>
      <c r="E790" s="19" t="n"/>
      <c r="F790" s="19" t="n"/>
      <c r="G790" s="19" t="n"/>
      <c r="H790" s="19" t="n"/>
      <c r="I790" s="19" t="n"/>
    </row>
    <row r="791" ht="15.75" customHeight="1" s="545">
      <c r="A791" s="19" t="n"/>
      <c r="B791" s="19" t="n"/>
      <c r="C791" s="19" t="n"/>
      <c r="D791" s="19" t="n"/>
      <c r="E791" s="19" t="n"/>
      <c r="F791" s="19" t="n"/>
      <c r="G791" s="19" t="n"/>
      <c r="H791" s="19" t="n"/>
      <c r="I791" s="19" t="n"/>
    </row>
    <row r="792" ht="15.75" customHeight="1" s="545">
      <c r="A792" s="19" t="n"/>
      <c r="B792" s="19" t="n"/>
      <c r="C792" s="19" t="n"/>
      <c r="D792" s="19" t="n"/>
      <c r="E792" s="19" t="n"/>
      <c r="F792" s="19" t="n"/>
      <c r="G792" s="19" t="n"/>
      <c r="H792" s="19" t="n"/>
      <c r="I792" s="19" t="n"/>
    </row>
    <row r="793" ht="15.75" customHeight="1" s="545">
      <c r="A793" s="19" t="n"/>
      <c r="B793" s="19" t="n"/>
      <c r="C793" s="19" t="n"/>
      <c r="D793" s="19" t="n"/>
      <c r="E793" s="19" t="n"/>
      <c r="F793" s="19" t="n"/>
      <c r="G793" s="19" t="n"/>
      <c r="H793" s="19" t="n"/>
      <c r="I793" s="19" t="n"/>
    </row>
    <row r="794" ht="15.75" customHeight="1" s="545">
      <c r="A794" s="19" t="n"/>
      <c r="B794" s="19" t="n"/>
      <c r="C794" s="19" t="n"/>
      <c r="D794" s="19" t="n"/>
      <c r="E794" s="19" t="n"/>
      <c r="F794" s="19" t="n"/>
      <c r="G794" s="19" t="n"/>
      <c r="H794" s="19" t="n"/>
      <c r="I794" s="19" t="n"/>
    </row>
    <row r="795" ht="15.75" customHeight="1" s="545">
      <c r="A795" s="19" t="n"/>
      <c r="B795" s="19" t="n"/>
      <c r="C795" s="19" t="n"/>
      <c r="D795" s="19" t="n"/>
      <c r="E795" s="19" t="n"/>
      <c r="F795" s="19" t="n"/>
      <c r="G795" s="19" t="n"/>
      <c r="H795" s="19" t="n"/>
      <c r="I795" s="19" t="n"/>
    </row>
    <row r="796" ht="15.75" customHeight="1" s="545">
      <c r="A796" s="19" t="n"/>
      <c r="B796" s="19" t="n"/>
      <c r="C796" s="19" t="n"/>
      <c r="D796" s="19" t="n"/>
      <c r="E796" s="19" t="n"/>
      <c r="F796" s="19" t="n"/>
      <c r="G796" s="19" t="n"/>
      <c r="H796" s="19" t="n"/>
      <c r="I796" s="19" t="n"/>
    </row>
    <row r="797" ht="15.75" customHeight="1" s="545">
      <c r="A797" s="19" t="n"/>
      <c r="B797" s="19" t="n"/>
      <c r="C797" s="19" t="n"/>
      <c r="D797" s="19" t="n"/>
      <c r="E797" s="19" t="n"/>
      <c r="F797" s="19" t="n"/>
      <c r="G797" s="19" t="n"/>
      <c r="H797" s="19" t="n"/>
      <c r="I797" s="19" t="n"/>
    </row>
    <row r="798" ht="15.75" customHeight="1" s="545">
      <c r="A798" s="19" t="n"/>
      <c r="B798" s="19" t="n"/>
      <c r="C798" s="19" t="n"/>
      <c r="D798" s="19" t="n"/>
      <c r="E798" s="19" t="n"/>
      <c r="F798" s="19" t="n"/>
      <c r="G798" s="19" t="n"/>
      <c r="H798" s="19" t="n"/>
      <c r="I798" s="19" t="n"/>
    </row>
    <row r="799" ht="15.75" customHeight="1" s="545">
      <c r="A799" s="19" t="n"/>
      <c r="B799" s="19" t="n"/>
      <c r="C799" s="19" t="n"/>
      <c r="D799" s="19" t="n"/>
      <c r="E799" s="19" t="n"/>
      <c r="F799" s="19" t="n"/>
      <c r="G799" s="19" t="n"/>
      <c r="H799" s="19" t="n"/>
      <c r="I799" s="19" t="n"/>
    </row>
    <row r="800" ht="15.75" customHeight="1" s="545">
      <c r="A800" s="19" t="n"/>
      <c r="B800" s="19" t="n"/>
      <c r="C800" s="19" t="n"/>
      <c r="D800" s="19" t="n"/>
      <c r="E800" s="19" t="n"/>
      <c r="F800" s="19" t="n"/>
      <c r="G800" s="19" t="n"/>
      <c r="H800" s="19" t="n"/>
      <c r="I800" s="19" t="n"/>
    </row>
    <row r="801" ht="15.75" customHeight="1" s="545">
      <c r="A801" s="19" t="n"/>
      <c r="B801" s="19" t="n"/>
      <c r="C801" s="19" t="n"/>
      <c r="D801" s="19" t="n"/>
      <c r="E801" s="19" t="n"/>
      <c r="F801" s="19" t="n"/>
      <c r="G801" s="19" t="n"/>
      <c r="H801" s="19" t="n"/>
      <c r="I801" s="19" t="n"/>
    </row>
    <row r="802" ht="15.75" customHeight="1" s="545">
      <c r="A802" s="19" t="n"/>
      <c r="B802" s="19" t="n"/>
      <c r="C802" s="19" t="n"/>
      <c r="D802" s="19" t="n"/>
      <c r="E802" s="19" t="n"/>
      <c r="F802" s="19" t="n"/>
      <c r="G802" s="19" t="n"/>
      <c r="H802" s="19" t="n"/>
      <c r="I802" s="19" t="n"/>
    </row>
    <row r="803" ht="15.75" customHeight="1" s="545">
      <c r="A803" s="19" t="n"/>
      <c r="B803" s="19" t="n"/>
      <c r="C803" s="19" t="n"/>
      <c r="D803" s="19" t="n"/>
      <c r="E803" s="19" t="n"/>
      <c r="F803" s="19" t="n"/>
      <c r="G803" s="19" t="n"/>
      <c r="H803" s="19" t="n"/>
      <c r="I803" s="19" t="n"/>
    </row>
    <row r="804" ht="15.75" customHeight="1" s="545">
      <c r="A804" s="19" t="n"/>
      <c r="B804" s="19" t="n"/>
      <c r="C804" s="19" t="n"/>
      <c r="D804" s="19" t="n"/>
      <c r="E804" s="19" t="n"/>
      <c r="F804" s="19" t="n"/>
      <c r="G804" s="19" t="n"/>
      <c r="H804" s="19" t="n"/>
      <c r="I804" s="19" t="n"/>
    </row>
    <row r="805" ht="15.75" customHeight="1" s="545">
      <c r="A805" s="19" t="n"/>
      <c r="B805" s="19" t="n"/>
      <c r="C805" s="19" t="n"/>
      <c r="D805" s="19" t="n"/>
      <c r="E805" s="19" t="n"/>
      <c r="F805" s="19" t="n"/>
      <c r="G805" s="19" t="n"/>
      <c r="H805" s="19" t="n"/>
      <c r="I805" s="19" t="n"/>
    </row>
    <row r="806" ht="15.75" customHeight="1" s="545">
      <c r="A806" s="19" t="n"/>
      <c r="B806" s="19" t="n"/>
      <c r="C806" s="19" t="n"/>
      <c r="D806" s="19" t="n"/>
      <c r="E806" s="19" t="n"/>
      <c r="F806" s="19" t="n"/>
      <c r="G806" s="19" t="n"/>
      <c r="H806" s="19" t="n"/>
      <c r="I806" s="19" t="n"/>
    </row>
    <row r="807" ht="15.75" customHeight="1" s="545">
      <c r="A807" s="19" t="n"/>
      <c r="B807" s="19" t="n"/>
      <c r="C807" s="19" t="n"/>
      <c r="D807" s="19" t="n"/>
      <c r="E807" s="19" t="n"/>
      <c r="F807" s="19" t="n"/>
      <c r="G807" s="19" t="n"/>
      <c r="H807" s="19" t="n"/>
      <c r="I807" s="19" t="n"/>
    </row>
    <row r="808" ht="15.75" customHeight="1" s="545">
      <c r="A808" s="19" t="n"/>
      <c r="B808" s="19" t="n"/>
      <c r="C808" s="19" t="n"/>
      <c r="D808" s="19" t="n"/>
      <c r="E808" s="19" t="n"/>
      <c r="F808" s="19" t="n"/>
      <c r="G808" s="19" t="n"/>
      <c r="H808" s="19" t="n"/>
      <c r="I808" s="19" t="n"/>
    </row>
    <row r="809" ht="15.75" customHeight="1" s="545">
      <c r="A809" s="19" t="n"/>
      <c r="B809" s="19" t="n"/>
      <c r="C809" s="19" t="n"/>
      <c r="D809" s="19" t="n"/>
      <c r="E809" s="19" t="n"/>
      <c r="F809" s="19" t="n"/>
      <c r="G809" s="19" t="n"/>
      <c r="H809" s="19" t="n"/>
      <c r="I809" s="19" t="n"/>
    </row>
    <row r="810" ht="15.75" customHeight="1" s="545">
      <c r="A810" s="19" t="n"/>
      <c r="B810" s="19" t="n"/>
      <c r="C810" s="19" t="n"/>
      <c r="D810" s="19" t="n"/>
      <c r="E810" s="19" t="n"/>
      <c r="F810" s="19" t="n"/>
      <c r="G810" s="19" t="n"/>
      <c r="H810" s="19" t="n"/>
      <c r="I810" s="19" t="n"/>
    </row>
    <row r="811" ht="15.75" customHeight="1" s="545">
      <c r="A811" s="19" t="n"/>
      <c r="B811" s="19" t="n"/>
      <c r="C811" s="19" t="n"/>
      <c r="D811" s="19" t="n"/>
      <c r="E811" s="19" t="n"/>
      <c r="F811" s="19" t="n"/>
      <c r="G811" s="19" t="n"/>
      <c r="H811" s="19" t="n"/>
      <c r="I811" s="19" t="n"/>
    </row>
    <row r="812" ht="15.75" customHeight="1" s="545">
      <c r="A812" s="19" t="n"/>
      <c r="B812" s="19" t="n"/>
      <c r="C812" s="19" t="n"/>
      <c r="D812" s="19" t="n"/>
      <c r="E812" s="19" t="n"/>
      <c r="F812" s="19" t="n"/>
      <c r="G812" s="19" t="n"/>
      <c r="H812" s="19" t="n"/>
      <c r="I812" s="19" t="n"/>
    </row>
    <row r="813" ht="15.75" customHeight="1" s="545">
      <c r="A813" s="19" t="n"/>
      <c r="B813" s="19" t="n"/>
      <c r="C813" s="19" t="n"/>
      <c r="D813" s="19" t="n"/>
      <c r="E813" s="19" t="n"/>
      <c r="F813" s="19" t="n"/>
      <c r="G813" s="19" t="n"/>
      <c r="H813" s="19" t="n"/>
      <c r="I813" s="19" t="n"/>
    </row>
    <row r="814" ht="15.75" customHeight="1" s="545">
      <c r="A814" s="19" t="n"/>
      <c r="B814" s="19" t="n"/>
      <c r="C814" s="19" t="n"/>
      <c r="D814" s="19" t="n"/>
      <c r="E814" s="19" t="n"/>
      <c r="F814" s="19" t="n"/>
      <c r="G814" s="19" t="n"/>
      <c r="H814" s="19" t="n"/>
      <c r="I814" s="19" t="n"/>
    </row>
    <row r="815" ht="15.75" customHeight="1" s="545">
      <c r="A815" s="19" t="n"/>
      <c r="B815" s="19" t="n"/>
      <c r="C815" s="19" t="n"/>
      <c r="D815" s="19" t="n"/>
      <c r="E815" s="19" t="n"/>
      <c r="F815" s="19" t="n"/>
      <c r="G815" s="19" t="n"/>
      <c r="H815" s="19" t="n"/>
      <c r="I815" s="19" t="n"/>
    </row>
    <row r="816" ht="15.75" customHeight="1" s="545">
      <c r="A816" s="19" t="n"/>
      <c r="B816" s="19" t="n"/>
      <c r="C816" s="19" t="n"/>
      <c r="D816" s="19" t="n"/>
      <c r="E816" s="19" t="n"/>
      <c r="F816" s="19" t="n"/>
      <c r="G816" s="19" t="n"/>
      <c r="H816" s="19" t="n"/>
      <c r="I816" s="19" t="n"/>
    </row>
    <row r="817" ht="15.75" customHeight="1" s="545">
      <c r="A817" s="19" t="n"/>
      <c r="B817" s="19" t="n"/>
      <c r="C817" s="19" t="n"/>
      <c r="D817" s="19" t="n"/>
      <c r="E817" s="19" t="n"/>
      <c r="F817" s="19" t="n"/>
      <c r="G817" s="19" t="n"/>
      <c r="H817" s="19" t="n"/>
      <c r="I817" s="19" t="n"/>
    </row>
    <row r="818" ht="15.75" customHeight="1" s="545">
      <c r="A818" s="19" t="n"/>
      <c r="B818" s="19" t="n"/>
      <c r="C818" s="19" t="n"/>
      <c r="D818" s="19" t="n"/>
      <c r="E818" s="19" t="n"/>
      <c r="F818" s="19" t="n"/>
      <c r="G818" s="19" t="n"/>
      <c r="H818" s="19" t="n"/>
      <c r="I818" s="19" t="n"/>
    </row>
    <row r="819" ht="15.75" customHeight="1" s="545">
      <c r="A819" s="19" t="n"/>
      <c r="B819" s="19" t="n"/>
      <c r="C819" s="19" t="n"/>
      <c r="D819" s="19" t="n"/>
      <c r="E819" s="19" t="n"/>
      <c r="F819" s="19" t="n"/>
      <c r="G819" s="19" t="n"/>
      <c r="H819" s="19" t="n"/>
      <c r="I819" s="19" t="n"/>
    </row>
    <row r="820" ht="15.75" customHeight="1" s="545">
      <c r="A820" s="19" t="n"/>
      <c r="B820" s="19" t="n"/>
      <c r="C820" s="19" t="n"/>
      <c r="D820" s="19" t="n"/>
      <c r="E820" s="19" t="n"/>
      <c r="F820" s="19" t="n"/>
      <c r="G820" s="19" t="n"/>
      <c r="H820" s="19" t="n"/>
      <c r="I820" s="19" t="n"/>
    </row>
    <row r="821" ht="15.75" customHeight="1" s="545">
      <c r="A821" s="19" t="n"/>
      <c r="B821" s="19" t="n"/>
      <c r="C821" s="19" t="n"/>
      <c r="D821" s="19" t="n"/>
      <c r="E821" s="19" t="n"/>
      <c r="F821" s="19" t="n"/>
      <c r="G821" s="19" t="n"/>
      <c r="H821" s="19" t="n"/>
      <c r="I821" s="19" t="n"/>
    </row>
    <row r="822" ht="15.75" customHeight="1" s="545">
      <c r="A822" s="19" t="n"/>
      <c r="B822" s="19" t="n"/>
      <c r="C822" s="19" t="n"/>
      <c r="D822" s="19" t="n"/>
      <c r="E822" s="19" t="n"/>
      <c r="F822" s="19" t="n"/>
      <c r="G822" s="19" t="n"/>
      <c r="H822" s="19" t="n"/>
      <c r="I822" s="19" t="n"/>
    </row>
    <row r="823" ht="15.75" customHeight="1" s="545">
      <c r="A823" s="19" t="n"/>
      <c r="B823" s="19" t="n"/>
      <c r="C823" s="19" t="n"/>
      <c r="D823" s="19" t="n"/>
      <c r="E823" s="19" t="n"/>
      <c r="F823" s="19" t="n"/>
      <c r="G823" s="19" t="n"/>
      <c r="H823" s="19" t="n"/>
      <c r="I823" s="19" t="n"/>
    </row>
    <row r="824" ht="15.75" customHeight="1" s="545">
      <c r="A824" s="19" t="n"/>
      <c r="B824" s="19" t="n"/>
      <c r="C824" s="19" t="n"/>
      <c r="D824" s="19" t="n"/>
      <c r="E824" s="19" t="n"/>
      <c r="F824" s="19" t="n"/>
      <c r="G824" s="19" t="n"/>
      <c r="H824" s="19" t="n"/>
      <c r="I824" s="19" t="n"/>
    </row>
    <row r="825" ht="15.75" customHeight="1" s="545">
      <c r="A825" s="19" t="n"/>
      <c r="B825" s="19" t="n"/>
      <c r="C825" s="19" t="n"/>
      <c r="D825" s="19" t="n"/>
      <c r="E825" s="19" t="n"/>
      <c r="F825" s="19" t="n"/>
      <c r="G825" s="19" t="n"/>
      <c r="H825" s="19" t="n"/>
      <c r="I825" s="19" t="n"/>
    </row>
    <row r="826" ht="15.75" customHeight="1" s="545">
      <c r="A826" s="19" t="n"/>
      <c r="B826" s="19" t="n"/>
      <c r="C826" s="19" t="n"/>
      <c r="D826" s="19" t="n"/>
      <c r="E826" s="19" t="n"/>
      <c r="F826" s="19" t="n"/>
      <c r="G826" s="19" t="n"/>
      <c r="H826" s="19" t="n"/>
      <c r="I826" s="19" t="n"/>
    </row>
    <row r="827" ht="15.75" customHeight="1" s="545">
      <c r="A827" s="19" t="n"/>
      <c r="B827" s="19" t="n"/>
      <c r="C827" s="19" t="n"/>
      <c r="D827" s="19" t="n"/>
      <c r="E827" s="19" t="n"/>
      <c r="F827" s="19" t="n"/>
      <c r="G827" s="19" t="n"/>
      <c r="H827" s="19" t="n"/>
      <c r="I827" s="19" t="n"/>
    </row>
    <row r="828" ht="15.75" customHeight="1" s="545">
      <c r="A828" s="19" t="n"/>
      <c r="B828" s="19" t="n"/>
      <c r="C828" s="19" t="n"/>
      <c r="D828" s="19" t="n"/>
      <c r="E828" s="19" t="n"/>
      <c r="F828" s="19" t="n"/>
      <c r="G828" s="19" t="n"/>
      <c r="H828" s="19" t="n"/>
      <c r="I828" s="19" t="n"/>
    </row>
    <row r="829" ht="15.75" customHeight="1" s="545">
      <c r="A829" s="19" t="n"/>
      <c r="B829" s="19" t="n"/>
      <c r="C829" s="19" t="n"/>
      <c r="D829" s="19" t="n"/>
      <c r="E829" s="19" t="n"/>
      <c r="F829" s="19" t="n"/>
      <c r="G829" s="19" t="n"/>
      <c r="H829" s="19" t="n"/>
      <c r="I829" s="19" t="n"/>
    </row>
    <row r="830" ht="15.75" customHeight="1" s="545">
      <c r="A830" s="19" t="n"/>
      <c r="B830" s="19" t="n"/>
      <c r="C830" s="19" t="n"/>
      <c r="D830" s="19" t="n"/>
      <c r="E830" s="19" t="n"/>
      <c r="F830" s="19" t="n"/>
      <c r="G830" s="19" t="n"/>
      <c r="H830" s="19" t="n"/>
      <c r="I830" s="19" t="n"/>
    </row>
    <row r="831" ht="15.75" customHeight="1" s="545">
      <c r="A831" s="19" t="n"/>
      <c r="B831" s="19" t="n"/>
      <c r="C831" s="19" t="n"/>
      <c r="D831" s="19" t="n"/>
      <c r="E831" s="19" t="n"/>
      <c r="F831" s="19" t="n"/>
      <c r="G831" s="19" t="n"/>
      <c r="H831" s="19" t="n"/>
      <c r="I831" s="19" t="n"/>
    </row>
    <row r="832" ht="15.75" customHeight="1" s="545">
      <c r="A832" s="19" t="n"/>
      <c r="B832" s="19" t="n"/>
      <c r="C832" s="19" t="n"/>
      <c r="D832" s="19" t="n"/>
      <c r="E832" s="19" t="n"/>
      <c r="F832" s="19" t="n"/>
      <c r="G832" s="19" t="n"/>
      <c r="H832" s="19" t="n"/>
      <c r="I832" s="19" t="n"/>
    </row>
    <row r="833" ht="15.75" customHeight="1" s="545">
      <c r="A833" s="19" t="n"/>
      <c r="B833" s="19" t="n"/>
      <c r="C833" s="19" t="n"/>
      <c r="D833" s="19" t="n"/>
      <c r="E833" s="19" t="n"/>
      <c r="F833" s="19" t="n"/>
      <c r="G833" s="19" t="n"/>
      <c r="H833" s="19" t="n"/>
      <c r="I833" s="19" t="n"/>
    </row>
    <row r="834" ht="15.75" customHeight="1" s="545">
      <c r="A834" s="19" t="n"/>
      <c r="B834" s="19" t="n"/>
      <c r="C834" s="19" t="n"/>
      <c r="D834" s="19" t="n"/>
      <c r="E834" s="19" t="n"/>
      <c r="F834" s="19" t="n"/>
      <c r="G834" s="19" t="n"/>
      <c r="H834" s="19" t="n"/>
      <c r="I834" s="19" t="n"/>
    </row>
    <row r="835" ht="15.75" customHeight="1" s="545">
      <c r="A835" s="19" t="n"/>
      <c r="B835" s="19" t="n"/>
      <c r="C835" s="19" t="n"/>
      <c r="D835" s="19" t="n"/>
      <c r="E835" s="19" t="n"/>
      <c r="F835" s="19" t="n"/>
      <c r="G835" s="19" t="n"/>
      <c r="H835" s="19" t="n"/>
      <c r="I835" s="19" t="n"/>
    </row>
    <row r="836" ht="15.75" customHeight="1" s="545">
      <c r="A836" s="19" t="n"/>
      <c r="B836" s="19" t="n"/>
      <c r="C836" s="19" t="n"/>
      <c r="D836" s="19" t="n"/>
      <c r="E836" s="19" t="n"/>
      <c r="F836" s="19" t="n"/>
      <c r="G836" s="19" t="n"/>
      <c r="H836" s="19" t="n"/>
      <c r="I836" s="19" t="n"/>
    </row>
    <row r="837" ht="15.75" customHeight="1" s="545">
      <c r="A837" s="19" t="n"/>
      <c r="B837" s="19" t="n"/>
      <c r="C837" s="19" t="n"/>
      <c r="D837" s="19" t="n"/>
      <c r="E837" s="19" t="n"/>
      <c r="F837" s="19" t="n"/>
      <c r="G837" s="19" t="n"/>
      <c r="H837" s="19" t="n"/>
      <c r="I837" s="19" t="n"/>
    </row>
    <row r="838" ht="15.75" customHeight="1" s="545">
      <c r="A838" s="19" t="n"/>
      <c r="B838" s="19" t="n"/>
      <c r="C838" s="19" t="n"/>
      <c r="D838" s="19" t="n"/>
      <c r="E838" s="19" t="n"/>
      <c r="F838" s="19" t="n"/>
      <c r="G838" s="19" t="n"/>
      <c r="H838" s="19" t="n"/>
      <c r="I838" s="19" t="n"/>
    </row>
    <row r="839" ht="15.75" customHeight="1" s="545">
      <c r="A839" s="19" t="n"/>
      <c r="B839" s="19" t="n"/>
      <c r="C839" s="19" t="n"/>
      <c r="D839" s="19" t="n"/>
      <c r="E839" s="19" t="n"/>
      <c r="F839" s="19" t="n"/>
      <c r="G839" s="19" t="n"/>
      <c r="H839" s="19" t="n"/>
      <c r="I839" s="19" t="n"/>
    </row>
    <row r="840" ht="15.75" customHeight="1" s="545">
      <c r="A840" s="19" t="n"/>
      <c r="B840" s="19" t="n"/>
      <c r="C840" s="19" t="n"/>
      <c r="D840" s="19" t="n"/>
      <c r="E840" s="19" t="n"/>
      <c r="F840" s="19" t="n"/>
      <c r="G840" s="19" t="n"/>
      <c r="H840" s="19" t="n"/>
      <c r="I840" s="19" t="n"/>
    </row>
    <row r="841" ht="15.75" customHeight="1" s="545">
      <c r="A841" s="19" t="n"/>
      <c r="B841" s="19" t="n"/>
      <c r="C841" s="19" t="n"/>
      <c r="D841" s="19" t="n"/>
      <c r="E841" s="19" t="n"/>
      <c r="F841" s="19" t="n"/>
      <c r="G841" s="19" t="n"/>
      <c r="H841" s="19" t="n"/>
      <c r="I841" s="19" t="n"/>
    </row>
    <row r="842" ht="15.75" customHeight="1" s="545">
      <c r="A842" s="19" t="n"/>
      <c r="B842" s="19" t="n"/>
      <c r="C842" s="19" t="n"/>
      <c r="D842" s="19" t="n"/>
      <c r="E842" s="19" t="n"/>
      <c r="F842" s="19" t="n"/>
      <c r="G842" s="19" t="n"/>
      <c r="H842" s="19" t="n"/>
      <c r="I842" s="19" t="n"/>
    </row>
    <row r="843" ht="15.75" customHeight="1" s="545">
      <c r="A843" s="19" t="n"/>
      <c r="B843" s="19" t="n"/>
      <c r="C843" s="19" t="n"/>
      <c r="D843" s="19" t="n"/>
      <c r="E843" s="19" t="n"/>
      <c r="F843" s="19" t="n"/>
      <c r="G843" s="19" t="n"/>
      <c r="H843" s="19" t="n"/>
      <c r="I843" s="19" t="n"/>
    </row>
    <row r="844" ht="15.75" customHeight="1" s="545">
      <c r="A844" s="19" t="n"/>
      <c r="B844" s="19" t="n"/>
      <c r="C844" s="19" t="n"/>
      <c r="D844" s="19" t="n"/>
      <c r="E844" s="19" t="n"/>
      <c r="F844" s="19" t="n"/>
      <c r="G844" s="19" t="n"/>
      <c r="H844" s="19" t="n"/>
      <c r="I844" s="19" t="n"/>
    </row>
    <row r="845" ht="15.75" customHeight="1" s="545">
      <c r="A845" s="19" t="n"/>
      <c r="B845" s="19" t="n"/>
      <c r="C845" s="19" t="n"/>
      <c r="D845" s="19" t="n"/>
      <c r="E845" s="19" t="n"/>
      <c r="F845" s="19" t="n"/>
      <c r="G845" s="19" t="n"/>
      <c r="H845" s="19" t="n"/>
      <c r="I845" s="19" t="n"/>
    </row>
    <row r="846" ht="15.75" customHeight="1" s="545">
      <c r="A846" s="19" t="n"/>
      <c r="B846" s="19" t="n"/>
      <c r="C846" s="19" t="n"/>
      <c r="D846" s="19" t="n"/>
      <c r="E846" s="19" t="n"/>
      <c r="F846" s="19" t="n"/>
      <c r="G846" s="19" t="n"/>
      <c r="H846" s="19" t="n"/>
      <c r="I846" s="19" t="n"/>
    </row>
    <row r="847" ht="15.75" customHeight="1" s="545">
      <c r="A847" s="19" t="n"/>
      <c r="B847" s="19" t="n"/>
      <c r="C847" s="19" t="n"/>
      <c r="D847" s="19" t="n"/>
      <c r="E847" s="19" t="n"/>
      <c r="F847" s="19" t="n"/>
      <c r="G847" s="19" t="n"/>
      <c r="H847" s="19" t="n"/>
      <c r="I847" s="19" t="n"/>
    </row>
    <row r="848" ht="15.75" customHeight="1" s="545">
      <c r="A848" s="19" t="n"/>
      <c r="B848" s="19" t="n"/>
      <c r="C848" s="19" t="n"/>
      <c r="D848" s="19" t="n"/>
      <c r="E848" s="19" t="n"/>
      <c r="F848" s="19" t="n"/>
      <c r="G848" s="19" t="n"/>
      <c r="H848" s="19" t="n"/>
      <c r="I848" s="19" t="n"/>
    </row>
    <row r="849" ht="15.75" customHeight="1" s="545">
      <c r="A849" s="19" t="n"/>
      <c r="B849" s="19" t="n"/>
      <c r="C849" s="19" t="n"/>
      <c r="D849" s="19" t="n"/>
      <c r="E849" s="19" t="n"/>
      <c r="F849" s="19" t="n"/>
      <c r="G849" s="19" t="n"/>
      <c r="H849" s="19" t="n"/>
      <c r="I849" s="19" t="n"/>
    </row>
    <row r="850" ht="15.75" customHeight="1" s="545">
      <c r="A850" s="19" t="n"/>
      <c r="B850" s="19" t="n"/>
      <c r="C850" s="19" t="n"/>
      <c r="D850" s="19" t="n"/>
      <c r="E850" s="19" t="n"/>
      <c r="F850" s="19" t="n"/>
      <c r="G850" s="19" t="n"/>
      <c r="H850" s="19" t="n"/>
      <c r="I850" s="19" t="n"/>
    </row>
    <row r="851" ht="15.75" customHeight="1" s="545">
      <c r="A851" s="19" t="n"/>
      <c r="B851" s="19" t="n"/>
      <c r="C851" s="19" t="n"/>
      <c r="D851" s="19" t="n"/>
      <c r="E851" s="19" t="n"/>
      <c r="F851" s="19" t="n"/>
      <c r="G851" s="19" t="n"/>
      <c r="H851" s="19" t="n"/>
      <c r="I851" s="19" t="n"/>
    </row>
    <row r="852" ht="15.75" customHeight="1" s="545">
      <c r="A852" s="19" t="n"/>
      <c r="B852" s="19" t="n"/>
      <c r="C852" s="19" t="n"/>
      <c r="D852" s="19" t="n"/>
      <c r="E852" s="19" t="n"/>
      <c r="F852" s="19" t="n"/>
      <c r="G852" s="19" t="n"/>
      <c r="H852" s="19" t="n"/>
      <c r="I852" s="19" t="n"/>
    </row>
    <row r="853" ht="15.75" customHeight="1" s="545">
      <c r="A853" s="19" t="n"/>
      <c r="B853" s="19" t="n"/>
      <c r="C853" s="19" t="n"/>
      <c r="D853" s="19" t="n"/>
      <c r="E853" s="19" t="n"/>
      <c r="F853" s="19" t="n"/>
      <c r="G853" s="19" t="n"/>
      <c r="H853" s="19" t="n"/>
      <c r="I853" s="19" t="n"/>
    </row>
    <row r="854" ht="15.75" customHeight="1" s="545">
      <c r="A854" s="19" t="n"/>
      <c r="B854" s="19" t="n"/>
      <c r="C854" s="19" t="n"/>
      <c r="D854" s="19" t="n"/>
      <c r="E854" s="19" t="n"/>
      <c r="F854" s="19" t="n"/>
      <c r="G854" s="19" t="n"/>
      <c r="H854" s="19" t="n"/>
      <c r="I854" s="19" t="n"/>
    </row>
    <row r="855" ht="15.75" customHeight="1" s="545">
      <c r="A855" s="19" t="n"/>
      <c r="B855" s="19" t="n"/>
      <c r="C855" s="19" t="n"/>
      <c r="D855" s="19" t="n"/>
      <c r="E855" s="19" t="n"/>
      <c r="F855" s="19" t="n"/>
      <c r="G855" s="19" t="n"/>
      <c r="H855" s="19" t="n"/>
      <c r="I855" s="19" t="n"/>
    </row>
    <row r="856" ht="15.75" customHeight="1" s="545">
      <c r="A856" s="19" t="n"/>
      <c r="B856" s="19" t="n"/>
      <c r="C856" s="19" t="n"/>
      <c r="D856" s="19" t="n"/>
      <c r="E856" s="19" t="n"/>
      <c r="F856" s="19" t="n"/>
      <c r="G856" s="19" t="n"/>
      <c r="H856" s="19" t="n"/>
      <c r="I856" s="19" t="n"/>
    </row>
    <row r="857" ht="15.75" customHeight="1" s="545">
      <c r="A857" s="19" t="n"/>
      <c r="B857" s="19" t="n"/>
      <c r="C857" s="19" t="n"/>
      <c r="D857" s="19" t="n"/>
      <c r="E857" s="19" t="n"/>
      <c r="F857" s="19" t="n"/>
      <c r="G857" s="19" t="n"/>
      <c r="H857" s="19" t="n"/>
      <c r="I857" s="19" t="n"/>
    </row>
    <row r="858" ht="15.75" customHeight="1" s="545">
      <c r="A858" s="19" t="n"/>
      <c r="B858" s="19" t="n"/>
      <c r="C858" s="19" t="n"/>
      <c r="D858" s="19" t="n"/>
      <c r="E858" s="19" t="n"/>
      <c r="F858" s="19" t="n"/>
      <c r="G858" s="19" t="n"/>
      <c r="H858" s="19" t="n"/>
      <c r="I858" s="19" t="n"/>
    </row>
    <row r="859" ht="15.75" customHeight="1" s="545">
      <c r="A859" s="19" t="n"/>
      <c r="B859" s="19" t="n"/>
      <c r="C859" s="19" t="n"/>
      <c r="D859" s="19" t="n"/>
      <c r="E859" s="19" t="n"/>
      <c r="F859" s="19" t="n"/>
      <c r="G859" s="19" t="n"/>
      <c r="H859" s="19" t="n"/>
      <c r="I859" s="19" t="n"/>
    </row>
    <row r="860" ht="15.75" customHeight="1" s="545">
      <c r="A860" s="19" t="n"/>
      <c r="B860" s="19" t="n"/>
      <c r="C860" s="19" t="n"/>
      <c r="D860" s="19" t="n"/>
      <c r="E860" s="19" t="n"/>
      <c r="F860" s="19" t="n"/>
      <c r="G860" s="19" t="n"/>
      <c r="H860" s="19" t="n"/>
      <c r="I860" s="19" t="n"/>
    </row>
    <row r="861" ht="15.75" customHeight="1" s="545">
      <c r="A861" s="19" t="n"/>
      <c r="B861" s="19" t="n"/>
      <c r="C861" s="19" t="n"/>
      <c r="D861" s="19" t="n"/>
      <c r="E861" s="19" t="n"/>
      <c r="F861" s="19" t="n"/>
      <c r="G861" s="19" t="n"/>
      <c r="H861" s="19" t="n"/>
      <c r="I861" s="19" t="n"/>
    </row>
    <row r="862" ht="15.75" customHeight="1" s="545">
      <c r="A862" s="19" t="n"/>
      <c r="B862" s="19" t="n"/>
      <c r="C862" s="19" t="n"/>
      <c r="D862" s="19" t="n"/>
      <c r="E862" s="19" t="n"/>
      <c r="F862" s="19" t="n"/>
      <c r="G862" s="19" t="n"/>
      <c r="H862" s="19" t="n"/>
      <c r="I862" s="19" t="n"/>
    </row>
    <row r="863" ht="15.75" customHeight="1" s="545">
      <c r="A863" s="19" t="n"/>
      <c r="B863" s="19" t="n"/>
      <c r="C863" s="19" t="n"/>
      <c r="D863" s="19" t="n"/>
      <c r="E863" s="19" t="n"/>
      <c r="F863" s="19" t="n"/>
      <c r="G863" s="19" t="n"/>
      <c r="H863" s="19" t="n"/>
      <c r="I863" s="19" t="n"/>
    </row>
    <row r="864" ht="15.75" customHeight="1" s="545">
      <c r="A864" s="19" t="n"/>
      <c r="B864" s="19" t="n"/>
      <c r="C864" s="19" t="n"/>
      <c r="D864" s="19" t="n"/>
      <c r="E864" s="19" t="n"/>
      <c r="F864" s="19" t="n"/>
      <c r="G864" s="19" t="n"/>
      <c r="H864" s="19" t="n"/>
      <c r="I864" s="19" t="n"/>
    </row>
    <row r="865" ht="15.75" customHeight="1" s="545">
      <c r="A865" s="19" t="n"/>
      <c r="B865" s="19" t="n"/>
      <c r="C865" s="19" t="n"/>
      <c r="D865" s="19" t="n"/>
      <c r="E865" s="19" t="n"/>
      <c r="F865" s="19" t="n"/>
      <c r="G865" s="19" t="n"/>
      <c r="H865" s="19" t="n"/>
      <c r="I865" s="19" t="n"/>
    </row>
    <row r="866" ht="15.75" customHeight="1" s="545">
      <c r="A866" s="19" t="n"/>
      <c r="B866" s="19" t="n"/>
      <c r="C866" s="19" t="n"/>
      <c r="D866" s="19" t="n"/>
      <c r="E866" s="19" t="n"/>
      <c r="F866" s="19" t="n"/>
      <c r="G866" s="19" t="n"/>
      <c r="H866" s="19" t="n"/>
      <c r="I866" s="19" t="n"/>
    </row>
    <row r="867" ht="15.75" customHeight="1" s="545">
      <c r="A867" s="19" t="n"/>
      <c r="B867" s="19" t="n"/>
      <c r="C867" s="19" t="n"/>
      <c r="D867" s="19" t="n"/>
      <c r="E867" s="19" t="n"/>
      <c r="F867" s="19" t="n"/>
      <c r="G867" s="19" t="n"/>
      <c r="H867" s="19" t="n"/>
      <c r="I867" s="19" t="n"/>
    </row>
    <row r="868" ht="15.75" customHeight="1" s="545">
      <c r="A868" s="19" t="n"/>
      <c r="B868" s="19" t="n"/>
      <c r="C868" s="19" t="n"/>
      <c r="D868" s="19" t="n"/>
      <c r="E868" s="19" t="n"/>
      <c r="F868" s="19" t="n"/>
      <c r="G868" s="19" t="n"/>
      <c r="H868" s="19" t="n"/>
      <c r="I868" s="19" t="n"/>
    </row>
    <row r="869" ht="15.75" customHeight="1" s="545">
      <c r="A869" s="19" t="n"/>
      <c r="B869" s="19" t="n"/>
      <c r="C869" s="19" t="n"/>
      <c r="D869" s="19" t="n"/>
      <c r="E869" s="19" t="n"/>
      <c r="F869" s="19" t="n"/>
      <c r="G869" s="19" t="n"/>
      <c r="H869" s="19" t="n"/>
      <c r="I869" s="19" t="n"/>
    </row>
    <row r="870" ht="15.75" customHeight="1" s="545">
      <c r="A870" s="19" t="n"/>
      <c r="B870" s="19" t="n"/>
      <c r="C870" s="19" t="n"/>
      <c r="D870" s="19" t="n"/>
      <c r="E870" s="19" t="n"/>
      <c r="F870" s="19" t="n"/>
      <c r="G870" s="19" t="n"/>
      <c r="H870" s="19" t="n"/>
      <c r="I870" s="19" t="n"/>
    </row>
    <row r="871" ht="15.75" customHeight="1" s="545">
      <c r="A871" s="19" t="n"/>
      <c r="B871" s="19" t="n"/>
      <c r="C871" s="19" t="n"/>
      <c r="D871" s="19" t="n"/>
      <c r="E871" s="19" t="n"/>
      <c r="F871" s="19" t="n"/>
      <c r="G871" s="19" t="n"/>
      <c r="H871" s="19" t="n"/>
      <c r="I871" s="19" t="n"/>
    </row>
    <row r="872" ht="15.75" customHeight="1" s="545">
      <c r="A872" s="19" t="n"/>
      <c r="B872" s="19" t="n"/>
      <c r="C872" s="19" t="n"/>
      <c r="D872" s="19" t="n"/>
      <c r="E872" s="19" t="n"/>
      <c r="F872" s="19" t="n"/>
      <c r="G872" s="19" t="n"/>
      <c r="H872" s="19" t="n"/>
      <c r="I872" s="19" t="n"/>
    </row>
    <row r="873" ht="15.75" customHeight="1" s="545">
      <c r="A873" s="19" t="n"/>
      <c r="B873" s="19" t="n"/>
      <c r="C873" s="19" t="n"/>
      <c r="D873" s="19" t="n"/>
      <c r="E873" s="19" t="n"/>
      <c r="F873" s="19" t="n"/>
      <c r="G873" s="19" t="n"/>
      <c r="H873" s="19" t="n"/>
      <c r="I873" s="19" t="n"/>
    </row>
    <row r="874" ht="15.75" customHeight="1" s="545">
      <c r="A874" s="19" t="n"/>
      <c r="B874" s="19" t="n"/>
      <c r="C874" s="19" t="n"/>
      <c r="D874" s="19" t="n"/>
      <c r="E874" s="19" t="n"/>
      <c r="F874" s="19" t="n"/>
      <c r="G874" s="19" t="n"/>
      <c r="H874" s="19" t="n"/>
      <c r="I874" s="19" t="n"/>
    </row>
    <row r="875" ht="15.75" customHeight="1" s="545">
      <c r="A875" s="19" t="n"/>
      <c r="B875" s="19" t="n"/>
      <c r="C875" s="19" t="n"/>
      <c r="D875" s="19" t="n"/>
      <c r="E875" s="19" t="n"/>
      <c r="F875" s="19" t="n"/>
      <c r="G875" s="19" t="n"/>
      <c r="H875" s="19" t="n"/>
      <c r="I875" s="19" t="n"/>
    </row>
    <row r="876" ht="15.75" customHeight="1" s="545">
      <c r="A876" s="19" t="n"/>
      <c r="B876" s="19" t="n"/>
      <c r="C876" s="19" t="n"/>
      <c r="D876" s="19" t="n"/>
      <c r="E876" s="19" t="n"/>
      <c r="F876" s="19" t="n"/>
      <c r="G876" s="19" t="n"/>
      <c r="H876" s="19" t="n"/>
      <c r="I876" s="19" t="n"/>
    </row>
    <row r="877" ht="15.75" customHeight="1" s="545">
      <c r="A877" s="19" t="n"/>
      <c r="B877" s="19" t="n"/>
      <c r="C877" s="19" t="n"/>
      <c r="D877" s="19" t="n"/>
      <c r="E877" s="19" t="n"/>
      <c r="F877" s="19" t="n"/>
      <c r="G877" s="19" t="n"/>
      <c r="H877" s="19" t="n"/>
      <c r="I877" s="19" t="n"/>
    </row>
    <row r="878" ht="15.75" customHeight="1" s="545">
      <c r="A878" s="19" t="n"/>
      <c r="B878" s="19" t="n"/>
      <c r="C878" s="19" t="n"/>
      <c r="D878" s="19" t="n"/>
      <c r="E878" s="19" t="n"/>
      <c r="F878" s="19" t="n"/>
      <c r="G878" s="19" t="n"/>
      <c r="H878" s="19" t="n"/>
      <c r="I878" s="19" t="n"/>
    </row>
    <row r="879" ht="15.75" customHeight="1" s="545">
      <c r="A879" s="19" t="n"/>
      <c r="B879" s="19" t="n"/>
      <c r="C879" s="19" t="n"/>
      <c r="D879" s="19" t="n"/>
      <c r="E879" s="19" t="n"/>
      <c r="F879" s="19" t="n"/>
      <c r="G879" s="19" t="n"/>
      <c r="H879" s="19" t="n"/>
      <c r="I879" s="19" t="n"/>
    </row>
    <row r="880" ht="15.75" customHeight="1" s="545">
      <c r="A880" s="19" t="n"/>
      <c r="B880" s="19" t="n"/>
      <c r="C880" s="19" t="n"/>
      <c r="D880" s="19" t="n"/>
      <c r="E880" s="19" t="n"/>
      <c r="F880" s="19" t="n"/>
      <c r="G880" s="19" t="n"/>
      <c r="H880" s="19" t="n"/>
      <c r="I880" s="19" t="n"/>
    </row>
    <row r="881" ht="15.75" customHeight="1" s="545">
      <c r="A881" s="19" t="n"/>
      <c r="B881" s="19" t="n"/>
      <c r="C881" s="19" t="n"/>
      <c r="D881" s="19" t="n"/>
      <c r="E881" s="19" t="n"/>
      <c r="F881" s="19" t="n"/>
      <c r="G881" s="19" t="n"/>
      <c r="H881" s="19" t="n"/>
      <c r="I881" s="19" t="n"/>
    </row>
    <row r="882" ht="15.75" customHeight="1" s="545">
      <c r="A882" s="19" t="n"/>
      <c r="B882" s="19" t="n"/>
      <c r="C882" s="19" t="n"/>
      <c r="D882" s="19" t="n"/>
      <c r="E882" s="19" t="n"/>
      <c r="F882" s="19" t="n"/>
      <c r="G882" s="19" t="n"/>
      <c r="H882" s="19" t="n"/>
      <c r="I882" s="19" t="n"/>
    </row>
    <row r="883" ht="15.75" customHeight="1" s="545">
      <c r="A883" s="19" t="n"/>
      <c r="B883" s="19" t="n"/>
      <c r="C883" s="19" t="n"/>
      <c r="D883" s="19" t="n"/>
      <c r="E883" s="19" t="n"/>
      <c r="F883" s="19" t="n"/>
      <c r="G883" s="19" t="n"/>
      <c r="H883" s="19" t="n"/>
      <c r="I883" s="19" t="n"/>
    </row>
    <row r="884" ht="15.75" customHeight="1" s="545">
      <c r="A884" s="19" t="n"/>
      <c r="B884" s="19" t="n"/>
      <c r="C884" s="19" t="n"/>
      <c r="D884" s="19" t="n"/>
      <c r="E884" s="19" t="n"/>
      <c r="F884" s="19" t="n"/>
      <c r="G884" s="19" t="n"/>
      <c r="H884" s="19" t="n"/>
      <c r="I884" s="19" t="n"/>
    </row>
    <row r="885" ht="15.75" customHeight="1" s="545">
      <c r="A885" s="19" t="n"/>
      <c r="B885" s="19" t="n"/>
      <c r="C885" s="19" t="n"/>
      <c r="D885" s="19" t="n"/>
      <c r="E885" s="19" t="n"/>
      <c r="F885" s="19" t="n"/>
      <c r="G885" s="19" t="n"/>
      <c r="H885" s="19" t="n"/>
      <c r="I885" s="19" t="n"/>
    </row>
    <row r="886" ht="15.75" customHeight="1" s="545">
      <c r="A886" s="19" t="n"/>
      <c r="B886" s="19" t="n"/>
      <c r="C886" s="19" t="n"/>
      <c r="D886" s="19" t="n"/>
      <c r="E886" s="19" t="n"/>
      <c r="F886" s="19" t="n"/>
      <c r="G886" s="19" t="n"/>
      <c r="H886" s="19" t="n"/>
      <c r="I886" s="19" t="n"/>
    </row>
    <row r="887" ht="15.75" customHeight="1" s="545">
      <c r="A887" s="19" t="n"/>
      <c r="B887" s="19" t="n"/>
      <c r="C887" s="19" t="n"/>
      <c r="D887" s="19" t="n"/>
      <c r="E887" s="19" t="n"/>
      <c r="F887" s="19" t="n"/>
      <c r="G887" s="19" t="n"/>
      <c r="H887" s="19" t="n"/>
      <c r="I887" s="19" t="n"/>
    </row>
    <row r="888" ht="15.75" customHeight="1" s="545">
      <c r="A888" s="19" t="n"/>
      <c r="B888" s="19" t="n"/>
      <c r="C888" s="19" t="n"/>
      <c r="D888" s="19" t="n"/>
      <c r="E888" s="19" t="n"/>
      <c r="F888" s="19" t="n"/>
      <c r="G888" s="19" t="n"/>
      <c r="H888" s="19" t="n"/>
      <c r="I888" s="19" t="n"/>
    </row>
    <row r="889" ht="15.75" customHeight="1" s="545">
      <c r="A889" s="19" t="n"/>
      <c r="B889" s="19" t="n"/>
      <c r="C889" s="19" t="n"/>
      <c r="D889" s="19" t="n"/>
      <c r="E889" s="19" t="n"/>
      <c r="F889" s="19" t="n"/>
      <c r="G889" s="19" t="n"/>
      <c r="H889" s="19" t="n"/>
      <c r="I889" s="19" t="n"/>
    </row>
    <row r="890" ht="15.75" customHeight="1" s="545">
      <c r="A890" s="19" t="n"/>
      <c r="B890" s="19" t="n"/>
      <c r="C890" s="19" t="n"/>
      <c r="D890" s="19" t="n"/>
      <c r="E890" s="19" t="n"/>
      <c r="F890" s="19" t="n"/>
      <c r="G890" s="19" t="n"/>
      <c r="H890" s="19" t="n"/>
      <c r="I890" s="19" t="n"/>
    </row>
    <row r="891" ht="15.75" customHeight="1" s="545">
      <c r="A891" s="19" t="n"/>
      <c r="B891" s="19" t="n"/>
      <c r="C891" s="19" t="n"/>
      <c r="D891" s="19" t="n"/>
      <c r="E891" s="19" t="n"/>
      <c r="F891" s="19" t="n"/>
      <c r="G891" s="19" t="n"/>
      <c r="H891" s="19" t="n"/>
      <c r="I891" s="19" t="n"/>
    </row>
    <row r="892" ht="15.75" customHeight="1" s="545">
      <c r="A892" s="19" t="n"/>
      <c r="B892" s="19" t="n"/>
      <c r="C892" s="19" t="n"/>
      <c r="D892" s="19" t="n"/>
      <c r="E892" s="19" t="n"/>
      <c r="F892" s="19" t="n"/>
      <c r="G892" s="19" t="n"/>
      <c r="H892" s="19" t="n"/>
      <c r="I892" s="19" t="n"/>
    </row>
    <row r="893" ht="15.75" customHeight="1" s="545">
      <c r="A893" s="19" t="n"/>
      <c r="B893" s="19" t="n"/>
      <c r="C893" s="19" t="n"/>
      <c r="D893" s="19" t="n"/>
      <c r="E893" s="19" t="n"/>
      <c r="F893" s="19" t="n"/>
      <c r="G893" s="19" t="n"/>
      <c r="H893" s="19" t="n"/>
      <c r="I893" s="19" t="n"/>
    </row>
    <row r="894" ht="15.75" customHeight="1" s="545">
      <c r="A894" s="19" t="n"/>
      <c r="B894" s="19" t="n"/>
      <c r="C894" s="19" t="n"/>
      <c r="D894" s="19" t="n"/>
      <c r="E894" s="19" t="n"/>
      <c r="F894" s="19" t="n"/>
      <c r="G894" s="19" t="n"/>
      <c r="H894" s="19" t="n"/>
      <c r="I894" s="19" t="n"/>
    </row>
    <row r="895" ht="15.75" customHeight="1" s="545">
      <c r="A895" s="19" t="n"/>
      <c r="B895" s="19" t="n"/>
      <c r="C895" s="19" t="n"/>
      <c r="D895" s="19" t="n"/>
      <c r="E895" s="19" t="n"/>
      <c r="F895" s="19" t="n"/>
      <c r="G895" s="19" t="n"/>
      <c r="H895" s="19" t="n"/>
      <c r="I895" s="19" t="n"/>
    </row>
    <row r="896" ht="15.75" customHeight="1" s="545">
      <c r="A896" s="19" t="n"/>
      <c r="B896" s="19" t="n"/>
      <c r="C896" s="19" t="n"/>
      <c r="D896" s="19" t="n"/>
      <c r="E896" s="19" t="n"/>
      <c r="F896" s="19" t="n"/>
      <c r="G896" s="19" t="n"/>
      <c r="H896" s="19" t="n"/>
      <c r="I896" s="19" t="n"/>
    </row>
    <row r="897" ht="15.75" customHeight="1" s="545">
      <c r="A897" s="19" t="n"/>
      <c r="B897" s="19" t="n"/>
      <c r="C897" s="19" t="n"/>
      <c r="D897" s="19" t="n"/>
      <c r="E897" s="19" t="n"/>
      <c r="F897" s="19" t="n"/>
      <c r="G897" s="19" t="n"/>
      <c r="H897" s="19" t="n"/>
      <c r="I897" s="19" t="n"/>
    </row>
    <row r="898" ht="15.75" customHeight="1" s="545">
      <c r="A898" s="19" t="n"/>
      <c r="B898" s="19" t="n"/>
      <c r="C898" s="19" t="n"/>
      <c r="D898" s="19" t="n"/>
      <c r="E898" s="19" t="n"/>
      <c r="F898" s="19" t="n"/>
      <c r="G898" s="19" t="n"/>
      <c r="H898" s="19" t="n"/>
      <c r="I898" s="19" t="n"/>
    </row>
    <row r="899" ht="15.75" customHeight="1" s="545">
      <c r="A899" s="19" t="n"/>
      <c r="B899" s="19" t="n"/>
      <c r="C899" s="19" t="n"/>
      <c r="D899" s="19" t="n"/>
      <c r="E899" s="19" t="n"/>
      <c r="F899" s="19" t="n"/>
      <c r="G899" s="19" t="n"/>
      <c r="H899" s="19" t="n"/>
      <c r="I899" s="19" t="n"/>
    </row>
    <row r="900" ht="15.75" customHeight="1" s="545">
      <c r="A900" s="19" t="n"/>
      <c r="B900" s="19" t="n"/>
      <c r="C900" s="19" t="n"/>
      <c r="D900" s="19" t="n"/>
      <c r="E900" s="19" t="n"/>
      <c r="F900" s="19" t="n"/>
      <c r="G900" s="19" t="n"/>
      <c r="H900" s="19" t="n"/>
      <c r="I900" s="19" t="n"/>
    </row>
    <row r="901" ht="15.75" customHeight="1" s="545">
      <c r="A901" s="19" t="n"/>
      <c r="B901" s="19" t="n"/>
      <c r="C901" s="19" t="n"/>
      <c r="D901" s="19" t="n"/>
      <c r="E901" s="19" t="n"/>
      <c r="F901" s="19" t="n"/>
      <c r="G901" s="19" t="n"/>
      <c r="H901" s="19" t="n"/>
      <c r="I901" s="19" t="n"/>
    </row>
    <row r="902" ht="15.75" customHeight="1" s="545">
      <c r="A902" s="19" t="n"/>
      <c r="B902" s="19" t="n"/>
      <c r="C902" s="19" t="n"/>
      <c r="D902" s="19" t="n"/>
      <c r="E902" s="19" t="n"/>
      <c r="F902" s="19" t="n"/>
      <c r="G902" s="19" t="n"/>
      <c r="H902" s="19" t="n"/>
      <c r="I902" s="19" t="n"/>
    </row>
    <row r="903" ht="15.75" customHeight="1" s="545">
      <c r="A903" s="19" t="n"/>
      <c r="B903" s="19" t="n"/>
      <c r="C903" s="19" t="n"/>
      <c r="D903" s="19" t="n"/>
      <c r="E903" s="19" t="n"/>
      <c r="F903" s="19" t="n"/>
      <c r="G903" s="19" t="n"/>
      <c r="H903" s="19" t="n"/>
      <c r="I903" s="19" t="n"/>
    </row>
    <row r="904" ht="15.75" customHeight="1" s="545">
      <c r="A904" s="19" t="n"/>
      <c r="B904" s="19" t="n"/>
      <c r="C904" s="19" t="n"/>
      <c r="D904" s="19" t="n"/>
      <c r="E904" s="19" t="n"/>
      <c r="F904" s="19" t="n"/>
      <c r="G904" s="19" t="n"/>
      <c r="H904" s="19" t="n"/>
      <c r="I904" s="19" t="n"/>
    </row>
    <row r="905" ht="15.75" customHeight="1" s="545">
      <c r="A905" s="19" t="n"/>
      <c r="B905" s="19" t="n"/>
      <c r="C905" s="19" t="n"/>
      <c r="D905" s="19" t="n"/>
      <c r="E905" s="19" t="n"/>
      <c r="F905" s="19" t="n"/>
      <c r="G905" s="19" t="n"/>
      <c r="H905" s="19" t="n"/>
      <c r="I905" s="19" t="n"/>
    </row>
    <row r="906" ht="15.75" customHeight="1" s="545">
      <c r="A906" s="19" t="n"/>
      <c r="B906" s="19" t="n"/>
      <c r="C906" s="19" t="n"/>
      <c r="D906" s="19" t="n"/>
      <c r="E906" s="19" t="n"/>
      <c r="F906" s="19" t="n"/>
      <c r="G906" s="19" t="n"/>
      <c r="H906" s="19" t="n"/>
      <c r="I906" s="19" t="n"/>
    </row>
    <row r="907" ht="15.75" customHeight="1" s="545">
      <c r="A907" s="19" t="n"/>
      <c r="B907" s="19" t="n"/>
      <c r="C907" s="19" t="n"/>
      <c r="D907" s="19" t="n"/>
      <c r="E907" s="19" t="n"/>
      <c r="F907" s="19" t="n"/>
      <c r="G907" s="19" t="n"/>
      <c r="H907" s="19" t="n"/>
      <c r="I907" s="19" t="n"/>
    </row>
    <row r="908" ht="15.75" customHeight="1" s="545">
      <c r="A908" s="19" t="n"/>
      <c r="B908" s="19" t="n"/>
      <c r="C908" s="19" t="n"/>
      <c r="D908" s="19" t="n"/>
      <c r="E908" s="19" t="n"/>
      <c r="F908" s="19" t="n"/>
      <c r="G908" s="19" t="n"/>
      <c r="H908" s="19" t="n"/>
      <c r="I908" s="19" t="n"/>
    </row>
    <row r="909" ht="15.75" customHeight="1" s="545">
      <c r="A909" s="19" t="n"/>
      <c r="B909" s="19" t="n"/>
      <c r="C909" s="19" t="n"/>
      <c r="D909" s="19" t="n"/>
      <c r="E909" s="19" t="n"/>
      <c r="F909" s="19" t="n"/>
      <c r="G909" s="19" t="n"/>
      <c r="H909" s="19" t="n"/>
      <c r="I909" s="19" t="n"/>
    </row>
    <row r="910" ht="15.75" customHeight="1" s="545">
      <c r="A910" s="19" t="n"/>
      <c r="B910" s="19" t="n"/>
      <c r="C910" s="19" t="n"/>
      <c r="D910" s="19" t="n"/>
      <c r="E910" s="19" t="n"/>
      <c r="F910" s="19" t="n"/>
      <c r="G910" s="19" t="n"/>
      <c r="H910" s="19" t="n"/>
      <c r="I910" s="19" t="n"/>
    </row>
    <row r="911" ht="15.75" customHeight="1" s="545">
      <c r="A911" s="19" t="n"/>
      <c r="B911" s="19" t="n"/>
      <c r="C911" s="19" t="n"/>
      <c r="D911" s="19" t="n"/>
      <c r="E911" s="19" t="n"/>
      <c r="F911" s="19" t="n"/>
      <c r="G911" s="19" t="n"/>
      <c r="H911" s="19" t="n"/>
      <c r="I911" s="19" t="n"/>
    </row>
    <row r="912" ht="15.75" customHeight="1" s="545">
      <c r="A912" s="19" t="n"/>
      <c r="B912" s="19" t="n"/>
      <c r="C912" s="19" t="n"/>
      <c r="D912" s="19" t="n"/>
      <c r="E912" s="19" t="n"/>
      <c r="F912" s="19" t="n"/>
      <c r="G912" s="19" t="n"/>
      <c r="H912" s="19" t="n"/>
      <c r="I912" s="19" t="n"/>
    </row>
    <row r="913" ht="15.75" customHeight="1" s="545">
      <c r="A913" s="19" t="n"/>
      <c r="B913" s="19" t="n"/>
      <c r="C913" s="19" t="n"/>
      <c r="D913" s="19" t="n"/>
      <c r="E913" s="19" t="n"/>
      <c r="F913" s="19" t="n"/>
      <c r="G913" s="19" t="n"/>
      <c r="H913" s="19" t="n"/>
      <c r="I913" s="19" t="n"/>
    </row>
    <row r="914" ht="15.75" customHeight="1" s="545">
      <c r="A914" s="19" t="n"/>
      <c r="B914" s="19" t="n"/>
      <c r="C914" s="19" t="n"/>
      <c r="D914" s="19" t="n"/>
      <c r="E914" s="19" t="n"/>
      <c r="F914" s="19" t="n"/>
      <c r="G914" s="19" t="n"/>
      <c r="H914" s="19" t="n"/>
      <c r="I914" s="19" t="n"/>
    </row>
    <row r="915" ht="15.75" customHeight="1" s="545">
      <c r="A915" s="19" t="n"/>
      <c r="B915" s="19" t="n"/>
      <c r="C915" s="19" t="n"/>
      <c r="D915" s="19" t="n"/>
      <c r="E915" s="19" t="n"/>
      <c r="F915" s="19" t="n"/>
      <c r="G915" s="19" t="n"/>
      <c r="H915" s="19" t="n"/>
      <c r="I915" s="19" t="n"/>
    </row>
    <row r="916" ht="15.75" customHeight="1" s="545">
      <c r="A916" s="19" t="n"/>
      <c r="B916" s="19" t="n"/>
      <c r="C916" s="19" t="n"/>
      <c r="D916" s="19" t="n"/>
      <c r="E916" s="19" t="n"/>
      <c r="F916" s="19" t="n"/>
      <c r="G916" s="19" t="n"/>
      <c r="H916" s="19" t="n"/>
      <c r="I916" s="19" t="n"/>
    </row>
    <row r="917" ht="15.75" customHeight="1" s="545">
      <c r="A917" s="19" t="n"/>
      <c r="B917" s="19" t="n"/>
      <c r="C917" s="19" t="n"/>
      <c r="D917" s="19" t="n"/>
      <c r="E917" s="19" t="n"/>
      <c r="F917" s="19" t="n"/>
      <c r="G917" s="19" t="n"/>
      <c r="H917" s="19" t="n"/>
      <c r="I917" s="19" t="n"/>
    </row>
    <row r="918" ht="15.75" customHeight="1" s="545">
      <c r="A918" s="19" t="n"/>
      <c r="B918" s="19" t="n"/>
      <c r="C918" s="19" t="n"/>
      <c r="D918" s="19" t="n"/>
      <c r="E918" s="19" t="n"/>
      <c r="F918" s="19" t="n"/>
      <c r="G918" s="19" t="n"/>
      <c r="H918" s="19" t="n"/>
      <c r="I918" s="19" t="n"/>
    </row>
    <row r="919" ht="15.75" customHeight="1" s="545">
      <c r="A919" s="19" t="n"/>
      <c r="B919" s="19" t="n"/>
      <c r="C919" s="19" t="n"/>
      <c r="D919" s="19" t="n"/>
      <c r="E919" s="19" t="n"/>
      <c r="F919" s="19" t="n"/>
      <c r="G919" s="19" t="n"/>
      <c r="H919" s="19" t="n"/>
      <c r="I919" s="19" t="n"/>
    </row>
    <row r="920" ht="15.75" customHeight="1" s="545">
      <c r="A920" s="19" t="n"/>
      <c r="B920" s="19" t="n"/>
      <c r="C920" s="19" t="n"/>
      <c r="D920" s="19" t="n"/>
      <c r="E920" s="19" t="n"/>
      <c r="F920" s="19" t="n"/>
      <c r="G920" s="19" t="n"/>
      <c r="H920" s="19" t="n"/>
      <c r="I920" s="19" t="n"/>
    </row>
    <row r="921" ht="15.75" customHeight="1" s="545">
      <c r="A921" s="19" t="n"/>
      <c r="B921" s="19" t="n"/>
      <c r="C921" s="19" t="n"/>
      <c r="D921" s="19" t="n"/>
      <c r="E921" s="19" t="n"/>
      <c r="F921" s="19" t="n"/>
      <c r="G921" s="19" t="n"/>
      <c r="H921" s="19" t="n"/>
      <c r="I921" s="19" t="n"/>
    </row>
    <row r="922" ht="15.75" customHeight="1" s="545">
      <c r="A922" s="19" t="n"/>
      <c r="B922" s="19" t="n"/>
      <c r="C922" s="19" t="n"/>
      <c r="D922" s="19" t="n"/>
      <c r="E922" s="19" t="n"/>
      <c r="F922" s="19" t="n"/>
      <c r="G922" s="19" t="n"/>
      <c r="H922" s="19" t="n"/>
      <c r="I922" s="19" t="n"/>
    </row>
    <row r="923" ht="15.75" customHeight="1" s="545">
      <c r="A923" s="19" t="n"/>
      <c r="B923" s="19" t="n"/>
      <c r="C923" s="19" t="n"/>
      <c r="D923" s="19" t="n"/>
      <c r="E923" s="19" t="n"/>
      <c r="F923" s="19" t="n"/>
      <c r="G923" s="19" t="n"/>
      <c r="H923" s="19" t="n"/>
      <c r="I923" s="19" t="n"/>
    </row>
    <row r="924" ht="15.75" customHeight="1" s="545">
      <c r="A924" s="19" t="n"/>
      <c r="B924" s="19" t="n"/>
      <c r="C924" s="19" t="n"/>
      <c r="D924" s="19" t="n"/>
      <c r="E924" s="19" t="n"/>
      <c r="F924" s="19" t="n"/>
      <c r="G924" s="19" t="n"/>
      <c r="H924" s="19" t="n"/>
      <c r="I924" s="19" t="n"/>
    </row>
    <row r="925" ht="15.75" customHeight="1" s="545">
      <c r="A925" s="19" t="n"/>
      <c r="B925" s="19" t="n"/>
      <c r="C925" s="19" t="n"/>
      <c r="D925" s="19" t="n"/>
      <c r="E925" s="19" t="n"/>
      <c r="F925" s="19" t="n"/>
      <c r="G925" s="19" t="n"/>
      <c r="H925" s="19" t="n"/>
      <c r="I925" s="19" t="n"/>
    </row>
    <row r="926" ht="15.75" customHeight="1" s="545">
      <c r="A926" s="19" t="n"/>
      <c r="B926" s="19" t="n"/>
      <c r="C926" s="19" t="n"/>
      <c r="D926" s="19" t="n"/>
      <c r="E926" s="19" t="n"/>
      <c r="F926" s="19" t="n"/>
      <c r="G926" s="19" t="n"/>
      <c r="H926" s="19" t="n"/>
      <c r="I926" s="19" t="n"/>
    </row>
    <row r="927" ht="15.75" customHeight="1" s="545">
      <c r="A927" s="19" t="n"/>
      <c r="B927" s="19" t="n"/>
      <c r="C927" s="19" t="n"/>
      <c r="D927" s="19" t="n"/>
      <c r="E927" s="19" t="n"/>
      <c r="F927" s="19" t="n"/>
      <c r="G927" s="19" t="n"/>
      <c r="H927" s="19" t="n"/>
      <c r="I927" s="19" t="n"/>
    </row>
    <row r="928" ht="15.75" customHeight="1" s="545">
      <c r="A928" s="19" t="n"/>
      <c r="B928" s="19" t="n"/>
      <c r="C928" s="19" t="n"/>
      <c r="D928" s="19" t="n"/>
      <c r="E928" s="19" t="n"/>
      <c r="F928" s="19" t="n"/>
      <c r="G928" s="19" t="n"/>
      <c r="H928" s="19" t="n"/>
      <c r="I928" s="19" t="n"/>
    </row>
    <row r="929" ht="15.75" customHeight="1" s="545">
      <c r="A929" s="19" t="n"/>
      <c r="B929" s="19" t="n"/>
      <c r="C929" s="19" t="n"/>
      <c r="D929" s="19" t="n"/>
      <c r="E929" s="19" t="n"/>
      <c r="F929" s="19" t="n"/>
      <c r="G929" s="19" t="n"/>
      <c r="H929" s="19" t="n"/>
      <c r="I929" s="19" t="n"/>
    </row>
    <row r="930" ht="15.75" customHeight="1" s="545">
      <c r="A930" s="19" t="n"/>
      <c r="B930" s="19" t="n"/>
      <c r="C930" s="19" t="n"/>
      <c r="D930" s="19" t="n"/>
      <c r="E930" s="19" t="n"/>
      <c r="F930" s="19" t="n"/>
      <c r="G930" s="19" t="n"/>
      <c r="H930" s="19" t="n"/>
      <c r="I930" s="19" t="n"/>
    </row>
    <row r="931" ht="15.75" customHeight="1" s="545">
      <c r="A931" s="19" t="n"/>
      <c r="B931" s="19" t="n"/>
      <c r="C931" s="19" t="n"/>
      <c r="D931" s="19" t="n"/>
      <c r="E931" s="19" t="n"/>
      <c r="F931" s="19" t="n"/>
      <c r="G931" s="19" t="n"/>
      <c r="H931" s="19" t="n"/>
      <c r="I931" s="19" t="n"/>
    </row>
    <row r="932" ht="15.75" customHeight="1" s="545">
      <c r="A932" s="19" t="n"/>
      <c r="B932" s="19" t="n"/>
      <c r="C932" s="19" t="n"/>
      <c r="D932" s="19" t="n"/>
      <c r="E932" s="19" t="n"/>
      <c r="F932" s="19" t="n"/>
      <c r="G932" s="19" t="n"/>
      <c r="H932" s="19" t="n"/>
      <c r="I932" s="19" t="n"/>
    </row>
    <row r="933" ht="15.75" customHeight="1" s="545">
      <c r="A933" s="19" t="n"/>
      <c r="B933" s="19" t="n"/>
      <c r="C933" s="19" t="n"/>
      <c r="D933" s="19" t="n"/>
      <c r="E933" s="19" t="n"/>
      <c r="F933" s="19" t="n"/>
      <c r="G933" s="19" t="n"/>
      <c r="H933" s="19" t="n"/>
      <c r="I933" s="19" t="n"/>
    </row>
    <row r="934" ht="15.75" customHeight="1" s="545">
      <c r="A934" s="19" t="n"/>
      <c r="B934" s="19" t="n"/>
      <c r="C934" s="19" t="n"/>
      <c r="D934" s="19" t="n"/>
      <c r="E934" s="19" t="n"/>
      <c r="F934" s="19" t="n"/>
      <c r="G934" s="19" t="n"/>
      <c r="H934" s="19" t="n"/>
      <c r="I934" s="19" t="n"/>
    </row>
    <row r="935" ht="15.75" customHeight="1" s="545">
      <c r="A935" s="19" t="n"/>
      <c r="B935" s="19" t="n"/>
      <c r="C935" s="19" t="n"/>
      <c r="D935" s="19" t="n"/>
      <c r="E935" s="19" t="n"/>
      <c r="F935" s="19" t="n"/>
      <c r="G935" s="19" t="n"/>
      <c r="H935" s="19" t="n"/>
      <c r="I935" s="19" t="n"/>
    </row>
    <row r="936" ht="15.75" customHeight="1" s="545">
      <c r="A936" s="19" t="n"/>
      <c r="B936" s="19" t="n"/>
      <c r="C936" s="19" t="n"/>
      <c r="D936" s="19" t="n"/>
      <c r="E936" s="19" t="n"/>
      <c r="F936" s="19" t="n"/>
      <c r="G936" s="19" t="n"/>
      <c r="H936" s="19" t="n"/>
      <c r="I936" s="19" t="n"/>
    </row>
    <row r="937" ht="15.75" customHeight="1" s="545">
      <c r="A937" s="19" t="n"/>
      <c r="B937" s="19" t="n"/>
      <c r="C937" s="19" t="n"/>
      <c r="D937" s="19" t="n"/>
      <c r="E937" s="19" t="n"/>
      <c r="F937" s="19" t="n"/>
      <c r="G937" s="19" t="n"/>
      <c r="H937" s="19" t="n"/>
      <c r="I937" s="19" t="n"/>
    </row>
    <row r="938" ht="15.75" customHeight="1" s="545">
      <c r="A938" s="19" t="n"/>
      <c r="B938" s="19" t="n"/>
      <c r="C938" s="19" t="n"/>
      <c r="D938" s="19" t="n"/>
      <c r="E938" s="19" t="n"/>
      <c r="F938" s="19" t="n"/>
      <c r="G938" s="19" t="n"/>
      <c r="H938" s="19" t="n"/>
      <c r="I938" s="19" t="n"/>
    </row>
    <row r="939" ht="15.75" customHeight="1" s="545">
      <c r="A939" s="19" t="n"/>
      <c r="B939" s="19" t="n"/>
      <c r="C939" s="19" t="n"/>
      <c r="D939" s="19" t="n"/>
      <c r="E939" s="19" t="n"/>
      <c r="F939" s="19" t="n"/>
      <c r="G939" s="19" t="n"/>
      <c r="H939" s="19" t="n"/>
      <c r="I939" s="19" t="n"/>
    </row>
    <row r="940" ht="15.75" customHeight="1" s="545">
      <c r="A940" s="19" t="n"/>
      <c r="B940" s="19" t="n"/>
      <c r="C940" s="19" t="n"/>
      <c r="D940" s="19" t="n"/>
      <c r="E940" s="19" t="n"/>
      <c r="F940" s="19" t="n"/>
      <c r="G940" s="19" t="n"/>
      <c r="H940" s="19" t="n"/>
      <c r="I940" s="19" t="n"/>
    </row>
    <row r="941" ht="15.75" customHeight="1" s="545">
      <c r="A941" s="19" t="n"/>
      <c r="B941" s="19" t="n"/>
      <c r="C941" s="19" t="n"/>
      <c r="D941" s="19" t="n"/>
      <c r="E941" s="19" t="n"/>
      <c r="F941" s="19" t="n"/>
      <c r="G941" s="19" t="n"/>
      <c r="H941" s="19" t="n"/>
      <c r="I941" s="19" t="n"/>
    </row>
    <row r="942" ht="15.75" customHeight="1" s="545">
      <c r="A942" s="19" t="n"/>
      <c r="B942" s="19" t="n"/>
      <c r="C942" s="19" t="n"/>
      <c r="D942" s="19" t="n"/>
      <c r="E942" s="19" t="n"/>
      <c r="F942" s="19" t="n"/>
      <c r="G942" s="19" t="n"/>
      <c r="H942" s="19" t="n"/>
      <c r="I942" s="19" t="n"/>
    </row>
    <row r="943" ht="15.75" customHeight="1" s="545">
      <c r="A943" s="19" t="n"/>
      <c r="B943" s="19" t="n"/>
      <c r="C943" s="19" t="n"/>
      <c r="D943" s="19" t="n"/>
      <c r="E943" s="19" t="n"/>
      <c r="F943" s="19" t="n"/>
      <c r="G943" s="19" t="n"/>
      <c r="H943" s="19" t="n"/>
      <c r="I943" s="19" t="n"/>
    </row>
    <row r="944" ht="15.75" customHeight="1" s="545">
      <c r="A944" s="19" t="n"/>
      <c r="B944" s="19" t="n"/>
      <c r="C944" s="19" t="n"/>
      <c r="D944" s="19" t="n"/>
      <c r="E944" s="19" t="n"/>
      <c r="F944" s="19" t="n"/>
      <c r="G944" s="19" t="n"/>
      <c r="H944" s="19" t="n"/>
      <c r="I944" s="19" t="n"/>
    </row>
    <row r="945" ht="15.75" customHeight="1" s="545">
      <c r="A945" s="19" t="n"/>
      <c r="B945" s="19" t="n"/>
      <c r="C945" s="19" t="n"/>
      <c r="D945" s="19" t="n"/>
      <c r="E945" s="19" t="n"/>
      <c r="F945" s="19" t="n"/>
      <c r="G945" s="19" t="n"/>
      <c r="H945" s="19" t="n"/>
      <c r="I945" s="19" t="n"/>
    </row>
    <row r="946" ht="15.75" customHeight="1" s="545">
      <c r="A946" s="19" t="n"/>
      <c r="B946" s="19" t="n"/>
      <c r="C946" s="19" t="n"/>
      <c r="D946" s="19" t="n"/>
      <c r="E946" s="19" t="n"/>
      <c r="F946" s="19" t="n"/>
      <c r="G946" s="19" t="n"/>
      <c r="H946" s="19" t="n"/>
      <c r="I946" s="19" t="n"/>
    </row>
    <row r="947" ht="15.75" customHeight="1" s="545">
      <c r="A947" s="19" t="n"/>
      <c r="B947" s="19" t="n"/>
      <c r="C947" s="19" t="n"/>
      <c r="D947" s="19" t="n"/>
      <c r="E947" s="19" t="n"/>
      <c r="F947" s="19" t="n"/>
      <c r="G947" s="19" t="n"/>
      <c r="H947" s="19" t="n"/>
      <c r="I947" s="19" t="n"/>
    </row>
    <row r="948" ht="15.75" customHeight="1" s="545">
      <c r="A948" s="19" t="n"/>
      <c r="B948" s="19" t="n"/>
      <c r="C948" s="19" t="n"/>
      <c r="D948" s="19" t="n"/>
      <c r="E948" s="19" t="n"/>
      <c r="F948" s="19" t="n"/>
      <c r="G948" s="19" t="n"/>
      <c r="H948" s="19" t="n"/>
      <c r="I948" s="19" t="n"/>
    </row>
    <row r="949" ht="15.75" customHeight="1" s="545">
      <c r="A949" s="19" t="n"/>
      <c r="B949" s="19" t="n"/>
      <c r="C949" s="19" t="n"/>
      <c r="D949" s="19" t="n"/>
      <c r="E949" s="19" t="n"/>
      <c r="F949" s="19" t="n"/>
      <c r="G949" s="19" t="n"/>
      <c r="H949" s="19" t="n"/>
      <c r="I949" s="19" t="n"/>
    </row>
    <row r="950" ht="15.75" customHeight="1" s="545">
      <c r="A950" s="19" t="n"/>
      <c r="B950" s="19" t="n"/>
      <c r="C950" s="19" t="n"/>
      <c r="D950" s="19" t="n"/>
      <c r="E950" s="19" t="n"/>
      <c r="F950" s="19" t="n"/>
      <c r="G950" s="19" t="n"/>
      <c r="H950" s="19" t="n"/>
      <c r="I950" s="19" t="n"/>
    </row>
    <row r="951" ht="15.75" customHeight="1" s="545">
      <c r="A951" s="19" t="n"/>
      <c r="B951" s="19" t="n"/>
      <c r="C951" s="19" t="n"/>
      <c r="D951" s="19" t="n"/>
      <c r="E951" s="19" t="n"/>
      <c r="F951" s="19" t="n"/>
      <c r="G951" s="19" t="n"/>
      <c r="H951" s="19" t="n"/>
      <c r="I951" s="19" t="n"/>
    </row>
    <row r="952" ht="15.75" customHeight="1" s="545">
      <c r="A952" s="19" t="n"/>
      <c r="B952" s="19" t="n"/>
      <c r="C952" s="19" t="n"/>
      <c r="D952" s="19" t="n"/>
      <c r="E952" s="19" t="n"/>
      <c r="F952" s="19" t="n"/>
      <c r="G952" s="19" t="n"/>
      <c r="H952" s="19" t="n"/>
      <c r="I952" s="19" t="n"/>
    </row>
    <row r="953" ht="15.75" customHeight="1" s="545">
      <c r="A953" s="19" t="n"/>
      <c r="B953" s="19" t="n"/>
      <c r="C953" s="19" t="n"/>
      <c r="D953" s="19" t="n"/>
      <c r="E953" s="19" t="n"/>
      <c r="F953" s="19" t="n"/>
      <c r="G953" s="19" t="n"/>
      <c r="H953" s="19" t="n"/>
      <c r="I953" s="19" t="n"/>
    </row>
    <row r="954" ht="15.75" customHeight="1" s="545">
      <c r="A954" s="19" t="n"/>
      <c r="B954" s="19" t="n"/>
      <c r="C954" s="19" t="n"/>
      <c r="D954" s="19" t="n"/>
      <c r="E954" s="19" t="n"/>
      <c r="F954" s="19" t="n"/>
      <c r="G954" s="19" t="n"/>
      <c r="H954" s="19" t="n"/>
      <c r="I954" s="19" t="n"/>
    </row>
    <row r="955" ht="15.75" customHeight="1" s="545">
      <c r="A955" s="19" t="n"/>
      <c r="B955" s="19" t="n"/>
      <c r="C955" s="19" t="n"/>
      <c r="D955" s="19" t="n"/>
      <c r="E955" s="19" t="n"/>
      <c r="F955" s="19" t="n"/>
      <c r="G955" s="19" t="n"/>
      <c r="H955" s="19" t="n"/>
      <c r="I955" s="19" t="n"/>
    </row>
    <row r="956" ht="15.75" customHeight="1" s="545">
      <c r="A956" s="19" t="n"/>
      <c r="B956" s="19" t="n"/>
      <c r="C956" s="19" t="n"/>
      <c r="D956" s="19" t="n"/>
      <c r="E956" s="19" t="n"/>
      <c r="F956" s="19" t="n"/>
      <c r="G956" s="19" t="n"/>
      <c r="H956" s="19" t="n"/>
      <c r="I956" s="19" t="n"/>
    </row>
    <row r="957" ht="15.75" customHeight="1" s="545">
      <c r="A957" s="19" t="n"/>
      <c r="B957" s="19" t="n"/>
      <c r="C957" s="19" t="n"/>
      <c r="D957" s="19" t="n"/>
      <c r="E957" s="19" t="n"/>
      <c r="F957" s="19" t="n"/>
      <c r="G957" s="19" t="n"/>
      <c r="H957" s="19" t="n"/>
      <c r="I957" s="19" t="n"/>
    </row>
    <row r="958" ht="15.75" customHeight="1" s="545">
      <c r="A958" s="19" t="n"/>
      <c r="B958" s="19" t="n"/>
      <c r="C958" s="19" t="n"/>
      <c r="D958" s="19" t="n"/>
      <c r="E958" s="19" t="n"/>
      <c r="F958" s="19" t="n"/>
      <c r="G958" s="19" t="n"/>
      <c r="H958" s="19" t="n"/>
      <c r="I958" s="19" t="n"/>
    </row>
    <row r="959" ht="15.75" customHeight="1" s="545">
      <c r="A959" s="19" t="n"/>
      <c r="B959" s="19" t="n"/>
      <c r="C959" s="19" t="n"/>
      <c r="D959" s="19" t="n"/>
      <c r="E959" s="19" t="n"/>
      <c r="F959" s="19" t="n"/>
      <c r="G959" s="19" t="n"/>
      <c r="H959" s="19" t="n"/>
      <c r="I959" s="19" t="n"/>
    </row>
    <row r="960" ht="15.75" customHeight="1" s="545">
      <c r="A960" s="19" t="n"/>
      <c r="B960" s="19" t="n"/>
      <c r="C960" s="19" t="n"/>
      <c r="D960" s="19" t="n"/>
      <c r="E960" s="19" t="n"/>
      <c r="F960" s="19" t="n"/>
      <c r="G960" s="19" t="n"/>
      <c r="H960" s="19" t="n"/>
      <c r="I960" s="19" t="n"/>
    </row>
    <row r="961" ht="15.75" customHeight="1" s="545">
      <c r="A961" s="19" t="n"/>
      <c r="B961" s="19" t="n"/>
      <c r="C961" s="19" t="n"/>
      <c r="D961" s="19" t="n"/>
      <c r="E961" s="19" t="n"/>
      <c r="F961" s="19" t="n"/>
      <c r="G961" s="19" t="n"/>
      <c r="H961" s="19" t="n"/>
      <c r="I961" s="19" t="n"/>
    </row>
    <row r="962" ht="15.75" customHeight="1" s="545">
      <c r="A962" s="19" t="n"/>
      <c r="B962" s="19" t="n"/>
      <c r="C962" s="19" t="n"/>
      <c r="D962" s="19" t="n"/>
      <c r="E962" s="19" t="n"/>
      <c r="F962" s="19" t="n"/>
      <c r="G962" s="19" t="n"/>
      <c r="H962" s="19" t="n"/>
      <c r="I962" s="19" t="n"/>
    </row>
    <row r="963" ht="15.75" customHeight="1" s="545">
      <c r="A963" s="19" t="n"/>
      <c r="B963" s="19" t="n"/>
      <c r="C963" s="19" t="n"/>
      <c r="D963" s="19" t="n"/>
      <c r="E963" s="19" t="n"/>
      <c r="F963" s="19" t="n"/>
      <c r="G963" s="19" t="n"/>
      <c r="H963" s="19" t="n"/>
      <c r="I963" s="19" t="n"/>
    </row>
    <row r="964" ht="15.75" customHeight="1" s="545">
      <c r="A964" s="19" t="n"/>
      <c r="B964" s="19" t="n"/>
      <c r="C964" s="19" t="n"/>
      <c r="D964" s="19" t="n"/>
      <c r="E964" s="19" t="n"/>
      <c r="F964" s="19" t="n"/>
      <c r="G964" s="19" t="n"/>
      <c r="H964" s="19" t="n"/>
      <c r="I964" s="19" t="n"/>
    </row>
    <row r="965" ht="15.75" customHeight="1" s="545">
      <c r="A965" s="19" t="n"/>
      <c r="B965" s="19" t="n"/>
      <c r="C965" s="19" t="n"/>
      <c r="D965" s="19" t="n"/>
      <c r="E965" s="19" t="n"/>
      <c r="F965" s="19" t="n"/>
      <c r="G965" s="19" t="n"/>
      <c r="H965" s="19" t="n"/>
      <c r="I965" s="19" t="n"/>
    </row>
    <row r="966" ht="15.75" customHeight="1" s="545">
      <c r="A966" s="19" t="n"/>
      <c r="B966" s="19" t="n"/>
      <c r="C966" s="19" t="n"/>
      <c r="D966" s="19" t="n"/>
      <c r="E966" s="19" t="n"/>
      <c r="F966" s="19" t="n"/>
      <c r="G966" s="19" t="n"/>
      <c r="H966" s="19" t="n"/>
      <c r="I966" s="19" t="n"/>
    </row>
    <row r="967" ht="15.75" customHeight="1" s="545">
      <c r="A967" s="19" t="n"/>
      <c r="B967" s="19" t="n"/>
      <c r="C967" s="19" t="n"/>
      <c r="D967" s="19" t="n"/>
      <c r="E967" s="19" t="n"/>
      <c r="F967" s="19" t="n"/>
      <c r="G967" s="19" t="n"/>
      <c r="H967" s="19" t="n"/>
      <c r="I967" s="19" t="n"/>
    </row>
    <row r="968" ht="15.75" customHeight="1" s="545">
      <c r="A968" s="19" t="n"/>
      <c r="B968" s="19" t="n"/>
      <c r="C968" s="19" t="n"/>
      <c r="D968" s="19" t="n"/>
      <c r="E968" s="19" t="n"/>
      <c r="F968" s="19" t="n"/>
      <c r="G968" s="19" t="n"/>
      <c r="H968" s="19" t="n"/>
      <c r="I968" s="19" t="n"/>
    </row>
    <row r="969" ht="15.75" customHeight="1" s="545">
      <c r="A969" s="19" t="n"/>
      <c r="B969" s="19" t="n"/>
      <c r="C969" s="19" t="n"/>
      <c r="D969" s="19" t="n"/>
      <c r="E969" s="19" t="n"/>
      <c r="F969" s="19" t="n"/>
      <c r="G969" s="19" t="n"/>
      <c r="H969" s="19" t="n"/>
      <c r="I969" s="19" t="n"/>
    </row>
    <row r="970" ht="15.75" customHeight="1" s="545">
      <c r="A970" s="19" t="n"/>
      <c r="B970" s="19" t="n"/>
      <c r="C970" s="19" t="n"/>
      <c r="D970" s="19" t="n"/>
      <c r="E970" s="19" t="n"/>
      <c r="F970" s="19" t="n"/>
      <c r="G970" s="19" t="n"/>
      <c r="H970" s="19" t="n"/>
      <c r="I970" s="19" t="n"/>
    </row>
    <row r="971" ht="15.75" customHeight="1" s="545">
      <c r="A971" s="19" t="n"/>
      <c r="B971" s="19" t="n"/>
      <c r="C971" s="19" t="n"/>
      <c r="D971" s="19" t="n"/>
      <c r="E971" s="19" t="n"/>
      <c r="F971" s="19" t="n"/>
      <c r="G971" s="19" t="n"/>
      <c r="H971" s="19" t="n"/>
      <c r="I971" s="19" t="n"/>
    </row>
    <row r="972" ht="15.75" customHeight="1" s="545">
      <c r="A972" s="19" t="n"/>
      <c r="B972" s="19" t="n"/>
      <c r="C972" s="19" t="n"/>
      <c r="D972" s="19" t="n"/>
      <c r="E972" s="19" t="n"/>
      <c r="F972" s="19" t="n"/>
      <c r="G972" s="19" t="n"/>
      <c r="H972" s="19" t="n"/>
      <c r="I972" s="19" t="n"/>
    </row>
    <row r="973" ht="15.75" customHeight="1" s="545">
      <c r="A973" s="19" t="n"/>
      <c r="B973" s="19" t="n"/>
      <c r="C973" s="19" t="n"/>
      <c r="D973" s="19" t="n"/>
      <c r="E973" s="19" t="n"/>
      <c r="F973" s="19" t="n"/>
      <c r="G973" s="19" t="n"/>
      <c r="H973" s="19" t="n"/>
      <c r="I973" s="19" t="n"/>
    </row>
    <row r="974" ht="15.75" customHeight="1" s="545">
      <c r="A974" s="19" t="n"/>
      <c r="B974" s="19" t="n"/>
      <c r="C974" s="19" t="n"/>
      <c r="D974" s="19" t="n"/>
      <c r="E974" s="19" t="n"/>
      <c r="F974" s="19" t="n"/>
      <c r="G974" s="19" t="n"/>
      <c r="H974" s="19" t="n"/>
      <c r="I974" s="19" t="n"/>
    </row>
    <row r="975" ht="15.75" customHeight="1" s="545">
      <c r="A975" s="19" t="n"/>
      <c r="B975" s="19" t="n"/>
      <c r="C975" s="19" t="n"/>
      <c r="D975" s="19" t="n"/>
      <c r="E975" s="19" t="n"/>
      <c r="F975" s="19" t="n"/>
      <c r="G975" s="19" t="n"/>
      <c r="H975" s="19" t="n"/>
      <c r="I975" s="19" t="n"/>
    </row>
    <row r="976" ht="15.75" customHeight="1" s="545">
      <c r="A976" s="19" t="n"/>
      <c r="B976" s="19" t="n"/>
      <c r="C976" s="19" t="n"/>
      <c r="D976" s="19" t="n"/>
      <c r="E976" s="19" t="n"/>
      <c r="F976" s="19" t="n"/>
      <c r="G976" s="19" t="n"/>
      <c r="H976" s="19" t="n"/>
      <c r="I976" s="19" t="n"/>
    </row>
    <row r="977" ht="15.75" customHeight="1" s="545">
      <c r="A977" s="19" t="n"/>
      <c r="B977" s="19" t="n"/>
      <c r="C977" s="19" t="n"/>
      <c r="D977" s="19" t="n"/>
      <c r="E977" s="19" t="n"/>
      <c r="F977" s="19" t="n"/>
      <c r="G977" s="19" t="n"/>
      <c r="H977" s="19" t="n"/>
      <c r="I977" s="19" t="n"/>
    </row>
    <row r="978" ht="15.75" customHeight="1" s="545">
      <c r="A978" s="19" t="n"/>
      <c r="B978" s="19" t="n"/>
      <c r="C978" s="19" t="n"/>
      <c r="D978" s="19" t="n"/>
      <c r="E978" s="19" t="n"/>
      <c r="F978" s="19" t="n"/>
      <c r="G978" s="19" t="n"/>
      <c r="H978" s="19" t="n"/>
      <c r="I978" s="19" t="n"/>
    </row>
    <row r="979" ht="15.75" customHeight="1" s="545">
      <c r="A979" s="19" t="n"/>
      <c r="B979" s="19" t="n"/>
      <c r="C979" s="19" t="n"/>
      <c r="D979" s="19" t="n"/>
      <c r="E979" s="19" t="n"/>
      <c r="F979" s="19" t="n"/>
      <c r="G979" s="19" t="n"/>
      <c r="H979" s="19" t="n"/>
      <c r="I979" s="19" t="n"/>
    </row>
    <row r="980" ht="15.75" customHeight="1" s="545">
      <c r="A980" s="19" t="n"/>
      <c r="B980" s="19" t="n"/>
      <c r="C980" s="19" t="n"/>
      <c r="D980" s="19" t="n"/>
      <c r="E980" s="19" t="n"/>
      <c r="F980" s="19" t="n"/>
      <c r="G980" s="19" t="n"/>
      <c r="H980" s="19" t="n"/>
      <c r="I980" s="19" t="n"/>
    </row>
    <row r="981" ht="15.75" customHeight="1" s="545">
      <c r="A981" s="19" t="n"/>
      <c r="B981" s="19" t="n"/>
      <c r="C981" s="19" t="n"/>
      <c r="D981" s="19" t="n"/>
      <c r="E981" s="19" t="n"/>
      <c r="F981" s="19" t="n"/>
      <c r="G981" s="19" t="n"/>
      <c r="H981" s="19" t="n"/>
      <c r="I981" s="19" t="n"/>
    </row>
    <row r="982" ht="15.75" customHeight="1" s="545">
      <c r="A982" s="19" t="n"/>
      <c r="B982" s="19" t="n"/>
      <c r="C982" s="19" t="n"/>
      <c r="D982" s="19" t="n"/>
      <c r="E982" s="19" t="n"/>
      <c r="F982" s="19" t="n"/>
      <c r="G982" s="19" t="n"/>
      <c r="H982" s="19" t="n"/>
      <c r="I982" s="19" t="n"/>
    </row>
    <row r="983" ht="15.75" customHeight="1" s="545">
      <c r="A983" s="19" t="n"/>
      <c r="B983" s="19" t="n"/>
      <c r="C983" s="19" t="n"/>
      <c r="D983" s="19" t="n"/>
      <c r="E983" s="19" t="n"/>
      <c r="F983" s="19" t="n"/>
      <c r="G983" s="19" t="n"/>
      <c r="H983" s="19" t="n"/>
      <c r="I983" s="19" t="n"/>
    </row>
    <row r="984" ht="15.75" customHeight="1" s="545">
      <c r="A984" s="19" t="n"/>
      <c r="B984" s="19" t="n"/>
      <c r="C984" s="19" t="n"/>
      <c r="D984" s="19" t="n"/>
      <c r="E984" s="19" t="n"/>
      <c r="F984" s="19" t="n"/>
      <c r="G984" s="19" t="n"/>
      <c r="H984" s="19" t="n"/>
      <c r="I984" s="19" t="n"/>
    </row>
    <row r="985" ht="15.75" customHeight="1" s="545">
      <c r="A985" s="19" t="n"/>
      <c r="B985" s="19" t="n"/>
      <c r="C985" s="19" t="n"/>
      <c r="D985" s="19" t="n"/>
      <c r="E985" s="19" t="n"/>
      <c r="F985" s="19" t="n"/>
      <c r="G985" s="19" t="n"/>
      <c r="H985" s="19" t="n"/>
      <c r="I985" s="19" t="n"/>
    </row>
    <row r="986" ht="15.75" customHeight="1" s="545">
      <c r="A986" s="19" t="n"/>
      <c r="B986" s="19" t="n"/>
      <c r="C986" s="19" t="n"/>
      <c r="D986" s="19" t="n"/>
      <c r="E986" s="19" t="n"/>
      <c r="F986" s="19" t="n"/>
      <c r="G986" s="19" t="n"/>
      <c r="H986" s="19" t="n"/>
      <c r="I986" s="19" t="n"/>
    </row>
    <row r="987" ht="15.75" customHeight="1" s="545">
      <c r="A987" s="19" t="n"/>
      <c r="B987" s="19" t="n"/>
      <c r="C987" s="19" t="n"/>
      <c r="D987" s="19" t="n"/>
      <c r="E987" s="19" t="n"/>
      <c r="F987" s="19" t="n"/>
      <c r="G987" s="19" t="n"/>
      <c r="H987" s="19" t="n"/>
      <c r="I987" s="19" t="n"/>
    </row>
    <row r="988" ht="15.75" customHeight="1" s="545">
      <c r="A988" s="19" t="n"/>
      <c r="B988" s="19" t="n"/>
      <c r="C988" s="19" t="n"/>
      <c r="D988" s="19" t="n"/>
      <c r="E988" s="19" t="n"/>
      <c r="F988" s="19" t="n"/>
      <c r="G988" s="19" t="n"/>
      <c r="H988" s="19" t="n"/>
      <c r="I988" s="19" t="n"/>
    </row>
    <row r="989" ht="15.75" customHeight="1" s="545">
      <c r="A989" s="19" t="n"/>
      <c r="B989" s="19" t="n"/>
      <c r="C989" s="19" t="n"/>
      <c r="D989" s="19" t="n"/>
      <c r="E989" s="19" t="n"/>
      <c r="F989" s="19" t="n"/>
      <c r="G989" s="19" t="n"/>
      <c r="H989" s="19" t="n"/>
      <c r="I989" s="19" t="n"/>
    </row>
    <row r="990" ht="15.75" customHeight="1" s="545">
      <c r="A990" s="19" t="n"/>
      <c r="B990" s="19" t="n"/>
      <c r="C990" s="19" t="n"/>
      <c r="D990" s="19" t="n"/>
      <c r="E990" s="19" t="n"/>
      <c r="F990" s="19" t="n"/>
      <c r="G990" s="19" t="n"/>
      <c r="H990" s="19" t="n"/>
      <c r="I990" s="19" t="n"/>
    </row>
    <row r="991" ht="15.75" customHeight="1" s="545">
      <c r="A991" s="19" t="n"/>
      <c r="B991" s="19" t="n"/>
      <c r="C991" s="19" t="n"/>
      <c r="D991" s="19" t="n"/>
      <c r="E991" s="19" t="n"/>
      <c r="F991" s="19" t="n"/>
      <c r="G991" s="19" t="n"/>
      <c r="H991" s="19" t="n"/>
      <c r="I991" s="19" t="n"/>
    </row>
    <row r="992" ht="15.75" customHeight="1" s="545">
      <c r="A992" s="19" t="n"/>
      <c r="B992" s="19" t="n"/>
      <c r="C992" s="19" t="n"/>
      <c r="D992" s="19" t="n"/>
      <c r="E992" s="19" t="n"/>
      <c r="F992" s="19" t="n"/>
      <c r="G992" s="19" t="n"/>
      <c r="H992" s="19" t="n"/>
      <c r="I992" s="19" t="n"/>
    </row>
    <row r="993" ht="15.75" customHeight="1" s="545">
      <c r="A993" s="19" t="n"/>
      <c r="B993" s="19" t="n"/>
      <c r="C993" s="19" t="n"/>
      <c r="D993" s="19" t="n"/>
      <c r="E993" s="19" t="n"/>
      <c r="F993" s="19" t="n"/>
      <c r="G993" s="19" t="n"/>
      <c r="H993" s="19" t="n"/>
      <c r="I993" s="19" t="n"/>
    </row>
    <row r="994" ht="15.75" customHeight="1" s="545">
      <c r="A994" s="19" t="n"/>
      <c r="B994" s="19" t="n"/>
      <c r="C994" s="19" t="n"/>
      <c r="D994" s="19" t="n"/>
      <c r="E994" s="19" t="n"/>
      <c r="F994" s="19" t="n"/>
      <c r="G994" s="19" t="n"/>
      <c r="H994" s="19" t="n"/>
      <c r="I994" s="19" t="n"/>
    </row>
    <row r="995" ht="15.75" customHeight="1" s="545">
      <c r="A995" s="19" t="n"/>
      <c r="B995" s="19" t="n"/>
      <c r="C995" s="19" t="n"/>
      <c r="D995" s="19" t="n"/>
      <c r="E995" s="19" t="n"/>
      <c r="F995" s="19" t="n"/>
      <c r="G995" s="19" t="n"/>
      <c r="H995" s="19" t="n"/>
      <c r="I995" s="19" t="n"/>
    </row>
    <row r="996" ht="15.75" customHeight="1" s="545">
      <c r="A996" s="19" t="n"/>
      <c r="B996" s="19" t="n"/>
      <c r="C996" s="19" t="n"/>
      <c r="D996" s="19" t="n"/>
      <c r="E996" s="19" t="n"/>
      <c r="F996" s="19" t="n"/>
      <c r="G996" s="19" t="n"/>
      <c r="H996" s="19" t="n"/>
      <c r="I996" s="19" t="n"/>
    </row>
    <row r="997" ht="15.75" customHeight="1" s="545">
      <c r="A997" s="19" t="n"/>
      <c r="B997" s="19" t="n"/>
      <c r="C997" s="19" t="n"/>
      <c r="D997" s="19" t="n"/>
      <c r="E997" s="19" t="n"/>
      <c r="F997" s="19" t="n"/>
      <c r="G997" s="19" t="n"/>
      <c r="H997" s="19" t="n"/>
      <c r="I997" s="19" t="n"/>
    </row>
    <row r="998" ht="15.75" customHeight="1" s="545">
      <c r="A998" s="19" t="n"/>
      <c r="B998" s="19" t="n"/>
      <c r="C998" s="19" t="n"/>
      <c r="D998" s="19" t="n"/>
      <c r="E998" s="19" t="n"/>
      <c r="F998" s="19" t="n"/>
      <c r="G998" s="19" t="n"/>
      <c r="H998" s="19" t="n"/>
      <c r="I998" s="19" t="n"/>
    </row>
    <row r="999" ht="15.75" customHeight="1" s="545">
      <c r="A999" s="19" t="n"/>
      <c r="B999" s="19" t="n"/>
      <c r="C999" s="19" t="n"/>
      <c r="D999" s="19" t="n"/>
      <c r="E999" s="19" t="n"/>
      <c r="F999" s="19" t="n"/>
      <c r="G999" s="19" t="n"/>
      <c r="H999" s="19" t="n"/>
      <c r="I999" s="19" t="n"/>
    </row>
    <row r="1000" ht="15.75" customHeight="1" s="545">
      <c r="A1000" s="19" t="n"/>
      <c r="B1000" s="19" t="n"/>
      <c r="C1000" s="19" t="n"/>
      <c r="D1000" s="19" t="n"/>
      <c r="E1000" s="19" t="n"/>
      <c r="F1000" s="19" t="n"/>
      <c r="G1000" s="19" t="n"/>
      <c r="H1000" s="19" t="n"/>
      <c r="I1000" s="19" t="n"/>
    </row>
  </sheetData>
  <mergeCells count="30">
    <mergeCell ref="D10:E10"/>
    <mergeCell ref="F18:H18"/>
    <mergeCell ref="B25:C25"/>
    <mergeCell ref="F25:G25"/>
    <mergeCell ref="B22:C22"/>
    <mergeCell ref="D6:E6"/>
    <mergeCell ref="F21:G21"/>
    <mergeCell ref="B21:C21"/>
    <mergeCell ref="F24:G24"/>
    <mergeCell ref="D2:E2"/>
    <mergeCell ref="D11:E11"/>
    <mergeCell ref="F20:G20"/>
    <mergeCell ref="B23:C23"/>
    <mergeCell ref="B18:D19"/>
    <mergeCell ref="F26:G26"/>
    <mergeCell ref="D7:E7"/>
    <mergeCell ref="G15:H15"/>
    <mergeCell ref="F23:G23"/>
    <mergeCell ref="B28:C28"/>
    <mergeCell ref="F28:G28"/>
    <mergeCell ref="F22:G22"/>
    <mergeCell ref="D4:E4"/>
    <mergeCell ref="D9:E9"/>
    <mergeCell ref="D3:E3"/>
    <mergeCell ref="D12:E12"/>
    <mergeCell ref="D8:E8"/>
    <mergeCell ref="B24:C24"/>
    <mergeCell ref="B20:C20"/>
    <mergeCell ref="D5:E5"/>
    <mergeCell ref="B26:C26"/>
  </mergeCells>
  <pageMargins left="0.7" right="0.7" top="0.7875" bottom="0.7875" header="0" footer="0"/>
  <pageSetup orientation="portrait" paperSize="9"/>
</worksheet>
</file>

<file path=xl/worksheets/sheet8.xml><?xml version="1.0" encoding="utf-8"?>
<worksheet xmlns="http://schemas.openxmlformats.org/spreadsheetml/2006/main">
  <sheetPr>
    <outlinePr summaryBelow="1" summaryRight="1"/>
    <pageSetUpPr fitToPage="1"/>
  </sheetPr>
  <dimension ref="A1:Z1000"/>
  <sheetViews>
    <sheetView workbookViewId="0">
      <selection activeCell="A1" sqref="A1"/>
    </sheetView>
  </sheetViews>
  <sheetFormatPr baseColWidth="10" defaultColWidth="14.4609375" defaultRowHeight="15" customHeight="1"/>
  <cols>
    <col width="5.84375" customWidth="1" style="545" min="1" max="1"/>
    <col width="40.4609375" customWidth="1" style="545" min="2" max="2"/>
    <col width="25.84375" customWidth="1" style="545" min="3" max="4"/>
    <col width="26.3046875" customWidth="1" style="545" min="5" max="5"/>
    <col width="7.4609375" customWidth="1" style="545" min="6" max="6"/>
    <col width="52.84375" customWidth="1" style="545" min="7" max="7"/>
    <col width="18.4609375" customWidth="1" style="545" min="8" max="8"/>
    <col width="17.84375" customWidth="1" style="545" min="9" max="9"/>
    <col width="7.3046875" customWidth="1" style="545" min="10" max="10"/>
  </cols>
  <sheetData>
    <row r="1" ht="15" customHeight="1" s="545">
      <c r="A1" s="504" t="n"/>
      <c r="B1" s="548" t="n"/>
      <c r="C1" s="548" t="n"/>
      <c r="D1" s="548" t="n"/>
      <c r="E1" s="548" t="n"/>
      <c r="F1" s="548" t="n"/>
      <c r="G1" s="548" t="n"/>
      <c r="H1" s="548" t="n"/>
      <c r="I1" s="548" t="n"/>
      <c r="J1" s="548" t="n"/>
      <c r="K1" s="548" t="n"/>
      <c r="L1" s="548" t="n"/>
      <c r="M1" s="548" t="n"/>
      <c r="N1" s="548" t="n"/>
      <c r="O1" s="548" t="n"/>
      <c r="P1" s="548" t="n"/>
      <c r="Q1" s="548" t="n"/>
      <c r="R1" s="548" t="n"/>
      <c r="S1" s="548" t="n"/>
      <c r="T1" s="21" t="n"/>
      <c r="U1" s="21" t="n"/>
      <c r="V1" s="21" t="n"/>
      <c r="W1" s="21" t="n"/>
      <c r="X1" s="21" t="n"/>
      <c r="Y1" s="21" t="n"/>
      <c r="Z1" s="21" t="n"/>
    </row>
    <row r="2" ht="17.25" customHeight="1" s="545">
      <c r="A2" s="504" t="n"/>
      <c r="B2" s="676" t="inlineStr">
        <is>
          <t xml:space="preserve"> OBJEKTUNTERLAGEN</t>
        </is>
      </c>
      <c r="C2" s="690" t="n"/>
      <c r="D2" s="690" t="n"/>
      <c r="E2" s="689" t="n"/>
      <c r="F2" s="548" t="n"/>
      <c r="G2" s="676" t="inlineStr">
        <is>
          <t>ZIELGRUPPE VERKAUF</t>
        </is>
      </c>
      <c r="H2" s="690" t="n"/>
      <c r="I2" s="689" t="n"/>
      <c r="J2" s="548" t="n"/>
      <c r="K2" s="548" t="n"/>
      <c r="L2" s="548" t="n"/>
      <c r="M2" s="548" t="n"/>
      <c r="N2" s="548" t="n"/>
      <c r="O2" s="548" t="n"/>
      <c r="P2" s="548" t="n"/>
      <c r="Q2" s="548" t="n"/>
      <c r="R2" s="548" t="n"/>
      <c r="S2" s="548" t="n"/>
      <c r="T2" s="21" t="n"/>
      <c r="U2" s="21" t="n"/>
      <c r="V2" s="21" t="n"/>
      <c r="W2" s="21" t="n"/>
      <c r="X2" s="21" t="n"/>
      <c r="Y2" s="21" t="n"/>
      <c r="Z2" s="21" t="n"/>
    </row>
    <row r="3" ht="15" customHeight="1" s="545">
      <c r="A3" s="504" t="n"/>
      <c r="B3" s="505" t="inlineStr">
        <is>
          <t>ERFORDERLICH FÜR OBJEKTPRÜFUNG</t>
        </is>
      </c>
      <c r="C3" s="506" t="inlineStr">
        <is>
          <t>VORHANDEN?</t>
        </is>
      </c>
      <c r="D3" s="506" t="inlineStr">
        <is>
          <t>GEPRÜFT?</t>
        </is>
      </c>
      <c r="E3" s="506" t="inlineStr">
        <is>
          <t>BESONDERHEITEN</t>
        </is>
      </c>
      <c r="F3" s="548" t="n"/>
      <c r="G3" s="677" t="inlineStr">
        <is>
          <t>Beschreibung</t>
        </is>
      </c>
      <c r="H3" s="574" t="n"/>
      <c r="I3" s="562" t="n"/>
      <c r="J3" s="548" t="n"/>
      <c r="K3" s="548" t="n"/>
      <c r="L3" s="548" t="n"/>
      <c r="M3" s="548" t="n"/>
      <c r="N3" s="548" t="n"/>
      <c r="O3" s="548" t="n"/>
      <c r="P3" s="548" t="n"/>
      <c r="Q3" s="548" t="n"/>
      <c r="R3" s="548" t="n"/>
      <c r="S3" s="548" t="n"/>
      <c r="T3" s="21" t="n"/>
      <c r="U3" s="21" t="n"/>
      <c r="V3" s="21" t="n"/>
      <c r="W3" s="21" t="n"/>
      <c r="X3" s="21" t="n"/>
      <c r="Y3" s="21" t="n"/>
      <c r="Z3" s="21" t="n"/>
    </row>
    <row r="4" ht="15" customHeight="1" s="545">
      <c r="A4" s="504" t="n"/>
      <c r="B4" s="581" t="inlineStr">
        <is>
          <t>Expose/Bilder</t>
        </is>
      </c>
      <c r="C4" s="617" t="inlineStr">
        <is>
          <t>Ja</t>
        </is>
      </c>
      <c r="D4" s="617" t="inlineStr">
        <is>
          <t>Ja</t>
        </is>
      </c>
      <c r="E4" s="281" t="n"/>
      <c r="F4" s="548" t="n"/>
      <c r="G4" s="596" t="n"/>
      <c r="I4" s="597" t="n"/>
      <c r="J4" s="548" t="n"/>
      <c r="K4" s="548" t="n"/>
      <c r="L4" s="548" t="n"/>
      <c r="M4" s="548" t="n"/>
      <c r="N4" s="548" t="n"/>
      <c r="O4" s="548" t="n"/>
      <c r="P4" s="548" t="n"/>
      <c r="Q4" s="548" t="n"/>
      <c r="R4" s="548" t="n"/>
      <c r="S4" s="548" t="n"/>
      <c r="T4" s="21" t="n"/>
      <c r="U4" s="21" t="n"/>
      <c r="V4" s="21" t="n"/>
      <c r="W4" s="21" t="n"/>
      <c r="X4" s="21" t="n"/>
      <c r="Y4" s="21" t="n"/>
      <c r="Z4" s="21" t="n"/>
    </row>
    <row r="5" ht="15" customHeight="1" s="545">
      <c r="A5" s="504" t="n"/>
      <c r="B5" s="581" t="inlineStr">
        <is>
          <t>Grundbuch (nicht älter als 3 Monate)</t>
        </is>
      </c>
      <c r="C5" s="617" t="inlineStr">
        <is>
          <t>Ja</t>
        </is>
      </c>
      <c r="D5" s="617" t="inlineStr">
        <is>
          <t>Ja</t>
        </is>
      </c>
      <c r="E5" s="281" t="n"/>
      <c r="F5" s="548" t="n"/>
      <c r="G5" s="688" t="n"/>
      <c r="H5" s="599" t="n"/>
      <c r="I5" s="563" t="n"/>
      <c r="J5" s="548" t="n"/>
      <c r="K5" s="548" t="n"/>
      <c r="L5" s="548" t="n"/>
      <c r="M5" s="548" t="n"/>
      <c r="N5" s="548" t="n"/>
      <c r="O5" s="548" t="n"/>
      <c r="P5" s="548" t="n"/>
      <c r="Q5" s="548" t="n"/>
      <c r="R5" s="548" t="n"/>
      <c r="S5" s="548" t="n"/>
      <c r="T5" s="21" t="n"/>
      <c r="U5" s="21" t="n"/>
      <c r="V5" s="21" t="n"/>
      <c r="W5" s="21" t="n"/>
      <c r="X5" s="21" t="n"/>
      <c r="Y5" s="21" t="n"/>
      <c r="Z5" s="21" t="n"/>
    </row>
    <row r="6" ht="15" customHeight="1" s="545">
      <c r="A6" s="504" t="n"/>
      <c r="B6" s="581" t="inlineStr">
        <is>
          <t>Grundrisse</t>
        </is>
      </c>
      <c r="C6" s="617" t="inlineStr">
        <is>
          <t>Ja</t>
        </is>
      </c>
      <c r="D6" s="617" t="inlineStr">
        <is>
          <t>Ja</t>
        </is>
      </c>
      <c r="E6" s="281" t="n"/>
      <c r="F6" s="548" t="n"/>
      <c r="G6" s="507" t="n"/>
      <c r="H6" s="507" t="n"/>
      <c r="I6" s="507" t="n"/>
      <c r="J6" s="548" t="n"/>
      <c r="K6" s="548" t="n"/>
      <c r="L6" s="548" t="n"/>
      <c r="M6" s="548" t="n"/>
      <c r="N6" s="548" t="n"/>
      <c r="O6" s="548" t="n"/>
      <c r="P6" s="548" t="n"/>
      <c r="Q6" s="548" t="n"/>
      <c r="R6" s="548" t="n"/>
      <c r="S6" s="548" t="n"/>
      <c r="T6" s="21" t="n"/>
      <c r="U6" s="21" t="n"/>
      <c r="V6" s="21" t="n"/>
      <c r="W6" s="21" t="n"/>
      <c r="X6" s="21" t="n"/>
      <c r="Y6" s="21" t="n"/>
      <c r="Z6" s="21" t="n"/>
    </row>
    <row r="7" ht="17.25" customHeight="1" s="545">
      <c r="A7" s="504" t="n"/>
      <c r="B7" s="581" t="inlineStr">
        <is>
          <t>Wohnflächenberechnung</t>
        </is>
      </c>
      <c r="C7" s="617" t="inlineStr">
        <is>
          <t>Ja</t>
        </is>
      </c>
      <c r="D7" s="617" t="inlineStr">
        <is>
          <t>Ja</t>
        </is>
      </c>
      <c r="E7" s="281" t="n"/>
      <c r="F7" s="548" t="n"/>
      <c r="G7" s="676" t="inlineStr">
        <is>
          <t>STRATEGIE</t>
        </is>
      </c>
      <c r="H7" s="690" t="n"/>
      <c r="I7" s="689" t="n"/>
      <c r="J7" s="548" t="n"/>
      <c r="K7" s="548" t="n"/>
      <c r="L7" s="548" t="n"/>
      <c r="M7" s="548" t="n"/>
      <c r="N7" s="548" t="n"/>
      <c r="O7" s="548" t="n"/>
      <c r="P7" s="548" t="n"/>
      <c r="Q7" s="548" t="n"/>
      <c r="R7" s="548" t="n"/>
      <c r="S7" s="548" t="n"/>
      <c r="T7" s="21" t="n"/>
      <c r="U7" s="21" t="n"/>
      <c r="V7" s="21" t="n"/>
      <c r="W7" s="21" t="n"/>
      <c r="X7" s="21" t="n"/>
      <c r="Y7" s="21" t="n"/>
      <c r="Z7" s="21" t="n"/>
    </row>
    <row r="8" ht="45" customHeight="1" s="545">
      <c r="A8" s="504" t="n"/>
      <c r="B8" s="581" t="n"/>
      <c r="C8" s="508">
        <f>IF(OR(COUNTIF(C4:C5,"Nein")&gt;0, COUNTIF(C6:C7,"Nein")&gt;0), "Objektunterlagen noch nicht vollständig!", "Objektunterlagen vollständig!")</f>
        <v/>
      </c>
      <c r="D8" s="508">
        <f>IF(OR(COUNTIF(D4:D5,"Nein")&gt;0, COUNTIF(D6:D7,"Nein")&gt;0), "Objektunterlagen noch nicht vollständig!", "Objektunterlagen vollständig!")</f>
        <v/>
      </c>
      <c r="E8" s="509">
        <f>IF(OR(COUNTIF(C4:C5,"Nein")&gt;0, COUNTIF(C6:C7,"Nein")&gt;0, COUNTIF(D4:D5,"Nein")&gt;0, COUNTIF(D6:D7,"Nein")&gt;0), "Objektunterlagen noch nicht vollständig/geprüft!", HYPERLINK("https://freiheit-mit-immobilien.mymemberspot.de/library/baGnXp5W4n1asNko0Rmx/4uzt76RlLRjCUoTXLc5B/6enCHKFepesO93y22M4v/details", "OBJEKTPRÜFUNG EINREICHEN"))</f>
        <v/>
      </c>
      <c r="F8" s="548" t="n"/>
      <c r="G8" s="680" t="inlineStr">
        <is>
          <t>Beschreibung</t>
        </is>
      </c>
      <c r="H8" s="690" t="n"/>
      <c r="I8" s="689" t="n"/>
      <c r="J8" s="548" t="n"/>
      <c r="K8" s="548" t="n"/>
      <c r="L8" s="548" t="n"/>
      <c r="M8" s="548" t="n"/>
      <c r="N8" s="548" t="n"/>
      <c r="O8" s="548" t="n"/>
      <c r="P8" s="548" t="n"/>
      <c r="Q8" s="548" t="n"/>
      <c r="R8" s="548" t="n"/>
      <c r="S8" s="548" t="n"/>
      <c r="T8" s="21" t="n"/>
      <c r="U8" s="21" t="n"/>
      <c r="V8" s="21" t="n"/>
      <c r="W8" s="21" t="n"/>
      <c r="X8" s="21" t="n"/>
      <c r="Y8" s="21" t="n"/>
      <c r="Z8" s="21" t="n"/>
    </row>
    <row r="9" ht="15" customHeight="1" s="545">
      <c r="A9" s="504" t="n"/>
      <c r="B9" s="548" t="n"/>
      <c r="C9" s="510" t="n"/>
      <c r="D9" s="510" t="n"/>
      <c r="E9" s="548" t="n"/>
      <c r="F9" s="548" t="n"/>
      <c r="G9" s="548" t="n"/>
      <c r="H9" s="548" t="n"/>
      <c r="I9" s="548" t="n"/>
      <c r="J9" s="548" t="n"/>
      <c r="K9" s="548" t="n"/>
      <c r="L9" s="548" t="n"/>
      <c r="M9" s="548" t="n"/>
      <c r="N9" s="548" t="n"/>
      <c r="O9" s="548" t="n"/>
      <c r="P9" s="548" t="n"/>
      <c r="Q9" s="548" t="n"/>
      <c r="R9" s="548" t="n"/>
      <c r="S9" s="548" t="n"/>
      <c r="T9" s="21" t="n"/>
      <c r="U9" s="21" t="n"/>
      <c r="V9" s="21" t="n"/>
      <c r="W9" s="21" t="n"/>
      <c r="X9" s="21" t="n"/>
      <c r="Y9" s="21" t="n"/>
      <c r="Z9" s="21" t="n"/>
    </row>
    <row r="10" ht="17.25" customHeight="1" s="545">
      <c r="A10" s="504" t="n"/>
      <c r="B10" s="505" t="inlineStr">
        <is>
          <t>ERFORDERLICH FÜR FINANZIERUNG</t>
        </is>
      </c>
      <c r="C10" s="506" t="inlineStr">
        <is>
          <t>VORHANDEN?</t>
        </is>
      </c>
      <c r="D10" s="506" t="inlineStr">
        <is>
          <t>GEPRÜFT?</t>
        </is>
      </c>
      <c r="E10" s="506" t="inlineStr">
        <is>
          <t>BESONDERHEITEN</t>
        </is>
      </c>
      <c r="F10" s="548" t="n"/>
      <c r="G10" s="676" t="inlineStr">
        <is>
          <t>OBJEKTGESCHICHTE</t>
        </is>
      </c>
      <c r="H10" s="690" t="n"/>
      <c r="I10" s="689" t="n"/>
      <c r="J10" s="548" t="n"/>
      <c r="K10" s="548" t="n"/>
      <c r="L10" s="548" t="n"/>
      <c r="M10" s="548" t="n"/>
      <c r="N10" s="548" t="n"/>
      <c r="O10" s="548" t="n"/>
      <c r="P10" s="548" t="n"/>
      <c r="Q10" s="548" t="n"/>
      <c r="R10" s="548" t="n"/>
      <c r="S10" s="548" t="n"/>
      <c r="T10" s="21" t="n"/>
      <c r="U10" s="21" t="n"/>
      <c r="V10" s="21" t="n"/>
      <c r="W10" s="21" t="n"/>
      <c r="X10" s="21" t="n"/>
      <c r="Y10" s="21" t="n"/>
      <c r="Z10" s="21" t="n"/>
    </row>
    <row r="11" ht="15" customHeight="1" s="545">
      <c r="A11" s="504" t="n"/>
      <c r="B11" s="581" t="inlineStr">
        <is>
          <t>Energieausweis</t>
        </is>
      </c>
      <c r="C11" s="617" t="inlineStr">
        <is>
          <t>Ja</t>
        </is>
      </c>
      <c r="D11" s="617" t="inlineStr">
        <is>
          <t>Ja</t>
        </is>
      </c>
      <c r="E11" s="281" t="n"/>
      <c r="F11" s="548" t="n"/>
      <c r="G11" s="581" t="inlineStr">
        <is>
          <t>Lead Herkunft</t>
        </is>
      </c>
      <c r="H11" s="675">
        <f>BESICHTIGUNG!B3</f>
        <v/>
      </c>
      <c r="I11" s="689" t="n"/>
      <c r="J11" s="548" t="n"/>
      <c r="K11" s="548" t="n"/>
      <c r="L11" s="548" t="n"/>
      <c r="M11" s="548" t="n"/>
      <c r="N11" s="548" t="n"/>
      <c r="O11" s="548" t="n"/>
      <c r="P11" s="548" t="n"/>
      <c r="Q11" s="548" t="n"/>
      <c r="R11" s="548" t="n"/>
      <c r="S11" s="548" t="n"/>
      <c r="T11" s="21" t="n"/>
      <c r="U11" s="21" t="n"/>
      <c r="V11" s="21" t="n"/>
      <c r="W11" s="21" t="n"/>
      <c r="X11" s="21" t="n"/>
      <c r="Y11" s="21" t="n"/>
      <c r="Z11" s="21" t="n"/>
    </row>
    <row r="12" ht="15" customHeight="1" s="545">
      <c r="A12" s="504" t="n"/>
      <c r="B12" s="581" t="inlineStr">
        <is>
          <t>Nebenkostenabrechnung</t>
        </is>
      </c>
      <c r="C12" s="617" t="inlineStr">
        <is>
          <t>Ja</t>
        </is>
      </c>
      <c r="D12" s="617" t="inlineStr">
        <is>
          <t>Ja</t>
        </is>
      </c>
      <c r="E12" s="281" t="n"/>
      <c r="F12" s="548" t="n"/>
      <c r="G12" s="581" t="inlineStr">
        <is>
          <t>Wer ist der Eigentümer?</t>
        </is>
      </c>
      <c r="H12" s="675">
        <f>BESICHTIGUNG!B26</f>
        <v/>
      </c>
      <c r="I12" s="689" t="n"/>
      <c r="J12" s="548" t="n"/>
      <c r="K12" s="548" t="n"/>
      <c r="L12" s="548" t="n"/>
      <c r="M12" s="548" t="n"/>
      <c r="N12" s="548" t="n"/>
      <c r="O12" s="548" t="n"/>
      <c r="P12" s="548" t="n"/>
      <c r="Q12" s="548" t="n"/>
      <c r="R12" s="548" t="n"/>
      <c r="S12" s="548" t="n"/>
      <c r="T12" s="21" t="n"/>
      <c r="U12" s="21" t="n"/>
      <c r="V12" s="21" t="n"/>
      <c r="W12" s="21" t="n"/>
      <c r="X12" s="21" t="n"/>
      <c r="Y12" s="21" t="n"/>
      <c r="Z12" s="21" t="n"/>
    </row>
    <row r="13" ht="15" customHeight="1" s="545">
      <c r="A13" s="504" t="n"/>
      <c r="B13" s="581" t="inlineStr">
        <is>
          <t>Lageplan</t>
        </is>
      </c>
      <c r="C13" s="617" t="inlineStr">
        <is>
          <t>Ja</t>
        </is>
      </c>
      <c r="D13" s="617" t="inlineStr">
        <is>
          <t>Ja</t>
        </is>
      </c>
      <c r="E13" s="281" t="n"/>
      <c r="F13" s="548" t="n"/>
      <c r="G13" s="581" t="inlineStr">
        <is>
          <t>Warum wird das Objekt verkauft?</t>
        </is>
      </c>
      <c r="H13" s="675">
        <f>BESICHTIGUNG!B27</f>
        <v/>
      </c>
      <c r="I13" s="689" t="n"/>
      <c r="J13" s="548" t="n"/>
      <c r="K13" s="548" t="n"/>
      <c r="L13" s="548" t="n"/>
      <c r="M13" s="548" t="n"/>
      <c r="N13" s="548" t="n"/>
      <c r="O13" s="548" t="n"/>
      <c r="P13" s="548" t="n"/>
      <c r="Q13" s="548" t="n"/>
      <c r="R13" s="548" t="n"/>
      <c r="S13" s="548" t="n"/>
      <c r="T13" s="21" t="n"/>
      <c r="U13" s="21" t="n"/>
      <c r="V13" s="21" t="n"/>
      <c r="W13" s="21" t="n"/>
      <c r="X13" s="21" t="n"/>
      <c r="Y13" s="21" t="n"/>
      <c r="Z13" s="21" t="n"/>
    </row>
    <row r="14" ht="15" customHeight="1" s="545">
      <c r="A14" s="504" t="n"/>
      <c r="B14" s="581" t="inlineStr">
        <is>
          <t>Baulastenauskunft</t>
        </is>
      </c>
      <c r="C14" s="617" t="inlineStr">
        <is>
          <t>Ja</t>
        </is>
      </c>
      <c r="D14" s="617" t="inlineStr">
        <is>
          <t>Ja</t>
        </is>
      </c>
      <c r="E14" s="281" t="n"/>
      <c r="F14" s="548" t="n"/>
      <c r="G14" s="581" t="inlineStr">
        <is>
          <t>Schmerzgrenze Preis?</t>
        </is>
      </c>
      <c r="H14" s="681">
        <f>BESICHTIGUNG!B28</f>
        <v/>
      </c>
      <c r="I14" s="689" t="n"/>
      <c r="J14" s="548" t="n"/>
      <c r="K14" s="548" t="n"/>
      <c r="L14" s="548" t="n"/>
      <c r="M14" s="548" t="n"/>
      <c r="N14" s="548" t="n"/>
      <c r="O14" s="548" t="n"/>
      <c r="P14" s="548" t="n"/>
      <c r="Q14" s="548" t="n"/>
      <c r="R14" s="548" t="n"/>
      <c r="S14" s="548" t="n"/>
      <c r="T14" s="21" t="n"/>
      <c r="U14" s="21" t="n"/>
      <c r="V14" s="21" t="n"/>
      <c r="W14" s="21" t="n"/>
      <c r="X14" s="21" t="n"/>
      <c r="Y14" s="21" t="n"/>
      <c r="Z14" s="21" t="n"/>
    </row>
    <row r="15" ht="15" customHeight="1" s="545">
      <c r="A15" s="504" t="n"/>
      <c r="B15" s="581" t="inlineStr">
        <is>
          <t>Gebäudeversicherung</t>
        </is>
      </c>
      <c r="C15" s="617" t="inlineStr">
        <is>
          <t>Ja</t>
        </is>
      </c>
      <c r="D15" s="617" t="inlineStr">
        <is>
          <t>Ja</t>
        </is>
      </c>
      <c r="E15" s="281" t="n"/>
      <c r="F15" s="548" t="n"/>
      <c r="G15" s="586" t="inlineStr">
        <is>
          <t>Besonderheiten zum Haus /
Erster Eindruck Umgebung</t>
        </is>
      </c>
      <c r="H15" s="675">
        <f>BESICHTIGUNG!B15</f>
        <v/>
      </c>
      <c r="I15" s="689" t="n"/>
      <c r="J15" s="548" t="n"/>
      <c r="K15" s="548" t="n"/>
      <c r="L15" s="548" t="n"/>
      <c r="M15" s="548" t="n"/>
      <c r="N15" s="548" t="n"/>
      <c r="O15" s="548" t="n"/>
      <c r="P15" s="548" t="n"/>
      <c r="Q15" s="548" t="n"/>
      <c r="R15" s="548" t="n"/>
      <c r="S15" s="548" t="n"/>
      <c r="T15" s="21" t="n"/>
      <c r="U15" s="21" t="n"/>
      <c r="V15" s="21" t="n"/>
      <c r="W15" s="21" t="n"/>
      <c r="X15" s="21" t="n"/>
      <c r="Y15" s="21" t="n"/>
      <c r="Z15" s="21" t="n"/>
    </row>
    <row r="16" ht="45" customHeight="1" s="545">
      <c r="A16" s="504" t="n"/>
      <c r="B16" s="581" t="n"/>
      <c r="C16" s="508">
        <f>IF(COUNTIF(C11:C15,"Nein")&gt;0, "Objektunterlagen noch nicht vollständig!", "Objektunterlagen vollständig!")</f>
        <v/>
      </c>
      <c r="D16" s="508">
        <f>IF(COUNTIF(D11:D15,"Nein")&gt;0, "Objektunterlagen noch nicht geprüft!", "Objektunterlagen geprüft!")</f>
        <v/>
      </c>
      <c r="E16" s="548" t="n"/>
      <c r="F16" s="548" t="n"/>
      <c r="G16" s="548" t="n"/>
      <c r="H16" s="548" t="n"/>
      <c r="I16" s="548" t="n"/>
      <c r="J16" s="548" t="n"/>
      <c r="K16" s="548" t="n"/>
      <c r="L16" s="548" t="n"/>
      <c r="M16" s="548" t="n"/>
      <c r="N16" s="548" t="n"/>
      <c r="O16" s="548" t="n"/>
      <c r="P16" s="548" t="n"/>
      <c r="Q16" s="548" t="n"/>
      <c r="R16" s="548" t="n"/>
      <c r="S16" s="548" t="n"/>
      <c r="T16" s="21" t="n"/>
      <c r="U16" s="21" t="n"/>
      <c r="V16" s="21" t="n"/>
      <c r="W16" s="21" t="n"/>
      <c r="X16" s="21" t="n"/>
      <c r="Y16" s="21" t="n"/>
      <c r="Z16" s="21" t="n"/>
    </row>
    <row r="17" ht="15.75" customHeight="1" s="545">
      <c r="A17" s="504" t="n"/>
      <c r="B17" s="512" t="n"/>
      <c r="C17" s="548" t="n"/>
      <c r="D17" s="548" t="n"/>
      <c r="E17" s="548" t="n"/>
      <c r="F17" s="548" t="n"/>
      <c r="G17" s="548" t="n"/>
      <c r="H17" s="548" t="n"/>
      <c r="I17" s="548" t="n"/>
      <c r="J17" s="548" t="n"/>
      <c r="K17" s="548" t="n"/>
      <c r="L17" s="548" t="n"/>
      <c r="M17" s="548" t="n"/>
      <c r="N17" s="548" t="n"/>
      <c r="O17" s="548" t="n"/>
      <c r="P17" s="548" t="n"/>
      <c r="Q17" s="548" t="n"/>
      <c r="R17" s="548" t="n"/>
      <c r="S17" s="548" t="n"/>
      <c r="T17" s="21" t="n"/>
      <c r="U17" s="21" t="n"/>
      <c r="V17" s="21" t="n"/>
      <c r="W17" s="21" t="n"/>
      <c r="X17" s="21" t="n"/>
      <c r="Y17" s="21" t="n"/>
      <c r="Z17" s="21" t="n"/>
    </row>
    <row r="18" ht="15.75" customHeight="1" s="545">
      <c r="A18" s="504" t="n"/>
      <c r="B18" s="505" t="inlineStr">
        <is>
          <t>FALLS VORHANDEN</t>
        </is>
      </c>
      <c r="C18" s="506" t="inlineStr">
        <is>
          <t>VORHANDEN?</t>
        </is>
      </c>
      <c r="D18" s="506" t="inlineStr">
        <is>
          <t>GEPRÜFT?</t>
        </is>
      </c>
      <c r="E18" s="506" t="inlineStr">
        <is>
          <t>BESONDERHEITEN</t>
        </is>
      </c>
      <c r="F18" s="548" t="n"/>
      <c r="G18" s="548" t="n"/>
      <c r="H18" s="548" t="n"/>
      <c r="I18" s="548" t="n"/>
      <c r="J18" s="548" t="n"/>
      <c r="K18" s="548" t="n"/>
      <c r="L18" s="548" t="n"/>
      <c r="M18" s="548" t="n"/>
      <c r="N18" s="548" t="n"/>
      <c r="O18" s="548" t="n"/>
      <c r="P18" s="548" t="n"/>
      <c r="Q18" s="548" t="n"/>
      <c r="R18" s="548" t="n"/>
      <c r="S18" s="548" t="n"/>
      <c r="T18" s="21" t="n"/>
      <c r="U18" s="21" t="n"/>
      <c r="V18" s="21" t="n"/>
      <c r="W18" s="21" t="n"/>
      <c r="X18" s="21" t="n"/>
      <c r="Y18" s="21" t="n"/>
      <c r="Z18" s="21" t="n"/>
    </row>
    <row r="19" ht="15.75" customHeight="1" s="545">
      <c r="A19" s="504" t="n"/>
      <c r="B19" s="572" t="inlineStr">
        <is>
          <t xml:space="preserve">Teilungserklärung </t>
        </is>
      </c>
      <c r="C19" s="617" t="inlineStr">
        <is>
          <t>Nein</t>
        </is>
      </c>
      <c r="D19" s="617" t="inlineStr">
        <is>
          <t>Nein</t>
        </is>
      </c>
      <c r="E19" s="281" t="n"/>
      <c r="F19" s="548" t="n"/>
      <c r="G19" s="548" t="n"/>
      <c r="H19" s="548" t="n"/>
      <c r="I19" s="548" t="n"/>
      <c r="J19" s="548" t="n"/>
      <c r="K19" s="548" t="n"/>
      <c r="L19" s="548" t="n"/>
      <c r="M19" s="548" t="n"/>
      <c r="N19" s="548" t="n"/>
      <c r="O19" s="548" t="n"/>
      <c r="P19" s="548" t="n"/>
      <c r="Q19" s="548" t="n"/>
      <c r="R19" s="548" t="n"/>
      <c r="S19" s="548" t="n"/>
      <c r="T19" s="21" t="n"/>
      <c r="U19" s="21" t="n"/>
      <c r="V19" s="21" t="n"/>
      <c r="W19" s="21" t="n"/>
      <c r="X19" s="21" t="n"/>
      <c r="Y19" s="21" t="n"/>
      <c r="Z19" s="21" t="n"/>
    </row>
    <row r="20" ht="15.75" customHeight="1" s="545">
      <c r="A20" s="504" t="n"/>
      <c r="B20" s="572" t="inlineStr">
        <is>
          <t>Protokolle der Eigentümerversammlung</t>
        </is>
      </c>
      <c r="C20" s="617" t="inlineStr">
        <is>
          <t>Nein</t>
        </is>
      </c>
      <c r="D20" s="617" t="inlineStr">
        <is>
          <t>Nein</t>
        </is>
      </c>
      <c r="E20" s="281" t="n"/>
      <c r="F20" s="548" t="n"/>
      <c r="G20" s="548" t="n"/>
      <c r="H20" s="548" t="n"/>
      <c r="I20" s="548" t="n"/>
      <c r="J20" s="548" t="n"/>
      <c r="K20" s="548" t="n"/>
      <c r="L20" s="548" t="n"/>
      <c r="M20" s="548" t="n"/>
      <c r="N20" s="548" t="n"/>
      <c r="O20" s="548" t="n"/>
      <c r="P20" s="548" t="n"/>
      <c r="Q20" s="548" t="n"/>
      <c r="R20" s="548" t="n"/>
      <c r="S20" s="548" t="n"/>
      <c r="T20" s="21" t="n"/>
      <c r="U20" s="21" t="n"/>
      <c r="V20" s="21" t="n"/>
      <c r="W20" s="21" t="n"/>
      <c r="X20" s="21" t="n"/>
      <c r="Y20" s="21" t="n"/>
      <c r="Z20" s="21" t="n"/>
    </row>
    <row r="21" ht="15.75" customHeight="1" s="545">
      <c r="A21" s="504" t="n"/>
      <c r="B21" s="572" t="inlineStr">
        <is>
          <t>Mietverträge (wenn vermietet)</t>
        </is>
      </c>
      <c r="C21" s="617" t="inlineStr">
        <is>
          <t>Ja</t>
        </is>
      </c>
      <c r="D21" s="617" t="inlineStr">
        <is>
          <t>Nein</t>
        </is>
      </c>
      <c r="E21" s="281" t="n"/>
      <c r="F21" s="548" t="n"/>
      <c r="G21" s="548" t="n"/>
      <c r="H21" s="548" t="n"/>
      <c r="I21" s="548" t="n"/>
      <c r="J21" s="548" t="n"/>
      <c r="K21" s="548" t="n"/>
      <c r="L21" s="548" t="n"/>
      <c r="M21" s="548" t="n"/>
      <c r="N21" s="548" t="n"/>
      <c r="O21" s="548" t="n"/>
      <c r="P21" s="548" t="n"/>
      <c r="Q21" s="548" t="n"/>
      <c r="R21" s="548" t="n"/>
      <c r="S21" s="548" t="n"/>
      <c r="T21" s="21" t="n"/>
      <c r="U21" s="21" t="n"/>
      <c r="V21" s="21" t="n"/>
      <c r="W21" s="21" t="n"/>
      <c r="X21" s="21" t="n"/>
      <c r="Y21" s="21" t="n"/>
      <c r="Z21" s="21" t="n"/>
    </row>
    <row r="22" ht="15.75" customHeight="1" s="545">
      <c r="A22" s="504" t="n"/>
      <c r="B22" s="512" t="n"/>
      <c r="C22" s="548" t="n"/>
      <c r="D22" s="548" t="n"/>
      <c r="E22" s="548" t="n"/>
      <c r="F22" s="548" t="n"/>
      <c r="G22" s="676" t="inlineStr">
        <is>
          <t>FINANZIERUNG</t>
        </is>
      </c>
      <c r="H22" s="690" t="n"/>
      <c r="I22" s="689" t="n"/>
      <c r="J22" s="548" t="n"/>
      <c r="K22" s="548" t="n"/>
      <c r="L22" s="548" t="n"/>
      <c r="M22" s="548" t="n"/>
      <c r="N22" s="548" t="n"/>
      <c r="O22" s="548" t="n"/>
      <c r="P22" s="548" t="n"/>
      <c r="Q22" s="548" t="n"/>
      <c r="R22" s="548" t="n"/>
      <c r="S22" s="548" t="n"/>
      <c r="T22" s="21" t="n"/>
      <c r="U22" s="21" t="n"/>
      <c r="V22" s="21" t="n"/>
      <c r="W22" s="21" t="n"/>
      <c r="X22" s="21" t="n"/>
      <c r="Y22" s="21" t="n"/>
      <c r="Z22" s="21" t="n"/>
    </row>
    <row r="23" ht="15.75" customHeight="1" s="545">
      <c r="A23" s="504" t="n"/>
      <c r="B23" s="19" t="n"/>
      <c r="C23" s="19" t="n"/>
      <c r="D23" s="19" t="n"/>
      <c r="E23" s="548" t="n"/>
      <c r="F23" s="548" t="n"/>
      <c r="G23" s="581">
        <f>KALKU!M21</f>
        <v/>
      </c>
      <c r="H23" s="581" t="n"/>
      <c r="I23" s="704">
        <f>KALKU!J39</f>
        <v/>
      </c>
      <c r="J23" s="548" t="n"/>
      <c r="K23" s="548" t="n"/>
      <c r="L23" s="548" t="n"/>
      <c r="M23" s="548" t="n"/>
      <c r="N23" s="548" t="n"/>
      <c r="O23" s="548" t="n"/>
      <c r="P23" s="548" t="n"/>
      <c r="Q23" s="548" t="n"/>
      <c r="R23" s="548" t="n"/>
      <c r="S23" s="548" t="n"/>
      <c r="T23" s="21" t="n"/>
      <c r="U23" s="21" t="n"/>
      <c r="V23" s="21" t="n"/>
      <c r="W23" s="21" t="n"/>
      <c r="X23" s="21" t="n"/>
      <c r="Y23" s="21" t="n"/>
      <c r="Z23" s="21" t="n"/>
    </row>
    <row r="24" ht="17.25" customHeight="1" s="545">
      <c r="A24" s="504" t="n"/>
      <c r="B24" s="684" t="inlineStr">
        <is>
          <t>VERMIETUNG</t>
        </is>
      </c>
      <c r="C24" s="690" t="n"/>
      <c r="D24" s="689" t="n"/>
      <c r="E24" s="548" t="n"/>
      <c r="F24" s="548" t="n"/>
      <c r="G24" s="581">
        <f>KALKU!M22</f>
        <v/>
      </c>
      <c r="H24" s="863">
        <f>I24/I23</f>
        <v/>
      </c>
      <c r="I24" s="514">
        <f>KALKU!P22</f>
        <v/>
      </c>
      <c r="J24" s="548" t="n"/>
      <c r="K24" s="548" t="n"/>
      <c r="L24" s="548" t="n"/>
      <c r="M24" s="548" t="n"/>
      <c r="N24" s="548" t="n"/>
      <c r="O24" s="548" t="n"/>
      <c r="P24" s="548" t="n"/>
      <c r="Q24" s="548" t="n"/>
      <c r="R24" s="548" t="n"/>
      <c r="S24" s="548" t="n"/>
      <c r="T24" s="21" t="n"/>
      <c r="U24" s="21" t="n"/>
      <c r="V24" s="21" t="n"/>
      <c r="W24" s="21" t="n"/>
      <c r="X24" s="21" t="n"/>
      <c r="Y24" s="21" t="n"/>
      <c r="Z24" s="21" t="n"/>
    </row>
    <row r="25" ht="15" customHeight="1" s="545">
      <c r="A25" s="504" t="n"/>
      <c r="B25" s="515" t="inlineStr">
        <is>
          <t>Wie viele Einheiten sind vermietet / leer?</t>
        </is>
      </c>
      <c r="C25" s="516">
        <f>BESICHTIGUNG!B31</f>
        <v/>
      </c>
      <c r="D25" s="516">
        <f>BESICHTIGUNG!B32</f>
        <v/>
      </c>
      <c r="E25" s="548" t="n"/>
      <c r="F25" s="548" t="n"/>
      <c r="G25" s="581">
        <f>KALKU!M23</f>
        <v/>
      </c>
      <c r="H25" s="863">
        <f>I25/I23</f>
        <v/>
      </c>
      <c r="I25" s="514">
        <f>KALKU!P23</f>
        <v/>
      </c>
      <c r="J25" s="548" t="n"/>
      <c r="K25" s="548" t="n"/>
      <c r="L25" s="548" t="n"/>
      <c r="M25" s="548" t="n"/>
      <c r="N25" s="548" t="n"/>
      <c r="O25" s="548" t="n"/>
      <c r="P25" s="548" t="n"/>
      <c r="Q25" s="548" t="n"/>
      <c r="R25" s="548" t="n"/>
      <c r="S25" s="548" t="n"/>
      <c r="T25" s="21" t="n"/>
      <c r="U25" s="21" t="n"/>
      <c r="V25" s="21" t="n"/>
      <c r="W25" s="21" t="n"/>
      <c r="X25" s="21" t="n"/>
      <c r="Y25" s="21" t="n"/>
      <c r="Z25" s="21" t="n"/>
    </row>
    <row r="26" ht="22.5" customHeight="1" s="545">
      <c r="A26" s="504" t="n"/>
      <c r="B26" s="66" t="inlineStr">
        <is>
          <t>JNKM IST / Rendite IST</t>
        </is>
      </c>
      <c r="C26" s="517">
        <f>MIETER!J31</f>
        <v/>
      </c>
      <c r="D26" s="518">
        <f>MIETER!K32</f>
        <v/>
      </c>
      <c r="E26" s="548" t="n"/>
      <c r="F26" s="548" t="n"/>
      <c r="G26" s="581">
        <f>KALKU!M24</f>
        <v/>
      </c>
      <c r="H26" s="581" t="n"/>
      <c r="I26" s="514">
        <f>KALKU!P24</f>
        <v/>
      </c>
      <c r="J26" s="548" t="n"/>
      <c r="K26" s="548" t="n"/>
      <c r="L26" s="548" t="n"/>
      <c r="M26" s="548" t="n"/>
      <c r="N26" s="548" t="n"/>
      <c r="O26" s="548" t="n"/>
      <c r="P26" s="548" t="n"/>
      <c r="Q26" s="548" t="n"/>
      <c r="R26" s="548" t="n"/>
      <c r="S26" s="548" t="n"/>
      <c r="T26" s="21" t="n"/>
      <c r="U26" s="21" t="n"/>
      <c r="V26" s="21" t="n"/>
      <c r="W26" s="21" t="n"/>
      <c r="X26" s="21" t="n"/>
      <c r="Y26" s="21" t="n"/>
      <c r="Z26" s="21" t="n"/>
    </row>
    <row r="27" ht="22.5" customHeight="1" s="545">
      <c r="A27" s="504" t="n"/>
      <c r="B27" s="77" t="inlineStr">
        <is>
          <t>JNKM SOLL / Rendite SOLL</t>
        </is>
      </c>
      <c r="C27" s="81">
        <f>MIETER!N31</f>
        <v/>
      </c>
      <c r="D27" s="80">
        <f>MIETER!O32</f>
        <v/>
      </c>
      <c r="E27" s="548" t="n"/>
      <c r="F27" s="548" t="n"/>
      <c r="G27" s="581" t="inlineStr">
        <is>
          <t>Genügend EK für Deal vorhanden</t>
        </is>
      </c>
      <c r="H27" s="617" t="inlineStr">
        <is>
          <t>Ja</t>
        </is>
      </c>
      <c r="I27" s="689" t="n"/>
      <c r="J27" s="548" t="n"/>
      <c r="K27" s="548" t="n"/>
      <c r="L27" s="548" t="n"/>
      <c r="M27" s="548" t="n"/>
      <c r="N27" s="548" t="n"/>
      <c r="O27" s="548" t="n"/>
      <c r="P27" s="548" t="n"/>
      <c r="Q27" s="548" t="n"/>
      <c r="R27" s="548" t="n"/>
      <c r="S27" s="548" t="n"/>
      <c r="T27" s="21" t="n"/>
      <c r="U27" s="21" t="n"/>
      <c r="V27" s="21" t="n"/>
      <c r="W27" s="21" t="n"/>
      <c r="X27" s="21" t="n"/>
      <c r="Y27" s="21" t="n"/>
      <c r="Z27" s="21" t="n"/>
    </row>
    <row r="28" ht="22.5" customHeight="1" s="545">
      <c r="A28" s="504" t="n"/>
      <c r="B28" s="604" t="inlineStr">
        <is>
          <t>JNKM Modernisierung / Rendite</t>
        </is>
      </c>
      <c r="C28" s="520">
        <f>MIETER!R31</f>
        <v/>
      </c>
      <c r="D28" s="521">
        <f>MIETER!S32</f>
        <v/>
      </c>
      <c r="E28" s="548" t="n"/>
      <c r="F28" s="483" t="n"/>
      <c r="G28" s="581" t="inlineStr">
        <is>
          <t>EK soll für diesen Deal verwendet werden</t>
        </is>
      </c>
      <c r="H28" s="617" t="inlineStr">
        <is>
          <t>Ja</t>
        </is>
      </c>
      <c r="I28" s="689" t="n"/>
      <c r="J28" s="548" t="n"/>
      <c r="K28" s="548" t="n"/>
      <c r="L28" s="548" t="n"/>
      <c r="M28" s="548" t="n"/>
      <c r="N28" s="548" t="n"/>
      <c r="O28" s="548" t="n"/>
      <c r="P28" s="548" t="n"/>
      <c r="Q28" s="548" t="n"/>
      <c r="R28" s="548" t="n"/>
      <c r="S28" s="548" t="n"/>
      <c r="T28" s="21" t="n"/>
      <c r="U28" s="21" t="n"/>
      <c r="V28" s="21" t="n"/>
      <c r="W28" s="21" t="n"/>
      <c r="X28" s="21" t="n"/>
      <c r="Y28" s="21" t="n"/>
      <c r="Z28" s="21" t="n"/>
    </row>
    <row r="29" ht="22.5" customHeight="1" s="545">
      <c r="A29" s="504" t="n"/>
      <c r="B29" s="522" t="n"/>
      <c r="C29" s="21" t="n"/>
      <c r="D29" s="21" t="n"/>
      <c r="E29" s="548" t="n"/>
      <c r="F29" s="548" t="n"/>
      <c r="G29" s="581" t="inlineStr">
        <is>
          <t>Kontakt zu Bank / Finanzierungsvermittler vorhanden?</t>
        </is>
      </c>
      <c r="H29" s="617" t="inlineStr">
        <is>
          <t>Ja</t>
        </is>
      </c>
      <c r="I29" s="689" t="n"/>
      <c r="J29" s="548" t="n"/>
      <c r="K29" s="548" t="n"/>
      <c r="L29" s="548" t="n"/>
      <c r="M29" s="548" t="n"/>
      <c r="N29" s="548" t="n"/>
      <c r="O29" s="548" t="n"/>
      <c r="P29" s="548" t="n"/>
      <c r="Q29" s="548" t="n"/>
      <c r="R29" s="548" t="n"/>
      <c r="S29" s="548" t="n"/>
      <c r="T29" s="21" t="n"/>
      <c r="U29" s="21" t="n"/>
      <c r="V29" s="21" t="n"/>
      <c r="W29" s="21" t="n"/>
      <c r="X29" s="21" t="n"/>
      <c r="Y29" s="21" t="n"/>
      <c r="Z29" s="21" t="n"/>
    </row>
    <row r="30" ht="22.5" customHeight="1" s="545">
      <c r="A30" s="504" t="n"/>
      <c r="B30" s="682" t="inlineStr">
        <is>
          <t>KAUFPREIS HISTORIE</t>
        </is>
      </c>
      <c r="C30" s="562" t="n"/>
      <c r="D30" s="682" t="inlineStr">
        <is>
          <t>SONSTIGE HINWEISE</t>
        </is>
      </c>
      <c r="E30" s="562" t="n"/>
      <c r="F30" s="548" t="n"/>
      <c r="G30" s="683" t="inlineStr">
        <is>
          <t>Notizen zur Finanzierung</t>
        </is>
      </c>
      <c r="H30" s="574" t="n"/>
      <c r="I30" s="562" t="n"/>
      <c r="J30" s="548" t="n"/>
      <c r="K30" s="548" t="n"/>
      <c r="L30" s="548" t="n"/>
      <c r="M30" s="548" t="n"/>
      <c r="N30" s="548" t="n"/>
      <c r="O30" s="548" t="n"/>
      <c r="P30" s="548" t="n"/>
      <c r="Q30" s="548" t="n"/>
      <c r="R30" s="548" t="n"/>
      <c r="S30" s="548" t="n"/>
      <c r="T30" s="21" t="n"/>
      <c r="U30" s="21" t="n"/>
      <c r="V30" s="21" t="n"/>
      <c r="W30" s="21" t="n"/>
      <c r="X30" s="21" t="n"/>
      <c r="Y30" s="21" t="n"/>
      <c r="Z30" s="21" t="n"/>
    </row>
    <row r="31" ht="22.5" customHeight="1" s="545">
      <c r="A31" s="504" t="n"/>
      <c r="B31" s="523" t="inlineStr">
        <is>
          <t>Inseratspreis</t>
        </is>
      </c>
      <c r="C31" s="524">
        <f>BESICHTIGUNG!B13</f>
        <v/>
      </c>
      <c r="D31" s="680" t="inlineStr">
        <is>
          <t>Hinweise</t>
        </is>
      </c>
      <c r="E31" s="562" t="n"/>
      <c r="F31" s="548" t="n"/>
      <c r="G31" s="688" t="n"/>
      <c r="H31" s="599" t="n"/>
      <c r="I31" s="563" t="n"/>
      <c r="J31" s="548" t="n"/>
      <c r="K31" s="548" t="n"/>
      <c r="L31" s="548" t="n"/>
      <c r="M31" s="548" t="n"/>
      <c r="N31" s="548" t="n"/>
      <c r="O31" s="548" t="n"/>
      <c r="P31" s="548" t="n"/>
      <c r="Q31" s="548" t="n"/>
      <c r="R31" s="548" t="n"/>
      <c r="S31" s="548" t="n"/>
      <c r="T31" s="21" t="n"/>
      <c r="U31" s="21" t="n"/>
      <c r="V31" s="21" t="n"/>
      <c r="W31" s="21" t="n"/>
      <c r="X31" s="21" t="n"/>
      <c r="Y31" s="21" t="n"/>
      <c r="Z31" s="21" t="n"/>
    </row>
    <row r="32" ht="15.75" customHeight="1" s="545">
      <c r="A32" s="504" t="n"/>
      <c r="B32" s="523" t="inlineStr">
        <is>
          <t>Schmerzgrenze Preis</t>
        </is>
      </c>
      <c r="C32" s="524">
        <f>BESICHTIGUNG!B28</f>
        <v/>
      </c>
      <c r="D32" s="596" t="n"/>
      <c r="E32" s="597" t="n"/>
      <c r="F32" s="548" t="n"/>
      <c r="G32" s="548" t="n"/>
      <c r="H32" s="548" t="n"/>
      <c r="I32" s="548" t="n"/>
      <c r="J32" s="548" t="n"/>
      <c r="K32" s="548" t="n"/>
      <c r="L32" s="548" t="n"/>
      <c r="M32" s="548" t="n"/>
      <c r="N32" s="548" t="n"/>
      <c r="O32" s="548" t="n"/>
      <c r="P32" s="548" t="n"/>
      <c r="Q32" s="548" t="n"/>
      <c r="R32" s="548" t="n"/>
      <c r="S32" s="548" t="n"/>
      <c r="T32" s="21" t="n"/>
      <c r="U32" s="21" t="n"/>
      <c r="V32" s="21" t="n"/>
      <c r="W32" s="21" t="n"/>
      <c r="X32" s="21" t="n"/>
      <c r="Y32" s="21" t="n"/>
      <c r="Z32" s="21" t="n"/>
    </row>
    <row r="33" ht="15.75" customHeight="1" s="545">
      <c r="A33" s="504" t="n"/>
      <c r="B33" s="523" t="inlineStr">
        <is>
          <t>Angebotspreis laut Kalkulation</t>
        </is>
      </c>
      <c r="C33" s="524">
        <f>KALKU!P37</f>
        <v/>
      </c>
      <c r="D33" s="596" t="n"/>
      <c r="E33" s="597" t="n"/>
      <c r="F33" s="548" t="n"/>
      <c r="G33" s="548" t="n"/>
      <c r="H33" s="548" t="n"/>
      <c r="I33" s="548" t="n"/>
      <c r="J33" s="548" t="n"/>
      <c r="K33" s="548" t="n"/>
      <c r="L33" s="548" t="n"/>
      <c r="M33" s="548" t="n"/>
      <c r="N33" s="548" t="n"/>
      <c r="O33" s="548" t="n"/>
      <c r="P33" s="548" t="n"/>
      <c r="Q33" s="548" t="n"/>
      <c r="R33" s="548" t="n"/>
      <c r="S33" s="548" t="n"/>
      <c r="T33" s="21" t="n"/>
      <c r="U33" s="21" t="n"/>
      <c r="V33" s="21" t="n"/>
      <c r="W33" s="21" t="n"/>
      <c r="X33" s="21" t="n"/>
      <c r="Y33" s="21" t="n"/>
      <c r="Z33" s="21" t="n"/>
    </row>
    <row r="34" ht="15.75" customHeight="1" s="545">
      <c r="A34" s="504" t="n"/>
      <c r="B34" s="683" t="inlineStr">
        <is>
          <t>Schriftlich abgegebener Angebotspreis</t>
        </is>
      </c>
      <c r="C34" s="526" t="n">
        <v>800000</v>
      </c>
      <c r="D34" s="596" t="n"/>
      <c r="E34" s="597" t="n"/>
      <c r="F34" s="548" t="n"/>
      <c r="G34" s="548" t="n"/>
      <c r="H34" s="548" t="n"/>
      <c r="I34" s="548" t="n"/>
      <c r="J34" s="548" t="n"/>
      <c r="K34" s="548" t="n"/>
      <c r="L34" s="548" t="n"/>
      <c r="M34" s="548" t="n"/>
      <c r="N34" s="548" t="n"/>
      <c r="O34" s="548" t="n"/>
      <c r="P34" s="548" t="n"/>
      <c r="Q34" s="548" t="n"/>
      <c r="R34" s="548" t="n"/>
      <c r="S34" s="548" t="n"/>
      <c r="T34" s="21" t="n"/>
      <c r="U34" s="21" t="n"/>
      <c r="V34" s="21" t="n"/>
      <c r="W34" s="21" t="n"/>
      <c r="X34" s="21" t="n"/>
      <c r="Y34" s="21" t="n"/>
      <c r="Z34" s="21" t="n"/>
    </row>
    <row r="35" ht="15.75" customHeight="1" s="545">
      <c r="A35" s="504" t="n"/>
      <c r="B35" s="683" t="inlineStr">
        <is>
          <t>Geeinigter Kaufpreis (geclosed)</t>
        </is>
      </c>
      <c r="C35" s="526" t="n">
        <v>900000</v>
      </c>
      <c r="D35" s="688" t="n"/>
      <c r="E35" s="563" t="n"/>
      <c r="F35" s="548" t="n"/>
      <c r="G35" s="548" t="n"/>
      <c r="H35" s="548" t="n"/>
      <c r="I35" s="548" t="n"/>
      <c r="J35" s="548" t="n"/>
      <c r="K35" s="548" t="n"/>
      <c r="L35" s="548" t="n"/>
      <c r="M35" s="548" t="n"/>
      <c r="N35" s="548" t="n"/>
      <c r="O35" s="548" t="n"/>
      <c r="P35" s="548" t="n"/>
      <c r="Q35" s="548" t="n"/>
      <c r="R35" s="548" t="n"/>
      <c r="S35" s="548" t="n"/>
      <c r="T35" s="21" t="n"/>
      <c r="U35" s="21" t="n"/>
      <c r="V35" s="21" t="n"/>
      <c r="W35" s="21" t="n"/>
      <c r="X35" s="21" t="n"/>
      <c r="Y35" s="21" t="n"/>
      <c r="Z35" s="21" t="n"/>
    </row>
    <row r="36" ht="15.75" customHeight="1" s="545">
      <c r="A36" s="504" t="n"/>
      <c r="B36" s="548" t="n"/>
      <c r="C36" s="548" t="n"/>
      <c r="D36" s="548" t="n"/>
      <c r="E36" s="548" t="n"/>
      <c r="F36" s="548" t="n"/>
      <c r="G36" s="548" t="n"/>
      <c r="H36" s="548" t="n"/>
      <c r="I36" s="548" t="n"/>
      <c r="J36" s="548" t="n"/>
      <c r="K36" s="548" t="n"/>
      <c r="L36" s="548" t="n"/>
      <c r="M36" s="548" t="n"/>
      <c r="N36" s="548" t="n"/>
      <c r="O36" s="548" t="n"/>
      <c r="P36" s="548" t="n"/>
      <c r="Q36" s="548" t="n"/>
      <c r="R36" s="548" t="n"/>
      <c r="S36" s="548" t="n"/>
      <c r="T36" s="21" t="n"/>
      <c r="U36" s="21" t="n"/>
      <c r="V36" s="21" t="n"/>
      <c r="W36" s="21" t="n"/>
      <c r="X36" s="21" t="n"/>
      <c r="Y36" s="21" t="n"/>
      <c r="Z36" s="21" t="n"/>
    </row>
    <row r="37" ht="15.75" customHeight="1" s="545">
      <c r="A37" s="504" t="n"/>
      <c r="B37" s="676" t="inlineStr">
        <is>
          <t>GEPLANTE AUFWERTUNGSMAßNAHMEN</t>
        </is>
      </c>
      <c r="C37" s="690" t="n"/>
      <c r="D37" s="690" t="n"/>
      <c r="E37" s="690" t="n"/>
      <c r="F37" s="690" t="n"/>
      <c r="G37" s="690" t="n"/>
      <c r="H37" s="690" t="n"/>
      <c r="I37" s="689" t="n"/>
      <c r="J37" s="21" t="n"/>
      <c r="K37" s="21" t="n"/>
      <c r="L37" s="21" t="n"/>
      <c r="M37" s="21" t="n"/>
      <c r="N37" s="21" t="n"/>
      <c r="O37" s="21" t="n"/>
      <c r="P37" s="21" t="n"/>
      <c r="Q37" s="21" t="n"/>
      <c r="R37" s="21" t="n"/>
      <c r="S37" s="21" t="n"/>
      <c r="T37" s="21" t="n"/>
      <c r="U37" s="21" t="n"/>
      <c r="V37" s="21" t="n"/>
      <c r="W37" s="21" t="n"/>
      <c r="X37" s="21" t="n"/>
      <c r="Y37" s="21" t="n"/>
      <c r="Z37" s="21" t="n"/>
    </row>
    <row r="38" ht="22.5" customHeight="1" s="545">
      <c r="A38" s="504" t="n"/>
      <c r="B38" s="581" t="inlineStr">
        <is>
          <t>Renovierung durch Fachmann verifiziert</t>
        </is>
      </c>
      <c r="C38" s="617" t="inlineStr">
        <is>
          <t>Ja</t>
        </is>
      </c>
      <c r="D38" s="679" t="inlineStr">
        <is>
          <t>Bemerkung</t>
        </is>
      </c>
      <c r="E38" s="689" t="n"/>
      <c r="F38" s="548" t="n"/>
      <c r="G38" s="527">
        <f>RENO!K6</f>
        <v/>
      </c>
      <c r="H38" s="731">
        <f>RENO!O6</f>
        <v/>
      </c>
      <c r="I38" s="732">
        <f>RENO!P6</f>
        <v/>
      </c>
      <c r="J38" s="21" t="n"/>
      <c r="K38" s="21" t="n"/>
      <c r="L38" s="21" t="n"/>
      <c r="M38" s="21" t="n"/>
      <c r="N38" s="21" t="n"/>
      <c r="O38" s="21" t="n"/>
      <c r="P38" s="21" t="n"/>
      <c r="Q38" s="21" t="n"/>
      <c r="R38" s="21" t="n"/>
      <c r="S38" s="21" t="n"/>
      <c r="T38" s="21" t="n"/>
      <c r="U38" s="21" t="n"/>
      <c r="V38" s="21" t="n"/>
      <c r="W38" s="21" t="n"/>
      <c r="X38" s="21" t="n"/>
      <c r="Y38" s="21" t="n"/>
      <c r="Z38" s="21" t="n"/>
    </row>
    <row r="39" ht="15.75" customHeight="1" s="545">
      <c r="A39" s="504" t="n"/>
      <c r="B39" s="492" t="n"/>
      <c r="C39" s="492" t="n"/>
      <c r="D39" s="492" t="n"/>
      <c r="E39" s="492" t="n"/>
      <c r="F39" s="548" t="n"/>
      <c r="G39" s="21" t="n"/>
      <c r="H39" s="864" t="n"/>
      <c r="I39" s="865" t="n"/>
      <c r="J39" s="21" t="n"/>
      <c r="K39" s="21" t="n"/>
      <c r="L39" s="21" t="n"/>
      <c r="M39" s="21" t="n"/>
      <c r="N39" s="21" t="n"/>
      <c r="O39" s="21" t="n"/>
      <c r="P39" s="21" t="n"/>
      <c r="Q39" s="21" t="n"/>
      <c r="R39" s="21" t="n"/>
      <c r="S39" s="21" t="n"/>
      <c r="T39" s="21" t="n"/>
      <c r="U39" s="21" t="n"/>
      <c r="V39" s="21" t="n"/>
      <c r="W39" s="21" t="n"/>
      <c r="X39" s="21" t="n"/>
      <c r="Y39" s="21" t="n"/>
      <c r="Z39" s="21" t="n"/>
    </row>
    <row r="40" ht="15.75" customHeight="1" s="545">
      <c r="A40" s="532" t="inlineStr">
        <is>
          <t>Nr</t>
        </is>
      </c>
      <c r="B40" s="678" t="inlineStr">
        <is>
          <t>Gewerk</t>
        </is>
      </c>
      <c r="C40" s="678" t="inlineStr">
        <is>
          <t>Maßnahme</t>
        </is>
      </c>
      <c r="E40" s="678" t="inlineStr">
        <is>
          <t>Menge</t>
        </is>
      </c>
      <c r="F40" s="678" t="inlineStr">
        <is>
          <t>Einheit</t>
        </is>
      </c>
      <c r="G40" s="678" t="inlineStr">
        <is>
          <t>Lohnkosten</t>
        </is>
      </c>
      <c r="H40" s="678" t="inlineStr">
        <is>
          <t>Materialkosten</t>
        </is>
      </c>
      <c r="I40" s="678" t="inlineStr">
        <is>
          <t>Gesamtkosten</t>
        </is>
      </c>
      <c r="J40" s="21" t="n"/>
      <c r="K40" s="21" t="n"/>
      <c r="L40" s="21" t="n"/>
      <c r="M40" s="21" t="n"/>
      <c r="N40" s="21" t="n"/>
      <c r="O40" s="21" t="n"/>
      <c r="P40" s="21" t="n"/>
      <c r="Q40" s="21" t="n"/>
      <c r="R40" s="21" t="n"/>
      <c r="S40" s="21" t="n"/>
      <c r="T40" s="21" t="n"/>
      <c r="U40" s="21" t="n"/>
      <c r="V40" s="21" t="n"/>
      <c r="W40" s="21" t="n"/>
      <c r="X40" s="21" t="n"/>
      <c r="Y40" s="21" t="n"/>
      <c r="Z40" s="21" t="n"/>
    </row>
    <row r="41" ht="15.75" customHeight="1" s="545">
      <c r="A41" s="532">
        <f>IF(MAX(RENO!$C$12:$C$105)&gt;0,1,"")</f>
        <v/>
      </c>
      <c r="B41" s="479">
        <f>IF(A41&lt;&gt;"",IFERROR(VLOOKUP($A41,RENO!$C$12:$P$105,2,0),""),"")</f>
        <v/>
      </c>
      <c r="C41" s="866">
        <f>IF(A41&lt;&gt;"",IFERROR(VLOOKUP($A41,RENO!$C$12:$P$105,4,0),""),"")</f>
        <v/>
      </c>
      <c r="E41" s="534">
        <f>IF(A41&lt;&gt;"",IFERROR(VLOOKUP($A41,RENO!$C$12:$P$105,7,0),""),"")</f>
        <v/>
      </c>
      <c r="F41" s="534">
        <f>IF(A41&lt;&gt;"",IFERROR(VLOOKUP($A41,RENO!$C$12:$P$105,8,0),""),"")</f>
        <v/>
      </c>
      <c r="G41" s="867">
        <f>IF(A41&lt;&gt;"",IFERROR(VLOOKUP($A41,RENO!$C$12:$P$105,12,0),""),"")</f>
        <v/>
      </c>
      <c r="H41" s="867">
        <f>IF(A41&lt;&gt;"",IFERROR(VLOOKUP($A41,RENO!$C$12:$P$105,13,0),""),"")</f>
        <v/>
      </c>
      <c r="I41" s="868">
        <f>IF(A41&lt;&gt;"",IFERROR(VLOOKUP($A41,RENO!$C$12:$P$105,14,0),""),"")</f>
        <v/>
      </c>
      <c r="J41" s="21" t="n"/>
      <c r="K41" s="21" t="n"/>
      <c r="L41" s="21" t="n"/>
      <c r="M41" s="21" t="n"/>
      <c r="N41" s="21" t="n"/>
      <c r="O41" s="21" t="n"/>
      <c r="P41" s="21" t="n"/>
      <c r="Q41" s="21" t="n"/>
      <c r="R41" s="21" t="n"/>
      <c r="S41" s="21" t="n"/>
      <c r="T41" s="21" t="n"/>
      <c r="U41" s="21" t="n"/>
      <c r="V41" s="21" t="n"/>
      <c r="W41" s="21" t="n"/>
      <c r="X41" s="21" t="n"/>
      <c r="Y41" s="21" t="n"/>
      <c r="Z41" s="21" t="n"/>
    </row>
    <row r="42" ht="15.75" customHeight="1" s="545">
      <c r="A42" s="532">
        <f>IF(MAX(RENO!$C$12:$C$93)&gt;A41,A41+1,"")</f>
        <v/>
      </c>
      <c r="B42" s="479">
        <f>IF(A42&lt;&gt;"",IFERROR(VLOOKUP($A42,RENO!$C$12:$P$105,2,0),""),"")</f>
        <v/>
      </c>
      <c r="C42" s="866">
        <f>IF(A42&lt;&gt;"",IFERROR(VLOOKUP($A42,RENO!$C$12:$P$105,4,0),""),"")</f>
        <v/>
      </c>
      <c r="E42" s="534">
        <f>IF(A42&lt;&gt;"",IFERROR(VLOOKUP($A42,RENO!$C$12:$P$105,7,0),""),"")</f>
        <v/>
      </c>
      <c r="F42" s="534">
        <f>IF(A42&lt;&gt;"",IFERROR(VLOOKUP($A42,RENO!$C$12:$P$105,8,0),""),"")</f>
        <v/>
      </c>
      <c r="G42" s="867">
        <f>IF(A42&lt;&gt;"",IFERROR(VLOOKUP($A42,RENO!$C$12:$P$105,12,0),""),"")</f>
        <v/>
      </c>
      <c r="H42" s="867">
        <f>IF(A42&lt;&gt;"",IFERROR(VLOOKUP($A42,RENO!$C$12:$P$105,13,0),""),"")</f>
        <v/>
      </c>
      <c r="I42" s="868">
        <f>IF(A42&lt;&gt;"",IFERROR(VLOOKUP($A42,RENO!$C$12:$P$105,14,0),""),"")</f>
        <v/>
      </c>
      <c r="J42" s="21" t="n"/>
      <c r="K42" s="21" t="n"/>
      <c r="L42" s="21" t="n"/>
      <c r="M42" s="21" t="n"/>
      <c r="N42" s="21" t="n"/>
      <c r="O42" s="21" t="n"/>
      <c r="P42" s="21" t="n"/>
      <c r="Q42" s="21" t="n"/>
      <c r="R42" s="21" t="n"/>
      <c r="S42" s="21" t="n"/>
      <c r="T42" s="21" t="n"/>
      <c r="U42" s="21" t="n"/>
      <c r="V42" s="21" t="n"/>
      <c r="W42" s="21" t="n"/>
      <c r="X42" s="21" t="n"/>
      <c r="Y42" s="21" t="n"/>
      <c r="Z42" s="21" t="n"/>
    </row>
    <row r="43" ht="15.75" customHeight="1" s="545">
      <c r="A43" s="532">
        <f>IF(MAX(RENO!$C$12:$C$93)&gt;A42,A42+1,"")</f>
        <v/>
      </c>
      <c r="B43" s="479">
        <f>IF(A43&lt;&gt;"",IFERROR(VLOOKUP($A43,RENO!$C$12:$P$105,2,0),""),"")</f>
        <v/>
      </c>
      <c r="C43" s="866">
        <f>IF(A43&lt;&gt;"",IFERROR(VLOOKUP($A43,RENO!$C$12:$P$105,4,0),""),"")</f>
        <v/>
      </c>
      <c r="E43" s="534">
        <f>IF(A43&lt;&gt;"",IFERROR(VLOOKUP($A43,RENO!$C$12:$P$105,7,0),""),"")</f>
        <v/>
      </c>
      <c r="F43" s="534">
        <f>IF(A43&lt;&gt;"",IFERROR(VLOOKUP($A43,RENO!$C$12:$P$105,8,0),""),"")</f>
        <v/>
      </c>
      <c r="G43" s="867">
        <f>IF(A43&lt;&gt;"",IFERROR(VLOOKUP($A43,RENO!$C$12:$P$105,12,0),""),"")</f>
        <v/>
      </c>
      <c r="H43" s="867">
        <f>IF(A43&lt;&gt;"",IFERROR(VLOOKUP($A43,RENO!$C$12:$P$105,13,0),""),"")</f>
        <v/>
      </c>
      <c r="I43" s="868">
        <f>IF(A43&lt;&gt;"",IFERROR(VLOOKUP($A43,RENO!$C$12:$P$105,14,0),""),"")</f>
        <v/>
      </c>
      <c r="J43" s="21" t="n"/>
      <c r="K43" s="21" t="n"/>
      <c r="L43" s="21" t="n"/>
      <c r="M43" s="21" t="n"/>
      <c r="N43" s="21" t="n"/>
      <c r="O43" s="21" t="n"/>
      <c r="P43" s="21" t="n"/>
      <c r="Q43" s="21" t="n"/>
      <c r="R43" s="21" t="n"/>
      <c r="S43" s="21" t="n"/>
      <c r="T43" s="21" t="n"/>
      <c r="U43" s="21" t="n"/>
      <c r="V43" s="21" t="n"/>
      <c r="W43" s="21" t="n"/>
      <c r="X43" s="21" t="n"/>
      <c r="Y43" s="21" t="n"/>
      <c r="Z43" s="21" t="n"/>
    </row>
    <row r="44" ht="15.75" customHeight="1" s="545">
      <c r="A44" s="532">
        <f>IF(MAX(RENO!$C$12:$C$93)&gt;A43,A43+1,"")</f>
        <v/>
      </c>
      <c r="B44" s="479">
        <f>IF(A44&lt;&gt;"",IFERROR(VLOOKUP($A44,RENO!$C$12:$P$105,2,0),""),"")</f>
        <v/>
      </c>
      <c r="C44" s="866">
        <f>IF(A44&lt;&gt;"",IFERROR(VLOOKUP($A44,RENO!$C$12:$P$105,4,0),""),"")</f>
        <v/>
      </c>
      <c r="E44" s="534">
        <f>IF(A44&lt;&gt;"",IFERROR(VLOOKUP($A44,RENO!$C$12:$P$105,7,0),""),"")</f>
        <v/>
      </c>
      <c r="F44" s="534">
        <f>IF(A44&lt;&gt;"",IFERROR(VLOOKUP($A44,RENO!$C$12:$P$105,8,0),""),"")</f>
        <v/>
      </c>
      <c r="G44" s="867">
        <f>IF(A44&lt;&gt;"",IFERROR(VLOOKUP($A44,RENO!$C$12:$P$105,12,0),""),"")</f>
        <v/>
      </c>
      <c r="H44" s="867">
        <f>IF(A44&lt;&gt;"",IFERROR(VLOOKUP($A44,RENO!$C$12:$P$105,13,0),""),"")</f>
        <v/>
      </c>
      <c r="I44" s="868">
        <f>IF(A44&lt;&gt;"",IFERROR(VLOOKUP($A44,RENO!$C$12:$P$105,14,0),""),"")</f>
        <v/>
      </c>
      <c r="J44" s="21" t="n"/>
      <c r="K44" s="21" t="n"/>
      <c r="L44" s="21" t="n"/>
      <c r="M44" s="21" t="n"/>
      <c r="N44" s="21" t="n"/>
      <c r="O44" s="21" t="n"/>
      <c r="P44" s="21" t="n"/>
      <c r="Q44" s="21" t="n"/>
      <c r="R44" s="21" t="n"/>
      <c r="S44" s="21" t="n"/>
      <c r="T44" s="21" t="n"/>
      <c r="U44" s="21" t="n"/>
      <c r="V44" s="21" t="n"/>
      <c r="W44" s="21" t="n"/>
      <c r="X44" s="21" t="n"/>
      <c r="Y44" s="21" t="n"/>
      <c r="Z44" s="21" t="n"/>
    </row>
    <row r="45" ht="15.75" customHeight="1" s="545">
      <c r="A45" s="532">
        <f>IF(MAX(RENO!$C$12:$C$93)&gt;A44,A44+1,"")</f>
        <v/>
      </c>
      <c r="B45" s="479">
        <f>IF(A45&lt;&gt;"",IFERROR(VLOOKUP($A45,RENO!$C$12:$P$105,2,0),""),"")</f>
        <v/>
      </c>
      <c r="C45" s="866">
        <f>IF(A45&lt;&gt;"",IFERROR(VLOOKUP($A45,RENO!$C$12:$P$105,4,0),""),"")</f>
        <v/>
      </c>
      <c r="E45" s="534">
        <f>IF(A45&lt;&gt;"",IFERROR(VLOOKUP($A45,RENO!$C$12:$P$105,7,0),""),"")</f>
        <v/>
      </c>
      <c r="F45" s="534">
        <f>IF(A45&lt;&gt;"",IFERROR(VLOOKUP($A45,RENO!$C$12:$P$105,8,0),""),"")</f>
        <v/>
      </c>
      <c r="G45" s="867">
        <f>IF(A45&lt;&gt;"",IFERROR(VLOOKUP($A45,RENO!$C$12:$P$105,12,0),""),"")</f>
        <v/>
      </c>
      <c r="H45" s="867">
        <f>IF(A45&lt;&gt;"",IFERROR(VLOOKUP($A45,RENO!$C$12:$P$105,13,0),""),"")</f>
        <v/>
      </c>
      <c r="I45" s="868">
        <f>IF(A45&lt;&gt;"",IFERROR(VLOOKUP($A45,RENO!$C$12:$P$105,14,0),""),"")</f>
        <v/>
      </c>
      <c r="J45" s="21" t="n"/>
      <c r="K45" s="21" t="n"/>
      <c r="L45" s="21" t="n"/>
      <c r="M45" s="21" t="n"/>
      <c r="N45" s="21" t="n"/>
      <c r="O45" s="21" t="n"/>
      <c r="P45" s="21" t="n"/>
      <c r="Q45" s="21" t="n"/>
      <c r="R45" s="21" t="n"/>
      <c r="S45" s="21" t="n"/>
      <c r="T45" s="21" t="n"/>
      <c r="U45" s="21" t="n"/>
      <c r="V45" s="21" t="n"/>
      <c r="W45" s="21" t="n"/>
      <c r="X45" s="21" t="n"/>
      <c r="Y45" s="21" t="n"/>
      <c r="Z45" s="21" t="n"/>
    </row>
    <row r="46" ht="15.75" customHeight="1" s="545">
      <c r="A46" s="532">
        <f>IF(MAX(RENO!$C$12:$C$93)&gt;A45,A45+1,"")</f>
        <v/>
      </c>
      <c r="B46" s="479">
        <f>IF(A46&lt;&gt;"",IFERROR(VLOOKUP($A46,RENO!$C$12:$P$105,2,0),""),"")</f>
        <v/>
      </c>
      <c r="C46" s="866">
        <f>IF(A46&lt;&gt;"",IFERROR(VLOOKUP($A46,RENO!$C$12:$P$105,4,0),""),"")</f>
        <v/>
      </c>
      <c r="E46" s="534">
        <f>IF(A46&lt;&gt;"",IFERROR(VLOOKUP($A46,RENO!$C$12:$P$105,7,0),""),"")</f>
        <v/>
      </c>
      <c r="F46" s="534">
        <f>IF(A46&lt;&gt;"",IFERROR(VLOOKUP($A46,RENO!$C$12:$P$105,8,0),""),"")</f>
        <v/>
      </c>
      <c r="G46" s="867">
        <f>IF(A46&lt;&gt;"",IFERROR(VLOOKUP($A46,RENO!$C$12:$P$105,12,0),""),"")</f>
        <v/>
      </c>
      <c r="H46" s="867">
        <f>IF(A46&lt;&gt;"",IFERROR(VLOOKUP($A46,RENO!$C$12:$P$105,13,0),""),"")</f>
        <v/>
      </c>
      <c r="I46" s="868">
        <f>IF(A46&lt;&gt;"",IFERROR(VLOOKUP($A46,RENO!$C$12:$P$105,14,0),""),"")</f>
        <v/>
      </c>
      <c r="J46" s="21" t="n"/>
      <c r="K46" s="21" t="n"/>
      <c r="L46" s="21" t="n"/>
      <c r="M46" s="21" t="n"/>
      <c r="N46" s="21" t="n"/>
      <c r="O46" s="21" t="n"/>
      <c r="P46" s="21" t="n"/>
      <c r="Q46" s="21" t="n"/>
      <c r="R46" s="21" t="n"/>
      <c r="S46" s="21" t="n"/>
      <c r="T46" s="21" t="n"/>
      <c r="U46" s="21" t="n"/>
      <c r="V46" s="21" t="n"/>
      <c r="W46" s="21" t="n"/>
      <c r="X46" s="21" t="n"/>
      <c r="Y46" s="21" t="n"/>
      <c r="Z46" s="21" t="n"/>
    </row>
    <row r="47" ht="15.75" customHeight="1" s="545">
      <c r="A47" s="532">
        <f>IF(MAX(RENO!$C$12:$C$93)&gt;A46,A46+1,"")</f>
        <v/>
      </c>
      <c r="B47" s="479">
        <f>IF(A47&lt;&gt;"",IFERROR(VLOOKUP($A47,RENO!$C$12:$P$105,2,0),""),"")</f>
        <v/>
      </c>
      <c r="C47" s="866">
        <f>IF(A47&lt;&gt;"",IFERROR(VLOOKUP($A47,RENO!$C$12:$P$105,4,0),""),"")</f>
        <v/>
      </c>
      <c r="E47" s="534">
        <f>IF(A47&lt;&gt;"",IFERROR(VLOOKUP($A47,RENO!$C$12:$P$105,7,0),""),"")</f>
        <v/>
      </c>
      <c r="F47" s="534">
        <f>IF(A47&lt;&gt;"",IFERROR(VLOOKUP($A47,RENO!$C$12:$P$105,8,0),""),"")</f>
        <v/>
      </c>
      <c r="G47" s="867">
        <f>IF(A47&lt;&gt;"",IFERROR(VLOOKUP($A47,RENO!$C$12:$P$105,12,0),""),"")</f>
        <v/>
      </c>
      <c r="H47" s="867">
        <f>IF(A47&lt;&gt;"",IFERROR(VLOOKUP($A47,RENO!$C$12:$P$105,13,0),""),"")</f>
        <v/>
      </c>
      <c r="I47" s="868">
        <f>IF(A47&lt;&gt;"",IFERROR(VLOOKUP($A47,RENO!$C$12:$P$105,14,0),""),"")</f>
        <v/>
      </c>
      <c r="J47" s="21" t="n"/>
      <c r="K47" s="21" t="n"/>
      <c r="L47" s="21" t="n"/>
      <c r="M47" s="21" t="n"/>
      <c r="N47" s="21" t="n"/>
      <c r="O47" s="21" t="n"/>
      <c r="P47" s="21" t="n"/>
      <c r="Q47" s="21" t="n"/>
      <c r="R47" s="21" t="n"/>
      <c r="S47" s="21" t="n"/>
      <c r="T47" s="21" t="n"/>
      <c r="U47" s="21" t="n"/>
      <c r="V47" s="21" t="n"/>
      <c r="W47" s="21" t="n"/>
      <c r="X47" s="21" t="n"/>
      <c r="Y47" s="21" t="n"/>
      <c r="Z47" s="21" t="n"/>
    </row>
    <row r="48" ht="15.75" customHeight="1" s="545">
      <c r="A48" s="532">
        <f>IF(MAX(RENO!$C$12:$C$93)&gt;A47,A47+1,"")</f>
        <v/>
      </c>
      <c r="B48" s="479">
        <f>IF(A48&lt;&gt;"",IFERROR(VLOOKUP($A48,RENO!$C$12:$P$105,2,0),""),"")</f>
        <v/>
      </c>
      <c r="C48" s="866">
        <f>IF(A48&lt;&gt;"",IFERROR(VLOOKUP($A48,RENO!$C$12:$P$105,4,0),""),"")</f>
        <v/>
      </c>
      <c r="E48" s="534">
        <f>IF(A48&lt;&gt;"",IFERROR(VLOOKUP($A48,RENO!$C$12:$P$105,7,0),""),"")</f>
        <v/>
      </c>
      <c r="F48" s="534">
        <f>IF(A48&lt;&gt;"",IFERROR(VLOOKUP($A48,RENO!$C$12:$P$105,8,0),""),"")</f>
        <v/>
      </c>
      <c r="G48" s="867">
        <f>IF(A48&lt;&gt;"",IFERROR(VLOOKUP($A48,RENO!$C$12:$P$105,12,0),""),"")</f>
        <v/>
      </c>
      <c r="H48" s="867">
        <f>IF(A48&lt;&gt;"",IFERROR(VLOOKUP($A48,RENO!$C$12:$P$105,13,0),""),"")</f>
        <v/>
      </c>
      <c r="I48" s="868">
        <f>IF(A48&lt;&gt;"",IFERROR(VLOOKUP($A48,RENO!$C$12:$P$105,14,0),""),"")</f>
        <v/>
      </c>
      <c r="J48" s="21" t="n"/>
      <c r="K48" s="21" t="n"/>
      <c r="L48" s="21" t="n"/>
      <c r="M48" s="21" t="n"/>
      <c r="N48" s="21" t="n"/>
      <c r="O48" s="21" t="n"/>
      <c r="P48" s="21" t="n"/>
      <c r="Q48" s="21" t="n"/>
      <c r="R48" s="21" t="n"/>
      <c r="S48" s="21" t="n"/>
      <c r="T48" s="21" t="n"/>
      <c r="U48" s="21" t="n"/>
      <c r="V48" s="21" t="n"/>
      <c r="W48" s="21" t="n"/>
      <c r="X48" s="21" t="n"/>
      <c r="Y48" s="21" t="n"/>
      <c r="Z48" s="21" t="n"/>
    </row>
    <row r="49" ht="15.75" customHeight="1" s="545">
      <c r="A49" s="532">
        <f>IF(MAX(RENO!$C$12:$C$93)&gt;A48,A48+1,"")</f>
        <v/>
      </c>
      <c r="B49" s="479">
        <f>IF(A49&lt;&gt;"",IFERROR(VLOOKUP($A49,RENO!$C$12:$P$105,2,0),""),"")</f>
        <v/>
      </c>
      <c r="C49" s="866">
        <f>IF(A49&lt;&gt;"",IFERROR(VLOOKUP($A49,RENO!$C$12:$P$105,4,0),""),"")</f>
        <v/>
      </c>
      <c r="E49" s="534">
        <f>IF(A49&lt;&gt;"",IFERROR(VLOOKUP($A49,RENO!$C$12:$P$105,7,0),""),"")</f>
        <v/>
      </c>
      <c r="F49" s="534">
        <f>IF(A49&lt;&gt;"",IFERROR(VLOOKUP($A49,RENO!$C$12:$P$105,8,0),""),"")</f>
        <v/>
      </c>
      <c r="G49" s="867">
        <f>IF(A49&lt;&gt;"",IFERROR(VLOOKUP($A49,RENO!$C$12:$P$105,12,0),""),"")</f>
        <v/>
      </c>
      <c r="H49" s="867">
        <f>IF(A49&lt;&gt;"",IFERROR(VLOOKUP($A49,RENO!$C$12:$P$105,13,0),""),"")</f>
        <v/>
      </c>
      <c r="I49" s="868">
        <f>IF(A49&lt;&gt;"",IFERROR(VLOOKUP($A49,RENO!$C$12:$P$105,14,0),""),"")</f>
        <v/>
      </c>
      <c r="J49" s="21" t="n"/>
      <c r="K49" s="21" t="n"/>
      <c r="L49" s="21" t="n"/>
      <c r="M49" s="21" t="n"/>
      <c r="N49" s="21" t="n"/>
      <c r="O49" s="21" t="n"/>
      <c r="P49" s="21" t="n"/>
      <c r="Q49" s="21" t="n"/>
      <c r="R49" s="21" t="n"/>
      <c r="S49" s="21" t="n"/>
      <c r="T49" s="21" t="n"/>
      <c r="U49" s="21" t="n"/>
      <c r="V49" s="21" t="n"/>
      <c r="W49" s="21" t="n"/>
      <c r="X49" s="21" t="n"/>
      <c r="Y49" s="21" t="n"/>
      <c r="Z49" s="21" t="n"/>
    </row>
    <row r="50" ht="15.75" customHeight="1" s="545">
      <c r="A50" s="532">
        <f>IF(MAX(RENO!$C$12:$C$93)&gt;A49,A49+1,"")</f>
        <v/>
      </c>
      <c r="B50" s="479">
        <f>IF(A50&lt;&gt;"",IFERROR(VLOOKUP($A50,RENO!$C$12:$P$105,2,0),""),"")</f>
        <v/>
      </c>
      <c r="C50" s="866">
        <f>IF(A50&lt;&gt;"",IFERROR(VLOOKUP($A50,RENO!$C$12:$P$105,4,0),""),"")</f>
        <v/>
      </c>
      <c r="E50" s="534">
        <f>IF(A50&lt;&gt;"",IFERROR(VLOOKUP($A50,RENO!$C$12:$P$105,7,0),""),"")</f>
        <v/>
      </c>
      <c r="F50" s="534">
        <f>IF(A50&lt;&gt;"",IFERROR(VLOOKUP($A50,RENO!$C$12:$P$105,8,0),""),"")</f>
        <v/>
      </c>
      <c r="G50" s="867">
        <f>IF(A50&lt;&gt;"",IFERROR(VLOOKUP($A50,RENO!$C$12:$P$105,12,0),""),"")</f>
        <v/>
      </c>
      <c r="H50" s="867">
        <f>IF(A50&lt;&gt;"",IFERROR(VLOOKUP($A50,RENO!$C$12:$P$105,13,0),""),"")</f>
        <v/>
      </c>
      <c r="I50" s="868">
        <f>IF(A50&lt;&gt;"",IFERROR(VLOOKUP($A50,RENO!$C$12:$P$105,14,0),""),"")</f>
        <v/>
      </c>
      <c r="J50" s="21" t="n"/>
      <c r="K50" s="21" t="n"/>
      <c r="L50" s="21" t="n"/>
      <c r="M50" s="21" t="n"/>
      <c r="N50" s="21" t="n"/>
      <c r="O50" s="21" t="n"/>
      <c r="P50" s="21" t="n"/>
      <c r="Q50" s="21" t="n"/>
      <c r="R50" s="21" t="n"/>
      <c r="S50" s="21" t="n"/>
      <c r="T50" s="21" t="n"/>
      <c r="U50" s="21" t="n"/>
      <c r="V50" s="21" t="n"/>
      <c r="W50" s="21" t="n"/>
      <c r="X50" s="21" t="n"/>
      <c r="Y50" s="21" t="n"/>
      <c r="Z50" s="21" t="n"/>
    </row>
    <row r="51" ht="15.75" customHeight="1" s="545">
      <c r="A51" s="532">
        <f>IF(MAX(RENO!$C$12:$C$93)&gt;A50,A50+1,"")</f>
        <v/>
      </c>
      <c r="B51" s="479">
        <f>IF(A51&lt;&gt;"",IFERROR(VLOOKUP($A51,RENO!$C$12:$P$105,2,0),""),"")</f>
        <v/>
      </c>
      <c r="C51" s="866">
        <f>IF(A51&lt;&gt;"",IFERROR(VLOOKUP($A51,RENO!$C$12:$P$105,4,0),""),"")</f>
        <v/>
      </c>
      <c r="E51" s="534">
        <f>IF(A51&lt;&gt;"",IFERROR(VLOOKUP($A51,RENO!$C$12:$P$105,7,0),""),"")</f>
        <v/>
      </c>
      <c r="F51" s="534">
        <f>IF(A51&lt;&gt;"",IFERROR(VLOOKUP($A51,RENO!$C$12:$P$105,8,0),""),"")</f>
        <v/>
      </c>
      <c r="G51" s="867">
        <f>IF(A51&lt;&gt;"",IFERROR(VLOOKUP($A51,RENO!$C$12:$P$105,12,0),""),"")</f>
        <v/>
      </c>
      <c r="H51" s="867">
        <f>IF(A51&lt;&gt;"",IFERROR(VLOOKUP($A51,RENO!$C$12:$P$105,13,0),""),"")</f>
        <v/>
      </c>
      <c r="I51" s="868">
        <f>IF(A51&lt;&gt;"",IFERROR(VLOOKUP($A51,RENO!$C$12:$P$105,14,0),""),"")</f>
        <v/>
      </c>
      <c r="J51" s="21" t="n"/>
      <c r="K51" s="21" t="n"/>
      <c r="L51" s="21" t="n"/>
      <c r="M51" s="21" t="n"/>
      <c r="N51" s="21" t="n"/>
      <c r="O51" s="21" t="n"/>
      <c r="P51" s="21" t="n"/>
      <c r="Q51" s="21" t="n"/>
      <c r="R51" s="21" t="n"/>
      <c r="S51" s="21" t="n"/>
      <c r="T51" s="21" t="n"/>
      <c r="U51" s="21" t="n"/>
      <c r="V51" s="21" t="n"/>
      <c r="W51" s="21" t="n"/>
      <c r="X51" s="21" t="n"/>
      <c r="Y51" s="21" t="n"/>
      <c r="Z51" s="21" t="n"/>
    </row>
    <row r="52" ht="15.75" customHeight="1" s="545">
      <c r="A52" s="532">
        <f>IF(MAX(RENO!$C$12:$C$93)&gt;A51,A51+1,"")</f>
        <v/>
      </c>
      <c r="B52" s="479">
        <f>IF(A52&lt;&gt;"",IFERROR(VLOOKUP($A52,RENO!$C$12:$P$105,2,0),""),"")</f>
        <v/>
      </c>
      <c r="C52" s="866">
        <f>IF(A52&lt;&gt;"",IFERROR(VLOOKUP($A52,RENO!$C$12:$P$105,4,0),""),"")</f>
        <v/>
      </c>
      <c r="E52" s="534">
        <f>IF(A52&lt;&gt;"",IFERROR(VLOOKUP($A52,RENO!$C$12:$P$105,7,0),""),"")</f>
        <v/>
      </c>
      <c r="F52" s="534">
        <f>IF(A52&lt;&gt;"",IFERROR(VLOOKUP($A52,RENO!$C$12:$P$105,8,0),""),"")</f>
        <v/>
      </c>
      <c r="G52" s="867">
        <f>IF(A52&lt;&gt;"",IFERROR(VLOOKUP($A52,RENO!$C$12:$P$105,12,0),""),"")</f>
        <v/>
      </c>
      <c r="H52" s="867">
        <f>IF(A52&lt;&gt;"",IFERROR(VLOOKUP($A52,RENO!$C$12:$P$105,13,0),""),"")</f>
        <v/>
      </c>
      <c r="I52" s="868">
        <f>IF(A52&lt;&gt;"",IFERROR(VLOOKUP($A52,RENO!$C$12:$P$105,14,0),""),"")</f>
        <v/>
      </c>
      <c r="J52" s="21" t="n"/>
      <c r="K52" s="21" t="n"/>
      <c r="L52" s="21" t="n"/>
      <c r="M52" s="21" t="n"/>
      <c r="N52" s="21" t="n"/>
      <c r="O52" s="21" t="n"/>
      <c r="P52" s="21" t="n"/>
      <c r="Q52" s="21" t="n"/>
      <c r="R52" s="21" t="n"/>
      <c r="S52" s="21" t="n"/>
      <c r="T52" s="21" t="n"/>
      <c r="U52" s="21" t="n"/>
      <c r="V52" s="21" t="n"/>
      <c r="W52" s="21" t="n"/>
      <c r="X52" s="21" t="n"/>
      <c r="Y52" s="21" t="n"/>
      <c r="Z52" s="21" t="n"/>
    </row>
    <row r="53" ht="15.75" customHeight="1" s="545">
      <c r="A53" s="532">
        <f>IF(MAX(RENO!$C$12:$C$93)&gt;A52,A52+1,"")</f>
        <v/>
      </c>
      <c r="B53" s="479">
        <f>IF(A53&lt;&gt;"",IFERROR(VLOOKUP($A53,RENO!$C$12:$P$105,2,0),""),"")</f>
        <v/>
      </c>
      <c r="C53" s="866">
        <f>IF(A53&lt;&gt;"",IFERROR(VLOOKUP($A53,RENO!$C$12:$P$105,4,0),""),"")</f>
        <v/>
      </c>
      <c r="E53" s="534">
        <f>IF(A53&lt;&gt;"",IFERROR(VLOOKUP($A53,RENO!$C$12:$P$105,7,0),""),"")</f>
        <v/>
      </c>
      <c r="F53" s="534">
        <f>IF(A53&lt;&gt;"",IFERROR(VLOOKUP($A53,RENO!$C$12:$P$105,8,0),""),"")</f>
        <v/>
      </c>
      <c r="G53" s="867">
        <f>IF(A53&lt;&gt;"",IFERROR(VLOOKUP($A53,RENO!$C$12:$P$105,12,0),""),"")</f>
        <v/>
      </c>
      <c r="H53" s="867">
        <f>IF(A53&lt;&gt;"",IFERROR(VLOOKUP($A53,RENO!$C$12:$P$105,13,0),""),"")</f>
        <v/>
      </c>
      <c r="I53" s="868">
        <f>IF(A53&lt;&gt;"",IFERROR(VLOOKUP($A53,RENO!$C$12:$P$105,14,0),""),"")</f>
        <v/>
      </c>
      <c r="J53" s="21" t="n"/>
      <c r="K53" s="21" t="n"/>
      <c r="L53" s="21" t="n"/>
      <c r="M53" s="21" t="n"/>
      <c r="N53" s="21" t="n"/>
      <c r="O53" s="21" t="n"/>
      <c r="P53" s="21" t="n"/>
      <c r="Q53" s="21" t="n"/>
      <c r="R53" s="21" t="n"/>
      <c r="S53" s="21" t="n"/>
      <c r="T53" s="21" t="n"/>
      <c r="U53" s="21" t="n"/>
      <c r="V53" s="21" t="n"/>
      <c r="W53" s="21" t="n"/>
      <c r="X53" s="21" t="n"/>
      <c r="Y53" s="21" t="n"/>
      <c r="Z53" s="21" t="n"/>
    </row>
    <row r="54" ht="15.75" customHeight="1" s="545">
      <c r="A54" s="532">
        <f>IF(MAX(RENO!$C$12:$C$93)&gt;A53,A53+1,"")</f>
        <v/>
      </c>
      <c r="B54" s="479">
        <f>IF(A54&lt;&gt;"",IFERROR(VLOOKUP($A54,RENO!$C$12:$P$105,2,0),""),"")</f>
        <v/>
      </c>
      <c r="C54" s="866">
        <f>IF(A54&lt;&gt;"",IFERROR(VLOOKUP($A54,RENO!$C$12:$P$105,4,0),""),"")</f>
        <v/>
      </c>
      <c r="E54" s="534">
        <f>IF(A54&lt;&gt;"",IFERROR(VLOOKUP($A54,RENO!$C$12:$P$105,7,0),""),"")</f>
        <v/>
      </c>
      <c r="F54" s="534">
        <f>IF(A54&lt;&gt;"",IFERROR(VLOOKUP($A54,RENO!$C$12:$P$105,8,0),""),"")</f>
        <v/>
      </c>
      <c r="G54" s="867">
        <f>IF(A54&lt;&gt;"",IFERROR(VLOOKUP($A54,RENO!$C$12:$P$105,12,0),""),"")</f>
        <v/>
      </c>
      <c r="H54" s="867">
        <f>IF(A54&lt;&gt;"",IFERROR(VLOOKUP($A54,RENO!$C$12:$P$105,13,0),""),"")</f>
        <v/>
      </c>
      <c r="I54" s="868">
        <f>IF(A54&lt;&gt;"",IFERROR(VLOOKUP($A54,RENO!$C$12:$P$105,14,0),""),"")</f>
        <v/>
      </c>
      <c r="J54" s="21" t="n"/>
      <c r="K54" s="21" t="n"/>
      <c r="L54" s="21" t="n"/>
      <c r="M54" s="21" t="n"/>
      <c r="N54" s="21" t="n"/>
      <c r="O54" s="21" t="n"/>
      <c r="P54" s="21" t="n"/>
      <c r="Q54" s="21" t="n"/>
      <c r="R54" s="21" t="n"/>
      <c r="S54" s="21" t="n"/>
      <c r="T54" s="21" t="n"/>
      <c r="U54" s="21" t="n"/>
      <c r="V54" s="21" t="n"/>
      <c r="W54" s="21" t="n"/>
      <c r="X54" s="21" t="n"/>
      <c r="Y54" s="21" t="n"/>
      <c r="Z54" s="21" t="n"/>
    </row>
    <row r="55" ht="15.75" customHeight="1" s="545">
      <c r="A55" s="532">
        <f>IF(MAX(RENO!$C$12:$C$93)&gt;A54,A54+1,"")</f>
        <v/>
      </c>
      <c r="B55" s="479">
        <f>IF(A55&lt;&gt;"",IFERROR(VLOOKUP($A55,RENO!$C$12:$P$105,2,0),""),"")</f>
        <v/>
      </c>
      <c r="C55" s="866">
        <f>IF(A55&lt;&gt;"",IFERROR(VLOOKUP($A55,RENO!$C$12:$P$105,4,0),""),"")</f>
        <v/>
      </c>
      <c r="E55" s="534">
        <f>IF(A55&lt;&gt;"",IFERROR(VLOOKUP($A55,RENO!$C$12:$P$105,7,0),""),"")</f>
        <v/>
      </c>
      <c r="F55" s="534">
        <f>IF(A55&lt;&gt;"",IFERROR(VLOOKUP($A55,RENO!$C$12:$P$105,8,0),""),"")</f>
        <v/>
      </c>
      <c r="G55" s="867">
        <f>IF(A55&lt;&gt;"",IFERROR(VLOOKUP($A55,RENO!$C$12:$P$105,12,0),""),"")</f>
        <v/>
      </c>
      <c r="H55" s="867">
        <f>IF(A55&lt;&gt;"",IFERROR(VLOOKUP($A55,RENO!$C$12:$P$105,13,0),""),"")</f>
        <v/>
      </c>
      <c r="I55" s="868">
        <f>IF(A55&lt;&gt;"",IFERROR(VLOOKUP($A55,RENO!$C$12:$P$105,14,0),""),"")</f>
        <v/>
      </c>
      <c r="J55" s="21" t="n"/>
      <c r="K55" s="21" t="n"/>
      <c r="L55" s="21" t="n"/>
      <c r="M55" s="21" t="n"/>
      <c r="N55" s="21" t="n"/>
      <c r="O55" s="21" t="n"/>
      <c r="P55" s="21" t="n"/>
      <c r="Q55" s="21" t="n"/>
      <c r="R55" s="21" t="n"/>
      <c r="S55" s="21" t="n"/>
      <c r="T55" s="21" t="n"/>
      <c r="U55" s="21" t="n"/>
      <c r="V55" s="21" t="n"/>
      <c r="W55" s="21" t="n"/>
      <c r="X55" s="21" t="n"/>
      <c r="Y55" s="21" t="n"/>
      <c r="Z55" s="21" t="n"/>
    </row>
    <row r="56" ht="15.75" customHeight="1" s="545">
      <c r="A56" s="532">
        <f>IF(MAX(RENO!$C$12:$C$93)&gt;A55,A55+1,"")</f>
        <v/>
      </c>
      <c r="B56" s="479">
        <f>IF(A56&lt;&gt;"",IFERROR(VLOOKUP($A56,RENO!$C$12:$P$105,2,0),""),"")</f>
        <v/>
      </c>
      <c r="C56" s="866">
        <f>IF(A56&lt;&gt;"",IFERROR(VLOOKUP($A56,RENO!$C$12:$P$105,4,0),""),"")</f>
        <v/>
      </c>
      <c r="E56" s="534">
        <f>IF(A56&lt;&gt;"",IFERROR(VLOOKUP($A56,RENO!$C$12:$P$105,7,0),""),"")</f>
        <v/>
      </c>
      <c r="F56" s="534">
        <f>IF(A56&lt;&gt;"",IFERROR(VLOOKUP($A56,RENO!$C$12:$P$105,8,0),""),"")</f>
        <v/>
      </c>
      <c r="G56" s="867">
        <f>IF(A56&lt;&gt;"",IFERROR(VLOOKUP($A56,RENO!$C$12:$P$105,12,0),""),"")</f>
        <v/>
      </c>
      <c r="H56" s="867">
        <f>IF(A56&lt;&gt;"",IFERROR(VLOOKUP($A56,RENO!$C$12:$P$105,13,0),""),"")</f>
        <v/>
      </c>
      <c r="I56" s="868">
        <f>IF(A56&lt;&gt;"",IFERROR(VLOOKUP($A56,RENO!$C$12:$P$105,14,0),""),"")</f>
        <v/>
      </c>
      <c r="J56" s="21" t="n"/>
      <c r="K56" s="21" t="n"/>
      <c r="L56" s="21" t="n"/>
      <c r="M56" s="21" t="n"/>
      <c r="N56" s="21" t="n"/>
      <c r="O56" s="21" t="n"/>
      <c r="P56" s="21" t="n"/>
      <c r="Q56" s="21" t="n"/>
      <c r="R56" s="21" t="n"/>
      <c r="S56" s="21" t="n"/>
      <c r="T56" s="21" t="n"/>
      <c r="U56" s="21" t="n"/>
      <c r="V56" s="21" t="n"/>
      <c r="W56" s="21" t="n"/>
      <c r="X56" s="21" t="n"/>
      <c r="Y56" s="21" t="n"/>
      <c r="Z56" s="21" t="n"/>
    </row>
    <row r="57" ht="15.75" customHeight="1" s="545">
      <c r="A57" s="532">
        <f>IF(MAX(RENO!$C$12:$C$93)&gt;A56,A56+1,"")</f>
        <v/>
      </c>
      <c r="B57" s="479">
        <f>IF(A57&lt;&gt;"",IFERROR(VLOOKUP($A57,RENO!$C$12:$P$105,2,0),""),"")</f>
        <v/>
      </c>
      <c r="C57" s="866">
        <f>IF(A57&lt;&gt;"",IFERROR(VLOOKUP($A57,RENO!$C$12:$P$105,4,0),""),"")</f>
        <v/>
      </c>
      <c r="E57" s="534">
        <f>IF(A57&lt;&gt;"",IFERROR(VLOOKUP($A57,RENO!$C$12:$P$105,7,0),""),"")</f>
        <v/>
      </c>
      <c r="F57" s="534">
        <f>IF(A57&lt;&gt;"",IFERROR(VLOOKUP($A57,RENO!$C$12:$P$105,8,0),""),"")</f>
        <v/>
      </c>
      <c r="G57" s="867">
        <f>IF(A57&lt;&gt;"",IFERROR(VLOOKUP($A57,RENO!$C$12:$P$105,12,0),""),"")</f>
        <v/>
      </c>
      <c r="H57" s="867">
        <f>IF(A57&lt;&gt;"",IFERROR(VLOOKUP($A57,RENO!$C$12:$P$105,13,0),""),"")</f>
        <v/>
      </c>
      <c r="I57" s="868">
        <f>IF(A57&lt;&gt;"",IFERROR(VLOOKUP($A57,RENO!$C$12:$P$105,14,0),""),"")</f>
        <v/>
      </c>
      <c r="J57" s="21" t="n"/>
      <c r="K57" s="21" t="n"/>
      <c r="L57" s="21" t="n"/>
      <c r="M57" s="21" t="n"/>
      <c r="N57" s="21" t="n"/>
      <c r="O57" s="21" t="n"/>
      <c r="P57" s="21" t="n"/>
      <c r="Q57" s="21" t="n"/>
      <c r="R57" s="21" t="n"/>
      <c r="S57" s="21" t="n"/>
      <c r="T57" s="21" t="n"/>
      <c r="U57" s="21" t="n"/>
      <c r="V57" s="21" t="n"/>
      <c r="W57" s="21" t="n"/>
      <c r="X57" s="21" t="n"/>
      <c r="Y57" s="21" t="n"/>
      <c r="Z57" s="21" t="n"/>
    </row>
    <row r="58" ht="15.75" customHeight="1" s="545">
      <c r="A58" s="532">
        <f>IF(MAX(RENO!$C$12:$C$93)&gt;A57,A57+1,"")</f>
        <v/>
      </c>
      <c r="B58" s="479">
        <f>IF(A58&lt;&gt;"",IFERROR(VLOOKUP($A58,RENO!$C$12:$P$105,2,0),""),"")</f>
        <v/>
      </c>
      <c r="C58" s="866">
        <f>IF(A58&lt;&gt;"",IFERROR(VLOOKUP($A58,RENO!$C$12:$P$105,4,0),""),"")</f>
        <v/>
      </c>
      <c r="E58" s="534">
        <f>IF(A58&lt;&gt;"",IFERROR(VLOOKUP($A58,RENO!$C$12:$P$105,7,0),""),"")</f>
        <v/>
      </c>
      <c r="F58" s="534">
        <f>IF(A58&lt;&gt;"",IFERROR(VLOOKUP($A58,RENO!$C$12:$P$105,8,0),""),"")</f>
        <v/>
      </c>
      <c r="G58" s="867">
        <f>IF(A58&lt;&gt;"",IFERROR(VLOOKUP($A58,RENO!$C$12:$P$105,12,0),""),"")</f>
        <v/>
      </c>
      <c r="H58" s="867">
        <f>IF(A58&lt;&gt;"",IFERROR(VLOOKUP($A58,RENO!$C$12:$P$105,13,0),""),"")</f>
        <v/>
      </c>
      <c r="I58" s="868">
        <f>IF(A58&lt;&gt;"",IFERROR(VLOOKUP($A58,RENO!$C$12:$P$105,14,0),""),"")</f>
        <v/>
      </c>
      <c r="J58" s="21" t="n"/>
      <c r="K58" s="21" t="n"/>
      <c r="L58" s="21" t="n"/>
      <c r="M58" s="21" t="n"/>
      <c r="N58" s="21" t="n"/>
      <c r="O58" s="21" t="n"/>
      <c r="P58" s="21" t="n"/>
      <c r="Q58" s="21" t="n"/>
      <c r="R58" s="21" t="n"/>
      <c r="S58" s="21" t="n"/>
      <c r="T58" s="21" t="n"/>
      <c r="U58" s="21" t="n"/>
      <c r="V58" s="21" t="n"/>
      <c r="W58" s="21" t="n"/>
      <c r="X58" s="21" t="n"/>
      <c r="Y58" s="21" t="n"/>
      <c r="Z58" s="21" t="n"/>
    </row>
    <row r="59" ht="15.75" customHeight="1" s="545">
      <c r="A59" s="532">
        <f>IF(MAX(RENO!$C$12:$C$93)&gt;A58,A58+1,"")</f>
        <v/>
      </c>
      <c r="B59" s="479">
        <f>IF(A59&lt;&gt;"",IFERROR(VLOOKUP($A59,RENO!$C$12:$P$105,2,0),""),"")</f>
        <v/>
      </c>
      <c r="C59" s="866">
        <f>IF(A59&lt;&gt;"",IFERROR(VLOOKUP($A59,RENO!$C$12:$P$105,4,0),""),"")</f>
        <v/>
      </c>
      <c r="E59" s="534">
        <f>IF(A59&lt;&gt;"",IFERROR(VLOOKUP($A59,RENO!$C$12:$P$105,7,0),""),"")</f>
        <v/>
      </c>
      <c r="F59" s="534">
        <f>IF(A59&lt;&gt;"",IFERROR(VLOOKUP($A59,RENO!$C$12:$P$105,8,0),""),"")</f>
        <v/>
      </c>
      <c r="G59" s="867">
        <f>IF(A59&lt;&gt;"",IFERROR(VLOOKUP($A59,RENO!$C$12:$P$105,12,0),""),"")</f>
        <v/>
      </c>
      <c r="H59" s="867">
        <f>IF(A59&lt;&gt;"",IFERROR(VLOOKUP($A59,RENO!$C$12:$P$105,13,0),""),"")</f>
        <v/>
      </c>
      <c r="I59" s="868">
        <f>IF(A59&lt;&gt;"",IFERROR(VLOOKUP($A59,RENO!$C$12:$P$105,14,0),""),"")</f>
        <v/>
      </c>
      <c r="J59" s="21" t="n"/>
      <c r="K59" s="21" t="n"/>
      <c r="L59" s="21" t="n"/>
      <c r="M59" s="21" t="n"/>
      <c r="N59" s="21" t="n"/>
      <c r="O59" s="21" t="n"/>
      <c r="P59" s="21" t="n"/>
      <c r="Q59" s="21" t="n"/>
      <c r="R59" s="21" t="n"/>
      <c r="S59" s="21" t="n"/>
      <c r="T59" s="21" t="n"/>
      <c r="U59" s="21" t="n"/>
      <c r="V59" s="21" t="n"/>
      <c r="W59" s="21" t="n"/>
      <c r="X59" s="21" t="n"/>
      <c r="Y59" s="21" t="n"/>
      <c r="Z59" s="21" t="n"/>
    </row>
    <row r="60" ht="15.75" customHeight="1" s="545">
      <c r="A60" s="532">
        <f>IF(MAX(RENO!$C$12:$C$93)&gt;A59,A59+1,"")</f>
        <v/>
      </c>
      <c r="B60" s="479">
        <f>IF(A60&lt;&gt;"",IFERROR(VLOOKUP($A60,RENO!$C$12:$P$105,2,0),""),"")</f>
        <v/>
      </c>
      <c r="C60" s="866">
        <f>IF(A60&lt;&gt;"",IFERROR(VLOOKUP($A60,RENO!$C$12:$P$105,4,0),""),"")</f>
        <v/>
      </c>
      <c r="E60" s="534">
        <f>IF(A60&lt;&gt;"",IFERROR(VLOOKUP($A60,RENO!$C$12:$P$105,7,0),""),"")</f>
        <v/>
      </c>
      <c r="F60" s="534">
        <f>IF(A60&lt;&gt;"",IFERROR(VLOOKUP($A60,RENO!$C$12:$P$105,8,0),""),"")</f>
        <v/>
      </c>
      <c r="G60" s="867">
        <f>IF(A60&lt;&gt;"",IFERROR(VLOOKUP($A60,RENO!$C$12:$P$105,12,0),""),"")</f>
        <v/>
      </c>
      <c r="H60" s="867">
        <f>IF(A60&lt;&gt;"",IFERROR(VLOOKUP($A60,RENO!$C$12:$P$105,13,0),""),"")</f>
        <v/>
      </c>
      <c r="I60" s="868">
        <f>IF(A60&lt;&gt;"",IFERROR(VLOOKUP($A60,RENO!$C$12:$P$105,14,0),""),"")</f>
        <v/>
      </c>
      <c r="J60" s="21" t="n"/>
      <c r="K60" s="21" t="n"/>
      <c r="L60" s="21" t="n"/>
      <c r="M60" s="21" t="n"/>
      <c r="N60" s="21" t="n"/>
      <c r="O60" s="21" t="n"/>
      <c r="P60" s="21" t="n"/>
      <c r="Q60" s="21" t="n"/>
      <c r="R60" s="21" t="n"/>
      <c r="S60" s="21" t="n"/>
      <c r="T60" s="21" t="n"/>
      <c r="U60" s="21" t="n"/>
      <c r="V60" s="21" t="n"/>
      <c r="W60" s="21" t="n"/>
      <c r="X60" s="21" t="n"/>
      <c r="Y60" s="21" t="n"/>
      <c r="Z60" s="21" t="n"/>
    </row>
    <row r="61" ht="15.75" customHeight="1" s="545">
      <c r="A61" s="532">
        <f>IF(MAX(RENO!$C$12:$C$93)&gt;A60,A60+1,"")</f>
        <v/>
      </c>
      <c r="B61" s="479">
        <f>IF(A61&lt;&gt;"",IFERROR(VLOOKUP($A61,RENO!$C$12:$P$105,2,0),""),"")</f>
        <v/>
      </c>
      <c r="C61" s="866">
        <f>IF(A61&lt;&gt;"",IFERROR(VLOOKUP($A61,RENO!$C$12:$P$105,4,0),""),"")</f>
        <v/>
      </c>
      <c r="E61" s="534">
        <f>IF(A61&lt;&gt;"",IFERROR(VLOOKUP($A61,RENO!$C$12:$P$105,7,0),""),"")</f>
        <v/>
      </c>
      <c r="F61" s="534">
        <f>IF(A61&lt;&gt;"",IFERROR(VLOOKUP($A61,RENO!$C$12:$P$105,8,0),""),"")</f>
        <v/>
      </c>
      <c r="G61" s="867">
        <f>IF(A61&lt;&gt;"",IFERROR(VLOOKUP($A61,RENO!$C$12:$P$105,12,0),""),"")</f>
        <v/>
      </c>
      <c r="H61" s="867">
        <f>IF(A61&lt;&gt;"",IFERROR(VLOOKUP($A61,RENO!$C$12:$P$105,13,0),""),"")</f>
        <v/>
      </c>
      <c r="I61" s="868">
        <f>IF(A61&lt;&gt;"",IFERROR(VLOOKUP($A61,RENO!$C$12:$P$105,14,0),""),"")</f>
        <v/>
      </c>
      <c r="J61" s="21" t="n"/>
      <c r="K61" s="21" t="n"/>
      <c r="L61" s="21" t="n"/>
      <c r="M61" s="21" t="n"/>
      <c r="N61" s="21" t="n"/>
      <c r="O61" s="21" t="n"/>
      <c r="P61" s="21" t="n"/>
      <c r="Q61" s="21" t="n"/>
      <c r="R61" s="21" t="n"/>
      <c r="S61" s="21" t="n"/>
      <c r="T61" s="21" t="n"/>
      <c r="U61" s="21" t="n"/>
      <c r="V61" s="21" t="n"/>
      <c r="W61" s="21" t="n"/>
      <c r="X61" s="21" t="n"/>
      <c r="Y61" s="21" t="n"/>
      <c r="Z61" s="21" t="n"/>
    </row>
    <row r="62" ht="15.75" customHeight="1" s="545">
      <c r="A62" s="532">
        <f>IF(MAX(RENO!$C$12:$C$93)&gt;A61,A61+1,"")</f>
        <v/>
      </c>
      <c r="B62" s="479">
        <f>IF(A62&lt;&gt;"",IFERROR(VLOOKUP($A62,RENO!$C$12:$P$105,2,0),""),"")</f>
        <v/>
      </c>
      <c r="C62" s="866">
        <f>IF(A62&lt;&gt;"",IFERROR(VLOOKUP($A62,RENO!$C$12:$P$105,4,0),""),"")</f>
        <v/>
      </c>
      <c r="E62" s="534">
        <f>IF(A62&lt;&gt;"",IFERROR(VLOOKUP($A62,RENO!$C$12:$P$105,7,0),""),"")</f>
        <v/>
      </c>
      <c r="F62" s="534">
        <f>IF(A62&lt;&gt;"",IFERROR(VLOOKUP($A62,RENO!$C$12:$P$105,8,0),""),"")</f>
        <v/>
      </c>
      <c r="G62" s="867">
        <f>IF(A62&lt;&gt;"",IFERROR(VLOOKUP($A62,RENO!$C$12:$P$105,12,0),""),"")</f>
        <v/>
      </c>
      <c r="H62" s="867">
        <f>IF(A62&lt;&gt;"",IFERROR(VLOOKUP($A62,RENO!$C$12:$P$105,13,0),""),"")</f>
        <v/>
      </c>
      <c r="I62" s="868">
        <f>IF(A62&lt;&gt;"",IFERROR(VLOOKUP($A62,RENO!$C$12:$P$105,14,0),""),"")</f>
        <v/>
      </c>
      <c r="J62" s="21" t="n"/>
      <c r="K62" s="21" t="n"/>
      <c r="L62" s="21" t="n"/>
      <c r="M62" s="21" t="n"/>
      <c r="N62" s="21" t="n"/>
      <c r="O62" s="21" t="n"/>
      <c r="P62" s="21" t="n"/>
      <c r="Q62" s="21" t="n"/>
      <c r="R62" s="21" t="n"/>
      <c r="S62" s="21" t="n"/>
      <c r="T62" s="21" t="n"/>
      <c r="U62" s="21" t="n"/>
      <c r="V62" s="21" t="n"/>
      <c r="W62" s="21" t="n"/>
      <c r="X62" s="21" t="n"/>
      <c r="Y62" s="21" t="n"/>
      <c r="Z62" s="21" t="n"/>
    </row>
    <row r="63" ht="15.75" customHeight="1" s="545">
      <c r="A63" s="532">
        <f>IF(MAX(RENO!$C$12:$C$93)&gt;A62,A62+1,"")</f>
        <v/>
      </c>
      <c r="B63" s="479">
        <f>IF(A63&lt;&gt;"",IFERROR(VLOOKUP($A63,RENO!$C$12:$P$105,2,0),""),"")</f>
        <v/>
      </c>
      <c r="C63" s="866">
        <f>IF(A63&lt;&gt;"",IFERROR(VLOOKUP($A63,RENO!$C$12:$P$105,4,0),""),"")</f>
        <v/>
      </c>
      <c r="E63" s="534">
        <f>IF(A63&lt;&gt;"",IFERROR(VLOOKUP($A63,RENO!$C$12:$P$105,7,0),""),"")</f>
        <v/>
      </c>
      <c r="F63" s="534">
        <f>IF(A63&lt;&gt;"",IFERROR(VLOOKUP($A63,RENO!$C$12:$P$105,8,0),""),"")</f>
        <v/>
      </c>
      <c r="G63" s="867">
        <f>IF(A63&lt;&gt;"",IFERROR(VLOOKUP($A63,RENO!$C$12:$P$105,12,0),""),"")</f>
        <v/>
      </c>
      <c r="H63" s="867">
        <f>IF(A63&lt;&gt;"",IFERROR(VLOOKUP($A63,RENO!$C$12:$P$105,13,0),""),"")</f>
        <v/>
      </c>
      <c r="I63" s="868">
        <f>IF(A63&lt;&gt;"",IFERROR(VLOOKUP($A63,RENO!$C$12:$P$105,14,0),""),"")</f>
        <v/>
      </c>
      <c r="J63" s="21" t="n"/>
      <c r="K63" s="21" t="n"/>
      <c r="L63" s="21" t="n"/>
      <c r="M63" s="21" t="n"/>
      <c r="N63" s="21" t="n"/>
      <c r="O63" s="21" t="n"/>
      <c r="P63" s="21" t="n"/>
      <c r="Q63" s="21" t="n"/>
      <c r="R63" s="21" t="n"/>
      <c r="S63" s="21" t="n"/>
      <c r="T63" s="21" t="n"/>
      <c r="U63" s="21" t="n"/>
      <c r="V63" s="21" t="n"/>
      <c r="W63" s="21" t="n"/>
      <c r="X63" s="21" t="n"/>
      <c r="Y63" s="21" t="n"/>
      <c r="Z63" s="21" t="n"/>
    </row>
    <row r="64" ht="15.75" customHeight="1" s="545">
      <c r="A64" s="532">
        <f>IF(MAX(RENO!$C$12:$C$93)&gt;A63,A63+1,"")</f>
        <v/>
      </c>
      <c r="B64" s="479">
        <f>IF(A64&lt;&gt;"",IFERROR(VLOOKUP($A64,RENO!$C$12:$P$105,2,0),""),"")</f>
        <v/>
      </c>
      <c r="C64" s="866">
        <f>IF(A64&lt;&gt;"",IFERROR(VLOOKUP($A64,RENO!$C$12:$P$105,4,0),""),"")</f>
        <v/>
      </c>
      <c r="E64" s="534">
        <f>IF(A64&lt;&gt;"",IFERROR(VLOOKUP($A64,RENO!$C$12:$P$105,7,0),""),"")</f>
        <v/>
      </c>
      <c r="F64" s="534">
        <f>IF(A64&lt;&gt;"",IFERROR(VLOOKUP($A64,RENO!$C$12:$P$105,8,0),""),"")</f>
        <v/>
      </c>
      <c r="G64" s="867">
        <f>IF(A64&lt;&gt;"",IFERROR(VLOOKUP($A64,RENO!$C$12:$P$105,12,0),""),"")</f>
        <v/>
      </c>
      <c r="H64" s="867">
        <f>IF(A64&lt;&gt;"",IFERROR(VLOOKUP($A64,RENO!$C$12:$P$105,13,0),""),"")</f>
        <v/>
      </c>
      <c r="I64" s="868">
        <f>IF(A64&lt;&gt;"",IFERROR(VLOOKUP($A64,RENO!$C$12:$P$105,14,0),""),"")</f>
        <v/>
      </c>
      <c r="J64" s="21" t="n"/>
      <c r="K64" s="21" t="n"/>
      <c r="L64" s="21" t="n"/>
      <c r="M64" s="21" t="n"/>
      <c r="N64" s="21" t="n"/>
      <c r="O64" s="21" t="n"/>
      <c r="P64" s="21" t="n"/>
      <c r="Q64" s="21" t="n"/>
      <c r="R64" s="21" t="n"/>
      <c r="S64" s="21" t="n"/>
      <c r="T64" s="21" t="n"/>
      <c r="U64" s="21" t="n"/>
      <c r="V64" s="21" t="n"/>
      <c r="W64" s="21" t="n"/>
      <c r="X64" s="21" t="n"/>
      <c r="Y64" s="21" t="n"/>
      <c r="Z64" s="21" t="n"/>
    </row>
    <row r="65" ht="15.75" customHeight="1" s="545">
      <c r="A65" s="532">
        <f>IF(MAX(RENO!$C$12:$C$93)&gt;A64,A64+1,"")</f>
        <v/>
      </c>
      <c r="B65" s="479">
        <f>IF(A65&lt;&gt;"",IFERROR(VLOOKUP($A65,RENO!$C$12:$P$105,2,0),""),"")</f>
        <v/>
      </c>
      <c r="C65" s="866">
        <f>IF(A65&lt;&gt;"",IFERROR(VLOOKUP($A65,RENO!$C$12:$P$105,4,0),""),"")</f>
        <v/>
      </c>
      <c r="E65" s="534">
        <f>IF(A65&lt;&gt;"",IFERROR(VLOOKUP($A65,RENO!$C$12:$P$105,7,0),""),"")</f>
        <v/>
      </c>
      <c r="F65" s="534">
        <f>IF(A65&lt;&gt;"",IFERROR(VLOOKUP($A65,RENO!$C$12:$P$105,8,0),""),"")</f>
        <v/>
      </c>
      <c r="G65" s="867">
        <f>IF(A65&lt;&gt;"",IFERROR(VLOOKUP($A65,RENO!$C$12:$P$105,12,0),""),"")</f>
        <v/>
      </c>
      <c r="H65" s="867">
        <f>IF(A65&lt;&gt;"",IFERROR(VLOOKUP($A65,RENO!$C$12:$P$105,13,0),""),"")</f>
        <v/>
      </c>
      <c r="I65" s="868">
        <f>IF(A65&lt;&gt;"",IFERROR(VLOOKUP($A65,RENO!$C$12:$P$105,14,0),""),"")</f>
        <v/>
      </c>
      <c r="J65" s="21" t="n"/>
      <c r="K65" s="21" t="n"/>
      <c r="L65" s="21" t="n"/>
      <c r="M65" s="21" t="n"/>
      <c r="N65" s="21" t="n"/>
      <c r="O65" s="21" t="n"/>
      <c r="P65" s="21" t="n"/>
      <c r="Q65" s="21" t="n"/>
      <c r="R65" s="21" t="n"/>
      <c r="S65" s="21" t="n"/>
      <c r="T65" s="21" t="n"/>
      <c r="U65" s="21" t="n"/>
      <c r="V65" s="21" t="n"/>
      <c r="W65" s="21" t="n"/>
      <c r="X65" s="21" t="n"/>
      <c r="Y65" s="21" t="n"/>
      <c r="Z65" s="21" t="n"/>
    </row>
    <row r="66" ht="15.75" customHeight="1" s="545">
      <c r="A66" s="532">
        <f>IF(MAX(RENO!$C$12:$C$93)&gt;A65,A65+1,"")</f>
        <v/>
      </c>
      <c r="B66" s="479">
        <f>IF(A66&lt;&gt;"",IFERROR(VLOOKUP($A66,RENO!$C$12:$P$105,2,0),""),"")</f>
        <v/>
      </c>
      <c r="C66" s="866">
        <f>IF(A66&lt;&gt;"",IFERROR(VLOOKUP($A66,RENO!$C$12:$P$105,4,0),""),"")</f>
        <v/>
      </c>
      <c r="E66" s="534">
        <f>IF(A66&lt;&gt;"",IFERROR(VLOOKUP($A66,RENO!$C$12:$P$105,7,0),""),"")</f>
        <v/>
      </c>
      <c r="F66" s="534">
        <f>IF(A66&lt;&gt;"",IFERROR(VLOOKUP($A66,RENO!$C$12:$P$105,8,0),""),"")</f>
        <v/>
      </c>
      <c r="G66" s="867">
        <f>IF(A66&lt;&gt;"",IFERROR(VLOOKUP($A66,RENO!$C$12:$P$105,12,0),""),"")</f>
        <v/>
      </c>
      <c r="H66" s="867">
        <f>IF(A66&lt;&gt;"",IFERROR(VLOOKUP($A66,RENO!$C$12:$P$105,13,0),""),"")</f>
        <v/>
      </c>
      <c r="I66" s="868">
        <f>IF(A66&lt;&gt;"",IFERROR(VLOOKUP($A66,RENO!$C$12:$P$105,14,0),""),"")</f>
        <v/>
      </c>
      <c r="J66" s="21" t="n"/>
      <c r="K66" s="21" t="n"/>
      <c r="L66" s="21" t="n"/>
      <c r="M66" s="21" t="n"/>
      <c r="N66" s="21" t="n"/>
      <c r="O66" s="21" t="n"/>
      <c r="P66" s="21" t="n"/>
      <c r="Q66" s="21" t="n"/>
      <c r="R66" s="21" t="n"/>
      <c r="S66" s="21" t="n"/>
      <c r="T66" s="21" t="n"/>
      <c r="U66" s="21" t="n"/>
      <c r="V66" s="21" t="n"/>
      <c r="W66" s="21" t="n"/>
      <c r="X66" s="21" t="n"/>
      <c r="Y66" s="21" t="n"/>
      <c r="Z66" s="21" t="n"/>
    </row>
    <row r="67" ht="15.75" customHeight="1" s="545">
      <c r="A67" s="532">
        <f>IF(MAX(RENO!$C$12:$C$93)&gt;A66,A66+1,"")</f>
        <v/>
      </c>
      <c r="B67" s="479">
        <f>IF(A67&lt;&gt;"",IFERROR(VLOOKUP($A67,RENO!$C$12:$P$105,2,0),""),"")</f>
        <v/>
      </c>
      <c r="C67" s="866">
        <f>IF(A67&lt;&gt;"",IFERROR(VLOOKUP($A67,RENO!$C$12:$P$105,4,0),""),"")</f>
        <v/>
      </c>
      <c r="E67" s="534">
        <f>IF(A67&lt;&gt;"",IFERROR(VLOOKUP($A67,RENO!$C$12:$P$105,7,0),""),"")</f>
        <v/>
      </c>
      <c r="F67" s="534">
        <f>IF(A67&lt;&gt;"",IFERROR(VLOOKUP($A67,RENO!$C$12:$P$105,8,0),""),"")</f>
        <v/>
      </c>
      <c r="G67" s="867">
        <f>IF(A67&lt;&gt;"",IFERROR(VLOOKUP($A67,RENO!$C$12:$P$105,12,0),""),"")</f>
        <v/>
      </c>
      <c r="H67" s="867">
        <f>IF(A67&lt;&gt;"",IFERROR(VLOOKUP($A67,RENO!$C$12:$P$105,13,0),""),"")</f>
        <v/>
      </c>
      <c r="I67" s="868">
        <f>IF(A67&lt;&gt;"",IFERROR(VLOOKUP($A67,RENO!$C$12:$P$105,14,0),""),"")</f>
        <v/>
      </c>
      <c r="J67" s="21" t="n"/>
      <c r="K67" s="21" t="n"/>
      <c r="L67" s="21" t="n"/>
      <c r="M67" s="21" t="n"/>
      <c r="N67" s="21" t="n"/>
      <c r="O67" s="21" t="n"/>
      <c r="P67" s="21" t="n"/>
      <c r="Q67" s="21" t="n"/>
      <c r="R67" s="21" t="n"/>
      <c r="S67" s="21" t="n"/>
      <c r="T67" s="21" t="n"/>
      <c r="U67" s="21" t="n"/>
      <c r="V67" s="21" t="n"/>
      <c r="W67" s="21" t="n"/>
      <c r="X67" s="21" t="n"/>
      <c r="Y67" s="21" t="n"/>
      <c r="Z67" s="21" t="n"/>
    </row>
    <row r="68" ht="15.75" customHeight="1" s="545">
      <c r="A68" s="532">
        <f>IF(MAX(RENO!$C$12:$C$93)&gt;A67,A67+1,"")</f>
        <v/>
      </c>
      <c r="B68" s="479">
        <f>IF(A68&lt;&gt;"",IFERROR(VLOOKUP($A68,RENO!$C$12:$P$105,2,0),""),"")</f>
        <v/>
      </c>
      <c r="C68" s="866">
        <f>IF(A68&lt;&gt;"",IFERROR(VLOOKUP($A68,RENO!$C$12:$P$105,4,0),""),"")</f>
        <v/>
      </c>
      <c r="E68" s="534">
        <f>IF(A68&lt;&gt;"",IFERROR(VLOOKUP($A68,RENO!$C$12:$P$105,7,0),""),"")</f>
        <v/>
      </c>
      <c r="F68" s="534">
        <f>IF(A68&lt;&gt;"",IFERROR(VLOOKUP($A68,RENO!$C$12:$P$105,8,0),""),"")</f>
        <v/>
      </c>
      <c r="G68" s="867">
        <f>IF(A68&lt;&gt;"",IFERROR(VLOOKUP($A68,RENO!$C$12:$P$105,12,0),""),"")</f>
        <v/>
      </c>
      <c r="H68" s="867">
        <f>IF(A68&lt;&gt;"",IFERROR(VLOOKUP($A68,RENO!$C$12:$P$105,13,0),""),"")</f>
        <v/>
      </c>
      <c r="I68" s="868">
        <f>IF(A68&lt;&gt;"",IFERROR(VLOOKUP($A68,RENO!$C$12:$P$105,14,0),""),"")</f>
        <v/>
      </c>
      <c r="J68" s="21" t="n"/>
      <c r="K68" s="21" t="n"/>
      <c r="L68" s="21" t="n"/>
      <c r="M68" s="21" t="n"/>
      <c r="N68" s="21" t="n"/>
      <c r="O68" s="21" t="n"/>
      <c r="P68" s="21" t="n"/>
      <c r="Q68" s="21" t="n"/>
      <c r="R68" s="21" t="n"/>
      <c r="S68" s="21" t="n"/>
      <c r="T68" s="21" t="n"/>
      <c r="U68" s="21" t="n"/>
      <c r="V68" s="21" t="n"/>
      <c r="W68" s="21" t="n"/>
      <c r="X68" s="21" t="n"/>
      <c r="Y68" s="21" t="n"/>
      <c r="Z68" s="21" t="n"/>
    </row>
    <row r="69" ht="15.75" customHeight="1" s="545">
      <c r="A69" s="532">
        <f>IF(MAX(RENO!$C$12:$C$93)&gt;A68,A68+1,"")</f>
        <v/>
      </c>
      <c r="B69" s="479">
        <f>IF(A69&lt;&gt;"",IFERROR(VLOOKUP($A69,RENO!$C$12:$P$105,2,0),""),"")</f>
        <v/>
      </c>
      <c r="C69" s="866">
        <f>IF(A69&lt;&gt;"",IFERROR(VLOOKUP($A69,RENO!$C$12:$P$105,4,0),""),"")</f>
        <v/>
      </c>
      <c r="E69" s="534">
        <f>IF(A69&lt;&gt;"",IFERROR(VLOOKUP($A69,RENO!$C$12:$P$105,7,0),""),"")</f>
        <v/>
      </c>
      <c r="F69" s="534">
        <f>IF(A69&lt;&gt;"",IFERROR(VLOOKUP($A69,RENO!$C$12:$P$105,8,0),""),"")</f>
        <v/>
      </c>
      <c r="G69" s="867">
        <f>IF(A69&lt;&gt;"",IFERROR(VLOOKUP($A69,RENO!$C$12:$P$105,12,0),""),"")</f>
        <v/>
      </c>
      <c r="H69" s="867">
        <f>IF(A69&lt;&gt;"",IFERROR(VLOOKUP($A69,RENO!$C$12:$P$105,13,0),""),"")</f>
        <v/>
      </c>
      <c r="I69" s="868">
        <f>IF(A69&lt;&gt;"",IFERROR(VLOOKUP($A69,RENO!$C$12:$P$105,14,0),""),"")</f>
        <v/>
      </c>
      <c r="J69" s="21" t="n"/>
      <c r="K69" s="21" t="n"/>
      <c r="L69" s="21" t="n"/>
      <c r="M69" s="21" t="n"/>
      <c r="N69" s="21" t="n"/>
      <c r="O69" s="21" t="n"/>
      <c r="P69" s="21" t="n"/>
      <c r="Q69" s="21" t="n"/>
      <c r="R69" s="21" t="n"/>
      <c r="S69" s="21" t="n"/>
      <c r="T69" s="21" t="n"/>
      <c r="U69" s="21" t="n"/>
      <c r="V69" s="21" t="n"/>
      <c r="W69" s="21" t="n"/>
      <c r="X69" s="21" t="n"/>
      <c r="Y69" s="21" t="n"/>
      <c r="Z69" s="21" t="n"/>
    </row>
    <row r="70" ht="15.75" customHeight="1" s="545">
      <c r="A70" s="532">
        <f>IF(MAX(RENO!$C$12:$C$93)&gt;A69,A69+1,"")</f>
        <v/>
      </c>
      <c r="B70" s="479">
        <f>IF(A70&lt;&gt;"",IFERROR(VLOOKUP($A70,RENO!$C$12:$P$105,2,0),""),"")</f>
        <v/>
      </c>
      <c r="C70" s="866">
        <f>IF(A70&lt;&gt;"",IFERROR(VLOOKUP($A70,RENO!$C$12:$P$105,4,0),""),"")</f>
        <v/>
      </c>
      <c r="E70" s="534">
        <f>IF(A70&lt;&gt;"",IFERROR(VLOOKUP($A70,RENO!$C$12:$P$105,7,0),""),"")</f>
        <v/>
      </c>
      <c r="F70" s="534">
        <f>IF(A70&lt;&gt;"",IFERROR(VLOOKUP($A70,RENO!$C$12:$P$105,8,0),""),"")</f>
        <v/>
      </c>
      <c r="G70" s="867">
        <f>IF(A70&lt;&gt;"",IFERROR(VLOOKUP($A70,RENO!$C$12:$P$105,12,0),""),"")</f>
        <v/>
      </c>
      <c r="H70" s="867">
        <f>IF(A70&lt;&gt;"",IFERROR(VLOOKUP($A70,RENO!$C$12:$P$105,13,0),""),"")</f>
        <v/>
      </c>
      <c r="I70" s="868">
        <f>IF(A70&lt;&gt;"",IFERROR(VLOOKUP($A70,RENO!$C$12:$P$105,14,0),""),"")</f>
        <v/>
      </c>
      <c r="J70" s="21" t="n"/>
      <c r="K70" s="21" t="n"/>
      <c r="L70" s="21" t="n"/>
      <c r="M70" s="21" t="n"/>
      <c r="N70" s="21" t="n"/>
      <c r="O70" s="21" t="n"/>
      <c r="P70" s="21" t="n"/>
      <c r="Q70" s="21" t="n"/>
      <c r="R70" s="21" t="n"/>
      <c r="S70" s="21" t="n"/>
      <c r="T70" s="21" t="n"/>
      <c r="U70" s="21" t="n"/>
      <c r="V70" s="21" t="n"/>
      <c r="W70" s="21" t="n"/>
      <c r="X70" s="21" t="n"/>
      <c r="Y70" s="21" t="n"/>
      <c r="Z70" s="21" t="n"/>
    </row>
    <row r="71" ht="15.75" customHeight="1" s="545">
      <c r="A71" s="532">
        <f>IF(MAX(RENO!$C$12:$C$93)&gt;A70,A70+1,"")</f>
        <v/>
      </c>
      <c r="B71" s="479">
        <f>IF(A71&lt;&gt;"",IFERROR(VLOOKUP($A71,RENO!$C$12:$P$105,2,0),""),"")</f>
        <v/>
      </c>
      <c r="C71" s="866">
        <f>IF(A71&lt;&gt;"",IFERROR(VLOOKUP($A71,RENO!$C$12:$P$105,4,0),""),"")</f>
        <v/>
      </c>
      <c r="E71" s="534">
        <f>IF(A71&lt;&gt;"",IFERROR(VLOOKUP($A71,RENO!$C$12:$P$105,7,0),""),"")</f>
        <v/>
      </c>
      <c r="F71" s="534">
        <f>IF(A71&lt;&gt;"",IFERROR(VLOOKUP($A71,RENO!$C$12:$P$105,8,0),""),"")</f>
        <v/>
      </c>
      <c r="G71" s="867">
        <f>IF(A71&lt;&gt;"",IFERROR(VLOOKUP($A71,RENO!$C$12:$P$105,12,0),""),"")</f>
        <v/>
      </c>
      <c r="H71" s="867">
        <f>IF(A71&lt;&gt;"",IFERROR(VLOOKUP($A71,RENO!$C$12:$P$105,13,0),""),"")</f>
        <v/>
      </c>
      <c r="I71" s="868">
        <f>IF(A71&lt;&gt;"",IFERROR(VLOOKUP($A71,RENO!$C$12:$P$105,14,0),""),"")</f>
        <v/>
      </c>
      <c r="J71" s="21" t="n"/>
      <c r="K71" s="21" t="n"/>
      <c r="L71" s="21" t="n"/>
      <c r="M71" s="21" t="n"/>
      <c r="N71" s="21" t="n"/>
      <c r="O71" s="21" t="n"/>
      <c r="P71" s="21" t="n"/>
      <c r="Q71" s="21" t="n"/>
      <c r="R71" s="21" t="n"/>
      <c r="S71" s="21" t="n"/>
      <c r="T71" s="21" t="n"/>
      <c r="U71" s="21" t="n"/>
      <c r="V71" s="21" t="n"/>
      <c r="W71" s="21" t="n"/>
      <c r="X71" s="21" t="n"/>
      <c r="Y71" s="21" t="n"/>
      <c r="Z71" s="21" t="n"/>
    </row>
    <row r="72" ht="15.75" customHeight="1" s="545">
      <c r="A72" s="532">
        <f>IF(MAX(RENO!$C$12:$C$93)&gt;A71,A71+1,"")</f>
        <v/>
      </c>
      <c r="B72" s="479">
        <f>IF(A72&lt;&gt;"",IFERROR(VLOOKUP($A72,RENO!$C$12:$P$105,2,0),""),"")</f>
        <v/>
      </c>
      <c r="C72" s="866">
        <f>IF(A72&lt;&gt;"",IFERROR(VLOOKUP($A72,RENO!$C$12:$P$105,4,0),""),"")</f>
        <v/>
      </c>
      <c r="E72" s="534">
        <f>IF(A72&lt;&gt;"",IFERROR(VLOOKUP($A72,RENO!$C$12:$P$105,7,0),""),"")</f>
        <v/>
      </c>
      <c r="F72" s="534">
        <f>IF(A72&lt;&gt;"",IFERROR(VLOOKUP($A72,RENO!$C$12:$P$105,8,0),""),"")</f>
        <v/>
      </c>
      <c r="G72" s="867">
        <f>IF(A72&lt;&gt;"",IFERROR(VLOOKUP($A72,RENO!$C$12:$P$105,12,0),""),"")</f>
        <v/>
      </c>
      <c r="H72" s="867">
        <f>IF(A72&lt;&gt;"",IFERROR(VLOOKUP($A72,RENO!$C$12:$P$105,13,0),""),"")</f>
        <v/>
      </c>
      <c r="I72" s="868">
        <f>IF(A72&lt;&gt;"",IFERROR(VLOOKUP($A72,RENO!$C$12:$P$105,14,0),""),"")</f>
        <v/>
      </c>
      <c r="J72" s="21" t="n"/>
      <c r="K72" s="21" t="n"/>
      <c r="L72" s="21" t="n"/>
      <c r="M72" s="21" t="n"/>
      <c r="N72" s="21" t="n"/>
      <c r="O72" s="21" t="n"/>
      <c r="P72" s="21" t="n"/>
      <c r="Q72" s="21" t="n"/>
      <c r="R72" s="21" t="n"/>
      <c r="S72" s="21" t="n"/>
      <c r="T72" s="21" t="n"/>
      <c r="U72" s="21" t="n"/>
      <c r="V72" s="21" t="n"/>
      <c r="W72" s="21" t="n"/>
      <c r="X72" s="21" t="n"/>
      <c r="Y72" s="21" t="n"/>
      <c r="Z72" s="21" t="n"/>
    </row>
    <row r="73" ht="15.75" customHeight="1" s="545">
      <c r="A73" s="532">
        <f>IF(MAX(RENO!$C$12:$C$93)&gt;A72,A72+1,"")</f>
        <v/>
      </c>
      <c r="B73" s="479">
        <f>IF(A73&lt;&gt;"",IFERROR(VLOOKUP($A73,RENO!$C$12:$P$105,2,0),""),"")</f>
        <v/>
      </c>
      <c r="C73" s="866">
        <f>IF(A73&lt;&gt;"",IFERROR(VLOOKUP($A73,RENO!$C$12:$P$105,4,0),""),"")</f>
        <v/>
      </c>
      <c r="E73" s="534">
        <f>IF(A73&lt;&gt;"",IFERROR(VLOOKUP($A73,RENO!$C$12:$P$105,7,0),""),"")</f>
        <v/>
      </c>
      <c r="F73" s="534">
        <f>IF(A73&lt;&gt;"",IFERROR(VLOOKUP($A73,RENO!$C$12:$P$105,8,0),""),"")</f>
        <v/>
      </c>
      <c r="G73" s="867">
        <f>IF(A73&lt;&gt;"",IFERROR(VLOOKUP($A73,RENO!$C$12:$P$105,12,0),""),"")</f>
        <v/>
      </c>
      <c r="H73" s="867">
        <f>IF(A73&lt;&gt;"",IFERROR(VLOOKUP($A73,RENO!$C$12:$P$105,13,0),""),"")</f>
        <v/>
      </c>
      <c r="I73" s="868">
        <f>IF(A73&lt;&gt;"",IFERROR(VLOOKUP($A73,RENO!$C$12:$P$105,14,0),""),"")</f>
        <v/>
      </c>
      <c r="J73" s="21" t="n"/>
      <c r="K73" s="21" t="n"/>
      <c r="L73" s="21" t="n"/>
      <c r="M73" s="21" t="n"/>
      <c r="N73" s="21" t="n"/>
      <c r="O73" s="21" t="n"/>
      <c r="P73" s="21" t="n"/>
      <c r="Q73" s="21" t="n"/>
      <c r="R73" s="21" t="n"/>
      <c r="S73" s="21" t="n"/>
      <c r="T73" s="21" t="n"/>
      <c r="U73" s="21" t="n"/>
      <c r="V73" s="21" t="n"/>
      <c r="W73" s="21" t="n"/>
      <c r="X73" s="21" t="n"/>
      <c r="Y73" s="21" t="n"/>
      <c r="Z73" s="21" t="n"/>
    </row>
    <row r="74" ht="15.75" customHeight="1" s="545">
      <c r="A74" s="532">
        <f>IF(MAX(RENO!$C$12:$C$93)&gt;A73,A73+1,"")</f>
        <v/>
      </c>
      <c r="B74" s="479">
        <f>IF(A74&lt;&gt;"",IFERROR(VLOOKUP($A74,RENO!$C$12:$P$105,2,0),""),"")</f>
        <v/>
      </c>
      <c r="C74" s="866">
        <f>IF(A74&lt;&gt;"",IFERROR(VLOOKUP($A74,RENO!$C$12:$P$105,4,0),""),"")</f>
        <v/>
      </c>
      <c r="E74" s="534">
        <f>IF(A74&lt;&gt;"",IFERROR(VLOOKUP($A74,RENO!$C$12:$P$105,7,0),""),"")</f>
        <v/>
      </c>
      <c r="F74" s="534">
        <f>IF(A74&lt;&gt;"",IFERROR(VLOOKUP($A74,RENO!$C$12:$P$105,8,0),""),"")</f>
        <v/>
      </c>
      <c r="G74" s="867">
        <f>IF(A74&lt;&gt;"",IFERROR(VLOOKUP($A74,RENO!$C$12:$P$105,12,0),""),"")</f>
        <v/>
      </c>
      <c r="H74" s="867">
        <f>IF(A74&lt;&gt;"",IFERROR(VLOOKUP($A74,RENO!$C$12:$P$105,13,0),""),"")</f>
        <v/>
      </c>
      <c r="I74" s="868">
        <f>IF(A74&lt;&gt;"",IFERROR(VLOOKUP($A74,RENO!$C$12:$P$105,14,0),""),"")</f>
        <v/>
      </c>
      <c r="J74" s="21" t="n"/>
      <c r="K74" s="21" t="n"/>
      <c r="L74" s="21" t="n"/>
      <c r="M74" s="21" t="n"/>
      <c r="N74" s="21" t="n"/>
      <c r="O74" s="21" t="n"/>
      <c r="P74" s="21" t="n"/>
      <c r="Q74" s="21" t="n"/>
      <c r="R74" s="21" t="n"/>
      <c r="S74" s="21" t="n"/>
      <c r="T74" s="21" t="n"/>
      <c r="U74" s="21" t="n"/>
      <c r="V74" s="21" t="n"/>
      <c r="W74" s="21" t="n"/>
      <c r="X74" s="21" t="n"/>
      <c r="Y74" s="21" t="n"/>
      <c r="Z74" s="21" t="n"/>
    </row>
    <row r="75" ht="15.75" customHeight="1" s="545">
      <c r="A75" s="532">
        <f>IF(MAX(RENO!$C$12:$C$93)&gt;A74,A74+1,"")</f>
        <v/>
      </c>
      <c r="B75" s="479">
        <f>IF(A75&lt;&gt;"",IFERROR(VLOOKUP($A75,RENO!$C$12:$P$105,2,0),""),"")</f>
        <v/>
      </c>
      <c r="C75" s="866">
        <f>IF(A75&lt;&gt;"",IFERROR(VLOOKUP($A75,RENO!$C$12:$P$105,4,0),""),"")</f>
        <v/>
      </c>
      <c r="E75" s="534">
        <f>IF(A75&lt;&gt;"",IFERROR(VLOOKUP($A75,RENO!$C$12:$P$105,7,0),""),"")</f>
        <v/>
      </c>
      <c r="F75" s="534">
        <f>IF(A75&lt;&gt;"",IFERROR(VLOOKUP($A75,RENO!$C$12:$P$105,8,0),""),"")</f>
        <v/>
      </c>
      <c r="G75" s="867">
        <f>IF(A75&lt;&gt;"",IFERROR(VLOOKUP($A75,RENO!$C$12:$P$105,12,0),""),"")</f>
        <v/>
      </c>
      <c r="H75" s="867">
        <f>IF(A75&lt;&gt;"",IFERROR(VLOOKUP($A75,RENO!$C$12:$P$105,13,0),""),"")</f>
        <v/>
      </c>
      <c r="I75" s="868">
        <f>IF(A75&lt;&gt;"",IFERROR(VLOOKUP($A75,RENO!$C$12:$P$105,14,0),""),"")</f>
        <v/>
      </c>
      <c r="J75" s="21" t="n"/>
      <c r="K75" s="21" t="n"/>
      <c r="L75" s="21" t="n"/>
      <c r="M75" s="21" t="n"/>
      <c r="N75" s="21" t="n"/>
      <c r="O75" s="21" t="n"/>
      <c r="P75" s="21" t="n"/>
      <c r="Q75" s="21" t="n"/>
      <c r="R75" s="21" t="n"/>
      <c r="S75" s="21" t="n"/>
      <c r="T75" s="21" t="n"/>
      <c r="U75" s="21" t="n"/>
      <c r="V75" s="21" t="n"/>
      <c r="W75" s="21" t="n"/>
      <c r="X75" s="21" t="n"/>
      <c r="Y75" s="21" t="n"/>
      <c r="Z75" s="21" t="n"/>
    </row>
    <row r="76" ht="15.75" customHeight="1" s="545">
      <c r="A76" s="532">
        <f>IF(MAX(RENO!$C$12:$C$93)&gt;A75,A75+1,"")</f>
        <v/>
      </c>
      <c r="B76" s="479">
        <f>IF(A76&lt;&gt;"",IFERROR(VLOOKUP($A76,RENO!$C$12:$P$105,2,0),""),"")</f>
        <v/>
      </c>
      <c r="C76" s="866">
        <f>IF(A76&lt;&gt;"",IFERROR(VLOOKUP($A76,RENO!$C$12:$P$105,4,0),""),"")</f>
        <v/>
      </c>
      <c r="E76" s="534">
        <f>IF(A76&lt;&gt;"",IFERROR(VLOOKUP($A76,RENO!$C$12:$P$105,7,0),""),"")</f>
        <v/>
      </c>
      <c r="F76" s="534">
        <f>IF(A76&lt;&gt;"",IFERROR(VLOOKUP($A76,RENO!$C$12:$P$105,8,0),""),"")</f>
        <v/>
      </c>
      <c r="G76" s="867">
        <f>IF(A76&lt;&gt;"",IFERROR(VLOOKUP($A76,RENO!$C$12:$P$105,12,0),""),"")</f>
        <v/>
      </c>
      <c r="H76" s="867">
        <f>IF(A76&lt;&gt;"",IFERROR(VLOOKUP($A76,RENO!$C$12:$P$105,13,0),""),"")</f>
        <v/>
      </c>
      <c r="I76" s="868">
        <f>IF(A76&lt;&gt;"",IFERROR(VLOOKUP($A76,RENO!$C$12:$P$105,14,0),""),"")</f>
        <v/>
      </c>
      <c r="J76" s="21" t="n"/>
      <c r="K76" s="21" t="n"/>
      <c r="L76" s="21" t="n"/>
      <c r="M76" s="21" t="n"/>
      <c r="N76" s="21" t="n"/>
      <c r="O76" s="21" t="n"/>
      <c r="P76" s="21" t="n"/>
      <c r="Q76" s="21" t="n"/>
      <c r="R76" s="21" t="n"/>
      <c r="S76" s="21" t="n"/>
      <c r="T76" s="21" t="n"/>
      <c r="U76" s="21" t="n"/>
      <c r="V76" s="21" t="n"/>
      <c r="W76" s="21" t="n"/>
      <c r="X76" s="21" t="n"/>
      <c r="Y76" s="21" t="n"/>
      <c r="Z76" s="21" t="n"/>
    </row>
    <row r="77" ht="15.75" customHeight="1" s="545">
      <c r="A77" s="532">
        <f>IF(MAX(RENO!$C$12:$C$93)&gt;A76,A76+1,"")</f>
        <v/>
      </c>
      <c r="B77" s="479">
        <f>IF(A77&lt;&gt;"",IFERROR(VLOOKUP($A77,RENO!$C$12:$P$105,2,0),""),"")</f>
        <v/>
      </c>
      <c r="C77" s="866">
        <f>IF(A77&lt;&gt;"",IFERROR(VLOOKUP($A77,RENO!$C$12:$P$105,4,0),""),"")</f>
        <v/>
      </c>
      <c r="E77" s="534">
        <f>IF(A77&lt;&gt;"",IFERROR(VLOOKUP($A77,RENO!$C$12:$P$105,7,0),""),"")</f>
        <v/>
      </c>
      <c r="F77" s="534">
        <f>IF(A77&lt;&gt;"",IFERROR(VLOOKUP($A77,RENO!$C$12:$P$105,8,0),""),"")</f>
        <v/>
      </c>
      <c r="G77" s="867">
        <f>IF(A77&lt;&gt;"",IFERROR(VLOOKUP($A77,RENO!$C$12:$P$105,12,0),""),"")</f>
        <v/>
      </c>
      <c r="H77" s="867">
        <f>IF(A77&lt;&gt;"",IFERROR(VLOOKUP($A77,RENO!$C$12:$P$105,13,0),""),"")</f>
        <v/>
      </c>
      <c r="I77" s="868">
        <f>IF(A77&lt;&gt;"",IFERROR(VLOOKUP($A77,RENO!$C$12:$P$105,14,0),""),"")</f>
        <v/>
      </c>
      <c r="J77" s="21" t="n"/>
      <c r="K77" s="21" t="n"/>
      <c r="L77" s="21" t="n"/>
      <c r="M77" s="21" t="n"/>
      <c r="N77" s="21" t="n"/>
      <c r="O77" s="21" t="n"/>
      <c r="P77" s="21" t="n"/>
      <c r="Q77" s="21" t="n"/>
      <c r="R77" s="21" t="n"/>
      <c r="S77" s="21" t="n"/>
      <c r="T77" s="21" t="n"/>
      <c r="U77" s="21" t="n"/>
      <c r="V77" s="21" t="n"/>
      <c r="W77" s="21" t="n"/>
      <c r="X77" s="21" t="n"/>
      <c r="Y77" s="21" t="n"/>
      <c r="Z77" s="21" t="n"/>
    </row>
    <row r="78" ht="15.75" customHeight="1" s="545">
      <c r="A78" s="532">
        <f>IF(MAX(RENO!$C$12:$C$93)&gt;A77,A77+1,"")</f>
        <v/>
      </c>
      <c r="B78" s="479">
        <f>IF(A78&lt;&gt;"",IFERROR(VLOOKUP($A78,RENO!$C$12:$P$105,2,0),""),"")</f>
        <v/>
      </c>
      <c r="C78" s="866">
        <f>IF(A78&lt;&gt;"",IFERROR(VLOOKUP($A78,RENO!$C$12:$P$105,4,0),""),"")</f>
        <v/>
      </c>
      <c r="E78" s="534">
        <f>IF(A78&lt;&gt;"",IFERROR(VLOOKUP($A78,RENO!$C$12:$P$105,7,0),""),"")</f>
        <v/>
      </c>
      <c r="F78" s="534">
        <f>IF(A78&lt;&gt;"",IFERROR(VLOOKUP($A78,RENO!$C$12:$P$105,8,0),""),"")</f>
        <v/>
      </c>
      <c r="G78" s="867">
        <f>IF(A78&lt;&gt;"",IFERROR(VLOOKUP($A78,RENO!$C$12:$P$105,12,0),""),"")</f>
        <v/>
      </c>
      <c r="H78" s="867">
        <f>IF(A78&lt;&gt;"",IFERROR(VLOOKUP($A78,RENO!$C$12:$P$105,13,0),""),"")</f>
        <v/>
      </c>
      <c r="I78" s="868">
        <f>IF(A78&lt;&gt;"",IFERROR(VLOOKUP($A78,RENO!$C$12:$P$105,14,0),""),"")</f>
        <v/>
      </c>
      <c r="J78" s="21" t="n"/>
      <c r="K78" s="21" t="n"/>
      <c r="L78" s="21" t="n"/>
      <c r="M78" s="21" t="n"/>
      <c r="N78" s="21" t="n"/>
      <c r="O78" s="21" t="n"/>
      <c r="P78" s="21" t="n"/>
      <c r="Q78" s="21" t="n"/>
      <c r="R78" s="21" t="n"/>
      <c r="S78" s="21" t="n"/>
      <c r="T78" s="21" t="n"/>
      <c r="U78" s="21" t="n"/>
      <c r="V78" s="21" t="n"/>
      <c r="W78" s="21" t="n"/>
      <c r="X78" s="21" t="n"/>
      <c r="Y78" s="21" t="n"/>
      <c r="Z78" s="21" t="n"/>
    </row>
    <row r="79" ht="15.75" customHeight="1" s="545">
      <c r="A79" s="532">
        <f>IF(MAX(RENO!$C$12:$C$93)&gt;A78,A78+1,"")</f>
        <v/>
      </c>
      <c r="B79" s="479">
        <f>IF(A79&lt;&gt;"",IFERROR(VLOOKUP($A79,RENO!$C$12:$P$105,2,0),""),"")</f>
        <v/>
      </c>
      <c r="C79" s="866">
        <f>IF(A79&lt;&gt;"",IFERROR(VLOOKUP($A79,RENO!$C$12:$P$105,4,0),""),"")</f>
        <v/>
      </c>
      <c r="E79" s="534">
        <f>IF(A79&lt;&gt;"",IFERROR(VLOOKUP($A79,RENO!$C$12:$P$105,7,0),""),"")</f>
        <v/>
      </c>
      <c r="F79" s="534">
        <f>IF(A79&lt;&gt;"",IFERROR(VLOOKUP($A79,RENO!$C$12:$P$105,8,0),""),"")</f>
        <v/>
      </c>
      <c r="G79" s="867">
        <f>IF(A79&lt;&gt;"",IFERROR(VLOOKUP($A79,RENO!$C$12:$P$105,12,0),""),"")</f>
        <v/>
      </c>
      <c r="H79" s="867">
        <f>IF(A79&lt;&gt;"",IFERROR(VLOOKUP($A79,RENO!$C$12:$P$105,13,0),""),"")</f>
        <v/>
      </c>
      <c r="I79" s="868">
        <f>IF(A79&lt;&gt;"",IFERROR(VLOOKUP($A79,RENO!$C$12:$P$105,14,0),""),"")</f>
        <v/>
      </c>
      <c r="J79" s="21" t="n"/>
      <c r="K79" s="21" t="n"/>
      <c r="L79" s="21" t="n"/>
      <c r="M79" s="21" t="n"/>
      <c r="N79" s="21" t="n"/>
      <c r="O79" s="21" t="n"/>
      <c r="P79" s="21" t="n"/>
      <c r="Q79" s="21" t="n"/>
      <c r="R79" s="21" t="n"/>
      <c r="S79" s="21" t="n"/>
      <c r="T79" s="21" t="n"/>
      <c r="U79" s="21" t="n"/>
      <c r="V79" s="21" t="n"/>
      <c r="W79" s="21" t="n"/>
      <c r="X79" s="21" t="n"/>
      <c r="Y79" s="21" t="n"/>
      <c r="Z79" s="21" t="n"/>
    </row>
    <row r="80" ht="15.75" customHeight="1" s="545">
      <c r="A80" s="532">
        <f>IF(MAX(RENO!$C$12:$C$93)&gt;A79,A79+1,"")</f>
        <v/>
      </c>
      <c r="B80" s="479">
        <f>IF(A80&lt;&gt;"",IFERROR(VLOOKUP($A80,RENO!$C$12:$P$105,2,0),""),"")</f>
        <v/>
      </c>
      <c r="C80" s="866">
        <f>IF(A80&lt;&gt;"",IFERROR(VLOOKUP($A80,RENO!$C$12:$P$105,4,0),""),"")</f>
        <v/>
      </c>
      <c r="E80" s="534">
        <f>IF(A80&lt;&gt;"",IFERROR(VLOOKUP($A80,RENO!$C$12:$P$105,7,0),""),"")</f>
        <v/>
      </c>
      <c r="F80" s="534">
        <f>IF(A80&lt;&gt;"",IFERROR(VLOOKUP($A80,RENO!$C$12:$P$105,8,0),""),"")</f>
        <v/>
      </c>
      <c r="G80" s="867">
        <f>IF(A80&lt;&gt;"",IFERROR(VLOOKUP($A80,RENO!$C$12:$P$105,12,0),""),"")</f>
        <v/>
      </c>
      <c r="H80" s="867">
        <f>IF(A80&lt;&gt;"",IFERROR(VLOOKUP($A80,RENO!$C$12:$P$105,13,0),""),"")</f>
        <v/>
      </c>
      <c r="I80" s="868">
        <f>IF(A80&lt;&gt;"",IFERROR(VLOOKUP($A80,RENO!$C$12:$P$105,14,0),""),"")</f>
        <v/>
      </c>
      <c r="J80" s="21" t="n"/>
      <c r="K80" s="21" t="n"/>
      <c r="L80" s="21" t="n"/>
      <c r="M80" s="21" t="n"/>
      <c r="N80" s="21" t="n"/>
      <c r="O80" s="21" t="n"/>
      <c r="P80" s="21" t="n"/>
      <c r="Q80" s="21" t="n"/>
      <c r="R80" s="21" t="n"/>
      <c r="S80" s="21" t="n"/>
      <c r="T80" s="21" t="n"/>
      <c r="U80" s="21" t="n"/>
      <c r="V80" s="21" t="n"/>
      <c r="W80" s="21" t="n"/>
      <c r="X80" s="21" t="n"/>
      <c r="Y80" s="21" t="n"/>
      <c r="Z80" s="21" t="n"/>
    </row>
    <row r="81" ht="15.75" customHeight="1" s="545">
      <c r="A81" s="532">
        <f>IF(MAX(RENO!$C$12:$C$93)&gt;A80,A80+1,"")</f>
        <v/>
      </c>
      <c r="B81" s="479">
        <f>IF(A81&lt;&gt;"",IFERROR(VLOOKUP($A81,RENO!$C$12:$P$105,2,0),""),"")</f>
        <v/>
      </c>
      <c r="C81" s="866">
        <f>IF(A81&lt;&gt;"",IFERROR(VLOOKUP($A81,RENO!$C$12:$P$105,4,0),""),"")</f>
        <v/>
      </c>
      <c r="E81" s="534">
        <f>IF(A81&lt;&gt;"",IFERROR(VLOOKUP($A81,RENO!$C$12:$P$105,7,0),""),"")</f>
        <v/>
      </c>
      <c r="F81" s="534">
        <f>IF(A81&lt;&gt;"",IFERROR(VLOOKUP($A81,RENO!$C$12:$P$105,8,0),""),"")</f>
        <v/>
      </c>
      <c r="G81" s="867">
        <f>IF(A81&lt;&gt;"",IFERROR(VLOOKUP($A81,RENO!$C$12:$P$105,12,0),""),"")</f>
        <v/>
      </c>
      <c r="H81" s="867">
        <f>IF(A81&lt;&gt;"",IFERROR(VLOOKUP($A81,RENO!$C$12:$P$105,13,0),""),"")</f>
        <v/>
      </c>
      <c r="I81" s="868">
        <f>IF(A81&lt;&gt;"",IFERROR(VLOOKUP($A81,RENO!$C$12:$P$105,14,0),""),"")</f>
        <v/>
      </c>
      <c r="J81" s="548" t="n"/>
      <c r="K81" s="548" t="n"/>
      <c r="L81" s="548" t="n"/>
      <c r="M81" s="548" t="n"/>
      <c r="N81" s="548" t="n"/>
      <c r="O81" s="548" t="n"/>
      <c r="P81" s="548" t="n"/>
      <c r="Q81" s="548" t="n"/>
      <c r="R81" s="548" t="n"/>
      <c r="S81" s="548" t="n"/>
      <c r="T81" s="21" t="n"/>
      <c r="U81" s="21" t="n"/>
      <c r="V81" s="21" t="n"/>
      <c r="W81" s="21" t="n"/>
      <c r="X81" s="21" t="n"/>
      <c r="Y81" s="21" t="n"/>
      <c r="Z81" s="21" t="n"/>
    </row>
    <row r="82" ht="15.75" customHeight="1" s="545">
      <c r="A82" s="532">
        <f>IF(MAX(RENO!$C$12:$C$93)&gt;A81,A81+1,"")</f>
        <v/>
      </c>
      <c r="B82" s="479">
        <f>IF(A82&lt;&gt;"",IFERROR(VLOOKUP($A82,RENO!$C$12:$P$105,2,0),""),"")</f>
        <v/>
      </c>
      <c r="C82" s="866">
        <f>IF(A82&lt;&gt;"",IFERROR(VLOOKUP($A82,RENO!$C$12:$P$105,4,0),""),"")</f>
        <v/>
      </c>
      <c r="E82" s="534">
        <f>IF(A82&lt;&gt;"",IFERROR(VLOOKUP($A82,RENO!$C$12:$P$105,7,0),""),"")</f>
        <v/>
      </c>
      <c r="F82" s="534">
        <f>IF(A82&lt;&gt;"",IFERROR(VLOOKUP($A82,RENO!$C$12:$P$105,8,0),""),"")</f>
        <v/>
      </c>
      <c r="G82" s="867">
        <f>IF(A82&lt;&gt;"",IFERROR(VLOOKUP($A82,RENO!$C$12:$P$105,12,0),""),"")</f>
        <v/>
      </c>
      <c r="H82" s="867">
        <f>IF(A82&lt;&gt;"",IFERROR(VLOOKUP($A82,RENO!$C$12:$P$105,13,0),""),"")</f>
        <v/>
      </c>
      <c r="I82" s="868">
        <f>IF(A82&lt;&gt;"",IFERROR(VLOOKUP($A82,RENO!$C$12:$P$105,14,0),""),"")</f>
        <v/>
      </c>
      <c r="J82" s="548" t="n"/>
      <c r="K82" s="548" t="n"/>
      <c r="L82" s="548" t="n"/>
      <c r="M82" s="548" t="n"/>
      <c r="N82" s="548" t="n"/>
      <c r="O82" s="548" t="n"/>
      <c r="P82" s="548" t="n"/>
      <c r="Q82" s="548" t="n"/>
      <c r="R82" s="548" t="n"/>
      <c r="S82" s="548" t="n"/>
      <c r="T82" s="21" t="n"/>
      <c r="U82" s="21" t="n"/>
      <c r="V82" s="21" t="n"/>
      <c r="W82" s="21" t="n"/>
      <c r="X82" s="21" t="n"/>
      <c r="Y82" s="21" t="n"/>
      <c r="Z82" s="21" t="n"/>
    </row>
    <row r="83" ht="15.75" customHeight="1" s="545">
      <c r="A83" s="532">
        <f>IF(MAX(RENO!$C$12:$C$93)&gt;A82,A82+1,"")</f>
        <v/>
      </c>
      <c r="B83" s="479">
        <f>IF(A83&lt;&gt;"",IFERROR(VLOOKUP($A83,RENO!$C$12:$P$105,2,0),""),"")</f>
        <v/>
      </c>
      <c r="C83" s="866">
        <f>IF(A83&lt;&gt;"",IFERROR(VLOOKUP($A83,RENO!$C$12:$P$105,4,0),""),"")</f>
        <v/>
      </c>
      <c r="E83" s="534">
        <f>IF(A83&lt;&gt;"",IFERROR(VLOOKUP($A83,RENO!$C$12:$P$105,7,0),""),"")</f>
        <v/>
      </c>
      <c r="F83" s="534">
        <f>IF(A83&lt;&gt;"",IFERROR(VLOOKUP($A83,RENO!$C$12:$P$105,8,0),""),"")</f>
        <v/>
      </c>
      <c r="G83" s="867">
        <f>IF(A83&lt;&gt;"",IFERROR(VLOOKUP($A83,RENO!$C$12:$P$105,12,0),""),"")</f>
        <v/>
      </c>
      <c r="H83" s="867">
        <f>IF(A83&lt;&gt;"",IFERROR(VLOOKUP($A83,RENO!$C$12:$P$105,13,0),""),"")</f>
        <v/>
      </c>
      <c r="I83" s="868">
        <f>IF(A83&lt;&gt;"",IFERROR(VLOOKUP($A83,RENO!$C$12:$P$105,14,0),""),"")</f>
        <v/>
      </c>
      <c r="J83" s="548" t="n"/>
      <c r="K83" s="548" t="n"/>
      <c r="L83" s="548" t="n"/>
      <c r="M83" s="548" t="n"/>
      <c r="N83" s="548" t="n"/>
      <c r="O83" s="548" t="n"/>
      <c r="P83" s="548" t="n"/>
      <c r="Q83" s="548" t="n"/>
      <c r="R83" s="548" t="n"/>
      <c r="S83" s="548" t="n"/>
      <c r="T83" s="21" t="n"/>
      <c r="U83" s="21" t="n"/>
      <c r="V83" s="21" t="n"/>
      <c r="W83" s="21" t="n"/>
      <c r="X83" s="21" t="n"/>
      <c r="Y83" s="21" t="n"/>
      <c r="Z83" s="21" t="n"/>
    </row>
    <row r="84" ht="15.75" customHeight="1" s="545">
      <c r="A84" s="532">
        <f>IF(MAX(RENO!$C$12:$C$93)&gt;A83,A83+1,"")</f>
        <v/>
      </c>
      <c r="B84" s="479">
        <f>IF(A84&lt;&gt;"",IFERROR(VLOOKUP($A84,RENO!$C$12:$P$105,2,0),""),"")</f>
        <v/>
      </c>
      <c r="C84" s="866">
        <f>IF(A84&lt;&gt;"",IFERROR(VLOOKUP($A84,RENO!$C$12:$P$105,4,0),""),"")</f>
        <v/>
      </c>
      <c r="E84" s="534">
        <f>IF(A84&lt;&gt;"",IFERROR(VLOOKUP($A84,RENO!$C$12:$P$105,7,0),""),"")</f>
        <v/>
      </c>
      <c r="F84" s="534">
        <f>IF(A84&lt;&gt;"",IFERROR(VLOOKUP($A84,RENO!$C$12:$P$105,8,0),""),"")</f>
        <v/>
      </c>
      <c r="G84" s="867">
        <f>IF(A84&lt;&gt;"",IFERROR(VLOOKUP($A84,RENO!$C$12:$P$105,12,0),""),"")</f>
        <v/>
      </c>
      <c r="H84" s="867">
        <f>IF(A84&lt;&gt;"",IFERROR(VLOOKUP($A84,RENO!$C$12:$P$105,13,0),""),"")</f>
        <v/>
      </c>
      <c r="I84" s="868">
        <f>IF(A84&lt;&gt;"",IFERROR(VLOOKUP($A84,RENO!$C$12:$P$105,14,0),""),"")</f>
        <v/>
      </c>
      <c r="J84" s="548" t="n"/>
      <c r="K84" s="548" t="n"/>
      <c r="L84" s="548" t="n"/>
      <c r="M84" s="548" t="n"/>
      <c r="N84" s="548" t="n"/>
      <c r="O84" s="548" t="n"/>
      <c r="P84" s="548" t="n"/>
      <c r="Q84" s="548" t="n"/>
      <c r="R84" s="548" t="n"/>
      <c r="S84" s="548" t="n"/>
      <c r="T84" s="21" t="n"/>
      <c r="U84" s="21" t="n"/>
      <c r="V84" s="21" t="n"/>
      <c r="W84" s="21" t="n"/>
      <c r="X84" s="21" t="n"/>
      <c r="Y84" s="21" t="n"/>
      <c r="Z84" s="21" t="n"/>
    </row>
    <row r="85" ht="15.75" customHeight="1" s="545">
      <c r="A85" s="532">
        <f>IF(MAX(RENO!$C$12:$C$93)&gt;A84,A84+1,"")</f>
        <v/>
      </c>
      <c r="B85" s="479">
        <f>IF(A85&lt;&gt;"",IFERROR(VLOOKUP($A85,RENO!$C$12:$P$105,2,0),""),"")</f>
        <v/>
      </c>
      <c r="C85" s="866">
        <f>IF(A85&lt;&gt;"",IFERROR(VLOOKUP($A85,RENO!$C$12:$P$105,4,0),""),"")</f>
        <v/>
      </c>
      <c r="E85" s="534">
        <f>IF(A85&lt;&gt;"",IFERROR(VLOOKUP($A85,RENO!$C$12:$P$105,7,0),""),"")</f>
        <v/>
      </c>
      <c r="F85" s="534">
        <f>IF(A85&lt;&gt;"",IFERROR(VLOOKUP($A85,RENO!$C$12:$P$105,8,0),""),"")</f>
        <v/>
      </c>
      <c r="G85" s="867">
        <f>IF(A85&lt;&gt;"",IFERROR(VLOOKUP($A85,RENO!$C$12:$P$105,12,0),""),"")</f>
        <v/>
      </c>
      <c r="H85" s="867">
        <f>IF(A85&lt;&gt;"",IFERROR(VLOOKUP($A85,RENO!$C$12:$P$105,13,0),""),"")</f>
        <v/>
      </c>
      <c r="I85" s="868">
        <f>IF(A85&lt;&gt;"",IFERROR(VLOOKUP($A85,RENO!$C$12:$P$105,14,0),""),"")</f>
        <v/>
      </c>
      <c r="J85" s="548" t="n"/>
      <c r="K85" s="548" t="n"/>
      <c r="L85" s="548" t="n"/>
      <c r="M85" s="548" t="n"/>
      <c r="N85" s="548" t="n"/>
      <c r="O85" s="548" t="n"/>
      <c r="P85" s="548" t="n"/>
      <c r="Q85" s="548" t="n"/>
      <c r="R85" s="548" t="n"/>
      <c r="S85" s="548" t="n"/>
      <c r="T85" s="21" t="n"/>
      <c r="U85" s="21" t="n"/>
      <c r="V85" s="21" t="n"/>
      <c r="W85" s="21" t="n"/>
      <c r="X85" s="21" t="n"/>
      <c r="Y85" s="21" t="n"/>
      <c r="Z85" s="21" t="n"/>
    </row>
    <row r="86" ht="15.75" customHeight="1" s="545">
      <c r="A86" s="532">
        <f>IF(MAX(RENO!$C$12:$C$93)&gt;A85,A85+1,"")</f>
        <v/>
      </c>
      <c r="B86" s="479">
        <f>IF(A86&lt;&gt;"",IFERROR(VLOOKUP($A86,RENO!$C$12:$P$105,2,0),""),"")</f>
        <v/>
      </c>
      <c r="C86" s="866">
        <f>IF(A86&lt;&gt;"",IFERROR(VLOOKUP($A86,RENO!$C$12:$P$105,4,0),""),"")</f>
        <v/>
      </c>
      <c r="E86" s="534">
        <f>IF(A86&lt;&gt;"",IFERROR(VLOOKUP($A86,RENO!$C$12:$P$105,7,0),""),"")</f>
        <v/>
      </c>
      <c r="F86" s="534">
        <f>IF(A86&lt;&gt;"",IFERROR(VLOOKUP($A86,RENO!$C$12:$P$105,8,0),""),"")</f>
        <v/>
      </c>
      <c r="G86" s="867">
        <f>IF(A86&lt;&gt;"",IFERROR(VLOOKUP($A86,RENO!$C$12:$P$105,12,0),""),"")</f>
        <v/>
      </c>
      <c r="H86" s="867">
        <f>IF(A86&lt;&gt;"",IFERROR(VLOOKUP($A86,RENO!$C$12:$P$105,13,0),""),"")</f>
        <v/>
      </c>
      <c r="I86" s="868">
        <f>IF(A86&lt;&gt;"",IFERROR(VLOOKUP($A86,RENO!$C$12:$P$105,14,0),""),"")</f>
        <v/>
      </c>
      <c r="J86" s="548" t="n"/>
      <c r="K86" s="548" t="n"/>
      <c r="L86" s="548" t="n"/>
      <c r="M86" s="548" t="n"/>
      <c r="N86" s="548" t="n"/>
      <c r="O86" s="548" t="n"/>
      <c r="P86" s="548" t="n"/>
      <c r="Q86" s="548" t="n"/>
      <c r="R86" s="548" t="n"/>
      <c r="S86" s="548" t="n"/>
      <c r="T86" s="21" t="n"/>
      <c r="U86" s="21" t="n"/>
      <c r="V86" s="21" t="n"/>
      <c r="W86" s="21" t="n"/>
      <c r="X86" s="21" t="n"/>
      <c r="Y86" s="21" t="n"/>
      <c r="Z86" s="21" t="n"/>
    </row>
    <row r="87" ht="15.75" customHeight="1" s="545">
      <c r="A87" s="532">
        <f>IF(MAX(RENO!$C$12:$C$93)&gt;A86,A86+1,"")</f>
        <v/>
      </c>
      <c r="B87" s="479">
        <f>IF(A87&lt;&gt;"",IFERROR(VLOOKUP($A87,RENO!$C$12:$P$105,2,0),""),"")</f>
        <v/>
      </c>
      <c r="C87" s="866">
        <f>IF(A87&lt;&gt;"",IFERROR(VLOOKUP($A87,RENO!$C$12:$P$105,4,0),""),"")</f>
        <v/>
      </c>
      <c r="E87" s="534">
        <f>IF(A87&lt;&gt;"",IFERROR(VLOOKUP($A87,RENO!$C$12:$P$105,7,0),""),"")</f>
        <v/>
      </c>
      <c r="F87" s="534">
        <f>IF(A87&lt;&gt;"",IFERROR(VLOOKUP($A87,RENO!$C$12:$P$105,8,0),""),"")</f>
        <v/>
      </c>
      <c r="G87" s="867">
        <f>IF(A87&lt;&gt;"",IFERROR(VLOOKUP($A87,RENO!$C$12:$P$105,12,0),""),"")</f>
        <v/>
      </c>
      <c r="H87" s="867">
        <f>IF(A87&lt;&gt;"",IFERROR(VLOOKUP($A87,RENO!$C$12:$P$105,13,0),""),"")</f>
        <v/>
      </c>
      <c r="I87" s="868">
        <f>IF(A87&lt;&gt;"",IFERROR(VLOOKUP($A87,RENO!$C$12:$P$105,14,0),""),"")</f>
        <v/>
      </c>
      <c r="J87" s="548" t="n"/>
      <c r="K87" s="548" t="n"/>
      <c r="L87" s="548" t="n"/>
      <c r="M87" s="548" t="n"/>
      <c r="N87" s="548" t="n"/>
      <c r="O87" s="548" t="n"/>
      <c r="P87" s="548" t="n"/>
      <c r="Q87" s="548" t="n"/>
      <c r="R87" s="548" t="n"/>
      <c r="S87" s="548" t="n"/>
      <c r="T87" s="21" t="n"/>
      <c r="U87" s="21" t="n"/>
      <c r="V87" s="21" t="n"/>
      <c r="W87" s="21" t="n"/>
      <c r="X87" s="21" t="n"/>
      <c r="Y87" s="21" t="n"/>
      <c r="Z87" s="21" t="n"/>
    </row>
    <row r="88" ht="15.75" customHeight="1" s="545">
      <c r="A88" s="532">
        <f>IF(MAX(RENO!$C$12:$C$93)&gt;A87,A87+1,"")</f>
        <v/>
      </c>
      <c r="B88" s="479">
        <f>IF(A88&lt;&gt;"",IFERROR(VLOOKUP($A88,RENO!$C$12:$P$105,2,0),""),"")</f>
        <v/>
      </c>
      <c r="C88" s="866">
        <f>IF(A88&lt;&gt;"",IFERROR(VLOOKUP($A88,RENO!$C$12:$P$105,4,0),""),"")</f>
        <v/>
      </c>
      <c r="E88" s="534">
        <f>IF(A88&lt;&gt;"",IFERROR(VLOOKUP($A88,RENO!$C$12:$P$105,7,0),""),"")</f>
        <v/>
      </c>
      <c r="F88" s="534">
        <f>IF(A88&lt;&gt;"",IFERROR(VLOOKUP($A88,RENO!$C$12:$P$105,8,0),""),"")</f>
        <v/>
      </c>
      <c r="G88" s="867">
        <f>IF(A88&lt;&gt;"",IFERROR(VLOOKUP($A88,RENO!$C$12:$P$105,12,0),""),"")</f>
        <v/>
      </c>
      <c r="H88" s="867">
        <f>IF(A88&lt;&gt;"",IFERROR(VLOOKUP($A88,RENO!$C$12:$P$105,13,0),""),"")</f>
        <v/>
      </c>
      <c r="I88" s="868">
        <f>IF(A88&lt;&gt;"",IFERROR(VLOOKUP($A88,RENO!$C$12:$P$105,14,0),""),"")</f>
        <v/>
      </c>
      <c r="J88" s="548" t="n"/>
      <c r="K88" s="548" t="n"/>
      <c r="L88" s="548" t="n"/>
      <c r="M88" s="548" t="n"/>
      <c r="N88" s="548" t="n"/>
      <c r="O88" s="548" t="n"/>
      <c r="P88" s="548" t="n"/>
      <c r="Q88" s="548" t="n"/>
      <c r="R88" s="548" t="n"/>
      <c r="S88" s="548" t="n"/>
      <c r="T88" s="21" t="n"/>
      <c r="U88" s="21" t="n"/>
      <c r="V88" s="21" t="n"/>
      <c r="W88" s="21" t="n"/>
      <c r="X88" s="21" t="n"/>
      <c r="Y88" s="21" t="n"/>
      <c r="Z88" s="21" t="n"/>
    </row>
    <row r="89" ht="15.75" customHeight="1" s="545">
      <c r="A89" s="532">
        <f>IF(MAX(RENO!$C$12:$C$93)&gt;A88,A88+1,"")</f>
        <v/>
      </c>
      <c r="B89" s="479">
        <f>IF(A89&lt;&gt;"",IFERROR(VLOOKUP($A89,RENO!$C$12:$P$105,2,0),""),"")</f>
        <v/>
      </c>
      <c r="C89" s="866">
        <f>IF(A89&lt;&gt;"",IFERROR(VLOOKUP($A89,RENO!$C$12:$P$105,4,0),""),"")</f>
        <v/>
      </c>
      <c r="E89" s="534">
        <f>IF(A89&lt;&gt;"",IFERROR(VLOOKUP($A89,RENO!$C$12:$P$105,7,0),""),"")</f>
        <v/>
      </c>
      <c r="F89" s="534">
        <f>IF(A89&lt;&gt;"",IFERROR(VLOOKUP($A89,RENO!$C$12:$P$105,8,0),""),"")</f>
        <v/>
      </c>
      <c r="G89" s="867">
        <f>IF(A89&lt;&gt;"",IFERROR(VLOOKUP($A89,RENO!$C$12:$P$105,12,0),""),"")</f>
        <v/>
      </c>
      <c r="H89" s="867">
        <f>IF(A89&lt;&gt;"",IFERROR(VLOOKUP($A89,RENO!$C$12:$P$105,13,0),""),"")</f>
        <v/>
      </c>
      <c r="I89" s="868">
        <f>IF(A89&lt;&gt;"",IFERROR(VLOOKUP($A89,RENO!$C$12:$P$105,14,0),""),"")</f>
        <v/>
      </c>
      <c r="J89" s="548" t="n"/>
      <c r="K89" s="548" t="n"/>
      <c r="L89" s="548" t="n"/>
      <c r="M89" s="548" t="n"/>
      <c r="N89" s="548" t="n"/>
      <c r="O89" s="548" t="n"/>
      <c r="P89" s="548" t="n"/>
      <c r="Q89" s="548" t="n"/>
      <c r="R89" s="548" t="n"/>
      <c r="S89" s="548" t="n"/>
      <c r="T89" s="21" t="n"/>
      <c r="U89" s="21" t="n"/>
      <c r="V89" s="21" t="n"/>
      <c r="W89" s="21" t="n"/>
      <c r="X89" s="21" t="n"/>
      <c r="Y89" s="21" t="n"/>
      <c r="Z89" s="21" t="n"/>
    </row>
    <row r="90" ht="15.75" customHeight="1" s="545">
      <c r="A90" s="532">
        <f>IF(MAX(RENO!$C$12:$C$93)&gt;A89,A89+1,"")</f>
        <v/>
      </c>
      <c r="B90" s="479">
        <f>IF(A90&lt;&gt;"",IFERROR(VLOOKUP($A90,RENO!$C$12:$P$105,2,0),""),"")</f>
        <v/>
      </c>
      <c r="C90" s="866">
        <f>IF(A90&lt;&gt;"",IFERROR(VLOOKUP($A90,RENO!$C$12:$P$105,4,0),""),"")</f>
        <v/>
      </c>
      <c r="E90" s="534">
        <f>IF(A90&lt;&gt;"",IFERROR(VLOOKUP($A90,RENO!$C$12:$P$105,7,0),""),"")</f>
        <v/>
      </c>
      <c r="F90" s="534">
        <f>IF(A90&lt;&gt;"",IFERROR(VLOOKUP($A90,RENO!$C$12:$P$105,8,0),""),"")</f>
        <v/>
      </c>
      <c r="G90" s="867">
        <f>IF(A90&lt;&gt;"",IFERROR(VLOOKUP($A90,RENO!$C$12:$P$105,12,0),""),"")</f>
        <v/>
      </c>
      <c r="H90" s="867">
        <f>IF(A90&lt;&gt;"",IFERROR(VLOOKUP($A90,RENO!$C$12:$P$105,13,0),""),"")</f>
        <v/>
      </c>
      <c r="I90" s="868">
        <f>IF(A90&lt;&gt;"",IFERROR(VLOOKUP($A90,RENO!$C$12:$P$105,14,0),""),"")</f>
        <v/>
      </c>
      <c r="J90" s="548" t="n"/>
      <c r="K90" s="548" t="n"/>
      <c r="L90" s="548" t="n"/>
      <c r="M90" s="548" t="n"/>
      <c r="N90" s="548" t="n"/>
      <c r="O90" s="548" t="n"/>
      <c r="P90" s="548" t="n"/>
      <c r="Q90" s="548" t="n"/>
      <c r="R90" s="548" t="n"/>
      <c r="S90" s="548" t="n"/>
      <c r="T90" s="21" t="n"/>
      <c r="U90" s="21" t="n"/>
      <c r="V90" s="21" t="n"/>
      <c r="W90" s="21" t="n"/>
      <c r="X90" s="21" t="n"/>
      <c r="Y90" s="21" t="n"/>
      <c r="Z90" s="21" t="n"/>
    </row>
    <row r="91" ht="15.75" customHeight="1" s="545">
      <c r="A91" s="532">
        <f>IF(MAX(RENO!$C$12:$C$93)&gt;A90,A90+1,"")</f>
        <v/>
      </c>
      <c r="B91" s="479">
        <f>IF(A91&lt;&gt;"",IFERROR(VLOOKUP($A91,RENO!$C$12:$P$105,2,0),""),"")</f>
        <v/>
      </c>
      <c r="C91" s="866">
        <f>IF(A91&lt;&gt;"",IFERROR(VLOOKUP($A91,RENO!$C$12:$P$105,4,0),""),"")</f>
        <v/>
      </c>
      <c r="E91" s="534">
        <f>IF(A91&lt;&gt;"",IFERROR(VLOOKUP($A91,RENO!$C$12:$P$105,7,0),""),"")</f>
        <v/>
      </c>
      <c r="F91" s="534">
        <f>IF(A91&lt;&gt;"",IFERROR(VLOOKUP($A91,RENO!$C$12:$P$105,8,0),""),"")</f>
        <v/>
      </c>
      <c r="G91" s="867">
        <f>IF(A91&lt;&gt;"",IFERROR(VLOOKUP($A91,RENO!$C$12:$P$105,12,0),""),"")</f>
        <v/>
      </c>
      <c r="H91" s="867">
        <f>IF(A91&lt;&gt;"",IFERROR(VLOOKUP($A91,RENO!$C$12:$P$105,13,0),""),"")</f>
        <v/>
      </c>
      <c r="I91" s="868">
        <f>IF(A91&lt;&gt;"",IFERROR(VLOOKUP($A91,RENO!$C$12:$P$105,14,0),""),"")</f>
        <v/>
      </c>
      <c r="J91" s="548" t="n"/>
      <c r="K91" s="548" t="n"/>
      <c r="L91" s="548" t="n"/>
      <c r="M91" s="548" t="n"/>
      <c r="N91" s="548" t="n"/>
      <c r="O91" s="548" t="n"/>
      <c r="P91" s="548" t="n"/>
      <c r="Q91" s="548" t="n"/>
      <c r="R91" s="548" t="n"/>
      <c r="S91" s="548" t="n"/>
      <c r="T91" s="21" t="n"/>
      <c r="U91" s="21" t="n"/>
      <c r="V91" s="21" t="n"/>
      <c r="W91" s="21" t="n"/>
      <c r="X91" s="21" t="n"/>
      <c r="Y91" s="21" t="n"/>
      <c r="Z91" s="21" t="n"/>
    </row>
    <row r="92" ht="15.75" customHeight="1" s="545">
      <c r="A92" s="532">
        <f>IF(MAX(RENO!$C$12:$C$93)&gt;A91,A91+1,"")</f>
        <v/>
      </c>
      <c r="B92" s="479">
        <f>IF(A92&lt;&gt;"",IFERROR(VLOOKUP($A92,RENO!$C$12:$P$105,2,0),""),"")</f>
        <v/>
      </c>
      <c r="C92" s="866">
        <f>IF(A92&lt;&gt;"",IFERROR(VLOOKUP($A92,RENO!$C$12:$P$105,4,0),""),"")</f>
        <v/>
      </c>
      <c r="E92" s="534">
        <f>IF(A92&lt;&gt;"",IFERROR(VLOOKUP($A92,RENO!$C$12:$P$105,7,0),""),"")</f>
        <v/>
      </c>
      <c r="F92" s="534">
        <f>IF(A92&lt;&gt;"",IFERROR(VLOOKUP($A92,RENO!$C$12:$P$105,8,0),""),"")</f>
        <v/>
      </c>
      <c r="G92" s="867">
        <f>IF(A92&lt;&gt;"",IFERROR(VLOOKUP($A92,RENO!$C$12:$P$105,12,0),""),"")</f>
        <v/>
      </c>
      <c r="H92" s="867">
        <f>IF(A92&lt;&gt;"",IFERROR(VLOOKUP($A92,RENO!$C$12:$P$105,13,0),""),"")</f>
        <v/>
      </c>
      <c r="I92" s="868">
        <f>IF(A92&lt;&gt;"",IFERROR(VLOOKUP($A92,RENO!$C$12:$P$105,14,0),""),"")</f>
        <v/>
      </c>
      <c r="J92" s="548" t="n"/>
      <c r="K92" s="548" t="n"/>
      <c r="L92" s="548" t="n"/>
      <c r="M92" s="548" t="n"/>
      <c r="N92" s="548" t="n"/>
      <c r="O92" s="548" t="n"/>
      <c r="P92" s="548" t="n"/>
      <c r="Q92" s="548" t="n"/>
      <c r="R92" s="548" t="n"/>
      <c r="S92" s="548" t="n"/>
      <c r="T92" s="21" t="n"/>
      <c r="U92" s="21" t="n"/>
      <c r="V92" s="21" t="n"/>
      <c r="W92" s="21" t="n"/>
      <c r="X92" s="21" t="n"/>
      <c r="Y92" s="21" t="n"/>
      <c r="Z92" s="21" t="n"/>
    </row>
    <row r="93" ht="15.75" customHeight="1" s="545">
      <c r="A93" s="532">
        <f>IF(MAX(RENO!$C$12:$C$93)&gt;A92,A92+1,"")</f>
        <v/>
      </c>
      <c r="B93" s="479">
        <f>IF(A93&lt;&gt;"",IFERROR(VLOOKUP($A93,RENO!$C$12:$P$105,2,0),""),"")</f>
        <v/>
      </c>
      <c r="C93" s="866">
        <f>IF(A93&lt;&gt;"",IFERROR(VLOOKUP($A93,RENO!$C$12:$P$105,4,0),""),"")</f>
        <v/>
      </c>
      <c r="E93" s="534">
        <f>IF(A93&lt;&gt;"",IFERROR(VLOOKUP($A93,RENO!$C$12:$P$105,7,0),""),"")</f>
        <v/>
      </c>
      <c r="F93" s="534">
        <f>IF(A93&lt;&gt;"",IFERROR(VLOOKUP($A93,RENO!$C$12:$P$105,8,0),""),"")</f>
        <v/>
      </c>
      <c r="G93" s="867">
        <f>IF(A93&lt;&gt;"",IFERROR(VLOOKUP($A93,RENO!$C$12:$P$105,12,0),""),"")</f>
        <v/>
      </c>
      <c r="H93" s="867">
        <f>IF(A93&lt;&gt;"",IFERROR(VLOOKUP($A93,RENO!$C$12:$P$105,13,0),""),"")</f>
        <v/>
      </c>
      <c r="I93" s="868">
        <f>IF(A93&lt;&gt;"",IFERROR(VLOOKUP($A93,RENO!$C$12:$P$105,14,0),""),"")</f>
        <v/>
      </c>
      <c r="J93" s="548" t="n"/>
      <c r="K93" s="548" t="n"/>
      <c r="L93" s="548" t="n"/>
      <c r="M93" s="548" t="n"/>
      <c r="N93" s="548" t="n"/>
      <c r="O93" s="548" t="n"/>
      <c r="P93" s="548" t="n"/>
      <c r="Q93" s="548" t="n"/>
      <c r="R93" s="548" t="n"/>
      <c r="S93" s="548" t="n"/>
      <c r="T93" s="21" t="n"/>
      <c r="U93" s="21" t="n"/>
      <c r="V93" s="21" t="n"/>
      <c r="W93" s="21" t="n"/>
      <c r="X93" s="21" t="n"/>
      <c r="Y93" s="21" t="n"/>
      <c r="Z93" s="21" t="n"/>
    </row>
    <row r="94" ht="15.75" customHeight="1" s="545">
      <c r="A94" s="532">
        <f>IF(MAX(RENO!$C$12:$C$93)&gt;A93,A93+1,"")</f>
        <v/>
      </c>
      <c r="B94" s="479">
        <f>IF(A94&lt;&gt;"",IFERROR(VLOOKUP($A94,RENO!$C$12:$P$105,2,0),""),"")</f>
        <v/>
      </c>
      <c r="C94" s="866">
        <f>IF(A94&lt;&gt;"",IFERROR(VLOOKUP($A94,RENO!$C$12:$P$105,4,0),""),"")</f>
        <v/>
      </c>
      <c r="E94" s="534">
        <f>IF(A94&lt;&gt;"",IFERROR(VLOOKUP($A94,RENO!$C$12:$P$105,7,0),""),"")</f>
        <v/>
      </c>
      <c r="F94" s="534">
        <f>IF(A94&lt;&gt;"",IFERROR(VLOOKUP($A94,RENO!$C$12:$P$105,8,0),""),"")</f>
        <v/>
      </c>
      <c r="G94" s="867">
        <f>IF(A94&lt;&gt;"",IFERROR(VLOOKUP($A94,RENO!$C$12:$P$105,12,0),""),"")</f>
        <v/>
      </c>
      <c r="H94" s="867">
        <f>IF(A94&lt;&gt;"",IFERROR(VLOOKUP($A94,RENO!$C$12:$P$105,13,0),""),"")</f>
        <v/>
      </c>
      <c r="I94" s="868">
        <f>IF(A94&lt;&gt;"",IFERROR(VLOOKUP($A94,RENO!$C$12:$P$105,14,0),""),"")</f>
        <v/>
      </c>
      <c r="J94" s="548" t="n"/>
      <c r="K94" s="548" t="n"/>
      <c r="L94" s="548" t="n"/>
      <c r="M94" s="548" t="n"/>
      <c r="N94" s="548" t="n"/>
      <c r="O94" s="548" t="n"/>
      <c r="P94" s="548" t="n"/>
      <c r="Q94" s="548" t="n"/>
      <c r="R94" s="548" t="n"/>
      <c r="S94" s="548" t="n"/>
      <c r="T94" s="21" t="n"/>
      <c r="U94" s="21" t="n"/>
      <c r="V94" s="21" t="n"/>
      <c r="W94" s="21" t="n"/>
      <c r="X94" s="21" t="n"/>
      <c r="Y94" s="21" t="n"/>
      <c r="Z94" s="21" t="n"/>
    </row>
    <row r="95" ht="15.75" customHeight="1" s="545">
      <c r="A95" s="532">
        <f>IF(MAX(RENO!$C$12:$C$93)&gt;A94,A94+1,"")</f>
        <v/>
      </c>
      <c r="B95" s="479">
        <f>IF(A95&lt;&gt;"",IFERROR(VLOOKUP($A95,RENO!$C$12:$P$105,2,0),""),"")</f>
        <v/>
      </c>
      <c r="C95" s="866">
        <f>IF(A95&lt;&gt;"",IFERROR(VLOOKUP($A95,RENO!$C$12:$P$105,4,0),""),"")</f>
        <v/>
      </c>
      <c r="E95" s="534">
        <f>IF(A95&lt;&gt;"",IFERROR(VLOOKUP($A95,RENO!$C$12:$P$105,7,0),""),"")</f>
        <v/>
      </c>
      <c r="F95" s="534">
        <f>IF(A95&lt;&gt;"",IFERROR(VLOOKUP($A95,RENO!$C$12:$P$105,8,0),""),"")</f>
        <v/>
      </c>
      <c r="G95" s="867">
        <f>IF(A95&lt;&gt;"",IFERROR(VLOOKUP($A95,RENO!$C$12:$P$105,12,0),""),"")</f>
        <v/>
      </c>
      <c r="H95" s="867">
        <f>IF(A95&lt;&gt;"",IFERROR(VLOOKUP($A95,RENO!$C$12:$P$105,13,0),""),"")</f>
        <v/>
      </c>
      <c r="I95" s="868">
        <f>IF(A95&lt;&gt;"",IFERROR(VLOOKUP($A95,RENO!$C$12:$P$105,14,0),""),"")</f>
        <v/>
      </c>
      <c r="J95" s="548" t="n"/>
      <c r="K95" s="548" t="n"/>
      <c r="L95" s="548" t="n"/>
      <c r="M95" s="548" t="n"/>
      <c r="N95" s="548" t="n"/>
      <c r="O95" s="548" t="n"/>
      <c r="P95" s="548" t="n"/>
      <c r="Q95" s="548" t="n"/>
      <c r="R95" s="548" t="n"/>
      <c r="S95" s="548" t="n"/>
      <c r="T95" s="21" t="n"/>
      <c r="U95" s="21" t="n"/>
      <c r="V95" s="21" t="n"/>
      <c r="W95" s="21" t="n"/>
      <c r="X95" s="21" t="n"/>
      <c r="Y95" s="21" t="n"/>
      <c r="Z95" s="21" t="n"/>
    </row>
    <row r="96" ht="15.75" customHeight="1" s="545">
      <c r="A96" s="532">
        <f>IF(MAX(RENO!$C$12:$C$93)&gt;A95,A95+1,"")</f>
        <v/>
      </c>
      <c r="B96" s="479">
        <f>IF(A96&lt;&gt;"",IFERROR(VLOOKUP($A96,RENO!$C$12:$P$105,2,0),""),"")</f>
        <v/>
      </c>
      <c r="C96" s="866">
        <f>IF(A96&lt;&gt;"",IFERROR(VLOOKUP($A96,RENO!$C$12:$P$105,4,0),""),"")</f>
        <v/>
      </c>
      <c r="E96" s="534">
        <f>IF(A96&lt;&gt;"",IFERROR(VLOOKUP($A96,RENO!$C$12:$P$105,7,0),""),"")</f>
        <v/>
      </c>
      <c r="F96" s="534">
        <f>IF(A96&lt;&gt;"",IFERROR(VLOOKUP($A96,RENO!$C$12:$P$105,8,0),""),"")</f>
        <v/>
      </c>
      <c r="G96" s="867">
        <f>IF(A96&lt;&gt;"",IFERROR(VLOOKUP($A96,RENO!$C$12:$P$105,12,0),""),"")</f>
        <v/>
      </c>
      <c r="H96" s="867">
        <f>IF(A96&lt;&gt;"",IFERROR(VLOOKUP($A96,RENO!$C$12:$P$105,13,0),""),"")</f>
        <v/>
      </c>
      <c r="I96" s="868">
        <f>IF(A96&lt;&gt;"",IFERROR(VLOOKUP($A96,RENO!$C$12:$P$105,14,0),""),"")</f>
        <v/>
      </c>
      <c r="J96" s="548" t="n"/>
      <c r="K96" s="548" t="n"/>
      <c r="L96" s="548" t="n"/>
      <c r="M96" s="548" t="n"/>
      <c r="N96" s="548" t="n"/>
      <c r="O96" s="548" t="n"/>
      <c r="P96" s="548" t="n"/>
      <c r="Q96" s="548" t="n"/>
      <c r="R96" s="548" t="n"/>
      <c r="S96" s="548" t="n"/>
      <c r="T96" s="21" t="n"/>
      <c r="U96" s="21" t="n"/>
      <c r="V96" s="21" t="n"/>
      <c r="W96" s="21" t="n"/>
      <c r="X96" s="21" t="n"/>
      <c r="Y96" s="21" t="n"/>
      <c r="Z96" s="21" t="n"/>
    </row>
    <row r="97" ht="15.75" customHeight="1" s="545">
      <c r="A97" s="532">
        <f>IF(MAX(RENO!$C$12:$C$93)&gt;A96,A96+1,"")</f>
        <v/>
      </c>
      <c r="B97" s="479">
        <f>IF(A97&lt;&gt;"",IFERROR(VLOOKUP($A97,RENO!$C$12:$P$105,2,0),""),"")</f>
        <v/>
      </c>
      <c r="C97" s="866">
        <f>IF(A97&lt;&gt;"",IFERROR(VLOOKUP($A97,RENO!$C$12:$P$105,4,0),""),"")</f>
        <v/>
      </c>
      <c r="E97" s="534">
        <f>IF(A97&lt;&gt;"",IFERROR(VLOOKUP($A97,RENO!$C$12:$P$105,7,0),""),"")</f>
        <v/>
      </c>
      <c r="F97" s="534">
        <f>IF(A97&lt;&gt;"",IFERROR(VLOOKUP($A97,RENO!$C$12:$P$105,8,0),""),"")</f>
        <v/>
      </c>
      <c r="G97" s="867">
        <f>IF(A97&lt;&gt;"",IFERROR(VLOOKUP($A97,RENO!$C$12:$P$105,12,0),""),"")</f>
        <v/>
      </c>
      <c r="H97" s="867">
        <f>IF(A97&lt;&gt;"",IFERROR(VLOOKUP($A97,RENO!$C$12:$P$105,13,0),""),"")</f>
        <v/>
      </c>
      <c r="I97" s="868">
        <f>IF(A97&lt;&gt;"",IFERROR(VLOOKUP($A97,RENO!$C$12:$P$105,14,0),""),"")</f>
        <v/>
      </c>
      <c r="J97" s="548" t="n"/>
      <c r="K97" s="548" t="n"/>
      <c r="L97" s="548" t="n"/>
      <c r="M97" s="548" t="n"/>
      <c r="N97" s="548" t="n"/>
      <c r="O97" s="548" t="n"/>
      <c r="P97" s="548" t="n"/>
      <c r="Q97" s="548" t="n"/>
      <c r="R97" s="548" t="n"/>
      <c r="S97" s="548" t="n"/>
      <c r="T97" s="21" t="n"/>
      <c r="U97" s="21" t="n"/>
      <c r="V97" s="21" t="n"/>
      <c r="W97" s="21" t="n"/>
      <c r="X97" s="21" t="n"/>
      <c r="Y97" s="21" t="n"/>
      <c r="Z97" s="21" t="n"/>
    </row>
    <row r="98" ht="15.75" customHeight="1" s="545">
      <c r="A98" s="532">
        <f>IF(MAX(RENO!$C$12:$C$93)&gt;A97,A97+1,"")</f>
        <v/>
      </c>
      <c r="B98" s="479">
        <f>IF(A98&lt;&gt;"",IFERROR(VLOOKUP($A98,RENO!$C$12:$P$105,2,0),""),"")</f>
        <v/>
      </c>
      <c r="C98" s="866">
        <f>IF(A98&lt;&gt;"",IFERROR(VLOOKUP($A98,RENO!$C$12:$P$105,4,0),""),"")</f>
        <v/>
      </c>
      <c r="E98" s="534">
        <f>IF(A98&lt;&gt;"",IFERROR(VLOOKUP($A98,RENO!$C$12:$P$105,7,0),""),"")</f>
        <v/>
      </c>
      <c r="F98" s="534">
        <f>IF(A98&lt;&gt;"",IFERROR(VLOOKUP($A98,RENO!$C$12:$P$105,8,0),""),"")</f>
        <v/>
      </c>
      <c r="G98" s="867">
        <f>IF(A98&lt;&gt;"",IFERROR(VLOOKUP($A98,RENO!$C$12:$P$105,12,0),""),"")</f>
        <v/>
      </c>
      <c r="H98" s="867">
        <f>IF(A98&lt;&gt;"",IFERROR(VLOOKUP($A98,RENO!$C$12:$P$105,13,0),""),"")</f>
        <v/>
      </c>
      <c r="I98" s="868">
        <f>IF(A98&lt;&gt;"",IFERROR(VLOOKUP($A98,RENO!$C$12:$P$105,14,0),""),"")</f>
        <v/>
      </c>
      <c r="J98" s="548" t="n"/>
      <c r="K98" s="548" t="n"/>
      <c r="L98" s="548" t="n"/>
      <c r="M98" s="548" t="n"/>
      <c r="N98" s="548" t="n"/>
      <c r="O98" s="548" t="n"/>
      <c r="P98" s="548" t="n"/>
      <c r="Q98" s="548" t="n"/>
      <c r="R98" s="548" t="n"/>
      <c r="S98" s="548" t="n"/>
      <c r="T98" s="21" t="n"/>
      <c r="U98" s="21" t="n"/>
      <c r="V98" s="21" t="n"/>
      <c r="W98" s="21" t="n"/>
      <c r="X98" s="21" t="n"/>
      <c r="Y98" s="21" t="n"/>
      <c r="Z98" s="21" t="n"/>
    </row>
    <row r="99" ht="15.75" customHeight="1" s="545">
      <c r="A99" s="532">
        <f>IF(MAX(RENO!$C$12:$C$93)&gt;A98,A98+1,"")</f>
        <v/>
      </c>
      <c r="B99" s="479">
        <f>IF(A99&lt;&gt;"",IFERROR(VLOOKUP($A99,RENO!$C$12:$P$105,2,0),""),"")</f>
        <v/>
      </c>
      <c r="C99" s="866">
        <f>IF(A99&lt;&gt;"",IFERROR(VLOOKUP($A99,RENO!$C$12:$P$105,4,0),""),"")</f>
        <v/>
      </c>
      <c r="E99" s="534">
        <f>IF(A99&lt;&gt;"",IFERROR(VLOOKUP($A99,RENO!$C$12:$P$105,7,0),""),"")</f>
        <v/>
      </c>
      <c r="F99" s="534">
        <f>IF(A99&lt;&gt;"",IFERROR(VLOOKUP($A99,RENO!$C$12:$P$105,8,0),""),"")</f>
        <v/>
      </c>
      <c r="G99" s="867">
        <f>IF(A99&lt;&gt;"",IFERROR(VLOOKUP($A99,RENO!$C$12:$P$105,12,0),""),"")</f>
        <v/>
      </c>
      <c r="H99" s="867">
        <f>IF(A99&lt;&gt;"",IFERROR(VLOOKUP($A99,RENO!$C$12:$P$105,13,0),""),"")</f>
        <v/>
      </c>
      <c r="I99" s="868">
        <f>IF(A99&lt;&gt;"",IFERROR(VLOOKUP($A99,RENO!$C$12:$P$105,14,0),""),"")</f>
        <v/>
      </c>
      <c r="J99" s="548" t="n"/>
      <c r="K99" s="548" t="n"/>
      <c r="L99" s="548" t="n"/>
      <c r="M99" s="548" t="n"/>
      <c r="N99" s="548" t="n"/>
      <c r="O99" s="548" t="n"/>
      <c r="P99" s="548" t="n"/>
      <c r="Q99" s="548" t="n"/>
      <c r="R99" s="548" t="n"/>
      <c r="S99" s="548" t="n"/>
      <c r="T99" s="21" t="n"/>
      <c r="U99" s="21" t="n"/>
      <c r="V99" s="21" t="n"/>
      <c r="W99" s="21" t="n"/>
      <c r="X99" s="21" t="n"/>
      <c r="Y99" s="21" t="n"/>
      <c r="Z99" s="21" t="n"/>
    </row>
    <row r="100" ht="15.75" customHeight="1" s="545">
      <c r="A100" s="532">
        <f>IF(MAX(RENO!$C$12:$C$93)&gt;A99,A99+1,"")</f>
        <v/>
      </c>
      <c r="B100" s="479">
        <f>IF(A100&lt;&gt;"",IFERROR(VLOOKUP($A100,RENO!$C$12:$P$105,2,0),""),"")</f>
        <v/>
      </c>
      <c r="C100" s="866">
        <f>IF(A100&lt;&gt;"",IFERROR(VLOOKUP($A100,RENO!$C$12:$P$105,4,0),""),"")</f>
        <v/>
      </c>
      <c r="E100" s="534">
        <f>IF(A100&lt;&gt;"",IFERROR(VLOOKUP($A100,RENO!$C$12:$P$105,7,0),""),"")</f>
        <v/>
      </c>
      <c r="F100" s="534">
        <f>IF(A100&lt;&gt;"",IFERROR(VLOOKUP($A100,RENO!$C$12:$P$105,8,0),""),"")</f>
        <v/>
      </c>
      <c r="G100" s="867">
        <f>IF(A100&lt;&gt;"",IFERROR(VLOOKUP($A100,RENO!$C$12:$P$105,12,0),""),"")</f>
        <v/>
      </c>
      <c r="H100" s="867">
        <f>IF(A100&lt;&gt;"",IFERROR(VLOOKUP($A100,RENO!$C$12:$P$105,13,0),""),"")</f>
        <v/>
      </c>
      <c r="I100" s="868">
        <f>IF(A100&lt;&gt;"",IFERROR(VLOOKUP($A100,RENO!$C$12:$P$105,14,0),""),"")</f>
        <v/>
      </c>
      <c r="J100" s="548" t="n"/>
      <c r="K100" s="548" t="n"/>
      <c r="L100" s="548" t="n"/>
      <c r="M100" s="548" t="n"/>
      <c r="N100" s="548" t="n"/>
      <c r="O100" s="548" t="n"/>
      <c r="P100" s="548" t="n"/>
      <c r="Q100" s="548" t="n"/>
      <c r="R100" s="548" t="n"/>
      <c r="S100" s="548" t="n"/>
      <c r="T100" s="21" t="n"/>
      <c r="U100" s="21" t="n"/>
      <c r="V100" s="21" t="n"/>
      <c r="W100" s="21" t="n"/>
      <c r="X100" s="21" t="n"/>
      <c r="Y100" s="21" t="n"/>
      <c r="Z100" s="21" t="n"/>
    </row>
    <row r="101" ht="15.75" customHeight="1" s="545">
      <c r="A101" s="532">
        <f>IF(MAX(RENO!$C$12:$C$93)&gt;A100,A100+1,"")</f>
        <v/>
      </c>
      <c r="B101" s="479">
        <f>IF(A101&lt;&gt;"",IFERROR(VLOOKUP($A101,RENO!$C$12:$P$105,2,0),""),"")</f>
        <v/>
      </c>
      <c r="C101" s="866">
        <f>IF(A101&lt;&gt;"",IFERROR(VLOOKUP($A101,RENO!$C$12:$P$105,4,0),""),"")</f>
        <v/>
      </c>
      <c r="E101" s="534">
        <f>IF(A101&lt;&gt;"",IFERROR(VLOOKUP($A101,RENO!$C$12:$P$105,7,0),""),"")</f>
        <v/>
      </c>
      <c r="F101" s="534">
        <f>IF(A101&lt;&gt;"",IFERROR(VLOOKUP($A101,RENO!$C$12:$P$105,8,0),""),"")</f>
        <v/>
      </c>
      <c r="G101" s="867">
        <f>IF(A101&lt;&gt;"",IFERROR(VLOOKUP($A101,RENO!$C$12:$P$105,12,0),""),"")</f>
        <v/>
      </c>
      <c r="H101" s="867">
        <f>IF(A101&lt;&gt;"",IFERROR(VLOOKUP($A101,RENO!$C$12:$P$105,13,0),""),"")</f>
        <v/>
      </c>
      <c r="I101" s="868">
        <f>IF(A101&lt;&gt;"",IFERROR(VLOOKUP($A101,RENO!$C$12:$P$105,14,0),""),"")</f>
        <v/>
      </c>
      <c r="J101" s="548" t="n"/>
      <c r="K101" s="548" t="n"/>
      <c r="L101" s="548" t="n"/>
      <c r="M101" s="548" t="n"/>
      <c r="N101" s="548" t="n"/>
      <c r="O101" s="548" t="n"/>
      <c r="P101" s="548" t="n"/>
      <c r="Q101" s="548" t="n"/>
      <c r="R101" s="548" t="n"/>
      <c r="S101" s="548" t="n"/>
      <c r="T101" s="21" t="n"/>
      <c r="U101" s="21" t="n"/>
      <c r="V101" s="21" t="n"/>
      <c r="W101" s="21" t="n"/>
      <c r="X101" s="21" t="n"/>
      <c r="Y101" s="21" t="n"/>
      <c r="Z101" s="21" t="n"/>
    </row>
    <row r="102" ht="15.75" customHeight="1" s="545">
      <c r="A102" s="532">
        <f>IF(MAX(RENO!$C$12:$C$93)&gt;A101,A101+1,"")</f>
        <v/>
      </c>
      <c r="B102" s="479">
        <f>IF(A102&lt;&gt;"",IFERROR(VLOOKUP($A102,RENO!$C$12:$P$105,2,0),""),"")</f>
        <v/>
      </c>
      <c r="C102" s="866">
        <f>IF(A102&lt;&gt;"",IFERROR(VLOOKUP($A102,RENO!$C$12:$P$105,4,0),""),"")</f>
        <v/>
      </c>
      <c r="E102" s="534">
        <f>IF(A102&lt;&gt;"",IFERROR(VLOOKUP($A102,RENO!$C$12:$P$105,7,0),""),"")</f>
        <v/>
      </c>
      <c r="F102" s="534">
        <f>IF(A102&lt;&gt;"",IFERROR(VLOOKUP($A102,RENO!$C$12:$P$105,8,0),""),"")</f>
        <v/>
      </c>
      <c r="G102" s="867">
        <f>IF(A102&lt;&gt;"",IFERROR(VLOOKUP($A102,RENO!$C$12:$P$105,12,0),""),"")</f>
        <v/>
      </c>
      <c r="H102" s="867">
        <f>IF(A102&lt;&gt;"",IFERROR(VLOOKUP($A102,RENO!$C$12:$P$105,13,0),""),"")</f>
        <v/>
      </c>
      <c r="I102" s="868">
        <f>IF(A102&lt;&gt;"",IFERROR(VLOOKUP($A102,RENO!$C$12:$P$105,14,0),""),"")</f>
        <v/>
      </c>
      <c r="J102" s="548" t="n"/>
      <c r="K102" s="548" t="n"/>
      <c r="L102" s="548" t="n"/>
      <c r="M102" s="548" t="n"/>
      <c r="N102" s="548" t="n"/>
      <c r="O102" s="548" t="n"/>
      <c r="P102" s="548" t="n"/>
      <c r="Q102" s="548" t="n"/>
      <c r="R102" s="548" t="n"/>
      <c r="S102" s="548" t="n"/>
      <c r="T102" s="21" t="n"/>
      <c r="U102" s="21" t="n"/>
      <c r="V102" s="21" t="n"/>
      <c r="W102" s="21" t="n"/>
      <c r="X102" s="21" t="n"/>
      <c r="Y102" s="21" t="n"/>
      <c r="Z102" s="21" t="n"/>
    </row>
    <row r="103" ht="15.75" customHeight="1" s="545">
      <c r="A103" s="532">
        <f>IF(MAX(RENO!$C$12:$C$93)&gt;A102,A102+1,"")</f>
        <v/>
      </c>
      <c r="B103" s="479">
        <f>IF(A103&lt;&gt;"",IFERROR(VLOOKUP($A103,RENO!$C$12:$P$105,2,0),""),"")</f>
        <v/>
      </c>
      <c r="C103" s="866">
        <f>IF(A103&lt;&gt;"",IFERROR(VLOOKUP($A103,RENO!$C$12:$P$105,4,0),""),"")</f>
        <v/>
      </c>
      <c r="E103" s="534">
        <f>IF(A103&lt;&gt;"",IFERROR(VLOOKUP($A103,RENO!$C$12:$P$105,7,0),""),"")</f>
        <v/>
      </c>
      <c r="F103" s="534">
        <f>IF(A103&lt;&gt;"",IFERROR(VLOOKUP($A103,RENO!$C$12:$P$105,8,0),""),"")</f>
        <v/>
      </c>
      <c r="G103" s="867">
        <f>IF(A103&lt;&gt;"",IFERROR(VLOOKUP($A103,RENO!$C$12:$P$105,12,0),""),"")</f>
        <v/>
      </c>
      <c r="H103" s="867">
        <f>IF(A103&lt;&gt;"",IFERROR(VLOOKUP($A103,RENO!$C$12:$P$105,13,0),""),"")</f>
        <v/>
      </c>
      <c r="I103" s="868">
        <f>IF(A103&lt;&gt;"",IFERROR(VLOOKUP($A103,RENO!$C$12:$P$105,14,0),""),"")</f>
        <v/>
      </c>
      <c r="J103" s="548" t="n"/>
      <c r="K103" s="548" t="n"/>
      <c r="L103" s="548" t="n"/>
      <c r="M103" s="548" t="n"/>
      <c r="N103" s="548" t="n"/>
      <c r="O103" s="548" t="n"/>
      <c r="P103" s="548" t="n"/>
      <c r="Q103" s="548" t="n"/>
      <c r="R103" s="548" t="n"/>
      <c r="S103" s="548" t="n"/>
      <c r="T103" s="21" t="n"/>
      <c r="U103" s="21" t="n"/>
      <c r="V103" s="21" t="n"/>
      <c r="W103" s="21" t="n"/>
      <c r="X103" s="21" t="n"/>
      <c r="Y103" s="21" t="n"/>
      <c r="Z103" s="21" t="n"/>
    </row>
    <row r="104" ht="15.75" customHeight="1" s="545">
      <c r="A104" s="532">
        <f>IF(MAX(RENO!$C$12:$C$93)&gt;A103,A103+1,"")</f>
        <v/>
      </c>
      <c r="B104" s="479">
        <f>IF(A104&lt;&gt;"",IFERROR(VLOOKUP($A104,RENO!$C$12:$P$105,2,0),""),"")</f>
        <v/>
      </c>
      <c r="C104" s="866">
        <f>IF(A104&lt;&gt;"",IFERROR(VLOOKUP($A104,RENO!$C$12:$P$105,4,0),""),"")</f>
        <v/>
      </c>
      <c r="E104" s="534">
        <f>IF(A104&lt;&gt;"",IFERROR(VLOOKUP($A104,RENO!$C$12:$P$105,7,0),""),"")</f>
        <v/>
      </c>
      <c r="F104" s="534">
        <f>IF(A104&lt;&gt;"",IFERROR(VLOOKUP($A104,RENO!$C$12:$P$105,8,0),""),"")</f>
        <v/>
      </c>
      <c r="G104" s="867">
        <f>IF(A104&lt;&gt;"",IFERROR(VLOOKUP($A104,RENO!$C$12:$P$105,12,0),""),"")</f>
        <v/>
      </c>
      <c r="H104" s="867">
        <f>IF(A104&lt;&gt;"",IFERROR(VLOOKUP($A104,RENO!$C$12:$P$105,13,0),""),"")</f>
        <v/>
      </c>
      <c r="I104" s="868">
        <f>IF(A104&lt;&gt;"",IFERROR(VLOOKUP($A104,RENO!$C$12:$P$105,14,0),""),"")</f>
        <v/>
      </c>
      <c r="J104" s="548" t="n"/>
      <c r="K104" s="548" t="n"/>
      <c r="L104" s="548" t="n"/>
      <c r="M104" s="548" t="n"/>
      <c r="N104" s="548" t="n"/>
      <c r="O104" s="548" t="n"/>
      <c r="P104" s="548" t="n"/>
      <c r="Q104" s="548" t="n"/>
      <c r="R104" s="548" t="n"/>
      <c r="S104" s="548" t="n"/>
      <c r="T104" s="21" t="n"/>
      <c r="U104" s="21" t="n"/>
      <c r="V104" s="21" t="n"/>
      <c r="W104" s="21" t="n"/>
      <c r="X104" s="21" t="n"/>
      <c r="Y104" s="21" t="n"/>
      <c r="Z104" s="21" t="n"/>
    </row>
    <row r="105" ht="15.75" customHeight="1" s="545">
      <c r="A105" s="532">
        <f>IF(MAX(RENO!$C$12:$C$93)&gt;A104,A104+1,"")</f>
        <v/>
      </c>
      <c r="B105" s="479">
        <f>IF(A105&lt;&gt;"",IFERROR(VLOOKUP($A105,RENO!$C$12:$P$105,2,0),""),"")</f>
        <v/>
      </c>
      <c r="C105" s="866">
        <f>IF(A105&lt;&gt;"",IFERROR(VLOOKUP($A105,RENO!$C$12:$P$105,4,0),""),"")</f>
        <v/>
      </c>
      <c r="E105" s="534">
        <f>IF(A105&lt;&gt;"",IFERROR(VLOOKUP($A105,RENO!$C$12:$P$105,7,0),""),"")</f>
        <v/>
      </c>
      <c r="F105" s="534">
        <f>IF(A105&lt;&gt;"",IFERROR(VLOOKUP($A105,RENO!$C$12:$P$105,8,0),""),"")</f>
        <v/>
      </c>
      <c r="G105" s="867">
        <f>IF(A105&lt;&gt;"",IFERROR(VLOOKUP($A105,RENO!$C$12:$P$105,12,0),""),"")</f>
        <v/>
      </c>
      <c r="H105" s="867">
        <f>IF(A105&lt;&gt;"",IFERROR(VLOOKUP($A105,RENO!$C$12:$P$105,13,0),""),"")</f>
        <v/>
      </c>
      <c r="I105" s="868">
        <f>IF(A105&lt;&gt;"",IFERROR(VLOOKUP($A105,RENO!$C$12:$P$105,14,0),""),"")</f>
        <v/>
      </c>
      <c r="J105" s="548" t="n"/>
      <c r="K105" s="548" t="n"/>
      <c r="L105" s="548" t="n"/>
      <c r="M105" s="548" t="n"/>
      <c r="N105" s="548" t="n"/>
      <c r="O105" s="548" t="n"/>
      <c r="P105" s="548" t="n"/>
      <c r="Q105" s="548" t="n"/>
      <c r="R105" s="548" t="n"/>
      <c r="S105" s="548" t="n"/>
      <c r="T105" s="21" t="n"/>
      <c r="U105" s="21" t="n"/>
      <c r="V105" s="21" t="n"/>
      <c r="W105" s="21" t="n"/>
      <c r="X105" s="21" t="n"/>
      <c r="Y105" s="21" t="n"/>
      <c r="Z105" s="21" t="n"/>
    </row>
    <row r="106" ht="15.75" customHeight="1" s="545">
      <c r="A106" s="532">
        <f>IF(MAX(RENO!$C$12:$C$93)&gt;A105,A105+1,"")</f>
        <v/>
      </c>
      <c r="B106" s="479">
        <f>IF(A106&lt;&gt;"",IFERROR(VLOOKUP($A106,RENO!$C$12:$P$105,2,0),""),"")</f>
        <v/>
      </c>
      <c r="C106" s="866">
        <f>IF(A106&lt;&gt;"",IFERROR(VLOOKUP($A106,RENO!$C$12:$P$105,4,0),""),"")</f>
        <v/>
      </c>
      <c r="E106" s="534">
        <f>IF(A106&lt;&gt;"",IFERROR(VLOOKUP($A106,RENO!$C$12:$P$105,7,0),""),"")</f>
        <v/>
      </c>
      <c r="F106" s="534">
        <f>IF(A106&lt;&gt;"",IFERROR(VLOOKUP($A106,RENO!$C$12:$P$105,8,0),""),"")</f>
        <v/>
      </c>
      <c r="G106" s="867">
        <f>IF(A106&lt;&gt;"",IFERROR(VLOOKUP($A106,RENO!$C$12:$P$105,12,0),""),"")</f>
        <v/>
      </c>
      <c r="H106" s="867">
        <f>IF(A106&lt;&gt;"",IFERROR(VLOOKUP($A106,RENO!$C$12:$P$105,13,0),""),"")</f>
        <v/>
      </c>
      <c r="I106" s="868">
        <f>IF(A106&lt;&gt;"",IFERROR(VLOOKUP($A106,RENO!$C$12:$P$105,14,0),""),"")</f>
        <v/>
      </c>
      <c r="J106" s="548" t="n"/>
      <c r="K106" s="548" t="n"/>
      <c r="L106" s="548" t="n"/>
      <c r="M106" s="548" t="n"/>
      <c r="N106" s="548" t="n"/>
      <c r="O106" s="548" t="n"/>
      <c r="P106" s="548" t="n"/>
      <c r="Q106" s="548" t="n"/>
      <c r="R106" s="548" t="n"/>
      <c r="S106" s="548" t="n"/>
      <c r="T106" s="21" t="n"/>
      <c r="U106" s="21" t="n"/>
      <c r="V106" s="21" t="n"/>
      <c r="W106" s="21" t="n"/>
      <c r="X106" s="21" t="n"/>
      <c r="Y106" s="21" t="n"/>
      <c r="Z106" s="21" t="n"/>
    </row>
    <row r="107" ht="15.75" customHeight="1" s="545">
      <c r="A107" s="532">
        <f>IF(MAX(RENO!$C$12:$C$93)&gt;A106,A106+1,"")</f>
        <v/>
      </c>
      <c r="B107" s="479">
        <f>IF(A107&lt;&gt;"",IFERROR(VLOOKUP($A107,RENO!$C$12:$P$105,2,0),""),"")</f>
        <v/>
      </c>
      <c r="C107" s="866">
        <f>IF(A107&lt;&gt;"",IFERROR(VLOOKUP($A107,RENO!$C$12:$P$105,4,0),""),"")</f>
        <v/>
      </c>
      <c r="E107" s="534">
        <f>IF(A107&lt;&gt;"",IFERROR(VLOOKUP($A107,RENO!$C$12:$P$105,7,0),""),"")</f>
        <v/>
      </c>
      <c r="F107" s="534">
        <f>IF(A107&lt;&gt;"",IFERROR(VLOOKUP($A107,RENO!$C$12:$P$105,8,0),""),"")</f>
        <v/>
      </c>
      <c r="G107" s="867">
        <f>IF(A107&lt;&gt;"",IFERROR(VLOOKUP($A107,RENO!$C$12:$P$105,12,0),""),"")</f>
        <v/>
      </c>
      <c r="H107" s="867">
        <f>IF(A107&lt;&gt;"",IFERROR(VLOOKUP($A107,RENO!$C$12:$P$105,13,0),""),"")</f>
        <v/>
      </c>
      <c r="I107" s="868">
        <f>IF(A107&lt;&gt;"",IFERROR(VLOOKUP($A107,RENO!$C$12:$P$105,14,0),""),"")</f>
        <v/>
      </c>
      <c r="J107" s="548" t="n"/>
      <c r="K107" s="548" t="n"/>
      <c r="L107" s="548" t="n"/>
      <c r="M107" s="548" t="n"/>
      <c r="N107" s="548" t="n"/>
      <c r="O107" s="548" t="n"/>
      <c r="P107" s="548" t="n"/>
      <c r="Q107" s="548" t="n"/>
      <c r="R107" s="548" t="n"/>
      <c r="S107" s="548" t="n"/>
      <c r="T107" s="21" t="n"/>
      <c r="U107" s="21" t="n"/>
      <c r="V107" s="21" t="n"/>
      <c r="W107" s="21" t="n"/>
      <c r="X107" s="21" t="n"/>
      <c r="Y107" s="21" t="n"/>
      <c r="Z107" s="21" t="n"/>
    </row>
    <row r="108" ht="15.75" customHeight="1" s="545">
      <c r="A108" s="532">
        <f>IF(MAX(RENO!$C$12:$C$93)&gt;A107,A107+1,"")</f>
        <v/>
      </c>
      <c r="B108" s="479">
        <f>IF(A108&lt;&gt;"",IFERROR(VLOOKUP($A108,RENO!$C$12:$P$105,2,0),""),"")</f>
        <v/>
      </c>
      <c r="C108" s="866">
        <f>IF(A108&lt;&gt;"",IFERROR(VLOOKUP($A108,RENO!$C$12:$P$105,4,0),""),"")</f>
        <v/>
      </c>
      <c r="E108" s="534">
        <f>IF(A108&lt;&gt;"",IFERROR(VLOOKUP($A108,RENO!$C$12:$P$105,7,0),""),"")</f>
        <v/>
      </c>
      <c r="F108" s="534">
        <f>IF(A108&lt;&gt;"",IFERROR(VLOOKUP($A108,RENO!$C$12:$P$105,8,0),""),"")</f>
        <v/>
      </c>
      <c r="G108" s="867">
        <f>IF(A108&lt;&gt;"",IFERROR(VLOOKUP($A108,RENO!$C$12:$P$105,12,0),""),"")</f>
        <v/>
      </c>
      <c r="H108" s="867">
        <f>IF(A108&lt;&gt;"",IFERROR(VLOOKUP($A108,RENO!$C$12:$P$105,13,0),""),"")</f>
        <v/>
      </c>
      <c r="I108" s="868">
        <f>IF(A108&lt;&gt;"",IFERROR(VLOOKUP($A108,RENO!$C$12:$P$105,14,0),""),"")</f>
        <v/>
      </c>
      <c r="J108" s="548" t="n"/>
      <c r="K108" s="548" t="n"/>
      <c r="L108" s="548" t="n"/>
      <c r="M108" s="548" t="n"/>
      <c r="N108" s="548" t="n"/>
      <c r="O108" s="548" t="n"/>
      <c r="P108" s="548" t="n"/>
      <c r="Q108" s="548" t="n"/>
      <c r="R108" s="548" t="n"/>
      <c r="S108" s="548" t="n"/>
      <c r="T108" s="21" t="n"/>
      <c r="U108" s="21" t="n"/>
      <c r="V108" s="21" t="n"/>
      <c r="W108" s="21" t="n"/>
      <c r="X108" s="21" t="n"/>
      <c r="Y108" s="21" t="n"/>
      <c r="Z108" s="21" t="n"/>
    </row>
    <row r="109" ht="15.75" customHeight="1" s="545">
      <c r="A109" s="532">
        <f>IF(MAX(RENO!$C$12:$C$93)&gt;A108,A108+1,"")</f>
        <v/>
      </c>
      <c r="B109" s="479">
        <f>IF(A109&lt;&gt;"",IFERROR(VLOOKUP($A109,RENO!$C$12:$P$105,2,0),""),"")</f>
        <v/>
      </c>
      <c r="C109" s="866">
        <f>IF(A109&lt;&gt;"",IFERROR(VLOOKUP($A109,RENO!$C$12:$P$105,4,0),""),"")</f>
        <v/>
      </c>
      <c r="E109" s="534">
        <f>IF(A109&lt;&gt;"",IFERROR(VLOOKUP($A109,RENO!$C$12:$P$105,7,0),""),"")</f>
        <v/>
      </c>
      <c r="F109" s="534">
        <f>IF(A109&lt;&gt;"",IFERROR(VLOOKUP($A109,RENO!$C$12:$P$105,8,0),""),"")</f>
        <v/>
      </c>
      <c r="G109" s="867">
        <f>IF(A109&lt;&gt;"",IFERROR(VLOOKUP($A109,RENO!$C$12:$P$105,12,0),""),"")</f>
        <v/>
      </c>
      <c r="H109" s="867">
        <f>IF(A109&lt;&gt;"",IFERROR(VLOOKUP($A109,RENO!$C$12:$P$105,13,0),""),"")</f>
        <v/>
      </c>
      <c r="I109" s="868">
        <f>IF(A109&lt;&gt;"",IFERROR(VLOOKUP($A109,RENO!$C$12:$P$105,14,0),""),"")</f>
        <v/>
      </c>
      <c r="J109" s="548" t="n"/>
      <c r="K109" s="548" t="n"/>
      <c r="L109" s="548" t="n"/>
      <c r="M109" s="548" t="n"/>
      <c r="N109" s="548" t="n"/>
      <c r="O109" s="548" t="n"/>
      <c r="P109" s="548" t="n"/>
      <c r="Q109" s="548" t="n"/>
      <c r="R109" s="548" t="n"/>
      <c r="S109" s="548" t="n"/>
      <c r="T109" s="21" t="n"/>
      <c r="U109" s="21" t="n"/>
      <c r="V109" s="21" t="n"/>
      <c r="W109" s="21" t="n"/>
      <c r="X109" s="21" t="n"/>
      <c r="Y109" s="21" t="n"/>
      <c r="Z109" s="21" t="n"/>
    </row>
    <row r="110" ht="15.75" customHeight="1" s="545">
      <c r="A110" s="532">
        <f>IF(MAX(RENO!$C$12:$C$93)&gt;A109,A109+1,"")</f>
        <v/>
      </c>
      <c r="B110" s="479">
        <f>IF(A110&lt;&gt;"",IFERROR(VLOOKUP($A110,RENO!$C$12:$P$105,2,0),""),"")</f>
        <v/>
      </c>
      <c r="C110" s="866">
        <f>IF(A110&lt;&gt;"",IFERROR(VLOOKUP($A110,RENO!$C$12:$P$105,4,0),""),"")</f>
        <v/>
      </c>
      <c r="E110" s="534">
        <f>IF(A110&lt;&gt;"",IFERROR(VLOOKUP($A110,RENO!$C$12:$P$105,7,0),""),"")</f>
        <v/>
      </c>
      <c r="F110" s="534">
        <f>IF(A110&lt;&gt;"",IFERROR(VLOOKUP($A110,RENO!$C$12:$P$105,8,0),""),"")</f>
        <v/>
      </c>
      <c r="G110" s="867">
        <f>IF(A110&lt;&gt;"",IFERROR(VLOOKUP($A110,RENO!$C$12:$P$105,12,0),""),"")</f>
        <v/>
      </c>
      <c r="H110" s="867">
        <f>IF(A110&lt;&gt;"",IFERROR(VLOOKUP($A110,RENO!$C$12:$P$105,13,0),""),"")</f>
        <v/>
      </c>
      <c r="I110" s="868">
        <f>IF(A110&lt;&gt;"",IFERROR(VLOOKUP($A110,RENO!$C$12:$P$105,14,0),""),"")</f>
        <v/>
      </c>
      <c r="J110" s="548" t="n"/>
      <c r="K110" s="548" t="n"/>
      <c r="L110" s="548" t="n"/>
      <c r="M110" s="548" t="n"/>
      <c r="N110" s="548" t="n"/>
      <c r="O110" s="548" t="n"/>
      <c r="P110" s="548" t="n"/>
      <c r="Q110" s="548" t="n"/>
      <c r="R110" s="548" t="n"/>
      <c r="S110" s="548" t="n"/>
      <c r="T110" s="21" t="n"/>
      <c r="U110" s="21" t="n"/>
      <c r="V110" s="21" t="n"/>
      <c r="W110" s="21" t="n"/>
      <c r="X110" s="21" t="n"/>
      <c r="Y110" s="21" t="n"/>
      <c r="Z110" s="21" t="n"/>
    </row>
    <row r="111" ht="15.75" customHeight="1" s="545">
      <c r="A111" s="532">
        <f>IF(MAX(RENO!$C$12:$C$93)&gt;A110,A110+1,"")</f>
        <v/>
      </c>
      <c r="B111" s="479">
        <f>IF(A111&lt;&gt;"",IFERROR(VLOOKUP($A111,RENO!$C$12:$P$105,2,0),""),"")</f>
        <v/>
      </c>
      <c r="C111" s="866">
        <f>IF(A111&lt;&gt;"",IFERROR(VLOOKUP($A111,RENO!$C$12:$P$105,4,0),""),"")</f>
        <v/>
      </c>
      <c r="E111" s="534">
        <f>IF(A111&lt;&gt;"",IFERROR(VLOOKUP($A111,RENO!$C$12:$P$105,7,0),""),"")</f>
        <v/>
      </c>
      <c r="F111" s="534">
        <f>IF(A111&lt;&gt;"",IFERROR(VLOOKUP($A111,RENO!$C$12:$P$105,8,0),""),"")</f>
        <v/>
      </c>
      <c r="G111" s="867">
        <f>IF(A111&lt;&gt;"",IFERROR(VLOOKUP($A111,RENO!$C$12:$P$105,12,0),""),"")</f>
        <v/>
      </c>
      <c r="H111" s="867">
        <f>IF(A111&lt;&gt;"",IFERROR(VLOOKUP($A111,RENO!$C$12:$P$105,13,0),""),"")</f>
        <v/>
      </c>
      <c r="I111" s="868">
        <f>IF(A111&lt;&gt;"",IFERROR(VLOOKUP($A111,RENO!$C$12:$P$105,14,0),""),"")</f>
        <v/>
      </c>
      <c r="J111" s="548" t="n"/>
      <c r="K111" s="548" t="n"/>
      <c r="L111" s="548" t="n"/>
      <c r="M111" s="548" t="n"/>
      <c r="N111" s="548" t="n"/>
      <c r="O111" s="548" t="n"/>
      <c r="P111" s="548" t="n"/>
      <c r="Q111" s="548" t="n"/>
      <c r="R111" s="548" t="n"/>
      <c r="S111" s="548" t="n"/>
      <c r="T111" s="21" t="n"/>
      <c r="U111" s="21" t="n"/>
      <c r="V111" s="21" t="n"/>
      <c r="W111" s="21" t="n"/>
      <c r="X111" s="21" t="n"/>
      <c r="Y111" s="21" t="n"/>
      <c r="Z111" s="21" t="n"/>
    </row>
    <row r="112" ht="15.75" customHeight="1" s="545">
      <c r="A112" s="532">
        <f>IF(MAX(RENO!$C$12:$C$93)&gt;A111,A111+1,"")</f>
        <v/>
      </c>
      <c r="B112" s="479">
        <f>IF(A112&lt;&gt;"",IFERROR(VLOOKUP($A112,RENO!$C$12:$P$105,2,0),""),"")</f>
        <v/>
      </c>
      <c r="C112" s="866">
        <f>IF(A112&lt;&gt;"",IFERROR(VLOOKUP($A112,RENO!$C$12:$P$105,4,0),""),"")</f>
        <v/>
      </c>
      <c r="E112" s="534">
        <f>IF(A112&lt;&gt;"",IFERROR(VLOOKUP($A112,RENO!$C$12:$P$105,7,0),""),"")</f>
        <v/>
      </c>
      <c r="F112" s="534">
        <f>IF(A112&lt;&gt;"",IFERROR(VLOOKUP($A112,RENO!$C$12:$P$105,8,0),""),"")</f>
        <v/>
      </c>
      <c r="G112" s="867">
        <f>IF(A112&lt;&gt;"",IFERROR(VLOOKUP($A112,RENO!$C$12:$P$105,12,0),""),"")</f>
        <v/>
      </c>
      <c r="H112" s="867">
        <f>IF(A112&lt;&gt;"",IFERROR(VLOOKUP($A112,RENO!$C$12:$P$105,13,0),""),"")</f>
        <v/>
      </c>
      <c r="I112" s="868">
        <f>IF(A112&lt;&gt;"",IFERROR(VLOOKUP($A112,RENO!$C$12:$P$105,14,0),""),"")</f>
        <v/>
      </c>
      <c r="J112" s="548" t="n"/>
      <c r="K112" s="548" t="n"/>
      <c r="L112" s="548" t="n"/>
      <c r="M112" s="548" t="n"/>
      <c r="N112" s="548" t="n"/>
      <c r="O112" s="548" t="n"/>
      <c r="P112" s="548" t="n"/>
      <c r="Q112" s="548" t="n"/>
      <c r="R112" s="548" t="n"/>
      <c r="S112" s="548" t="n"/>
      <c r="T112" s="21" t="n"/>
      <c r="U112" s="21" t="n"/>
      <c r="V112" s="21" t="n"/>
      <c r="W112" s="21" t="n"/>
      <c r="X112" s="21" t="n"/>
      <c r="Y112" s="21" t="n"/>
      <c r="Z112" s="21" t="n"/>
    </row>
    <row r="113" ht="15.75" customHeight="1" s="545">
      <c r="A113" s="532">
        <f>IF(MAX(RENO!$C$12:$C$93)&gt;A112,A112+1,"")</f>
        <v/>
      </c>
      <c r="B113" s="479">
        <f>IF(A113&lt;&gt;"",IFERROR(VLOOKUP($A113,RENO!$C$12:$P$105,2,0),""),"")</f>
        <v/>
      </c>
      <c r="C113" s="866">
        <f>IF(A113&lt;&gt;"",IFERROR(VLOOKUP($A113,RENO!$C$12:$P$105,4,0),""),"")</f>
        <v/>
      </c>
      <c r="E113" s="534">
        <f>IF(A113&lt;&gt;"",IFERROR(VLOOKUP($A113,RENO!$C$12:$P$105,7,0),""),"")</f>
        <v/>
      </c>
      <c r="F113" s="534">
        <f>IF(A113&lt;&gt;"",IFERROR(VLOOKUP($A113,RENO!$C$12:$P$105,8,0),""),"")</f>
        <v/>
      </c>
      <c r="G113" s="867">
        <f>IF(A113&lt;&gt;"",IFERROR(VLOOKUP($A113,RENO!$C$12:$P$105,12,0),""),"")</f>
        <v/>
      </c>
      <c r="H113" s="867">
        <f>IF(A113&lt;&gt;"",IFERROR(VLOOKUP($A113,RENO!$C$12:$P$105,13,0),""),"")</f>
        <v/>
      </c>
      <c r="I113" s="868">
        <f>IF(A113&lt;&gt;"",IFERROR(VLOOKUP($A113,RENO!$C$12:$P$105,14,0),""),"")</f>
        <v/>
      </c>
      <c r="J113" s="548" t="n"/>
      <c r="K113" s="548" t="n"/>
      <c r="L113" s="548" t="n"/>
      <c r="M113" s="548" t="n"/>
      <c r="N113" s="548" t="n"/>
      <c r="O113" s="548" t="n"/>
      <c r="P113" s="548" t="n"/>
      <c r="Q113" s="548" t="n"/>
      <c r="R113" s="548" t="n"/>
      <c r="S113" s="548" t="n"/>
      <c r="T113" s="21" t="n"/>
      <c r="U113" s="21" t="n"/>
      <c r="V113" s="21" t="n"/>
      <c r="W113" s="21" t="n"/>
      <c r="X113" s="21" t="n"/>
      <c r="Y113" s="21" t="n"/>
      <c r="Z113" s="21" t="n"/>
    </row>
    <row r="114" ht="15.75" customHeight="1" s="545">
      <c r="A114" s="532">
        <f>IF(MAX(RENO!$C$12:$C$93)&gt;A113,A113+1,"")</f>
        <v/>
      </c>
      <c r="B114" s="479">
        <f>IF(A114&lt;&gt;"",IFERROR(VLOOKUP($A114,RENO!$C$12:$P$105,2,0),""),"")</f>
        <v/>
      </c>
      <c r="C114" s="866">
        <f>IF(A114&lt;&gt;"",IFERROR(VLOOKUP($A114,RENO!$C$12:$P$105,4,0),""),"")</f>
        <v/>
      </c>
      <c r="E114" s="534">
        <f>IF(A114&lt;&gt;"",IFERROR(VLOOKUP($A114,RENO!$C$12:$P$105,7,0),""),"")</f>
        <v/>
      </c>
      <c r="F114" s="534">
        <f>IF(A114&lt;&gt;"",IFERROR(VLOOKUP($A114,RENO!$C$12:$P$105,8,0),""),"")</f>
        <v/>
      </c>
      <c r="G114" s="867">
        <f>IF(A114&lt;&gt;"",IFERROR(VLOOKUP($A114,RENO!$C$12:$P$105,12,0),""),"")</f>
        <v/>
      </c>
      <c r="H114" s="867">
        <f>IF(A114&lt;&gt;"",IFERROR(VLOOKUP($A114,RENO!$C$12:$P$105,13,0),""),"")</f>
        <v/>
      </c>
      <c r="I114" s="868">
        <f>IF(A114&lt;&gt;"",IFERROR(VLOOKUP($A114,RENO!$C$12:$P$105,14,0),""),"")</f>
        <v/>
      </c>
      <c r="J114" s="548" t="n"/>
      <c r="K114" s="548" t="n"/>
      <c r="L114" s="548" t="n"/>
      <c r="M114" s="548" t="n"/>
      <c r="N114" s="548" t="n"/>
      <c r="O114" s="548" t="n"/>
      <c r="P114" s="548" t="n"/>
      <c r="Q114" s="548" t="n"/>
      <c r="R114" s="548" t="n"/>
      <c r="S114" s="548" t="n"/>
      <c r="T114" s="21" t="n"/>
      <c r="U114" s="21" t="n"/>
      <c r="V114" s="21" t="n"/>
      <c r="W114" s="21" t="n"/>
      <c r="X114" s="21" t="n"/>
      <c r="Y114" s="21" t="n"/>
      <c r="Z114" s="21" t="n"/>
    </row>
    <row r="115" ht="15.75" customHeight="1" s="545">
      <c r="A115" s="532">
        <f>IF(MAX(RENO!$C$12:$C$93)&gt;A114,A114+1,"")</f>
        <v/>
      </c>
      <c r="B115" s="479">
        <f>IF(A115&lt;&gt;"",IFERROR(VLOOKUP($A115,RENO!$C$12:$P$105,2,0),""),"")</f>
        <v/>
      </c>
      <c r="C115" s="866">
        <f>IF(A115&lt;&gt;"",IFERROR(VLOOKUP($A115,RENO!$C$12:$P$105,4,0),""),"")</f>
        <v/>
      </c>
      <c r="E115" s="534">
        <f>IF(A115&lt;&gt;"",IFERROR(VLOOKUP($A115,RENO!$C$12:$P$105,7,0),""),"")</f>
        <v/>
      </c>
      <c r="F115" s="534">
        <f>IF(A115&lt;&gt;"",IFERROR(VLOOKUP($A115,RENO!$C$12:$P$105,8,0),""),"")</f>
        <v/>
      </c>
      <c r="G115" s="867">
        <f>IF(A115&lt;&gt;"",IFERROR(VLOOKUP($A115,RENO!$C$12:$P$105,12,0),""),"")</f>
        <v/>
      </c>
      <c r="H115" s="867">
        <f>IF(A115&lt;&gt;"",IFERROR(VLOOKUP($A115,RENO!$C$12:$P$105,13,0),""),"")</f>
        <v/>
      </c>
      <c r="I115" s="868">
        <f>IF(A115&lt;&gt;"",IFERROR(VLOOKUP($A115,RENO!$C$12:$P$105,14,0),""),"")</f>
        <v/>
      </c>
      <c r="J115" s="548" t="n"/>
      <c r="K115" s="548" t="n"/>
      <c r="L115" s="548" t="n"/>
      <c r="M115" s="548" t="n"/>
      <c r="N115" s="548" t="n"/>
      <c r="O115" s="548" t="n"/>
      <c r="P115" s="548" t="n"/>
      <c r="Q115" s="548" t="n"/>
      <c r="R115" s="548" t="n"/>
      <c r="S115" s="548" t="n"/>
      <c r="T115" s="21" t="n"/>
      <c r="U115" s="21" t="n"/>
      <c r="V115" s="21" t="n"/>
      <c r="W115" s="21" t="n"/>
      <c r="X115" s="21" t="n"/>
      <c r="Y115" s="21" t="n"/>
      <c r="Z115" s="21" t="n"/>
    </row>
    <row r="116" ht="15.75" customHeight="1" s="545">
      <c r="A116" s="532">
        <f>IF(MAX(RENO!$C$12:$C$93)&gt;A115,A115+1,"")</f>
        <v/>
      </c>
      <c r="B116" s="479">
        <f>IF(A116&lt;&gt;"",IFERROR(VLOOKUP($A116,RENO!$C$12:$P$105,2,0),""),"")</f>
        <v/>
      </c>
      <c r="C116" s="866">
        <f>IF(A116&lt;&gt;"",IFERROR(VLOOKUP($A116,RENO!$C$12:$P$105,4,0),""),"")</f>
        <v/>
      </c>
      <c r="E116" s="534">
        <f>IF(A116&lt;&gt;"",IFERROR(VLOOKUP($A116,RENO!$C$12:$P$105,7,0),""),"")</f>
        <v/>
      </c>
      <c r="F116" s="534">
        <f>IF(A116&lt;&gt;"",IFERROR(VLOOKUP($A116,RENO!$C$12:$P$105,8,0),""),"")</f>
        <v/>
      </c>
      <c r="G116" s="867">
        <f>IF(A116&lt;&gt;"",IFERROR(VLOOKUP($A116,RENO!$C$12:$P$105,12,0),""),"")</f>
        <v/>
      </c>
      <c r="H116" s="867">
        <f>IF(A116&lt;&gt;"",IFERROR(VLOOKUP($A116,RENO!$C$12:$P$105,13,0),""),"")</f>
        <v/>
      </c>
      <c r="I116" s="868">
        <f>IF(A116&lt;&gt;"",IFERROR(VLOOKUP($A116,RENO!$C$12:$P$105,14,0),""),"")</f>
        <v/>
      </c>
      <c r="J116" s="548" t="n"/>
      <c r="K116" s="548" t="n"/>
      <c r="L116" s="548" t="n"/>
      <c r="M116" s="548" t="n"/>
      <c r="N116" s="548" t="n"/>
      <c r="O116" s="548" t="n"/>
      <c r="P116" s="548" t="n"/>
      <c r="Q116" s="548" t="n"/>
      <c r="R116" s="548" t="n"/>
      <c r="S116" s="548" t="n"/>
      <c r="T116" s="21" t="n"/>
      <c r="U116" s="21" t="n"/>
      <c r="V116" s="21" t="n"/>
      <c r="W116" s="21" t="n"/>
      <c r="X116" s="21" t="n"/>
      <c r="Y116" s="21" t="n"/>
      <c r="Z116" s="21" t="n"/>
    </row>
    <row r="117" ht="15.75" customHeight="1" s="545">
      <c r="A117" s="532">
        <f>IF(MAX(RENO!$C$12:$C$93)&gt;A116,A116+1,"")</f>
        <v/>
      </c>
      <c r="B117" s="479">
        <f>IF(A117&lt;&gt;"",IFERROR(VLOOKUP($A117,RENO!$C$12:$P$105,2,0),""),"")</f>
        <v/>
      </c>
      <c r="C117" s="866">
        <f>IF(A117&lt;&gt;"",IFERROR(VLOOKUP($A117,RENO!$C$12:$P$105,4,0),""),"")</f>
        <v/>
      </c>
      <c r="E117" s="534">
        <f>IF(A117&lt;&gt;"",IFERROR(VLOOKUP($A117,RENO!$C$12:$P$105,7,0),""),"")</f>
        <v/>
      </c>
      <c r="F117" s="534">
        <f>IF(A117&lt;&gt;"",IFERROR(VLOOKUP($A117,RENO!$C$12:$P$105,8,0),""),"")</f>
        <v/>
      </c>
      <c r="G117" s="867">
        <f>IF(A117&lt;&gt;"",IFERROR(VLOOKUP($A117,RENO!$C$12:$P$105,12,0),""),"")</f>
        <v/>
      </c>
      <c r="H117" s="867">
        <f>IF(A117&lt;&gt;"",IFERROR(VLOOKUP($A117,RENO!$C$12:$P$105,13,0),""),"")</f>
        <v/>
      </c>
      <c r="I117" s="868">
        <f>IF(A117&lt;&gt;"",IFERROR(VLOOKUP($A117,RENO!$C$12:$P$105,14,0),""),"")</f>
        <v/>
      </c>
      <c r="J117" s="548" t="n"/>
      <c r="K117" s="548" t="n"/>
      <c r="L117" s="548" t="n"/>
      <c r="M117" s="548" t="n"/>
      <c r="N117" s="548" t="n"/>
      <c r="O117" s="548" t="n"/>
      <c r="P117" s="548" t="n"/>
      <c r="Q117" s="548" t="n"/>
      <c r="R117" s="548" t="n"/>
      <c r="S117" s="548" t="n"/>
      <c r="T117" s="21" t="n"/>
      <c r="U117" s="21" t="n"/>
      <c r="V117" s="21" t="n"/>
      <c r="W117" s="21" t="n"/>
      <c r="X117" s="21" t="n"/>
      <c r="Y117" s="21" t="n"/>
      <c r="Z117" s="21" t="n"/>
    </row>
    <row r="118" ht="15.75" customHeight="1" s="545">
      <c r="A118" s="532">
        <f>IF(MAX(RENO!$C$12:$C$93)&gt;A117,A117+1,"")</f>
        <v/>
      </c>
      <c r="B118" s="479">
        <f>IF(A118&lt;&gt;"",IFERROR(VLOOKUP($A118,RENO!$C$12:$P$105,2,0),""),"")</f>
        <v/>
      </c>
      <c r="C118" s="866">
        <f>IF(A118&lt;&gt;"",IFERROR(VLOOKUP($A118,RENO!$C$12:$P$105,4,0),""),"")</f>
        <v/>
      </c>
      <c r="E118" s="534">
        <f>IF(A118&lt;&gt;"",IFERROR(VLOOKUP($A118,RENO!$C$12:$P$105,7,0),""),"")</f>
        <v/>
      </c>
      <c r="F118" s="534">
        <f>IF(A118&lt;&gt;"",IFERROR(VLOOKUP($A118,RENO!$C$12:$P$105,8,0),""),"")</f>
        <v/>
      </c>
      <c r="G118" s="867">
        <f>IF(A118&lt;&gt;"",IFERROR(VLOOKUP($A118,RENO!$C$12:$P$105,12,0),""),"")</f>
        <v/>
      </c>
      <c r="H118" s="867">
        <f>IF(A118&lt;&gt;"",IFERROR(VLOOKUP($A118,RENO!$C$12:$P$105,13,0),""),"")</f>
        <v/>
      </c>
      <c r="I118" s="868">
        <f>IF(A118&lt;&gt;"",IFERROR(VLOOKUP($A118,RENO!$C$12:$P$105,14,0),""),"")</f>
        <v/>
      </c>
      <c r="J118" s="548" t="n"/>
      <c r="K118" s="548" t="n"/>
      <c r="L118" s="548" t="n"/>
      <c r="M118" s="548" t="n"/>
      <c r="N118" s="548" t="n"/>
      <c r="O118" s="548" t="n"/>
      <c r="P118" s="548" t="n"/>
      <c r="Q118" s="548" t="n"/>
      <c r="R118" s="548" t="n"/>
      <c r="S118" s="548" t="n"/>
      <c r="T118" s="21" t="n"/>
      <c r="U118" s="21" t="n"/>
      <c r="V118" s="21" t="n"/>
      <c r="W118" s="21" t="n"/>
      <c r="X118" s="21" t="n"/>
      <c r="Y118" s="21" t="n"/>
      <c r="Z118" s="21" t="n"/>
    </row>
    <row r="119" ht="15.75" customHeight="1" s="545">
      <c r="A119" s="532">
        <f>IF(MAX(RENO!$C$12:$C$93)&gt;A118,A118+1,"")</f>
        <v/>
      </c>
      <c r="B119" s="479">
        <f>IF(A119&lt;&gt;"",IFERROR(VLOOKUP($A119,RENO!$C$12:$P$105,2,0),""),"")</f>
        <v/>
      </c>
      <c r="C119" s="866">
        <f>IF(A119&lt;&gt;"",IFERROR(VLOOKUP($A119,RENO!$C$12:$P$105,4,0),""),"")</f>
        <v/>
      </c>
      <c r="E119" s="534">
        <f>IF(A119&lt;&gt;"",IFERROR(VLOOKUP($A119,RENO!$C$12:$P$105,7,0),""),"")</f>
        <v/>
      </c>
      <c r="F119" s="534">
        <f>IF(A119&lt;&gt;"",IFERROR(VLOOKUP($A119,RENO!$C$12:$P$105,8,0),""),"")</f>
        <v/>
      </c>
      <c r="G119" s="867">
        <f>IF(A119&lt;&gt;"",IFERROR(VLOOKUP($A119,RENO!$C$12:$P$105,12,0),""),"")</f>
        <v/>
      </c>
      <c r="H119" s="867">
        <f>IF(A119&lt;&gt;"",IFERROR(VLOOKUP($A119,RENO!$C$12:$P$105,13,0),""),"")</f>
        <v/>
      </c>
      <c r="I119" s="868">
        <f>IF(A119&lt;&gt;"",IFERROR(VLOOKUP($A119,RENO!$C$12:$P$105,14,0),""),"")</f>
        <v/>
      </c>
      <c r="J119" s="548" t="n"/>
      <c r="K119" s="548" t="n"/>
      <c r="L119" s="548" t="n"/>
      <c r="M119" s="548" t="n"/>
      <c r="N119" s="548" t="n"/>
      <c r="O119" s="548" t="n"/>
      <c r="P119" s="548" t="n"/>
      <c r="Q119" s="548" t="n"/>
      <c r="R119" s="548" t="n"/>
      <c r="S119" s="548" t="n"/>
      <c r="T119" s="21" t="n"/>
      <c r="U119" s="21" t="n"/>
      <c r="V119" s="21" t="n"/>
      <c r="W119" s="21" t="n"/>
      <c r="X119" s="21" t="n"/>
      <c r="Y119" s="21" t="n"/>
      <c r="Z119" s="21" t="n"/>
    </row>
    <row r="120" ht="15.75" customHeight="1" s="545">
      <c r="A120" s="532">
        <f>IF(MAX(RENO!$C$12:$C$93)&gt;A119,A119+1,"")</f>
        <v/>
      </c>
      <c r="B120" s="479">
        <f>IF(A120&lt;&gt;"",IFERROR(VLOOKUP($A120,RENO!$C$12:$P$105,2,0),""),"")</f>
        <v/>
      </c>
      <c r="C120" s="866">
        <f>IF(A120&lt;&gt;"",IFERROR(VLOOKUP($A120,RENO!$C$12:$P$105,4,0),""),"")</f>
        <v/>
      </c>
      <c r="E120" s="534">
        <f>IF(A120&lt;&gt;"",IFERROR(VLOOKUP($A120,RENO!$C$12:$P$105,7,0),""),"")</f>
        <v/>
      </c>
      <c r="F120" s="534">
        <f>IF(A120&lt;&gt;"",IFERROR(VLOOKUP($A120,RENO!$C$12:$P$105,8,0),""),"")</f>
        <v/>
      </c>
      <c r="G120" s="867">
        <f>IF(A120&lt;&gt;"",IFERROR(VLOOKUP($A120,RENO!$C$12:$P$105,12,0),""),"")</f>
        <v/>
      </c>
      <c r="H120" s="867">
        <f>IF(A120&lt;&gt;"",IFERROR(VLOOKUP($A120,RENO!$C$12:$P$105,13,0),""),"")</f>
        <v/>
      </c>
      <c r="I120" s="868">
        <f>IF(A120&lt;&gt;"",IFERROR(VLOOKUP($A120,RENO!$C$12:$P$105,14,0),""),"")</f>
        <v/>
      </c>
      <c r="J120" s="548" t="n"/>
      <c r="K120" s="548" t="n"/>
      <c r="L120" s="548" t="n"/>
      <c r="M120" s="548" t="n"/>
      <c r="N120" s="548" t="n"/>
      <c r="O120" s="548" t="n"/>
      <c r="P120" s="548" t="n"/>
      <c r="Q120" s="548" t="n"/>
      <c r="R120" s="548" t="n"/>
      <c r="S120" s="548" t="n"/>
      <c r="T120" s="21" t="n"/>
      <c r="U120" s="21" t="n"/>
      <c r="V120" s="21" t="n"/>
      <c r="W120" s="21" t="n"/>
      <c r="X120" s="21" t="n"/>
      <c r="Y120" s="21" t="n"/>
      <c r="Z120" s="21" t="n"/>
    </row>
    <row r="121" ht="15.75" customHeight="1" s="545">
      <c r="A121" s="532">
        <f>IF(MAX(RENO!$C$12:$C$93)&gt;A120,A120+1,"")</f>
        <v/>
      </c>
      <c r="B121" s="479">
        <f>IF(A121&lt;&gt;"",IFERROR(VLOOKUP($A121,RENO!$C$12:$P$105,2,0),""),"")</f>
        <v/>
      </c>
      <c r="C121" s="866">
        <f>IF(A121&lt;&gt;"",IFERROR(VLOOKUP($A121,RENO!$C$12:$P$105,4,0),""),"")</f>
        <v/>
      </c>
      <c r="E121" s="534">
        <f>IF(A121&lt;&gt;"",IFERROR(VLOOKUP($A121,RENO!$C$12:$P$105,7,0),""),"")</f>
        <v/>
      </c>
      <c r="F121" s="534">
        <f>IF(A121&lt;&gt;"",IFERROR(VLOOKUP($A121,RENO!$C$12:$P$105,8,0),""),"")</f>
        <v/>
      </c>
      <c r="G121" s="867">
        <f>IF(A121&lt;&gt;"",IFERROR(VLOOKUP($A121,RENO!$C$12:$P$105,12,0),""),"")</f>
        <v/>
      </c>
      <c r="H121" s="867">
        <f>IF(A121&lt;&gt;"",IFERROR(VLOOKUP($A121,RENO!$C$12:$P$105,13,0),""),"")</f>
        <v/>
      </c>
      <c r="I121" s="868">
        <f>IF(A121&lt;&gt;"",IFERROR(VLOOKUP($A121,RENO!$C$12:$P$105,14,0),""),"")</f>
        <v/>
      </c>
      <c r="J121" s="548" t="n"/>
      <c r="K121" s="548" t="n"/>
      <c r="L121" s="548" t="n"/>
      <c r="M121" s="548" t="n"/>
      <c r="N121" s="548" t="n"/>
      <c r="O121" s="548" t="n"/>
      <c r="P121" s="548" t="n"/>
      <c r="Q121" s="548" t="n"/>
      <c r="R121" s="548" t="n"/>
      <c r="S121" s="548" t="n"/>
      <c r="T121" s="21" t="n"/>
      <c r="U121" s="21" t="n"/>
      <c r="V121" s="21" t="n"/>
      <c r="W121" s="21" t="n"/>
      <c r="X121" s="21" t="n"/>
      <c r="Y121" s="21" t="n"/>
      <c r="Z121" s="21" t="n"/>
    </row>
    <row r="122" ht="15.75" customHeight="1" s="545">
      <c r="A122" s="532">
        <f>IF(MAX(RENO!$C$12:$C$93)&gt;A121,A121+1,"")</f>
        <v/>
      </c>
      <c r="B122" s="479">
        <f>IF(A122&lt;&gt;"",IFERROR(VLOOKUP($A122,RENO!$C$12:$P$105,2,0),""),"")</f>
        <v/>
      </c>
      <c r="C122" s="866">
        <f>IF(A122&lt;&gt;"",IFERROR(VLOOKUP($A122,RENO!$C$12:$P$105,4,0),""),"")</f>
        <v/>
      </c>
      <c r="E122" s="534">
        <f>IF(A122&lt;&gt;"",IFERROR(VLOOKUP($A122,RENO!$C$12:$P$105,7,0),""),"")</f>
        <v/>
      </c>
      <c r="F122" s="534">
        <f>IF(A122&lt;&gt;"",IFERROR(VLOOKUP($A122,RENO!$C$12:$P$105,8,0),""),"")</f>
        <v/>
      </c>
      <c r="G122" s="867">
        <f>IF(A122&lt;&gt;"",IFERROR(VLOOKUP($A122,RENO!$C$12:$P$105,12,0),""),"")</f>
        <v/>
      </c>
      <c r="H122" s="867">
        <f>IF(A122&lt;&gt;"",IFERROR(VLOOKUP($A122,RENO!$C$12:$P$105,13,0),""),"")</f>
        <v/>
      </c>
      <c r="I122" s="868">
        <f>IF(A122&lt;&gt;"",IFERROR(VLOOKUP($A122,RENO!$C$12:$P$105,14,0),""),"")</f>
        <v/>
      </c>
      <c r="J122" s="548" t="n"/>
      <c r="K122" s="548" t="n"/>
      <c r="L122" s="548" t="n"/>
      <c r="M122" s="548" t="n"/>
      <c r="N122" s="548" t="n"/>
      <c r="O122" s="548" t="n"/>
      <c r="P122" s="548" t="n"/>
      <c r="Q122" s="548" t="n"/>
      <c r="R122" s="548" t="n"/>
      <c r="S122" s="548" t="n"/>
      <c r="T122" s="21" t="n"/>
      <c r="U122" s="21" t="n"/>
      <c r="V122" s="21" t="n"/>
      <c r="W122" s="21" t="n"/>
      <c r="X122" s="21" t="n"/>
      <c r="Y122" s="21" t="n"/>
      <c r="Z122" s="21" t="n"/>
    </row>
    <row r="123" ht="15.75" customHeight="1" s="545">
      <c r="A123" s="532">
        <f>IF(MAX(RENO!$C$12:$C$93)&gt;A122,A122+1,"")</f>
        <v/>
      </c>
      <c r="B123" s="479">
        <f>IF(A123&lt;&gt;"",IFERROR(VLOOKUP($A123,RENO!$C$12:$P$105,2,0),""),"")</f>
        <v/>
      </c>
      <c r="C123" s="866">
        <f>IF(A123&lt;&gt;"",IFERROR(VLOOKUP($A123,RENO!$C$12:$P$105,4,0),""),"")</f>
        <v/>
      </c>
      <c r="E123" s="534">
        <f>IF(A123&lt;&gt;"",IFERROR(VLOOKUP($A123,RENO!$C$12:$P$105,7,0),""),"")</f>
        <v/>
      </c>
      <c r="F123" s="534">
        <f>IF(A123&lt;&gt;"",IFERROR(VLOOKUP($A123,RENO!$C$12:$P$105,8,0),""),"")</f>
        <v/>
      </c>
      <c r="G123" s="867">
        <f>IF(A123&lt;&gt;"",IFERROR(VLOOKUP($A123,RENO!$C$12:$P$105,12,0),""),"")</f>
        <v/>
      </c>
      <c r="H123" s="867">
        <f>IF(A123&lt;&gt;"",IFERROR(VLOOKUP($A123,RENO!$C$12:$P$105,13,0),""),"")</f>
        <v/>
      </c>
      <c r="I123" s="868">
        <f>IF(A123&lt;&gt;"",IFERROR(VLOOKUP($A123,RENO!$C$12:$P$105,14,0),""),"")</f>
        <v/>
      </c>
      <c r="J123" s="548" t="n"/>
      <c r="K123" s="548" t="n"/>
      <c r="L123" s="548" t="n"/>
      <c r="M123" s="548" t="n"/>
      <c r="N123" s="548" t="n"/>
      <c r="O123" s="548" t="n"/>
      <c r="P123" s="548" t="n"/>
      <c r="Q123" s="548" t="n"/>
      <c r="R123" s="548" t="n"/>
      <c r="S123" s="548" t="n"/>
      <c r="T123" s="21" t="n"/>
      <c r="U123" s="21" t="n"/>
      <c r="V123" s="21" t="n"/>
      <c r="W123" s="21" t="n"/>
      <c r="X123" s="21" t="n"/>
      <c r="Y123" s="21" t="n"/>
      <c r="Z123" s="21" t="n"/>
    </row>
    <row r="124" ht="15.75" customHeight="1" s="545">
      <c r="A124" s="532">
        <f>IF(MAX(RENO!$C$12:$C$93)&gt;A123,A123+1,"")</f>
        <v/>
      </c>
      <c r="B124" s="479">
        <f>IF(A124&lt;&gt;"",IFERROR(VLOOKUP($A124,RENO!$C$12:$P$105,2,0),""),"")</f>
        <v/>
      </c>
      <c r="C124" s="866">
        <f>IF(A124&lt;&gt;"",IFERROR(VLOOKUP($A124,RENO!$C$12:$P$105,4,0),""),"")</f>
        <v/>
      </c>
      <c r="E124" s="534">
        <f>IF(A124&lt;&gt;"",IFERROR(VLOOKUP($A124,RENO!$C$12:$P$105,7,0),""),"")</f>
        <v/>
      </c>
      <c r="F124" s="534">
        <f>IF(A124&lt;&gt;"",IFERROR(VLOOKUP($A124,RENO!$C$12:$P$105,8,0),""),"")</f>
        <v/>
      </c>
      <c r="G124" s="867">
        <f>IF(A124&lt;&gt;"",IFERROR(VLOOKUP($A124,RENO!$C$12:$P$105,12,0),""),"")</f>
        <v/>
      </c>
      <c r="H124" s="867">
        <f>IF(A124&lt;&gt;"",IFERROR(VLOOKUP($A124,RENO!$C$12:$P$105,13,0),""),"")</f>
        <v/>
      </c>
      <c r="I124" s="868">
        <f>IF(A124&lt;&gt;"",IFERROR(VLOOKUP($A124,RENO!$C$12:$P$105,14,0),""),"")</f>
        <v/>
      </c>
      <c r="J124" s="548" t="n"/>
      <c r="K124" s="548" t="n"/>
      <c r="L124" s="548" t="n"/>
      <c r="M124" s="548" t="n"/>
      <c r="N124" s="548" t="n"/>
      <c r="O124" s="548" t="n"/>
      <c r="P124" s="548" t="n"/>
      <c r="Q124" s="548" t="n"/>
      <c r="R124" s="548" t="n"/>
      <c r="S124" s="548" t="n"/>
      <c r="T124" s="21" t="n"/>
      <c r="U124" s="21" t="n"/>
      <c r="V124" s="21" t="n"/>
      <c r="W124" s="21" t="n"/>
      <c r="X124" s="21" t="n"/>
      <c r="Y124" s="21" t="n"/>
      <c r="Z124" s="21" t="n"/>
    </row>
    <row r="125" ht="15.75" customHeight="1" s="545">
      <c r="A125" s="532">
        <f>IF(MAX(RENO!$C$12:$C$93)&gt;A124,A124+1,"")</f>
        <v/>
      </c>
      <c r="B125" s="479">
        <f>IF(A125&lt;&gt;"",IFERROR(VLOOKUP($A125,RENO!$C$12:$P$105,2,0),""),"")</f>
        <v/>
      </c>
      <c r="C125" s="866">
        <f>IF(A125&lt;&gt;"",IFERROR(VLOOKUP($A125,RENO!$C$12:$P$105,4,0),""),"")</f>
        <v/>
      </c>
      <c r="E125" s="534">
        <f>IF(A125&lt;&gt;"",IFERROR(VLOOKUP($A125,RENO!$C$12:$P$105,7,0),""),"")</f>
        <v/>
      </c>
      <c r="F125" s="534">
        <f>IF(A125&lt;&gt;"",IFERROR(VLOOKUP($A125,RENO!$C$12:$P$105,8,0),""),"")</f>
        <v/>
      </c>
      <c r="G125" s="867">
        <f>IF(A125&lt;&gt;"",IFERROR(VLOOKUP($A125,RENO!$C$12:$P$105,12,0),""),"")</f>
        <v/>
      </c>
      <c r="H125" s="867">
        <f>IF(A125&lt;&gt;"",IFERROR(VLOOKUP($A125,RENO!$C$12:$P$105,13,0),""),"")</f>
        <v/>
      </c>
      <c r="I125" s="868">
        <f>IF(A125&lt;&gt;"",IFERROR(VLOOKUP($A125,RENO!$C$12:$P$105,14,0),""),"")</f>
        <v/>
      </c>
      <c r="J125" s="548" t="n"/>
      <c r="K125" s="548" t="n"/>
      <c r="L125" s="548" t="n"/>
      <c r="M125" s="548" t="n"/>
      <c r="N125" s="548" t="n"/>
      <c r="O125" s="548" t="n"/>
      <c r="P125" s="548" t="n"/>
      <c r="Q125" s="548" t="n"/>
      <c r="R125" s="548" t="n"/>
      <c r="S125" s="548" t="n"/>
      <c r="T125" s="21" t="n"/>
      <c r="U125" s="21" t="n"/>
      <c r="V125" s="21" t="n"/>
      <c r="W125" s="21" t="n"/>
      <c r="X125" s="21" t="n"/>
      <c r="Y125" s="21" t="n"/>
      <c r="Z125" s="21" t="n"/>
    </row>
    <row r="126" ht="15.75" customHeight="1" s="545">
      <c r="A126" s="532">
        <f>IF(MAX(RENO!$C$12:$C$93)&gt;A125,A125+1,"")</f>
        <v/>
      </c>
      <c r="B126" s="479">
        <f>IF(A126&lt;&gt;"",IFERROR(VLOOKUP($A126,RENO!$C$12:$P$105,2,0),""),"")</f>
        <v/>
      </c>
      <c r="C126" s="866">
        <f>IF(A126&lt;&gt;"",IFERROR(VLOOKUP($A126,RENO!$C$12:$P$105,4,0),""),"")</f>
        <v/>
      </c>
      <c r="E126" s="534">
        <f>IF(A126&lt;&gt;"",IFERROR(VLOOKUP($A126,RENO!$C$12:$P$105,7,0),""),"")</f>
        <v/>
      </c>
      <c r="F126" s="534">
        <f>IF(A126&lt;&gt;"",IFERROR(VLOOKUP($A126,RENO!$C$12:$P$105,8,0),""),"")</f>
        <v/>
      </c>
      <c r="G126" s="867">
        <f>IF(A126&lt;&gt;"",IFERROR(VLOOKUP($A126,RENO!$C$12:$P$105,12,0),""),"")</f>
        <v/>
      </c>
      <c r="H126" s="867">
        <f>IF(A126&lt;&gt;"",IFERROR(VLOOKUP($A126,RENO!$C$12:$P$105,13,0),""),"")</f>
        <v/>
      </c>
      <c r="I126" s="868">
        <f>IF(A126&lt;&gt;"",IFERROR(VLOOKUP($A126,RENO!$C$12:$P$105,14,0),""),"")</f>
        <v/>
      </c>
      <c r="J126" s="548" t="n"/>
      <c r="K126" s="548" t="n"/>
      <c r="L126" s="548" t="n"/>
      <c r="M126" s="548" t="n"/>
      <c r="N126" s="548" t="n"/>
      <c r="O126" s="548" t="n"/>
      <c r="P126" s="548" t="n"/>
      <c r="Q126" s="548" t="n"/>
      <c r="R126" s="548" t="n"/>
      <c r="S126" s="548" t="n"/>
      <c r="T126" s="21" t="n"/>
      <c r="U126" s="21" t="n"/>
      <c r="V126" s="21" t="n"/>
      <c r="W126" s="21" t="n"/>
      <c r="X126" s="21" t="n"/>
      <c r="Y126" s="21" t="n"/>
      <c r="Z126" s="21" t="n"/>
    </row>
    <row r="127" ht="15.75" customHeight="1" s="545">
      <c r="A127" s="532">
        <f>IF(MAX(RENO!$C$12:$C$93)&gt;A126,A126+1,"")</f>
        <v/>
      </c>
      <c r="B127" s="479">
        <f>IF(A127&lt;&gt;"",IFERROR(VLOOKUP($A127,RENO!$C$12:$P$105,2,0),""),"")</f>
        <v/>
      </c>
      <c r="C127" s="866">
        <f>IF(A127&lt;&gt;"",IFERROR(VLOOKUP($A127,RENO!$C$12:$P$105,4,0),""),"")</f>
        <v/>
      </c>
      <c r="E127" s="534">
        <f>IF(A127&lt;&gt;"",IFERROR(VLOOKUP($A127,RENO!$C$12:$P$105,7,0),""),"")</f>
        <v/>
      </c>
      <c r="F127" s="534">
        <f>IF(A127&lt;&gt;"",IFERROR(VLOOKUP($A127,RENO!$C$12:$P$105,8,0),""),"")</f>
        <v/>
      </c>
      <c r="G127" s="867">
        <f>IF(A127&lt;&gt;"",IFERROR(VLOOKUP($A127,RENO!$C$12:$P$105,12,0),""),"")</f>
        <v/>
      </c>
      <c r="H127" s="867">
        <f>IF(A127&lt;&gt;"",IFERROR(VLOOKUP($A127,RENO!$C$12:$P$105,13,0),""),"")</f>
        <v/>
      </c>
      <c r="I127" s="868">
        <f>IF(A127&lt;&gt;"",IFERROR(VLOOKUP($A127,RENO!$C$12:$P$105,14,0),""),"")</f>
        <v/>
      </c>
      <c r="J127" s="548" t="n"/>
      <c r="K127" s="548" t="n"/>
      <c r="L127" s="548" t="n"/>
      <c r="M127" s="548" t="n"/>
      <c r="N127" s="548" t="n"/>
      <c r="O127" s="548" t="n"/>
      <c r="P127" s="548" t="n"/>
      <c r="Q127" s="548" t="n"/>
      <c r="R127" s="548" t="n"/>
      <c r="S127" s="548" t="n"/>
      <c r="T127" s="21" t="n"/>
      <c r="U127" s="21" t="n"/>
      <c r="V127" s="21" t="n"/>
      <c r="W127" s="21" t="n"/>
      <c r="X127" s="21" t="n"/>
      <c r="Y127" s="21" t="n"/>
      <c r="Z127" s="21" t="n"/>
    </row>
    <row r="128" ht="15.75" customHeight="1" s="545">
      <c r="A128" s="532">
        <f>IF(MAX(RENO!$C$12:$C$93)&gt;A127,A127+1,"")</f>
        <v/>
      </c>
      <c r="B128" s="479">
        <f>IF(A128&lt;&gt;"",IFERROR(VLOOKUP($A128,RENO!$C$12:$P$105,2,0),""),"")</f>
        <v/>
      </c>
      <c r="C128" s="866">
        <f>IF(A128&lt;&gt;"",IFERROR(VLOOKUP($A128,RENO!$C$12:$P$105,4,0),""),"")</f>
        <v/>
      </c>
      <c r="E128" s="534">
        <f>IF(A128&lt;&gt;"",IFERROR(VLOOKUP($A128,RENO!$C$12:$P$105,7,0),""),"")</f>
        <v/>
      </c>
      <c r="F128" s="534">
        <f>IF(A128&lt;&gt;"",IFERROR(VLOOKUP($A128,RENO!$C$12:$P$105,8,0),""),"")</f>
        <v/>
      </c>
      <c r="G128" s="867">
        <f>IF(A128&lt;&gt;"",IFERROR(VLOOKUP($A128,RENO!$C$12:$P$105,12,0),""),"")</f>
        <v/>
      </c>
      <c r="H128" s="867">
        <f>IF(A128&lt;&gt;"",IFERROR(VLOOKUP($A128,RENO!$C$12:$P$105,13,0),""),"")</f>
        <v/>
      </c>
      <c r="I128" s="868">
        <f>IF(A128&lt;&gt;"",IFERROR(VLOOKUP($A128,RENO!$C$12:$P$105,14,0),""),"")</f>
        <v/>
      </c>
      <c r="J128" s="548" t="n"/>
      <c r="K128" s="548" t="n"/>
      <c r="L128" s="548" t="n"/>
      <c r="M128" s="548" t="n"/>
      <c r="N128" s="548" t="n"/>
      <c r="O128" s="548" t="n"/>
      <c r="P128" s="548" t="n"/>
      <c r="Q128" s="548" t="n"/>
      <c r="R128" s="548" t="n"/>
      <c r="S128" s="548" t="n"/>
      <c r="T128" s="21" t="n"/>
      <c r="U128" s="21" t="n"/>
      <c r="V128" s="21" t="n"/>
      <c r="W128" s="21" t="n"/>
      <c r="X128" s="21" t="n"/>
      <c r="Y128" s="21" t="n"/>
      <c r="Z128" s="21" t="n"/>
    </row>
    <row r="129" ht="15.75" customHeight="1" s="545">
      <c r="A129" s="532">
        <f>IF(MAX(RENO!$C$12:$C$93)&gt;A128,A128+1,"")</f>
        <v/>
      </c>
      <c r="B129" s="479">
        <f>IF(A129&lt;&gt;"",IFERROR(VLOOKUP($A129,RENO!$C$12:$P$105,2,0),""),"")</f>
        <v/>
      </c>
      <c r="C129" s="866">
        <f>IF(A129&lt;&gt;"",IFERROR(VLOOKUP($A129,RENO!$C$12:$P$105,4,0),""),"")</f>
        <v/>
      </c>
      <c r="E129" s="534">
        <f>IF(A129&lt;&gt;"",IFERROR(VLOOKUP($A129,RENO!$C$12:$P$105,7,0),""),"")</f>
        <v/>
      </c>
      <c r="F129" s="534">
        <f>IF(A129&lt;&gt;"",IFERROR(VLOOKUP($A129,RENO!$C$12:$P$105,8,0),""),"")</f>
        <v/>
      </c>
      <c r="G129" s="867">
        <f>IF(A129&lt;&gt;"",IFERROR(VLOOKUP($A129,RENO!$C$12:$P$105,12,0),""),"")</f>
        <v/>
      </c>
      <c r="H129" s="867">
        <f>IF(A129&lt;&gt;"",IFERROR(VLOOKUP($A129,RENO!$C$12:$P$105,13,0),""),"")</f>
        <v/>
      </c>
      <c r="I129" s="868">
        <f>IF(A129&lt;&gt;"",IFERROR(VLOOKUP($A129,RENO!$C$12:$P$105,14,0),""),"")</f>
        <v/>
      </c>
      <c r="J129" s="548" t="n"/>
      <c r="K129" s="548" t="n"/>
      <c r="L129" s="548" t="n"/>
      <c r="M129" s="548" t="n"/>
      <c r="N129" s="548" t="n"/>
      <c r="O129" s="548" t="n"/>
      <c r="P129" s="548" t="n"/>
      <c r="Q129" s="548" t="n"/>
      <c r="R129" s="548" t="n"/>
      <c r="S129" s="548" t="n"/>
      <c r="T129" s="21" t="n"/>
      <c r="U129" s="21" t="n"/>
      <c r="V129" s="21" t="n"/>
      <c r="W129" s="21" t="n"/>
      <c r="X129" s="21" t="n"/>
      <c r="Y129" s="21" t="n"/>
      <c r="Z129" s="21" t="n"/>
    </row>
    <row r="130" ht="15.75" customHeight="1" s="545">
      <c r="A130" s="532">
        <f>IF(MAX(RENO!$C$12:$C$93)&gt;A129,A129+1,"")</f>
        <v/>
      </c>
      <c r="B130" s="479">
        <f>IF(A130&lt;&gt;"",IFERROR(VLOOKUP($A130,RENO!$C$12:$P$105,2,0),""),"")</f>
        <v/>
      </c>
      <c r="C130" s="866">
        <f>IF(A130&lt;&gt;"",IFERROR(VLOOKUP($A130,RENO!$C$12:$P$105,4,0),""),"")</f>
        <v/>
      </c>
      <c r="E130" s="534">
        <f>IF(A130&lt;&gt;"",IFERROR(VLOOKUP($A130,RENO!$C$12:$P$105,7,0),""),"")</f>
        <v/>
      </c>
      <c r="F130" s="534">
        <f>IF(A130&lt;&gt;"",IFERROR(VLOOKUP($A130,RENO!$C$12:$P$105,8,0),""),"")</f>
        <v/>
      </c>
      <c r="G130" s="867">
        <f>IF(A130&lt;&gt;"",IFERROR(VLOOKUP($A130,RENO!$C$12:$P$105,12,0),""),"")</f>
        <v/>
      </c>
      <c r="H130" s="867">
        <f>IF(A130&lt;&gt;"",IFERROR(VLOOKUP($A130,RENO!$C$12:$P$105,13,0),""),"")</f>
        <v/>
      </c>
      <c r="I130" s="868">
        <f>IF(A130&lt;&gt;"",IFERROR(VLOOKUP($A130,RENO!$C$12:$P$105,14,0),""),"")</f>
        <v/>
      </c>
      <c r="J130" s="548" t="n"/>
      <c r="K130" s="548" t="n"/>
      <c r="L130" s="548" t="n"/>
      <c r="M130" s="548" t="n"/>
      <c r="N130" s="548" t="n"/>
      <c r="O130" s="548" t="n"/>
      <c r="P130" s="548" t="n"/>
      <c r="Q130" s="548" t="n"/>
      <c r="R130" s="548" t="n"/>
      <c r="S130" s="548" t="n"/>
      <c r="T130" s="21" t="n"/>
      <c r="U130" s="21" t="n"/>
      <c r="V130" s="21" t="n"/>
      <c r="W130" s="21" t="n"/>
      <c r="X130" s="21" t="n"/>
      <c r="Y130" s="21" t="n"/>
      <c r="Z130" s="21" t="n"/>
    </row>
    <row r="131" ht="15.75" customHeight="1" s="545">
      <c r="A131" s="532">
        <f>IF(MAX(RENO!$C$12:$C$93)&gt;A130,A130+1,"")</f>
        <v/>
      </c>
      <c r="B131" s="479">
        <f>IF(A131&lt;&gt;"",IFERROR(VLOOKUP($A131,RENO!$C$12:$P$105,2,0),""),"")</f>
        <v/>
      </c>
      <c r="C131" s="866">
        <f>IF(A131&lt;&gt;"",IFERROR(VLOOKUP($A131,RENO!$C$12:$P$105,4,0),""),"")</f>
        <v/>
      </c>
      <c r="E131" s="534">
        <f>IF(A131&lt;&gt;"",IFERROR(VLOOKUP($A131,RENO!$C$12:$P$105,7,0),""),"")</f>
        <v/>
      </c>
      <c r="F131" s="534">
        <f>IF(A131&lt;&gt;"",IFERROR(VLOOKUP($A131,RENO!$C$12:$P$105,8,0),""),"")</f>
        <v/>
      </c>
      <c r="G131" s="867">
        <f>IF(A131&lt;&gt;"",IFERROR(VLOOKUP($A131,RENO!$C$12:$P$105,12,0),""),"")</f>
        <v/>
      </c>
      <c r="H131" s="867">
        <f>IF(A131&lt;&gt;"",IFERROR(VLOOKUP($A131,RENO!$C$12:$P$105,13,0),""),"")</f>
        <v/>
      </c>
      <c r="I131" s="868">
        <f>IF(A131&lt;&gt;"",IFERROR(VLOOKUP($A131,RENO!$C$12:$P$105,14,0),""),"")</f>
        <v/>
      </c>
      <c r="J131" s="548" t="n"/>
      <c r="K131" s="548" t="n"/>
      <c r="L131" s="548" t="n"/>
      <c r="M131" s="548" t="n"/>
      <c r="N131" s="548" t="n"/>
      <c r="O131" s="548" t="n"/>
      <c r="P131" s="548" t="n"/>
      <c r="Q131" s="548" t="n"/>
      <c r="R131" s="548" t="n"/>
      <c r="S131" s="548" t="n"/>
      <c r="T131" s="21" t="n"/>
      <c r="U131" s="21" t="n"/>
      <c r="V131" s="21" t="n"/>
      <c r="W131" s="21" t="n"/>
      <c r="X131" s="21" t="n"/>
      <c r="Y131" s="21" t="n"/>
      <c r="Z131" s="21" t="n"/>
    </row>
    <row r="132" ht="15.75" customHeight="1" s="545">
      <c r="A132" s="532">
        <f>IF(MAX(RENO!$C$12:$C$93)&gt;A131,A131+1,"")</f>
        <v/>
      </c>
      <c r="B132" s="479">
        <f>IF(A132&lt;&gt;"",IFERROR(VLOOKUP($A132,RENO!$C$12:$P$105,2,0),""),"")</f>
        <v/>
      </c>
      <c r="C132" s="866">
        <f>IF(A132&lt;&gt;"",IFERROR(VLOOKUP($A132,RENO!$C$12:$P$105,4,0),""),"")</f>
        <v/>
      </c>
      <c r="E132" s="534">
        <f>IF(A132&lt;&gt;"",IFERROR(VLOOKUP($A132,RENO!$C$12:$P$105,7,0),""),"")</f>
        <v/>
      </c>
      <c r="F132" s="534">
        <f>IF(A132&lt;&gt;"",IFERROR(VLOOKUP($A132,RENO!$C$12:$P$105,8,0),""),"")</f>
        <v/>
      </c>
      <c r="G132" s="867">
        <f>IF(A132&lt;&gt;"",IFERROR(VLOOKUP($A132,RENO!$C$12:$P$105,12,0),""),"")</f>
        <v/>
      </c>
      <c r="H132" s="867">
        <f>IF(A132&lt;&gt;"",IFERROR(VLOOKUP($A132,RENO!$C$12:$P$105,13,0),""),"")</f>
        <v/>
      </c>
      <c r="I132" s="868">
        <f>IF(A132&lt;&gt;"",IFERROR(VLOOKUP($A132,RENO!$C$12:$P$105,14,0),""),"")</f>
        <v/>
      </c>
      <c r="J132" s="548" t="n"/>
      <c r="K132" s="548" t="n"/>
      <c r="L132" s="548" t="n"/>
      <c r="M132" s="548" t="n"/>
      <c r="N132" s="548" t="n"/>
      <c r="O132" s="548" t="n"/>
      <c r="P132" s="548" t="n"/>
      <c r="Q132" s="548" t="n"/>
      <c r="R132" s="548" t="n"/>
      <c r="S132" s="548" t="n"/>
      <c r="T132" s="21" t="n"/>
      <c r="U132" s="21" t="n"/>
      <c r="V132" s="21" t="n"/>
      <c r="W132" s="21" t="n"/>
      <c r="X132" s="21" t="n"/>
      <c r="Y132" s="21" t="n"/>
      <c r="Z132" s="21" t="n"/>
    </row>
    <row r="133" ht="15.75" customHeight="1" s="545">
      <c r="A133" s="532" t="n"/>
      <c r="B133" s="479">
        <f>IF(A133&lt;&gt;"",IFERROR(VLOOKUP($A133,RENO!$C$12:$P$105,2,0),""),"")</f>
        <v/>
      </c>
      <c r="C133" s="866">
        <f>IF(A133&lt;&gt;"",IFERROR(VLOOKUP($A133,RENO!$C$12:$P$105,4,0),""),"")</f>
        <v/>
      </c>
      <c r="E133" s="534">
        <f>IF(A133&lt;&gt;"",IFERROR(VLOOKUP($A133,RENO!$C$12:$P$105,7,0),""),"")</f>
        <v/>
      </c>
      <c r="F133" s="534">
        <f>IF(A133&lt;&gt;"",IFERROR(VLOOKUP($A133,RENO!$C$12:$P$105,8,0),""),"")</f>
        <v/>
      </c>
      <c r="G133" s="867">
        <f>IF(A133&lt;&gt;"",IFERROR(VLOOKUP($A133,RENO!$C$12:$P$105,12,0),""),"")</f>
        <v/>
      </c>
      <c r="H133" s="867">
        <f>IF(A133&lt;&gt;"",IFERROR(VLOOKUP($A133,RENO!$C$12:$P$105,13,0),""),"")</f>
        <v/>
      </c>
      <c r="I133" s="868">
        <f>IF(A133&lt;&gt;"",IFERROR(VLOOKUP($A133,RENO!$C$12:$P$105,14,0),""),"")</f>
        <v/>
      </c>
      <c r="J133" s="548" t="n"/>
      <c r="K133" s="548" t="n"/>
      <c r="L133" s="548" t="n"/>
      <c r="M133" s="548" t="n"/>
      <c r="N133" s="548" t="n"/>
      <c r="O133" s="548" t="n"/>
      <c r="P133" s="548" t="n"/>
      <c r="Q133" s="548" t="n"/>
      <c r="R133" s="548" t="n"/>
      <c r="S133" s="548" t="n"/>
      <c r="T133" s="21" t="n"/>
      <c r="U133" s="21" t="n"/>
      <c r="V133" s="21" t="n"/>
      <c r="W133" s="21" t="n"/>
      <c r="X133" s="21" t="n"/>
      <c r="Y133" s="21" t="n"/>
      <c r="Z133" s="21" t="n"/>
    </row>
    <row r="134" ht="15.75" customHeight="1" s="545">
      <c r="A134" s="532" t="n"/>
      <c r="B134" s="479">
        <f>IF(A134&lt;&gt;"",IFERROR(VLOOKUP($A134,RENO!$C$12:$P$105,2,0),""),"")</f>
        <v/>
      </c>
      <c r="C134" s="866">
        <f>IF(A134&lt;&gt;"",IFERROR(VLOOKUP($A134,RENO!$C$12:$P$105,4,0),""),"")</f>
        <v/>
      </c>
      <c r="E134" s="534">
        <f>IF(A134&lt;&gt;"",IFERROR(VLOOKUP($A134,RENO!$C$12:$P$105,7,0),""),"")</f>
        <v/>
      </c>
      <c r="F134" s="534">
        <f>IF(A134&lt;&gt;"",IFERROR(VLOOKUP($A134,RENO!$C$12:$P$105,8,0),""),"")</f>
        <v/>
      </c>
      <c r="G134" s="867">
        <f>IF(A134&lt;&gt;"",IFERROR(VLOOKUP($A134,RENO!$C$12:$P$105,12,0),""),"")</f>
        <v/>
      </c>
      <c r="H134" s="867">
        <f>IF(A134&lt;&gt;"",IFERROR(VLOOKUP($A134,RENO!$C$12:$P$105,13,0),""),"")</f>
        <v/>
      </c>
      <c r="I134" s="868">
        <f>IF(A134&lt;&gt;"",IFERROR(VLOOKUP($A134,RENO!$C$12:$P$105,14,0),""),"")</f>
        <v/>
      </c>
      <c r="J134" s="548" t="n"/>
      <c r="K134" s="548" t="n"/>
      <c r="L134" s="548" t="n"/>
      <c r="M134" s="548" t="n"/>
      <c r="N134" s="548" t="n"/>
      <c r="O134" s="548" t="n"/>
      <c r="P134" s="548" t="n"/>
      <c r="Q134" s="548" t="n"/>
      <c r="R134" s="548" t="n"/>
      <c r="S134" s="548" t="n"/>
      <c r="T134" s="21" t="n"/>
      <c r="U134" s="21" t="n"/>
      <c r="V134" s="21" t="n"/>
      <c r="W134" s="21" t="n"/>
      <c r="X134" s="21" t="n"/>
      <c r="Y134" s="21" t="n"/>
      <c r="Z134" s="21" t="n"/>
    </row>
    <row r="135" ht="15.75" customHeight="1" s="545">
      <c r="A135" s="532" t="n"/>
      <c r="B135" s="479">
        <f>IF(A135&lt;&gt;"",IFERROR(VLOOKUP($A135,RENO!$C$12:$P$105,2,0),""),"")</f>
        <v/>
      </c>
      <c r="C135" s="866">
        <f>IF(A135&lt;&gt;"",IFERROR(VLOOKUP($A135,RENO!$C$12:$P$105,4,0),""),"")</f>
        <v/>
      </c>
      <c r="E135" s="534">
        <f>IF(A135&lt;&gt;"",IFERROR(VLOOKUP($A135,RENO!$C$12:$P$105,7,0),""),"")</f>
        <v/>
      </c>
      <c r="F135" s="534">
        <f>IF(A135&lt;&gt;"",IFERROR(VLOOKUP($A135,RENO!$C$12:$P$105,8,0),""),"")</f>
        <v/>
      </c>
      <c r="G135" s="867">
        <f>IF(A135&lt;&gt;"",IFERROR(VLOOKUP($A135,RENO!$C$12:$P$105,12,0),""),"")</f>
        <v/>
      </c>
      <c r="H135" s="867">
        <f>IF(A135&lt;&gt;"",IFERROR(VLOOKUP($A135,RENO!$C$12:$P$105,13,0),""),"")</f>
        <v/>
      </c>
      <c r="I135" s="868">
        <f>IF(A135&lt;&gt;"",IFERROR(VLOOKUP($A135,RENO!$C$12:$P$105,14,0),""),"")</f>
        <v/>
      </c>
      <c r="J135" s="548" t="n"/>
      <c r="K135" s="548" t="n"/>
      <c r="L135" s="548" t="n"/>
      <c r="M135" s="548" t="n"/>
      <c r="N135" s="548" t="n"/>
      <c r="O135" s="548" t="n"/>
      <c r="P135" s="548" t="n"/>
      <c r="Q135" s="548" t="n"/>
      <c r="R135" s="548" t="n"/>
      <c r="S135" s="548" t="n"/>
      <c r="T135" s="21" t="n"/>
      <c r="U135" s="21" t="n"/>
      <c r="V135" s="21" t="n"/>
      <c r="W135" s="21" t="n"/>
      <c r="X135" s="21" t="n"/>
      <c r="Y135" s="21" t="n"/>
      <c r="Z135" s="21" t="n"/>
    </row>
    <row r="136" ht="15.75" customHeight="1" s="545">
      <c r="A136" s="532" t="n"/>
      <c r="B136" s="479">
        <f>IF(A136&lt;&gt;"",IFERROR(VLOOKUP($A136,RENO!$C$12:$P$105,2,0),""),"")</f>
        <v/>
      </c>
      <c r="C136" s="866">
        <f>IF(A136&lt;&gt;"",IFERROR(VLOOKUP($A136,RENO!$C$12:$P$105,4,0),""),"")</f>
        <v/>
      </c>
      <c r="E136" s="534">
        <f>IF(A136&lt;&gt;"",IFERROR(VLOOKUP($A136,RENO!$C$12:$P$105,7,0),""),"")</f>
        <v/>
      </c>
      <c r="F136" s="534">
        <f>IF(A136&lt;&gt;"",IFERROR(VLOOKUP($A136,RENO!$C$12:$P$105,8,0),""),"")</f>
        <v/>
      </c>
      <c r="G136" s="867">
        <f>IF(A136&lt;&gt;"",IFERROR(VLOOKUP($A136,RENO!$C$12:$P$105,12,0),""),"")</f>
        <v/>
      </c>
      <c r="H136" s="867">
        <f>IF(A136&lt;&gt;"",IFERROR(VLOOKUP($A136,RENO!$C$12:$P$105,13,0),""),"")</f>
        <v/>
      </c>
      <c r="I136" s="868">
        <f>IF(A136&lt;&gt;"",IFERROR(VLOOKUP($A136,RENO!$C$12:$P$105,14,0),""),"")</f>
        <v/>
      </c>
      <c r="J136" s="548" t="n"/>
      <c r="K136" s="548" t="n"/>
      <c r="L136" s="548" t="n"/>
      <c r="M136" s="548" t="n"/>
      <c r="N136" s="548" t="n"/>
      <c r="O136" s="548" t="n"/>
      <c r="P136" s="548" t="n"/>
      <c r="Q136" s="548" t="n"/>
      <c r="R136" s="548" t="n"/>
      <c r="S136" s="548" t="n"/>
      <c r="T136" s="21" t="n"/>
      <c r="U136" s="21" t="n"/>
      <c r="V136" s="21" t="n"/>
      <c r="W136" s="21" t="n"/>
      <c r="X136" s="21" t="n"/>
      <c r="Y136" s="21" t="n"/>
      <c r="Z136" s="21" t="n"/>
    </row>
    <row r="137" ht="15.75" customHeight="1" s="545">
      <c r="A137" s="532" t="n"/>
      <c r="B137" s="479">
        <f>IF(A137&lt;&gt;"",IFERROR(VLOOKUP($A137,RENO!$C$12:$P$105,2,0),""),"")</f>
        <v/>
      </c>
      <c r="C137" s="866">
        <f>IF(A137&lt;&gt;"",IFERROR(VLOOKUP($A137,RENO!$C$12:$P$105,4,0),""),"")</f>
        <v/>
      </c>
      <c r="E137" s="534">
        <f>IF(A137&lt;&gt;"",IFERROR(VLOOKUP($A137,RENO!$C$12:$P$105,7,0),""),"")</f>
        <v/>
      </c>
      <c r="F137" s="534">
        <f>IF(A137&lt;&gt;"",IFERROR(VLOOKUP($A137,RENO!$C$12:$P$105,8,0),""),"")</f>
        <v/>
      </c>
      <c r="G137" s="867">
        <f>IF(A137&lt;&gt;"",IFERROR(VLOOKUP($A137,RENO!$C$12:$P$105,12,0),""),"")</f>
        <v/>
      </c>
      <c r="H137" s="867">
        <f>IF(A137&lt;&gt;"",IFERROR(VLOOKUP($A137,RENO!$C$12:$P$105,13,0),""),"")</f>
        <v/>
      </c>
      <c r="I137" s="868">
        <f>IF(A137&lt;&gt;"",IFERROR(VLOOKUP($A137,RENO!$C$12:$P$105,14,0),""),"")</f>
        <v/>
      </c>
      <c r="J137" s="548" t="n"/>
      <c r="K137" s="548" t="n"/>
      <c r="L137" s="548" t="n"/>
      <c r="M137" s="548" t="n"/>
      <c r="N137" s="548" t="n"/>
      <c r="O137" s="548" t="n"/>
      <c r="P137" s="548" t="n"/>
      <c r="Q137" s="548" t="n"/>
      <c r="R137" s="548" t="n"/>
      <c r="S137" s="548" t="n"/>
      <c r="T137" s="21" t="n"/>
      <c r="U137" s="21" t="n"/>
      <c r="V137" s="21" t="n"/>
      <c r="W137" s="21" t="n"/>
      <c r="X137" s="21" t="n"/>
      <c r="Y137" s="21" t="n"/>
      <c r="Z137" s="21" t="n"/>
    </row>
    <row r="138" ht="15.75" customHeight="1" s="545">
      <c r="A138" s="532" t="n"/>
      <c r="B138" s="479">
        <f>IF(A138&lt;&gt;"",IFERROR(VLOOKUP($A138,RENO!$C$12:$P$105,2,0),""),"")</f>
        <v/>
      </c>
      <c r="C138" s="866">
        <f>IF(A138&lt;&gt;"",IFERROR(VLOOKUP($A138,RENO!$C$12:$P$105,4,0),""),"")</f>
        <v/>
      </c>
      <c r="E138" s="534">
        <f>IF(A138&lt;&gt;"",IFERROR(VLOOKUP($A138,RENO!$C$12:$P$105,7,0),""),"")</f>
        <v/>
      </c>
      <c r="F138" s="534">
        <f>IF(A138&lt;&gt;"",IFERROR(VLOOKUP($A138,RENO!$C$12:$P$105,8,0),""),"")</f>
        <v/>
      </c>
      <c r="G138" s="867">
        <f>IF(A138&lt;&gt;"",IFERROR(VLOOKUP($A138,RENO!$C$12:$P$105,12,0),""),"")</f>
        <v/>
      </c>
      <c r="H138" s="867">
        <f>IF(A138&lt;&gt;"",IFERROR(VLOOKUP($A138,RENO!$C$12:$P$105,13,0),""),"")</f>
        <v/>
      </c>
      <c r="I138" s="868">
        <f>IF(A138&lt;&gt;"",IFERROR(VLOOKUP($A138,RENO!$C$12:$P$105,14,0),""),"")</f>
        <v/>
      </c>
      <c r="J138" s="548" t="n"/>
      <c r="K138" s="548" t="n"/>
      <c r="L138" s="548" t="n"/>
      <c r="M138" s="548" t="n"/>
      <c r="N138" s="548" t="n"/>
      <c r="O138" s="548" t="n"/>
      <c r="P138" s="548" t="n"/>
      <c r="Q138" s="548" t="n"/>
      <c r="R138" s="548" t="n"/>
      <c r="S138" s="548" t="n"/>
      <c r="T138" s="21" t="n"/>
      <c r="U138" s="21" t="n"/>
      <c r="V138" s="21" t="n"/>
      <c r="W138" s="21" t="n"/>
      <c r="X138" s="21" t="n"/>
      <c r="Y138" s="21" t="n"/>
      <c r="Z138" s="21" t="n"/>
    </row>
    <row r="139" ht="15.75" customHeight="1" s="545">
      <c r="A139" s="532" t="n"/>
      <c r="B139" s="479">
        <f>IF(A139&lt;&gt;"",IFERROR(VLOOKUP($A139,RENO!$C$12:$P$105,2,0),""),"")</f>
        <v/>
      </c>
      <c r="C139" s="866">
        <f>IF(A139&lt;&gt;"",IFERROR(VLOOKUP($A139,RENO!$C$12:$P$105,4,0),""),"")</f>
        <v/>
      </c>
      <c r="E139" s="534">
        <f>IF(A139&lt;&gt;"",IFERROR(VLOOKUP($A139,RENO!$C$12:$P$105,7,0),""),"")</f>
        <v/>
      </c>
      <c r="F139" s="534">
        <f>IF(A139&lt;&gt;"",IFERROR(VLOOKUP($A139,RENO!$C$12:$P$105,8,0),""),"")</f>
        <v/>
      </c>
      <c r="G139" s="867">
        <f>IF(A139&lt;&gt;"",IFERROR(VLOOKUP($A139,RENO!$C$12:$P$105,12,0),""),"")</f>
        <v/>
      </c>
      <c r="H139" s="867">
        <f>IF(A139&lt;&gt;"",IFERROR(VLOOKUP($A139,RENO!$C$12:$P$105,13,0),""),"")</f>
        <v/>
      </c>
      <c r="I139" s="868">
        <f>IF(A139&lt;&gt;"",IFERROR(VLOOKUP($A139,RENO!$C$12:$P$105,14,0),""),"")</f>
        <v/>
      </c>
      <c r="J139" s="548" t="n"/>
      <c r="K139" s="548" t="n"/>
      <c r="L139" s="548" t="n"/>
      <c r="M139" s="548" t="n"/>
      <c r="N139" s="548" t="n"/>
      <c r="O139" s="548" t="n"/>
      <c r="P139" s="548" t="n"/>
      <c r="Q139" s="548" t="n"/>
      <c r="R139" s="548" t="n"/>
      <c r="S139" s="548" t="n"/>
      <c r="T139" s="21" t="n"/>
      <c r="U139" s="21" t="n"/>
      <c r="V139" s="21" t="n"/>
      <c r="W139" s="21" t="n"/>
      <c r="X139" s="21" t="n"/>
      <c r="Y139" s="21" t="n"/>
      <c r="Z139" s="21" t="n"/>
    </row>
    <row r="140" ht="15.75" customHeight="1" s="545">
      <c r="A140" s="532" t="n"/>
      <c r="B140" s="479">
        <f>IF(A140&lt;&gt;"",IFERROR(VLOOKUP($A140,RENO!$C$12:$P$105,2,0),""),"")</f>
        <v/>
      </c>
      <c r="C140" s="866">
        <f>IF(A140&lt;&gt;"",IFERROR(VLOOKUP($A140,RENO!$C$12:$P$105,4,0),""),"")</f>
        <v/>
      </c>
      <c r="E140" s="534">
        <f>IF(A140&lt;&gt;"",IFERROR(VLOOKUP($A140,RENO!$C$12:$P$105,7,0),""),"")</f>
        <v/>
      </c>
      <c r="F140" s="534">
        <f>IF(A140&lt;&gt;"",IFERROR(VLOOKUP($A140,RENO!$C$12:$P$105,8,0),""),"")</f>
        <v/>
      </c>
      <c r="G140" s="867">
        <f>IF(A140&lt;&gt;"",IFERROR(VLOOKUP($A140,RENO!$C$12:$P$105,12,0),""),"")</f>
        <v/>
      </c>
      <c r="H140" s="867">
        <f>IF(A140&lt;&gt;"",IFERROR(VLOOKUP($A140,RENO!$C$12:$P$105,13,0),""),"")</f>
        <v/>
      </c>
      <c r="I140" s="868">
        <f>IF(A140&lt;&gt;"",IFERROR(VLOOKUP($A140,RENO!$C$12:$P$105,14,0),""),"")</f>
        <v/>
      </c>
      <c r="J140" s="548" t="n"/>
      <c r="K140" s="548" t="n"/>
      <c r="L140" s="548" t="n"/>
      <c r="M140" s="548" t="n"/>
      <c r="N140" s="548" t="n"/>
      <c r="O140" s="548" t="n"/>
      <c r="P140" s="548" t="n"/>
      <c r="Q140" s="548" t="n"/>
      <c r="R140" s="548" t="n"/>
      <c r="S140" s="548" t="n"/>
      <c r="T140" s="21" t="n"/>
      <c r="U140" s="21" t="n"/>
      <c r="V140" s="21" t="n"/>
      <c r="W140" s="21" t="n"/>
      <c r="X140" s="21" t="n"/>
      <c r="Y140" s="21" t="n"/>
      <c r="Z140" s="21" t="n"/>
    </row>
    <row r="141" ht="15.75" customHeight="1" s="545">
      <c r="A141" s="532" t="n"/>
      <c r="B141" s="479">
        <f>IF(A141&lt;&gt;"",IFERROR(VLOOKUP($A141,RENO!$C$12:$P$105,2,0),""),"")</f>
        <v/>
      </c>
      <c r="C141" s="866">
        <f>IF(A141&lt;&gt;"",IFERROR(VLOOKUP($A141,RENO!$C$12:$P$105,4,0),""),"")</f>
        <v/>
      </c>
      <c r="E141" s="534">
        <f>IF(A141&lt;&gt;"",IFERROR(VLOOKUP($A141,RENO!$C$12:$P$105,7,0),""),"")</f>
        <v/>
      </c>
      <c r="F141" s="534">
        <f>IF(A141&lt;&gt;"",IFERROR(VLOOKUP($A141,RENO!$C$12:$P$105,8,0),""),"")</f>
        <v/>
      </c>
      <c r="G141" s="867">
        <f>IF(A141&lt;&gt;"",IFERROR(VLOOKUP($A141,RENO!$C$12:$P$105,12,0),""),"")</f>
        <v/>
      </c>
      <c r="H141" s="867">
        <f>IF(A141&lt;&gt;"",IFERROR(VLOOKUP($A141,RENO!$C$12:$P$105,13,0),""),"")</f>
        <v/>
      </c>
      <c r="I141" s="868">
        <f>IF(A141&lt;&gt;"",IFERROR(VLOOKUP($A141,RENO!$C$12:$P$105,14,0),""),"")</f>
        <v/>
      </c>
      <c r="J141" s="548" t="n"/>
      <c r="K141" s="548" t="n"/>
      <c r="L141" s="548" t="n"/>
      <c r="M141" s="548" t="n"/>
      <c r="N141" s="548" t="n"/>
      <c r="O141" s="548" t="n"/>
      <c r="P141" s="548" t="n"/>
      <c r="Q141" s="548" t="n"/>
      <c r="R141" s="548" t="n"/>
      <c r="S141" s="548" t="n"/>
      <c r="T141" s="21" t="n"/>
      <c r="U141" s="21" t="n"/>
      <c r="V141" s="21" t="n"/>
      <c r="W141" s="21" t="n"/>
      <c r="X141" s="21" t="n"/>
      <c r="Y141" s="21" t="n"/>
      <c r="Z141" s="21" t="n"/>
    </row>
    <row r="142" ht="15.75" customHeight="1" s="545">
      <c r="A142" s="532" t="n"/>
      <c r="B142" s="479">
        <f>IF(A142&lt;&gt;"",IFERROR(VLOOKUP($A142,RENO!$C$12:$P$105,2,0),""),"")</f>
        <v/>
      </c>
      <c r="C142" s="866">
        <f>IF(A142&lt;&gt;"",IFERROR(VLOOKUP($A142,RENO!$C$12:$P$105,4,0),""),"")</f>
        <v/>
      </c>
      <c r="E142" s="534">
        <f>IF(A142&lt;&gt;"",IFERROR(VLOOKUP($A142,RENO!$C$12:$P$105,7,0),""),"")</f>
        <v/>
      </c>
      <c r="F142" s="534">
        <f>IF(A142&lt;&gt;"",IFERROR(VLOOKUP($A142,RENO!$C$12:$P$105,8,0),""),"")</f>
        <v/>
      </c>
      <c r="G142" s="867">
        <f>IF(A142&lt;&gt;"",IFERROR(VLOOKUP($A142,RENO!$C$12:$P$105,12,0),""),"")</f>
        <v/>
      </c>
      <c r="H142" s="867">
        <f>IF(A142&lt;&gt;"",IFERROR(VLOOKUP($A142,RENO!$C$12:$P$105,13,0),""),"")</f>
        <v/>
      </c>
      <c r="I142" s="868">
        <f>IF(A142&lt;&gt;"",IFERROR(VLOOKUP($A142,RENO!$C$12:$P$105,14,0),""),"")</f>
        <v/>
      </c>
      <c r="J142" s="548" t="n"/>
      <c r="K142" s="548" t="n"/>
      <c r="L142" s="548" t="n"/>
      <c r="M142" s="548" t="n"/>
      <c r="N142" s="548" t="n"/>
      <c r="O142" s="548" t="n"/>
      <c r="P142" s="548" t="n"/>
      <c r="Q142" s="548" t="n"/>
      <c r="R142" s="548" t="n"/>
      <c r="S142" s="548" t="n"/>
      <c r="T142" s="21" t="n"/>
      <c r="U142" s="21" t="n"/>
      <c r="V142" s="21" t="n"/>
      <c r="W142" s="21" t="n"/>
      <c r="X142" s="21" t="n"/>
      <c r="Y142" s="21" t="n"/>
      <c r="Z142" s="21" t="n"/>
    </row>
    <row r="143" ht="15.75" customHeight="1" s="545">
      <c r="A143" s="532" t="n"/>
      <c r="B143" s="479">
        <f>IF(A143&lt;&gt;"",IFERROR(VLOOKUP($A143,RENO!$C$12:$P$105,2,0),""),"")</f>
        <v/>
      </c>
      <c r="C143" s="866">
        <f>IF(A143&lt;&gt;"",IFERROR(VLOOKUP($A143,RENO!$C$12:$P$105,4,0),""),"")</f>
        <v/>
      </c>
      <c r="E143" s="534">
        <f>IF(A143&lt;&gt;"",IFERROR(VLOOKUP($A143,RENO!$C$12:$P$105,7,0),""),"")</f>
        <v/>
      </c>
      <c r="F143" s="534">
        <f>IF(A143&lt;&gt;"",IFERROR(VLOOKUP($A143,RENO!$C$12:$P$105,8,0),""),"")</f>
        <v/>
      </c>
      <c r="G143" s="867">
        <f>IF(A143&lt;&gt;"",IFERROR(VLOOKUP($A143,RENO!$C$12:$P$105,12,0),""),"")</f>
        <v/>
      </c>
      <c r="H143" s="867">
        <f>IF(A143&lt;&gt;"",IFERROR(VLOOKUP($A143,RENO!$C$12:$P$105,13,0),""),"")</f>
        <v/>
      </c>
      <c r="I143" s="868">
        <f>IF(A143&lt;&gt;"",IFERROR(VLOOKUP($A143,RENO!$C$12:$P$105,14,0),""),"")</f>
        <v/>
      </c>
      <c r="J143" s="548" t="n"/>
      <c r="K143" s="548" t="n"/>
      <c r="L143" s="548" t="n"/>
      <c r="M143" s="548" t="n"/>
      <c r="N143" s="548" t="n"/>
      <c r="O143" s="548" t="n"/>
      <c r="P143" s="548" t="n"/>
      <c r="Q143" s="548" t="n"/>
      <c r="R143" s="548" t="n"/>
      <c r="S143" s="548" t="n"/>
      <c r="T143" s="21" t="n"/>
      <c r="U143" s="21" t="n"/>
      <c r="V143" s="21" t="n"/>
      <c r="W143" s="21" t="n"/>
      <c r="X143" s="21" t="n"/>
      <c r="Y143" s="21" t="n"/>
      <c r="Z143" s="21" t="n"/>
    </row>
    <row r="144" ht="15.75" customHeight="1" s="545">
      <c r="A144" s="532" t="n"/>
      <c r="B144" s="479">
        <f>IF(A144&lt;&gt;"",IFERROR(VLOOKUP($A144,RENO!$C$12:$P$105,2,0),""),"")</f>
        <v/>
      </c>
      <c r="C144" s="866">
        <f>IF(A144&lt;&gt;"",IFERROR(VLOOKUP($A144,RENO!$C$12:$P$105,4,0),""),"")</f>
        <v/>
      </c>
      <c r="E144" s="534">
        <f>IF(A144&lt;&gt;"",IFERROR(VLOOKUP($A144,RENO!$C$12:$P$105,7,0),""),"")</f>
        <v/>
      </c>
      <c r="F144" s="534">
        <f>IF(A144&lt;&gt;"",IFERROR(VLOOKUP($A144,RENO!$C$12:$P$105,8,0),""),"")</f>
        <v/>
      </c>
      <c r="G144" s="867">
        <f>IF(A144&lt;&gt;"",IFERROR(VLOOKUP($A144,RENO!$C$12:$P$105,12,0),""),"")</f>
        <v/>
      </c>
      <c r="H144" s="867">
        <f>IF(A144&lt;&gt;"",IFERROR(VLOOKUP($A144,RENO!$C$12:$P$105,13,0),""),"")</f>
        <v/>
      </c>
      <c r="I144" s="868">
        <f>IF(A144&lt;&gt;"",IFERROR(VLOOKUP($A144,RENO!$C$12:$P$105,14,0),""),"")</f>
        <v/>
      </c>
      <c r="J144" s="548" t="n"/>
      <c r="K144" s="548" t="n"/>
      <c r="L144" s="548" t="n"/>
      <c r="M144" s="548" t="n"/>
      <c r="N144" s="548" t="n"/>
      <c r="O144" s="548" t="n"/>
      <c r="P144" s="548" t="n"/>
      <c r="Q144" s="548" t="n"/>
      <c r="R144" s="548" t="n"/>
      <c r="S144" s="548" t="n"/>
      <c r="T144" s="21" t="n"/>
      <c r="U144" s="21" t="n"/>
      <c r="V144" s="21" t="n"/>
      <c r="W144" s="21" t="n"/>
      <c r="X144" s="21" t="n"/>
      <c r="Y144" s="21" t="n"/>
      <c r="Z144" s="21" t="n"/>
    </row>
    <row r="145" ht="15.75" customHeight="1" s="545">
      <c r="A145" s="532" t="n"/>
      <c r="B145" s="479">
        <f>IF(A145&lt;&gt;"",IFERROR(VLOOKUP($A145,RENO!$C$12:$P$105,2,0),""),"")</f>
        <v/>
      </c>
      <c r="C145" s="866">
        <f>IF(A145&lt;&gt;"",IFERROR(VLOOKUP($A145,RENO!$C$12:$P$105,4,0),""),"")</f>
        <v/>
      </c>
      <c r="E145" s="534">
        <f>IF(A145&lt;&gt;"",IFERROR(VLOOKUP($A145,RENO!$C$12:$P$105,7,0),""),"")</f>
        <v/>
      </c>
      <c r="F145" s="534">
        <f>IF(A145&lt;&gt;"",IFERROR(VLOOKUP($A145,RENO!$C$12:$P$105,8,0),""),"")</f>
        <v/>
      </c>
      <c r="G145" s="867">
        <f>IF(A145&lt;&gt;"",IFERROR(VLOOKUP($A145,RENO!$C$12:$P$105,12,0),""),"")</f>
        <v/>
      </c>
      <c r="H145" s="867">
        <f>IF(A145&lt;&gt;"",IFERROR(VLOOKUP($A145,RENO!$C$12:$P$105,13,0),""),"")</f>
        <v/>
      </c>
      <c r="I145" s="868">
        <f>IF(A145&lt;&gt;"",IFERROR(VLOOKUP($A145,RENO!$C$12:$P$105,14,0),""),"")</f>
        <v/>
      </c>
      <c r="J145" s="548" t="n"/>
      <c r="K145" s="548" t="n"/>
      <c r="L145" s="548" t="n"/>
      <c r="M145" s="548" t="n"/>
      <c r="N145" s="548" t="n"/>
      <c r="O145" s="548" t="n"/>
      <c r="P145" s="548" t="n"/>
      <c r="Q145" s="548" t="n"/>
      <c r="R145" s="548" t="n"/>
      <c r="S145" s="548" t="n"/>
      <c r="T145" s="21" t="n"/>
      <c r="U145" s="21" t="n"/>
      <c r="V145" s="21" t="n"/>
      <c r="W145" s="21" t="n"/>
      <c r="X145" s="21" t="n"/>
      <c r="Y145" s="21" t="n"/>
      <c r="Z145" s="21" t="n"/>
    </row>
    <row r="146" ht="15.75" customHeight="1" s="545">
      <c r="A146" s="532" t="n"/>
      <c r="B146" s="479">
        <f>IF(A146&lt;&gt;"",IFERROR(VLOOKUP($A146,RENO!$C$12:$P$105,2,0),""),"")</f>
        <v/>
      </c>
      <c r="C146" s="866">
        <f>IF(A146&lt;&gt;"",IFERROR(VLOOKUP($A146,RENO!$C$12:$P$105,4,0),""),"")</f>
        <v/>
      </c>
      <c r="E146" s="534">
        <f>IF(A146&lt;&gt;"",IFERROR(VLOOKUP($A146,RENO!$C$12:$P$105,7,0),""),"")</f>
        <v/>
      </c>
      <c r="F146" s="534">
        <f>IF(A146&lt;&gt;"",IFERROR(VLOOKUP($A146,RENO!$C$12:$P$105,8,0),""),"")</f>
        <v/>
      </c>
      <c r="G146" s="867">
        <f>IF(A146&lt;&gt;"",IFERROR(VLOOKUP($A146,RENO!$C$12:$P$105,12,0),""),"")</f>
        <v/>
      </c>
      <c r="H146" s="867">
        <f>IF(A146&lt;&gt;"",IFERROR(VLOOKUP($A146,RENO!$C$12:$P$105,13,0),""),"")</f>
        <v/>
      </c>
      <c r="I146" s="868">
        <f>IF(A146&lt;&gt;"",IFERROR(VLOOKUP($A146,RENO!$C$12:$P$105,14,0),""),"")</f>
        <v/>
      </c>
      <c r="J146" s="548" t="n"/>
      <c r="K146" s="548" t="n"/>
      <c r="L146" s="548" t="n"/>
      <c r="M146" s="548" t="n"/>
      <c r="N146" s="548" t="n"/>
      <c r="O146" s="548" t="n"/>
      <c r="P146" s="548" t="n"/>
      <c r="Q146" s="548" t="n"/>
      <c r="R146" s="548" t="n"/>
      <c r="S146" s="548" t="n"/>
      <c r="T146" s="21" t="n"/>
      <c r="U146" s="21" t="n"/>
      <c r="V146" s="21" t="n"/>
      <c r="W146" s="21" t="n"/>
      <c r="X146" s="21" t="n"/>
      <c r="Y146" s="21" t="n"/>
      <c r="Z146" s="21" t="n"/>
    </row>
    <row r="147" ht="15.75" customHeight="1" s="545">
      <c r="A147" s="532" t="n"/>
      <c r="B147" s="479">
        <f>IF(A147&lt;&gt;"",IFERROR(VLOOKUP($A147,RENO!$C$12:$P$105,2,0),""),"")</f>
        <v/>
      </c>
      <c r="C147" s="866">
        <f>IF(A147&lt;&gt;"",IFERROR(VLOOKUP($A147,RENO!$C$12:$P$105,4,0),""),"")</f>
        <v/>
      </c>
      <c r="E147" s="534">
        <f>IF(A147&lt;&gt;"",IFERROR(VLOOKUP($A147,RENO!$C$12:$P$105,7,0),""),"")</f>
        <v/>
      </c>
      <c r="F147" s="534">
        <f>IF(A147&lt;&gt;"",IFERROR(VLOOKUP($A147,RENO!$C$12:$P$105,8,0),""),"")</f>
        <v/>
      </c>
      <c r="G147" s="867">
        <f>IF(A147&lt;&gt;"",IFERROR(VLOOKUP($A147,RENO!$C$12:$P$105,12,0),""),"")</f>
        <v/>
      </c>
      <c r="H147" s="867">
        <f>IF(A147&lt;&gt;"",IFERROR(VLOOKUP($A147,RENO!$C$12:$P$105,13,0),""),"")</f>
        <v/>
      </c>
      <c r="I147" s="868">
        <f>IF(A147&lt;&gt;"",IFERROR(VLOOKUP($A147,RENO!$C$12:$P$105,14,0),""),"")</f>
        <v/>
      </c>
      <c r="J147" s="548" t="n"/>
      <c r="K147" s="548" t="n"/>
      <c r="L147" s="548" t="n"/>
      <c r="M147" s="548" t="n"/>
      <c r="N147" s="548" t="n"/>
      <c r="O147" s="548" t="n"/>
      <c r="P147" s="548" t="n"/>
      <c r="Q147" s="548" t="n"/>
      <c r="R147" s="548" t="n"/>
      <c r="S147" s="548" t="n"/>
      <c r="T147" s="21" t="n"/>
      <c r="U147" s="21" t="n"/>
      <c r="V147" s="21" t="n"/>
      <c r="W147" s="21" t="n"/>
      <c r="X147" s="21" t="n"/>
      <c r="Y147" s="21" t="n"/>
      <c r="Z147" s="21" t="n"/>
    </row>
    <row r="148" ht="15.75" customHeight="1" s="545">
      <c r="A148" s="532" t="n"/>
      <c r="B148" s="479">
        <f>IF(A148&lt;&gt;"",IFERROR(VLOOKUP($A148,RENO!$C$12:$P$105,2,0),""),"")</f>
        <v/>
      </c>
      <c r="C148" s="866">
        <f>IF(A148&lt;&gt;"",IFERROR(VLOOKUP($A148,RENO!$C$12:$P$105,4,0),""),"")</f>
        <v/>
      </c>
      <c r="E148" s="534">
        <f>IF(A148&lt;&gt;"",IFERROR(VLOOKUP($A148,RENO!$C$12:$P$105,7,0),""),"")</f>
        <v/>
      </c>
      <c r="F148" s="534">
        <f>IF(A148&lt;&gt;"",IFERROR(VLOOKUP($A148,RENO!$C$12:$P$105,8,0),""),"")</f>
        <v/>
      </c>
      <c r="G148" s="867">
        <f>IF(A148&lt;&gt;"",IFERROR(VLOOKUP($A148,RENO!$C$12:$P$105,12,0),""),"")</f>
        <v/>
      </c>
      <c r="H148" s="867">
        <f>IF(A148&lt;&gt;"",IFERROR(VLOOKUP($A148,RENO!$C$12:$P$105,13,0),""),"")</f>
        <v/>
      </c>
      <c r="I148" s="868">
        <f>IF(A148&lt;&gt;"",IFERROR(VLOOKUP($A148,RENO!$C$12:$P$105,14,0),""),"")</f>
        <v/>
      </c>
      <c r="J148" s="548" t="n"/>
      <c r="K148" s="548" t="n"/>
      <c r="L148" s="548" t="n"/>
      <c r="M148" s="548" t="n"/>
      <c r="N148" s="548" t="n"/>
      <c r="O148" s="548" t="n"/>
      <c r="P148" s="548" t="n"/>
      <c r="Q148" s="548" t="n"/>
      <c r="R148" s="548" t="n"/>
      <c r="S148" s="548" t="n"/>
      <c r="T148" s="21" t="n"/>
      <c r="U148" s="21" t="n"/>
      <c r="V148" s="21" t="n"/>
      <c r="W148" s="21" t="n"/>
      <c r="X148" s="21" t="n"/>
      <c r="Y148" s="21" t="n"/>
      <c r="Z148" s="21" t="n"/>
    </row>
    <row r="149" ht="15.75" customHeight="1" s="545">
      <c r="A149" s="532" t="n"/>
      <c r="B149" s="479">
        <f>IF(A149&lt;&gt;"",IFERROR(VLOOKUP($A149,RENO!$C$12:$P$105,2,0),""),"")</f>
        <v/>
      </c>
      <c r="C149" s="866">
        <f>IF(A149&lt;&gt;"",IFERROR(VLOOKUP($A149,RENO!$C$12:$P$105,4,0),""),"")</f>
        <v/>
      </c>
      <c r="E149" s="534">
        <f>IF(A149&lt;&gt;"",IFERROR(VLOOKUP($A149,RENO!$C$12:$P$105,7,0),""),"")</f>
        <v/>
      </c>
      <c r="F149" s="534">
        <f>IF(A149&lt;&gt;"",IFERROR(VLOOKUP($A149,RENO!$C$12:$P$105,8,0),""),"")</f>
        <v/>
      </c>
      <c r="G149" s="867">
        <f>IF(A149&lt;&gt;"",IFERROR(VLOOKUP($A149,RENO!$C$12:$P$105,12,0),""),"")</f>
        <v/>
      </c>
      <c r="H149" s="867">
        <f>IF(A149&lt;&gt;"",IFERROR(VLOOKUP($A149,RENO!$C$12:$P$105,13,0),""),"")</f>
        <v/>
      </c>
      <c r="I149" s="868">
        <f>IF(A149&lt;&gt;"",IFERROR(VLOOKUP($A149,RENO!$C$12:$P$105,14,0),""),"")</f>
        <v/>
      </c>
      <c r="J149" s="548" t="n"/>
      <c r="K149" s="548" t="n"/>
      <c r="L149" s="548" t="n"/>
      <c r="M149" s="548" t="n"/>
      <c r="N149" s="548" t="n"/>
      <c r="O149" s="548" t="n"/>
      <c r="P149" s="548" t="n"/>
      <c r="Q149" s="548" t="n"/>
      <c r="R149" s="548" t="n"/>
      <c r="S149" s="548" t="n"/>
      <c r="T149" s="21" t="n"/>
      <c r="U149" s="21" t="n"/>
      <c r="V149" s="21" t="n"/>
      <c r="W149" s="21" t="n"/>
      <c r="X149" s="21" t="n"/>
      <c r="Y149" s="21" t="n"/>
      <c r="Z149" s="21" t="n"/>
    </row>
    <row r="150" ht="15.75" customHeight="1" s="545">
      <c r="A150" s="532" t="n"/>
      <c r="B150" s="479">
        <f>IF(A150&lt;&gt;"",IFERROR(VLOOKUP($A150,RENO!$C$12:$P$105,2,0),""),"")</f>
        <v/>
      </c>
      <c r="C150" s="866">
        <f>IF(A150&lt;&gt;"",IFERROR(VLOOKUP($A150,RENO!$C$12:$P$105,4,0),""),"")</f>
        <v/>
      </c>
      <c r="E150" s="534">
        <f>IF(A150&lt;&gt;"",IFERROR(VLOOKUP($A150,RENO!$C$12:$P$105,7,0),""),"")</f>
        <v/>
      </c>
      <c r="F150" s="534">
        <f>IF(A150&lt;&gt;"",IFERROR(VLOOKUP($A150,RENO!$C$12:$P$105,8,0),""),"")</f>
        <v/>
      </c>
      <c r="G150" s="867">
        <f>IF(A150&lt;&gt;"",IFERROR(VLOOKUP($A150,RENO!$C$12:$P$105,12,0),""),"")</f>
        <v/>
      </c>
      <c r="H150" s="867">
        <f>IF(A150&lt;&gt;"",IFERROR(VLOOKUP($A150,RENO!$C$12:$P$105,13,0),""),"")</f>
        <v/>
      </c>
      <c r="I150" s="868">
        <f>IF(A150&lt;&gt;"",IFERROR(VLOOKUP($A150,RENO!$C$12:$P$105,14,0),""),"")</f>
        <v/>
      </c>
      <c r="J150" s="548" t="n"/>
      <c r="K150" s="548" t="n"/>
      <c r="L150" s="548" t="n"/>
      <c r="M150" s="548" t="n"/>
      <c r="N150" s="548" t="n"/>
      <c r="O150" s="548" t="n"/>
      <c r="P150" s="548" t="n"/>
      <c r="Q150" s="548" t="n"/>
      <c r="R150" s="548" t="n"/>
      <c r="S150" s="548" t="n"/>
      <c r="T150" s="21" t="n"/>
      <c r="U150" s="21" t="n"/>
      <c r="V150" s="21" t="n"/>
      <c r="W150" s="21" t="n"/>
      <c r="X150" s="21" t="n"/>
      <c r="Y150" s="21" t="n"/>
      <c r="Z150" s="21" t="n"/>
    </row>
    <row r="151" ht="15.75" customHeight="1" s="545">
      <c r="A151" s="532" t="n"/>
      <c r="B151" s="479">
        <f>IF(A151&lt;&gt;"",IFERROR(VLOOKUP($A151,RENO!$C$12:$P$105,2,0),""),"")</f>
        <v/>
      </c>
      <c r="C151" s="866">
        <f>IF(A151&lt;&gt;"",IFERROR(VLOOKUP($A151,RENO!$C$12:$P$105,4,0),""),"")</f>
        <v/>
      </c>
      <c r="E151" s="534">
        <f>IF(A151&lt;&gt;"",IFERROR(VLOOKUP($A151,RENO!$C$12:$P$105,7,0),""),"")</f>
        <v/>
      </c>
      <c r="F151" s="534">
        <f>IF(A151&lt;&gt;"",IFERROR(VLOOKUP($A151,RENO!$C$12:$P$105,8,0),""),"")</f>
        <v/>
      </c>
      <c r="G151" s="867">
        <f>IF(A151&lt;&gt;"",IFERROR(VLOOKUP($A151,RENO!$C$12:$P$105,12,0),""),"")</f>
        <v/>
      </c>
      <c r="H151" s="867">
        <f>IF(A151&lt;&gt;"",IFERROR(VLOOKUP($A151,RENO!$C$12:$P$105,13,0),""),"")</f>
        <v/>
      </c>
      <c r="I151" s="868">
        <f>IF(A151&lt;&gt;"",IFERROR(VLOOKUP($A151,RENO!$C$12:$P$105,14,0),""),"")</f>
        <v/>
      </c>
      <c r="J151" s="548" t="n"/>
      <c r="K151" s="548" t="n"/>
      <c r="L151" s="548" t="n"/>
      <c r="M151" s="548" t="n"/>
      <c r="N151" s="548" t="n"/>
      <c r="O151" s="548" t="n"/>
      <c r="P151" s="548" t="n"/>
      <c r="Q151" s="548" t="n"/>
      <c r="R151" s="548" t="n"/>
      <c r="S151" s="548" t="n"/>
      <c r="T151" s="21" t="n"/>
      <c r="U151" s="21" t="n"/>
      <c r="V151" s="21" t="n"/>
      <c r="W151" s="21" t="n"/>
      <c r="X151" s="21" t="n"/>
      <c r="Y151" s="21" t="n"/>
      <c r="Z151" s="21" t="n"/>
    </row>
    <row r="152" ht="15.75" customHeight="1" s="545">
      <c r="A152" s="532" t="n"/>
      <c r="B152" s="479">
        <f>IF(A152&lt;&gt;"",IFERROR(VLOOKUP($A152,RENO!$C$12:$P$105,2,0),""),"")</f>
        <v/>
      </c>
      <c r="C152" s="866">
        <f>IF(A152&lt;&gt;"",IFERROR(VLOOKUP($A152,RENO!$C$12:$P$105,4,0),""),"")</f>
        <v/>
      </c>
      <c r="E152" s="534">
        <f>IF(A152&lt;&gt;"",IFERROR(VLOOKUP($A152,RENO!$C$12:$P$105,7,0),""),"")</f>
        <v/>
      </c>
      <c r="F152" s="534">
        <f>IF(A152&lt;&gt;"",IFERROR(VLOOKUP($A152,RENO!$C$12:$P$105,8,0),""),"")</f>
        <v/>
      </c>
      <c r="G152" s="867">
        <f>IF(A152&lt;&gt;"",IFERROR(VLOOKUP($A152,RENO!$C$12:$P$105,12,0),""),"")</f>
        <v/>
      </c>
      <c r="H152" s="867">
        <f>IF(A152&lt;&gt;"",IFERROR(VLOOKUP($A152,RENO!$C$12:$P$105,13,0),""),"")</f>
        <v/>
      </c>
      <c r="I152" s="868">
        <f>IF(A152&lt;&gt;"",IFERROR(VLOOKUP($A152,RENO!$C$12:$P$105,14,0),""),"")</f>
        <v/>
      </c>
      <c r="J152" s="548" t="n"/>
      <c r="K152" s="548" t="n"/>
      <c r="L152" s="548" t="n"/>
      <c r="M152" s="548" t="n"/>
      <c r="N152" s="548" t="n"/>
      <c r="O152" s="548" t="n"/>
      <c r="P152" s="548" t="n"/>
      <c r="Q152" s="548" t="n"/>
      <c r="R152" s="548" t="n"/>
      <c r="S152" s="548" t="n"/>
      <c r="T152" s="21" t="n"/>
      <c r="U152" s="21" t="n"/>
      <c r="V152" s="21" t="n"/>
      <c r="W152" s="21" t="n"/>
      <c r="X152" s="21" t="n"/>
      <c r="Y152" s="21" t="n"/>
      <c r="Z152" s="21" t="n"/>
    </row>
    <row r="153" ht="15.75" customHeight="1" s="545">
      <c r="A153" s="532" t="n"/>
      <c r="B153" s="479">
        <f>IF(A153&lt;&gt;"",IFERROR(VLOOKUP($A153,RENO!$C$12:$P$105,2,0),""),"")</f>
        <v/>
      </c>
      <c r="C153" s="866">
        <f>IF(A153&lt;&gt;"",IFERROR(VLOOKUP($A153,RENO!$C$12:$P$105,4,0),""),"")</f>
        <v/>
      </c>
      <c r="E153" s="534">
        <f>IF(A153&lt;&gt;"",IFERROR(VLOOKUP($A153,RENO!$C$12:$P$105,7,0),""),"")</f>
        <v/>
      </c>
      <c r="F153" s="534">
        <f>IF(A153&lt;&gt;"",IFERROR(VLOOKUP($A153,RENO!$C$12:$P$105,8,0),""),"")</f>
        <v/>
      </c>
      <c r="G153" s="867">
        <f>IF(A153&lt;&gt;"",IFERROR(VLOOKUP($A153,RENO!$C$12:$P$105,12,0),""),"")</f>
        <v/>
      </c>
      <c r="H153" s="867">
        <f>IF(A153&lt;&gt;"",IFERROR(VLOOKUP($A153,RENO!$C$12:$P$105,13,0),""),"")</f>
        <v/>
      </c>
      <c r="I153" s="868">
        <f>IF(A153&lt;&gt;"",IFERROR(VLOOKUP($A153,RENO!$C$12:$P$105,14,0),""),"")</f>
        <v/>
      </c>
      <c r="J153" s="548" t="n"/>
      <c r="K153" s="548" t="n"/>
      <c r="L153" s="548" t="n"/>
      <c r="M153" s="548" t="n"/>
      <c r="N153" s="548" t="n"/>
      <c r="O153" s="548" t="n"/>
      <c r="P153" s="548" t="n"/>
      <c r="Q153" s="548" t="n"/>
      <c r="R153" s="548" t="n"/>
      <c r="S153" s="548" t="n"/>
      <c r="T153" s="21" t="n"/>
      <c r="U153" s="21" t="n"/>
      <c r="V153" s="21" t="n"/>
      <c r="W153" s="21" t="n"/>
      <c r="X153" s="21" t="n"/>
      <c r="Y153" s="21" t="n"/>
      <c r="Z153" s="21" t="n"/>
    </row>
    <row r="154" ht="15.75" customHeight="1" s="545">
      <c r="A154" s="532" t="n"/>
      <c r="B154" s="479">
        <f>IF(A154&lt;&gt;"",IFERROR(VLOOKUP($A154,RENO!$C$12:$P$105,2,0),""),"")</f>
        <v/>
      </c>
      <c r="C154" s="866">
        <f>IF(A154&lt;&gt;"",IFERROR(VLOOKUP($A154,RENO!$C$12:$P$105,4,0),""),"")</f>
        <v/>
      </c>
      <c r="E154" s="534">
        <f>IF(A154&lt;&gt;"",IFERROR(VLOOKUP($A154,RENO!$C$12:$P$105,7,0),""),"")</f>
        <v/>
      </c>
      <c r="F154" s="534">
        <f>IF(A154&lt;&gt;"",IFERROR(VLOOKUP($A154,RENO!$C$12:$P$105,8,0),""),"")</f>
        <v/>
      </c>
      <c r="G154" s="867">
        <f>IF(A154&lt;&gt;"",IFERROR(VLOOKUP($A154,RENO!$C$12:$P$105,12,0),""),"")</f>
        <v/>
      </c>
      <c r="H154" s="867">
        <f>IF(A154&lt;&gt;"",IFERROR(VLOOKUP($A154,RENO!$C$12:$P$105,13,0),""),"")</f>
        <v/>
      </c>
      <c r="I154" s="868">
        <f>IF(A154&lt;&gt;"",IFERROR(VLOOKUP($A154,RENO!$C$12:$P$105,14,0),""),"")</f>
        <v/>
      </c>
      <c r="J154" s="548" t="n"/>
      <c r="K154" s="548" t="n"/>
      <c r="L154" s="548" t="n"/>
      <c r="M154" s="548" t="n"/>
      <c r="N154" s="548" t="n"/>
      <c r="O154" s="548" t="n"/>
      <c r="P154" s="548" t="n"/>
      <c r="Q154" s="548" t="n"/>
      <c r="R154" s="548" t="n"/>
      <c r="S154" s="548" t="n"/>
      <c r="T154" s="21" t="n"/>
      <c r="U154" s="21" t="n"/>
      <c r="V154" s="21" t="n"/>
      <c r="W154" s="21" t="n"/>
      <c r="X154" s="21" t="n"/>
      <c r="Y154" s="21" t="n"/>
      <c r="Z154" s="21" t="n"/>
    </row>
    <row r="155" ht="15.75" customHeight="1" s="545">
      <c r="A155" s="532" t="n"/>
      <c r="B155" s="479">
        <f>IF(A155&lt;&gt;"",IFERROR(VLOOKUP($A155,RENO!$C$12:$P$105,2,0),""),"")</f>
        <v/>
      </c>
      <c r="C155" s="866">
        <f>IF(A155&lt;&gt;"",IFERROR(VLOOKUP($A155,RENO!$C$12:$P$105,4,0),""),"")</f>
        <v/>
      </c>
      <c r="E155" s="534">
        <f>IF(A155&lt;&gt;"",IFERROR(VLOOKUP($A155,RENO!$C$12:$P$105,7,0),""),"")</f>
        <v/>
      </c>
      <c r="F155" s="534">
        <f>IF(A155&lt;&gt;"",IFERROR(VLOOKUP($A155,RENO!$C$12:$P$105,8,0),""),"")</f>
        <v/>
      </c>
      <c r="G155" s="867">
        <f>IF(A155&lt;&gt;"",IFERROR(VLOOKUP($A155,RENO!$C$12:$P$105,12,0),""),"")</f>
        <v/>
      </c>
      <c r="H155" s="867">
        <f>IF(A155&lt;&gt;"",IFERROR(VLOOKUP($A155,RENO!$C$12:$P$105,13,0),""),"")</f>
        <v/>
      </c>
      <c r="I155" s="868">
        <f>IF(A155&lt;&gt;"",IFERROR(VLOOKUP($A155,RENO!$C$12:$P$105,14,0),""),"")</f>
        <v/>
      </c>
      <c r="J155" s="548" t="n"/>
      <c r="K155" s="548" t="n"/>
      <c r="L155" s="548" t="n"/>
      <c r="M155" s="548" t="n"/>
      <c r="N155" s="548" t="n"/>
      <c r="O155" s="548" t="n"/>
      <c r="P155" s="548" t="n"/>
      <c r="Q155" s="548" t="n"/>
      <c r="R155" s="548" t="n"/>
      <c r="S155" s="548" t="n"/>
      <c r="T155" s="21" t="n"/>
      <c r="U155" s="21" t="n"/>
      <c r="V155" s="21" t="n"/>
      <c r="W155" s="21" t="n"/>
      <c r="X155" s="21" t="n"/>
      <c r="Y155" s="21" t="n"/>
      <c r="Z155" s="21" t="n"/>
    </row>
    <row r="156" ht="15.75" customHeight="1" s="545">
      <c r="A156" s="532" t="n"/>
      <c r="B156" s="479">
        <f>IF(A156&lt;&gt;"",IFERROR(VLOOKUP($A156,RENO!$C$12:$P$105,2,0),""),"")</f>
        <v/>
      </c>
      <c r="C156" s="866">
        <f>IF(A156&lt;&gt;"",IFERROR(VLOOKUP($A156,RENO!$C$12:$P$105,4,0),""),"")</f>
        <v/>
      </c>
      <c r="E156" s="534">
        <f>IF(A156&lt;&gt;"",IFERROR(VLOOKUP($A156,RENO!$C$12:$P$105,7,0),""),"")</f>
        <v/>
      </c>
      <c r="F156" s="534">
        <f>IF(A156&lt;&gt;"",IFERROR(VLOOKUP($A156,RENO!$C$12:$P$105,8,0),""),"")</f>
        <v/>
      </c>
      <c r="G156" s="867">
        <f>IF(A156&lt;&gt;"",IFERROR(VLOOKUP($A156,RENO!$C$12:$P$105,12,0),""),"")</f>
        <v/>
      </c>
      <c r="H156" s="867">
        <f>IF(A156&lt;&gt;"",IFERROR(VLOOKUP($A156,RENO!$C$12:$P$105,13,0),""),"")</f>
        <v/>
      </c>
      <c r="I156" s="868">
        <f>IF(A156&lt;&gt;"",IFERROR(VLOOKUP($A156,RENO!$C$12:$P$105,14,0),""),"")</f>
        <v/>
      </c>
      <c r="J156" s="548" t="n"/>
      <c r="K156" s="548" t="n"/>
      <c r="L156" s="548" t="n"/>
      <c r="M156" s="548" t="n"/>
      <c r="N156" s="548" t="n"/>
      <c r="O156" s="548" t="n"/>
      <c r="P156" s="548" t="n"/>
      <c r="Q156" s="548" t="n"/>
      <c r="R156" s="548" t="n"/>
      <c r="S156" s="548" t="n"/>
      <c r="T156" s="21" t="n"/>
      <c r="U156" s="21" t="n"/>
      <c r="V156" s="21" t="n"/>
      <c r="W156" s="21" t="n"/>
      <c r="X156" s="21" t="n"/>
      <c r="Y156" s="21" t="n"/>
      <c r="Z156" s="21" t="n"/>
    </row>
    <row r="157" ht="15.75" customHeight="1" s="545">
      <c r="A157" s="532" t="n"/>
      <c r="B157" s="479">
        <f>IF(A157&lt;&gt;"",IFERROR(VLOOKUP($A157,RENO!$C$12:$P$105,2,0),""),"")</f>
        <v/>
      </c>
      <c r="C157" s="866">
        <f>IF(A157&lt;&gt;"",IFERROR(VLOOKUP($A157,RENO!$C$12:$P$105,4,0),""),"")</f>
        <v/>
      </c>
      <c r="E157" s="534">
        <f>IF(A157&lt;&gt;"",IFERROR(VLOOKUP($A157,RENO!$C$12:$P$105,7,0),""),"")</f>
        <v/>
      </c>
      <c r="F157" s="534">
        <f>IF(A157&lt;&gt;"",IFERROR(VLOOKUP($A157,RENO!$C$12:$P$105,8,0),""),"")</f>
        <v/>
      </c>
      <c r="G157" s="867">
        <f>IF(A157&lt;&gt;"",IFERROR(VLOOKUP($A157,RENO!$C$12:$P$105,12,0),""),"")</f>
        <v/>
      </c>
      <c r="H157" s="867">
        <f>IF(A157&lt;&gt;"",IFERROR(VLOOKUP($A157,RENO!$C$12:$P$105,13,0),""),"")</f>
        <v/>
      </c>
      <c r="I157" s="868">
        <f>IF(A157&lt;&gt;"",IFERROR(VLOOKUP($A157,RENO!$C$12:$P$105,14,0),""),"")</f>
        <v/>
      </c>
      <c r="J157" s="548" t="n"/>
      <c r="K157" s="548" t="n"/>
      <c r="L157" s="548" t="n"/>
      <c r="M157" s="548" t="n"/>
      <c r="N157" s="548" t="n"/>
      <c r="O157" s="548" t="n"/>
      <c r="P157" s="548" t="n"/>
      <c r="Q157" s="548" t="n"/>
      <c r="R157" s="548" t="n"/>
      <c r="S157" s="548" t="n"/>
      <c r="T157" s="21" t="n"/>
      <c r="U157" s="21" t="n"/>
      <c r="V157" s="21" t="n"/>
      <c r="W157" s="21" t="n"/>
      <c r="X157" s="21" t="n"/>
      <c r="Y157" s="21" t="n"/>
      <c r="Z157" s="21" t="n"/>
    </row>
    <row r="158" ht="15.75" customHeight="1" s="545">
      <c r="A158" s="532" t="n"/>
      <c r="B158" s="479">
        <f>IF(A158&lt;&gt;"",IFERROR(VLOOKUP($A158,RENO!$C$12:$P$105,2,0),""),"")</f>
        <v/>
      </c>
      <c r="C158" s="866">
        <f>IF(A158&lt;&gt;"",IFERROR(VLOOKUP($A158,RENO!$C$12:$P$105,4,0),""),"")</f>
        <v/>
      </c>
      <c r="E158" s="534">
        <f>IF(A158&lt;&gt;"",IFERROR(VLOOKUP($A158,RENO!$C$12:$P$105,7,0),""),"")</f>
        <v/>
      </c>
      <c r="F158" s="534">
        <f>IF(A158&lt;&gt;"",IFERROR(VLOOKUP($A158,RENO!$C$12:$P$105,8,0),""),"")</f>
        <v/>
      </c>
      <c r="G158" s="867">
        <f>IF(A158&lt;&gt;"",IFERROR(VLOOKUP($A158,RENO!$C$12:$P$105,12,0),""),"")</f>
        <v/>
      </c>
      <c r="H158" s="867">
        <f>IF(A158&lt;&gt;"",IFERROR(VLOOKUP($A158,RENO!$C$12:$P$105,13,0),""),"")</f>
        <v/>
      </c>
      <c r="I158" s="868">
        <f>IF(A158&lt;&gt;"",IFERROR(VLOOKUP($A158,RENO!$C$12:$P$105,14,0),""),"")</f>
        <v/>
      </c>
      <c r="J158" s="548" t="n"/>
      <c r="K158" s="548" t="n"/>
      <c r="L158" s="548" t="n"/>
      <c r="M158" s="548" t="n"/>
      <c r="N158" s="548" t="n"/>
      <c r="O158" s="548" t="n"/>
      <c r="P158" s="548" t="n"/>
      <c r="Q158" s="548" t="n"/>
      <c r="R158" s="548" t="n"/>
      <c r="S158" s="548" t="n"/>
      <c r="T158" s="21" t="n"/>
      <c r="U158" s="21" t="n"/>
      <c r="V158" s="21" t="n"/>
      <c r="W158" s="21" t="n"/>
      <c r="X158" s="21" t="n"/>
      <c r="Y158" s="21" t="n"/>
      <c r="Z158" s="21" t="n"/>
    </row>
    <row r="159" ht="15.75" customHeight="1" s="545">
      <c r="A159" s="532" t="n"/>
      <c r="B159" s="479">
        <f>IF(A159&lt;&gt;"",IFERROR(VLOOKUP($A159,RENO!$C$12:$P$105,2,0),""),"")</f>
        <v/>
      </c>
      <c r="C159" s="866">
        <f>IF(A159&lt;&gt;"",IFERROR(VLOOKUP($A159,RENO!$C$12:$P$105,4,0),""),"")</f>
        <v/>
      </c>
      <c r="E159" s="534">
        <f>IF(A159&lt;&gt;"",IFERROR(VLOOKUP($A159,RENO!$C$12:$P$105,7,0),""),"")</f>
        <v/>
      </c>
      <c r="F159" s="534">
        <f>IF(A159&lt;&gt;"",IFERROR(VLOOKUP($A159,RENO!$C$12:$P$105,8,0),""),"")</f>
        <v/>
      </c>
      <c r="G159" s="867">
        <f>IF(A159&lt;&gt;"",IFERROR(VLOOKUP($A159,RENO!$C$12:$P$105,12,0),""),"")</f>
        <v/>
      </c>
      <c r="H159" s="867">
        <f>IF(A159&lt;&gt;"",IFERROR(VLOOKUP($A159,RENO!$C$12:$P$105,13,0),""),"")</f>
        <v/>
      </c>
      <c r="I159" s="868">
        <f>IF(A159&lt;&gt;"",IFERROR(VLOOKUP($A159,RENO!$C$12:$P$105,14,0),""),"")</f>
        <v/>
      </c>
      <c r="J159" s="548" t="n"/>
      <c r="K159" s="548" t="n"/>
      <c r="L159" s="548" t="n"/>
      <c r="M159" s="548" t="n"/>
      <c r="N159" s="548" t="n"/>
      <c r="O159" s="548" t="n"/>
      <c r="P159" s="548" t="n"/>
      <c r="Q159" s="548" t="n"/>
      <c r="R159" s="548" t="n"/>
      <c r="S159" s="548" t="n"/>
      <c r="T159" s="21" t="n"/>
      <c r="U159" s="21" t="n"/>
      <c r="V159" s="21" t="n"/>
      <c r="W159" s="21" t="n"/>
      <c r="X159" s="21" t="n"/>
      <c r="Y159" s="21" t="n"/>
      <c r="Z159" s="21" t="n"/>
    </row>
    <row r="160" ht="15.75" customHeight="1" s="545">
      <c r="A160" s="532" t="n"/>
      <c r="B160" s="479">
        <f>IF(A160&lt;&gt;"",IFERROR(VLOOKUP($A160,RENO!$C$12:$P$105,2,0),""),"")</f>
        <v/>
      </c>
      <c r="C160" s="866">
        <f>IF(A160&lt;&gt;"",IFERROR(VLOOKUP($A160,RENO!$C$12:$P$105,4,0),""),"")</f>
        <v/>
      </c>
      <c r="E160" s="534">
        <f>IF(A160&lt;&gt;"",IFERROR(VLOOKUP($A160,RENO!$C$12:$P$105,7,0),""),"")</f>
        <v/>
      </c>
      <c r="F160" s="534">
        <f>IF(A160&lt;&gt;"",IFERROR(VLOOKUP($A160,RENO!$C$12:$P$105,8,0),""),"")</f>
        <v/>
      </c>
      <c r="G160" s="867">
        <f>IF(A160&lt;&gt;"",IFERROR(VLOOKUP($A160,RENO!$C$12:$P$105,12,0),""),"")</f>
        <v/>
      </c>
      <c r="H160" s="867">
        <f>IF(A160&lt;&gt;"",IFERROR(VLOOKUP($A160,RENO!$C$12:$P$105,13,0),""),"")</f>
        <v/>
      </c>
      <c r="I160" s="868">
        <f>IF(A160&lt;&gt;"",IFERROR(VLOOKUP($A160,RENO!$C$12:$P$105,14,0),""),"")</f>
        <v/>
      </c>
      <c r="J160" s="548" t="n"/>
      <c r="K160" s="548" t="n"/>
      <c r="L160" s="548" t="n"/>
      <c r="M160" s="548" t="n"/>
      <c r="N160" s="548" t="n"/>
      <c r="O160" s="548" t="n"/>
      <c r="P160" s="548" t="n"/>
      <c r="Q160" s="548" t="n"/>
      <c r="R160" s="548" t="n"/>
      <c r="S160" s="548" t="n"/>
      <c r="T160" s="21" t="n"/>
      <c r="U160" s="21" t="n"/>
      <c r="V160" s="21" t="n"/>
      <c r="W160" s="21" t="n"/>
      <c r="X160" s="21" t="n"/>
      <c r="Y160" s="21" t="n"/>
      <c r="Z160" s="21" t="n"/>
    </row>
    <row r="161" ht="15.75" customHeight="1" s="545">
      <c r="A161" s="532" t="n"/>
      <c r="B161" s="548" t="n"/>
      <c r="C161" s="548" t="n"/>
      <c r="D161" s="548" t="n"/>
      <c r="E161" s="548" t="n"/>
      <c r="F161" s="548" t="n"/>
      <c r="G161" s="548" t="n"/>
      <c r="H161" s="548" t="n"/>
      <c r="I161" s="548" t="n"/>
      <c r="J161" s="548" t="n"/>
      <c r="K161" s="548" t="n"/>
      <c r="L161" s="548" t="n"/>
      <c r="M161" s="548" t="n"/>
      <c r="N161" s="548" t="n"/>
      <c r="O161" s="548" t="n"/>
      <c r="P161" s="548" t="n"/>
      <c r="Q161" s="548" t="n"/>
      <c r="R161" s="548" t="n"/>
      <c r="S161" s="548" t="n"/>
      <c r="T161" s="21" t="n"/>
      <c r="U161" s="21" t="n"/>
      <c r="V161" s="21" t="n"/>
      <c r="W161" s="21" t="n"/>
      <c r="X161" s="21" t="n"/>
      <c r="Y161" s="21" t="n"/>
      <c r="Z161" s="21" t="n"/>
    </row>
    <row r="162" ht="15.75" customHeight="1" s="545">
      <c r="A162" s="532" t="n"/>
      <c r="B162" s="548" t="n"/>
      <c r="C162" s="548" t="n"/>
      <c r="D162" s="548" t="n"/>
      <c r="E162" s="548" t="n"/>
      <c r="F162" s="548" t="n"/>
      <c r="G162" s="548" t="n"/>
      <c r="H162" s="548" t="n"/>
      <c r="I162" s="548" t="n"/>
      <c r="J162" s="548" t="n"/>
      <c r="K162" s="548" t="n"/>
      <c r="L162" s="548" t="n"/>
      <c r="M162" s="548" t="n"/>
      <c r="N162" s="548" t="n"/>
      <c r="O162" s="548" t="n"/>
      <c r="P162" s="548" t="n"/>
      <c r="Q162" s="548" t="n"/>
      <c r="R162" s="548" t="n"/>
      <c r="S162" s="548" t="n"/>
      <c r="T162" s="21" t="n"/>
      <c r="U162" s="21" t="n"/>
      <c r="V162" s="21" t="n"/>
      <c r="W162" s="21" t="n"/>
      <c r="X162" s="21" t="n"/>
      <c r="Y162" s="21" t="n"/>
      <c r="Z162" s="21" t="n"/>
    </row>
    <row r="163" ht="15.75" customHeight="1" s="545">
      <c r="A163" s="532" t="n"/>
      <c r="B163" s="548" t="n"/>
      <c r="C163" s="548" t="n"/>
      <c r="D163" s="548" t="n"/>
      <c r="E163" s="548" t="n"/>
      <c r="F163" s="548" t="n"/>
      <c r="G163" s="548" t="n"/>
      <c r="H163" s="548" t="n"/>
      <c r="I163" s="548" t="n"/>
      <c r="J163" s="548" t="n"/>
      <c r="K163" s="548" t="n"/>
      <c r="L163" s="548" t="n"/>
      <c r="M163" s="548" t="n"/>
      <c r="N163" s="548" t="n"/>
      <c r="O163" s="548" t="n"/>
      <c r="P163" s="548" t="n"/>
      <c r="Q163" s="548" t="n"/>
      <c r="R163" s="548" t="n"/>
      <c r="S163" s="548" t="n"/>
      <c r="T163" s="21" t="n"/>
      <c r="U163" s="21" t="n"/>
      <c r="V163" s="21" t="n"/>
      <c r="W163" s="21" t="n"/>
      <c r="X163" s="21" t="n"/>
      <c r="Y163" s="21" t="n"/>
      <c r="Z163" s="21" t="n"/>
    </row>
    <row r="164" ht="15.75" customHeight="1" s="545">
      <c r="A164" s="532" t="n"/>
      <c r="B164" s="548" t="n"/>
      <c r="C164" s="548" t="n"/>
      <c r="D164" s="548" t="n"/>
      <c r="E164" s="548" t="n"/>
      <c r="F164" s="548" t="n"/>
      <c r="G164" s="548" t="n"/>
      <c r="H164" s="548" t="n"/>
      <c r="I164" s="548" t="n"/>
      <c r="J164" s="548" t="n"/>
      <c r="K164" s="548" t="n"/>
      <c r="L164" s="548" t="n"/>
      <c r="M164" s="548" t="n"/>
      <c r="N164" s="548" t="n"/>
      <c r="O164" s="548" t="n"/>
      <c r="P164" s="548" t="n"/>
      <c r="Q164" s="548" t="n"/>
      <c r="R164" s="548" t="n"/>
      <c r="S164" s="548" t="n"/>
      <c r="T164" s="21" t="n"/>
      <c r="U164" s="21" t="n"/>
      <c r="V164" s="21" t="n"/>
      <c r="W164" s="21" t="n"/>
      <c r="X164" s="21" t="n"/>
      <c r="Y164" s="21" t="n"/>
      <c r="Z164" s="21" t="n"/>
    </row>
    <row r="165" ht="15.75" customHeight="1" s="545">
      <c r="A165" s="532" t="n"/>
      <c r="B165" s="548" t="n"/>
      <c r="C165" s="548" t="n"/>
      <c r="D165" s="548" t="n"/>
      <c r="E165" s="548" t="n"/>
      <c r="F165" s="548" t="n"/>
      <c r="G165" s="548" t="n"/>
      <c r="H165" s="548" t="n"/>
      <c r="I165" s="548" t="n"/>
      <c r="J165" s="548" t="n"/>
      <c r="K165" s="548" t="n"/>
      <c r="L165" s="548" t="n"/>
      <c r="M165" s="548" t="n"/>
      <c r="N165" s="548" t="n"/>
      <c r="O165" s="548" t="n"/>
      <c r="P165" s="548" t="n"/>
      <c r="Q165" s="548" t="n"/>
      <c r="R165" s="548" t="n"/>
      <c r="S165" s="548" t="n"/>
      <c r="T165" s="21" t="n"/>
      <c r="U165" s="21" t="n"/>
      <c r="V165" s="21" t="n"/>
      <c r="W165" s="21" t="n"/>
      <c r="X165" s="21" t="n"/>
      <c r="Y165" s="21" t="n"/>
      <c r="Z165" s="21" t="n"/>
    </row>
    <row r="166" ht="15.75" customHeight="1" s="545">
      <c r="A166" s="532" t="n"/>
      <c r="B166" s="548" t="n"/>
      <c r="C166" s="548" t="n"/>
      <c r="D166" s="548" t="n"/>
      <c r="E166" s="548" t="n"/>
      <c r="F166" s="548" t="n"/>
      <c r="G166" s="548" t="n"/>
      <c r="H166" s="548" t="n"/>
      <c r="I166" s="548" t="n"/>
      <c r="J166" s="548" t="n"/>
      <c r="K166" s="548" t="n"/>
      <c r="L166" s="548" t="n"/>
      <c r="M166" s="548" t="n"/>
      <c r="N166" s="548" t="n"/>
      <c r="O166" s="548" t="n"/>
      <c r="P166" s="548" t="n"/>
      <c r="Q166" s="548" t="n"/>
      <c r="R166" s="548" t="n"/>
      <c r="S166" s="548" t="n"/>
      <c r="T166" s="21" t="n"/>
      <c r="U166" s="21" t="n"/>
      <c r="V166" s="21" t="n"/>
      <c r="W166" s="21" t="n"/>
      <c r="X166" s="21" t="n"/>
      <c r="Y166" s="21" t="n"/>
      <c r="Z166" s="21" t="n"/>
    </row>
    <row r="167" ht="15.75" customHeight="1" s="545">
      <c r="A167" s="532" t="n"/>
      <c r="B167" s="548" t="n"/>
      <c r="C167" s="548" t="n"/>
      <c r="D167" s="548" t="n"/>
      <c r="E167" s="548" t="n"/>
      <c r="F167" s="548" t="n"/>
      <c r="G167" s="548" t="n"/>
      <c r="H167" s="548" t="n"/>
      <c r="I167" s="548" t="n"/>
      <c r="J167" s="548" t="n"/>
      <c r="K167" s="548" t="n"/>
      <c r="L167" s="548" t="n"/>
      <c r="M167" s="548" t="n"/>
      <c r="N167" s="548" t="n"/>
      <c r="O167" s="548" t="n"/>
      <c r="P167" s="548" t="n"/>
      <c r="Q167" s="548" t="n"/>
      <c r="R167" s="548" t="n"/>
      <c r="S167" s="548" t="n"/>
      <c r="T167" s="21" t="n"/>
      <c r="U167" s="21" t="n"/>
      <c r="V167" s="21" t="n"/>
      <c r="W167" s="21" t="n"/>
      <c r="X167" s="21" t="n"/>
      <c r="Y167" s="21" t="n"/>
      <c r="Z167" s="21" t="n"/>
    </row>
    <row r="168" ht="15.75" customHeight="1" s="545">
      <c r="A168" s="532" t="n"/>
      <c r="B168" s="548" t="n"/>
      <c r="C168" s="548" t="n"/>
      <c r="D168" s="548" t="n"/>
      <c r="E168" s="548" t="n"/>
      <c r="F168" s="548" t="n"/>
      <c r="G168" s="548" t="n"/>
      <c r="H168" s="548" t="n"/>
      <c r="I168" s="548" t="n"/>
      <c r="J168" s="548" t="n"/>
      <c r="K168" s="548" t="n"/>
      <c r="L168" s="548" t="n"/>
      <c r="M168" s="548" t="n"/>
      <c r="N168" s="548" t="n"/>
      <c r="O168" s="548" t="n"/>
      <c r="P168" s="548" t="n"/>
      <c r="Q168" s="548" t="n"/>
      <c r="R168" s="548" t="n"/>
      <c r="S168" s="548" t="n"/>
      <c r="T168" s="21" t="n"/>
      <c r="U168" s="21" t="n"/>
      <c r="V168" s="21" t="n"/>
      <c r="W168" s="21" t="n"/>
      <c r="X168" s="21" t="n"/>
      <c r="Y168" s="21" t="n"/>
      <c r="Z168" s="21" t="n"/>
    </row>
    <row r="169" ht="15.75" customHeight="1" s="545">
      <c r="A169" s="532" t="n"/>
      <c r="B169" s="548" t="n"/>
      <c r="C169" s="548" t="n"/>
      <c r="D169" s="548" t="n"/>
      <c r="E169" s="548" t="n"/>
      <c r="F169" s="548" t="n"/>
      <c r="G169" s="548" t="n"/>
      <c r="H169" s="548" t="n"/>
      <c r="I169" s="548" t="n"/>
      <c r="J169" s="548" t="n"/>
      <c r="K169" s="548" t="n"/>
      <c r="L169" s="548" t="n"/>
      <c r="M169" s="548" t="n"/>
      <c r="N169" s="548" t="n"/>
      <c r="O169" s="548" t="n"/>
      <c r="P169" s="548" t="n"/>
      <c r="Q169" s="548" t="n"/>
      <c r="R169" s="548" t="n"/>
      <c r="S169" s="548" t="n"/>
      <c r="T169" s="21" t="n"/>
      <c r="U169" s="21" t="n"/>
      <c r="V169" s="21" t="n"/>
      <c r="W169" s="21" t="n"/>
      <c r="X169" s="21" t="n"/>
      <c r="Y169" s="21" t="n"/>
      <c r="Z169" s="21" t="n"/>
    </row>
    <row r="170" ht="15.75" customHeight="1" s="545">
      <c r="A170" s="532" t="n"/>
      <c r="B170" s="548" t="n"/>
      <c r="C170" s="548" t="n"/>
      <c r="D170" s="548" t="n"/>
      <c r="E170" s="548" t="n"/>
      <c r="F170" s="548" t="n"/>
      <c r="G170" s="548" t="n"/>
      <c r="H170" s="548" t="n"/>
      <c r="I170" s="548" t="n"/>
      <c r="J170" s="548" t="n"/>
      <c r="K170" s="548" t="n"/>
      <c r="L170" s="548" t="n"/>
      <c r="M170" s="548" t="n"/>
      <c r="N170" s="548" t="n"/>
      <c r="O170" s="548" t="n"/>
      <c r="P170" s="548" t="n"/>
      <c r="Q170" s="548" t="n"/>
      <c r="R170" s="548" t="n"/>
      <c r="S170" s="548" t="n"/>
      <c r="T170" s="21" t="n"/>
      <c r="U170" s="21" t="n"/>
      <c r="V170" s="21" t="n"/>
      <c r="W170" s="21" t="n"/>
      <c r="X170" s="21" t="n"/>
      <c r="Y170" s="21" t="n"/>
      <c r="Z170" s="21" t="n"/>
    </row>
    <row r="171" ht="15.75" customHeight="1" s="545">
      <c r="A171" s="532" t="n"/>
      <c r="B171" s="548" t="n"/>
      <c r="C171" s="548" t="n"/>
      <c r="D171" s="548" t="n"/>
      <c r="E171" s="548" t="n"/>
      <c r="F171" s="548" t="n"/>
      <c r="G171" s="548" t="n"/>
      <c r="H171" s="548" t="n"/>
      <c r="I171" s="548" t="n"/>
      <c r="J171" s="548" t="n"/>
      <c r="K171" s="548" t="n"/>
      <c r="L171" s="548" t="n"/>
      <c r="M171" s="548" t="n"/>
      <c r="N171" s="548" t="n"/>
      <c r="O171" s="548" t="n"/>
      <c r="P171" s="548" t="n"/>
      <c r="Q171" s="548" t="n"/>
      <c r="R171" s="548" t="n"/>
      <c r="S171" s="548" t="n"/>
      <c r="T171" s="21" t="n"/>
      <c r="U171" s="21" t="n"/>
      <c r="V171" s="21" t="n"/>
      <c r="W171" s="21" t="n"/>
      <c r="X171" s="21" t="n"/>
      <c r="Y171" s="21" t="n"/>
      <c r="Z171" s="21" t="n"/>
    </row>
    <row r="172" ht="15.75" customHeight="1" s="545">
      <c r="A172" s="532" t="n"/>
      <c r="B172" s="548" t="n"/>
      <c r="C172" s="548" t="n"/>
      <c r="D172" s="548" t="n"/>
      <c r="E172" s="548" t="n"/>
      <c r="F172" s="548" t="n"/>
      <c r="G172" s="548" t="n"/>
      <c r="H172" s="548" t="n"/>
      <c r="I172" s="548" t="n"/>
      <c r="J172" s="548" t="n"/>
      <c r="K172" s="548" t="n"/>
      <c r="L172" s="548" t="n"/>
      <c r="M172" s="548" t="n"/>
      <c r="N172" s="548" t="n"/>
      <c r="O172" s="548" t="n"/>
      <c r="P172" s="548" t="n"/>
      <c r="Q172" s="548" t="n"/>
      <c r="R172" s="548" t="n"/>
      <c r="S172" s="548" t="n"/>
      <c r="T172" s="21" t="n"/>
      <c r="U172" s="21" t="n"/>
      <c r="V172" s="21" t="n"/>
      <c r="W172" s="21" t="n"/>
      <c r="X172" s="21" t="n"/>
      <c r="Y172" s="21" t="n"/>
      <c r="Z172" s="21" t="n"/>
    </row>
    <row r="173" ht="15.75" customHeight="1" s="545">
      <c r="A173" s="537" t="n"/>
      <c r="B173" s="548" t="n"/>
      <c r="C173" s="548" t="n"/>
      <c r="D173" s="548" t="n"/>
      <c r="E173" s="548" t="n"/>
      <c r="F173" s="548" t="n"/>
      <c r="G173" s="548" t="n"/>
      <c r="H173" s="548" t="n"/>
      <c r="I173" s="548" t="n"/>
      <c r="J173" s="548" t="n"/>
      <c r="K173" s="548" t="n"/>
      <c r="L173" s="548" t="n"/>
      <c r="M173" s="548" t="n"/>
      <c r="N173" s="548" t="n"/>
      <c r="O173" s="548" t="n"/>
      <c r="P173" s="548" t="n"/>
      <c r="Q173" s="548" t="n"/>
      <c r="R173" s="548" t="n"/>
      <c r="S173" s="548" t="n"/>
      <c r="T173" s="21" t="n"/>
      <c r="U173" s="21" t="n"/>
      <c r="V173" s="21" t="n"/>
      <c r="W173" s="21" t="n"/>
      <c r="X173" s="21" t="n"/>
      <c r="Y173" s="21" t="n"/>
      <c r="Z173" s="21" t="n"/>
    </row>
    <row r="174" ht="15.75" customHeight="1" s="545">
      <c r="A174" s="537" t="n"/>
      <c r="B174" s="548" t="n"/>
      <c r="C174" s="548" t="n"/>
      <c r="D174" s="548" t="n"/>
      <c r="E174" s="548" t="n"/>
      <c r="F174" s="548" t="n"/>
      <c r="G174" s="548" t="n"/>
      <c r="H174" s="548" t="n"/>
      <c r="I174" s="548" t="n"/>
      <c r="J174" s="548" t="n"/>
      <c r="K174" s="548" t="n"/>
      <c r="L174" s="548" t="n"/>
      <c r="M174" s="548" t="n"/>
      <c r="N174" s="548" t="n"/>
      <c r="O174" s="548" t="n"/>
      <c r="P174" s="548" t="n"/>
      <c r="Q174" s="548" t="n"/>
      <c r="R174" s="548" t="n"/>
      <c r="S174" s="548" t="n"/>
      <c r="T174" s="21" t="n"/>
      <c r="U174" s="21" t="n"/>
      <c r="V174" s="21" t="n"/>
      <c r="W174" s="21" t="n"/>
      <c r="X174" s="21" t="n"/>
      <c r="Y174" s="21" t="n"/>
      <c r="Z174" s="21" t="n"/>
    </row>
    <row r="175" ht="15.75" customHeight="1" s="545">
      <c r="A175" s="537" t="n"/>
      <c r="B175" s="548" t="n"/>
      <c r="C175" s="548" t="n"/>
      <c r="D175" s="548" t="n"/>
      <c r="E175" s="548" t="n"/>
      <c r="F175" s="548" t="n"/>
      <c r="G175" s="548" t="n"/>
      <c r="H175" s="548" t="n"/>
      <c r="I175" s="548" t="n"/>
      <c r="J175" s="548" t="n"/>
      <c r="K175" s="548" t="n"/>
      <c r="L175" s="548" t="n"/>
      <c r="M175" s="548" t="n"/>
      <c r="N175" s="548" t="n"/>
      <c r="O175" s="548" t="n"/>
      <c r="P175" s="548" t="n"/>
      <c r="Q175" s="548" t="n"/>
      <c r="R175" s="548" t="n"/>
      <c r="S175" s="548" t="n"/>
      <c r="T175" s="21" t="n"/>
      <c r="U175" s="21" t="n"/>
      <c r="V175" s="21" t="n"/>
      <c r="W175" s="21" t="n"/>
      <c r="X175" s="21" t="n"/>
      <c r="Y175" s="21" t="n"/>
      <c r="Z175" s="21" t="n"/>
    </row>
    <row r="176" ht="15.75" customHeight="1" s="545">
      <c r="A176" s="537" t="n"/>
      <c r="B176" s="548" t="n"/>
      <c r="C176" s="548" t="n"/>
      <c r="D176" s="548" t="n"/>
      <c r="E176" s="548" t="n"/>
      <c r="F176" s="548" t="n"/>
      <c r="G176" s="548" t="n"/>
      <c r="H176" s="548" t="n"/>
      <c r="I176" s="548" t="n"/>
      <c r="J176" s="548" t="n"/>
      <c r="K176" s="548" t="n"/>
      <c r="L176" s="548" t="n"/>
      <c r="M176" s="548" t="n"/>
      <c r="N176" s="548" t="n"/>
      <c r="O176" s="548" t="n"/>
      <c r="P176" s="548" t="n"/>
      <c r="Q176" s="548" t="n"/>
      <c r="R176" s="548" t="n"/>
      <c r="S176" s="548" t="n"/>
      <c r="T176" s="21" t="n"/>
      <c r="U176" s="21" t="n"/>
      <c r="V176" s="21" t="n"/>
      <c r="W176" s="21" t="n"/>
      <c r="X176" s="21" t="n"/>
      <c r="Y176" s="21" t="n"/>
      <c r="Z176" s="21" t="n"/>
    </row>
    <row r="177" ht="15.75" customHeight="1" s="545">
      <c r="A177" s="537" t="n"/>
      <c r="B177" s="548" t="n"/>
      <c r="C177" s="548" t="n"/>
      <c r="D177" s="548" t="n"/>
      <c r="E177" s="548" t="n"/>
      <c r="F177" s="548" t="n"/>
      <c r="G177" s="548" t="n"/>
      <c r="H177" s="548" t="n"/>
      <c r="I177" s="548" t="n"/>
      <c r="J177" s="548" t="n"/>
      <c r="K177" s="548" t="n"/>
      <c r="L177" s="548" t="n"/>
      <c r="M177" s="548" t="n"/>
      <c r="N177" s="548" t="n"/>
      <c r="O177" s="548" t="n"/>
      <c r="P177" s="548" t="n"/>
      <c r="Q177" s="548" t="n"/>
      <c r="R177" s="548" t="n"/>
      <c r="S177" s="548" t="n"/>
      <c r="T177" s="21" t="n"/>
      <c r="U177" s="21" t="n"/>
      <c r="V177" s="21" t="n"/>
      <c r="W177" s="21" t="n"/>
      <c r="X177" s="21" t="n"/>
      <c r="Y177" s="21" t="n"/>
      <c r="Z177" s="21" t="n"/>
    </row>
    <row r="178" ht="15.75" customHeight="1" s="545">
      <c r="A178" s="504" t="n"/>
      <c r="B178" s="548" t="n"/>
      <c r="C178" s="548" t="n"/>
      <c r="D178" s="548" t="n"/>
      <c r="E178" s="548" t="n"/>
      <c r="F178" s="548" t="n"/>
      <c r="G178" s="548" t="n"/>
      <c r="H178" s="548" t="n"/>
      <c r="I178" s="548" t="n"/>
      <c r="J178" s="548" t="n"/>
      <c r="K178" s="548" t="n"/>
      <c r="L178" s="548" t="n"/>
      <c r="M178" s="548" t="n"/>
      <c r="N178" s="548" t="n"/>
      <c r="O178" s="548" t="n"/>
      <c r="P178" s="548" t="n"/>
      <c r="Q178" s="548" t="n"/>
      <c r="R178" s="548" t="n"/>
      <c r="S178" s="548" t="n"/>
      <c r="T178" s="21" t="n"/>
      <c r="U178" s="21" t="n"/>
      <c r="V178" s="21" t="n"/>
      <c r="W178" s="21" t="n"/>
      <c r="X178" s="21" t="n"/>
      <c r="Y178" s="21" t="n"/>
      <c r="Z178" s="21" t="n"/>
    </row>
    <row r="179" ht="15.75" customHeight="1" s="545">
      <c r="A179" s="504" t="n"/>
      <c r="B179" s="548" t="n"/>
      <c r="C179" s="548" t="n"/>
      <c r="D179" s="548" t="n"/>
      <c r="E179" s="548" t="n"/>
      <c r="F179" s="548" t="n"/>
      <c r="G179" s="548" t="n"/>
      <c r="H179" s="548" t="n"/>
      <c r="I179" s="548" t="n"/>
      <c r="J179" s="548" t="n"/>
      <c r="K179" s="548" t="n"/>
      <c r="L179" s="548" t="n"/>
      <c r="M179" s="548" t="n"/>
      <c r="N179" s="548" t="n"/>
      <c r="O179" s="548" t="n"/>
      <c r="P179" s="548" t="n"/>
      <c r="Q179" s="548" t="n"/>
      <c r="R179" s="548" t="n"/>
      <c r="S179" s="548" t="n"/>
      <c r="T179" s="21" t="n"/>
      <c r="U179" s="21" t="n"/>
      <c r="V179" s="21" t="n"/>
      <c r="W179" s="21" t="n"/>
      <c r="X179" s="21" t="n"/>
      <c r="Y179" s="21" t="n"/>
      <c r="Z179" s="21" t="n"/>
    </row>
    <row r="180" ht="15.75" customHeight="1" s="545">
      <c r="A180" s="504" t="n"/>
      <c r="B180" s="548" t="n"/>
      <c r="C180" s="548" t="n"/>
      <c r="D180" s="548" t="n"/>
      <c r="E180" s="548" t="n"/>
      <c r="F180" s="548" t="n"/>
      <c r="G180" s="548" t="n"/>
      <c r="H180" s="548" t="n"/>
      <c r="I180" s="548" t="n"/>
      <c r="J180" s="548" t="n"/>
      <c r="K180" s="548" t="n"/>
      <c r="L180" s="548" t="n"/>
      <c r="M180" s="548" t="n"/>
      <c r="N180" s="548" t="n"/>
      <c r="O180" s="548" t="n"/>
      <c r="P180" s="548" t="n"/>
      <c r="Q180" s="548" t="n"/>
      <c r="R180" s="548" t="n"/>
      <c r="S180" s="548" t="n"/>
      <c r="T180" s="21" t="n"/>
      <c r="U180" s="21" t="n"/>
      <c r="V180" s="21" t="n"/>
      <c r="W180" s="21" t="n"/>
      <c r="X180" s="21" t="n"/>
      <c r="Y180" s="21" t="n"/>
      <c r="Z180" s="21" t="n"/>
    </row>
    <row r="181" ht="15.75" customHeight="1" s="545">
      <c r="A181" s="504" t="n"/>
      <c r="B181" s="548" t="n"/>
      <c r="C181" s="548" t="n"/>
      <c r="D181" s="548" t="n"/>
      <c r="E181" s="548" t="n"/>
      <c r="F181" s="548" t="n"/>
      <c r="G181" s="548" t="n"/>
      <c r="H181" s="548" t="n"/>
      <c r="I181" s="548" t="n"/>
      <c r="J181" s="548" t="n"/>
      <c r="K181" s="548" t="n"/>
      <c r="L181" s="548" t="n"/>
      <c r="M181" s="548" t="n"/>
      <c r="N181" s="548" t="n"/>
      <c r="O181" s="548" t="n"/>
      <c r="P181" s="548" t="n"/>
      <c r="Q181" s="548" t="n"/>
      <c r="R181" s="548" t="n"/>
      <c r="S181" s="548" t="n"/>
      <c r="T181" s="21" t="n"/>
      <c r="U181" s="21" t="n"/>
      <c r="V181" s="21" t="n"/>
      <c r="W181" s="21" t="n"/>
      <c r="X181" s="21" t="n"/>
      <c r="Y181" s="21" t="n"/>
      <c r="Z181" s="21" t="n"/>
    </row>
    <row r="182" ht="15.75" customHeight="1" s="545">
      <c r="A182" s="504" t="n"/>
      <c r="B182" s="548" t="n"/>
      <c r="C182" s="548" t="n"/>
      <c r="D182" s="548" t="n"/>
      <c r="E182" s="548" t="n"/>
      <c r="F182" s="548" t="n"/>
      <c r="G182" s="548" t="n"/>
      <c r="H182" s="548" t="n"/>
      <c r="I182" s="548" t="n"/>
      <c r="J182" s="548" t="n"/>
      <c r="K182" s="548" t="n"/>
      <c r="L182" s="548" t="n"/>
      <c r="M182" s="548" t="n"/>
      <c r="N182" s="548" t="n"/>
      <c r="O182" s="548" t="n"/>
      <c r="P182" s="548" t="n"/>
      <c r="Q182" s="548" t="n"/>
      <c r="R182" s="548" t="n"/>
      <c r="S182" s="548" t="n"/>
      <c r="T182" s="21" t="n"/>
      <c r="U182" s="21" t="n"/>
      <c r="V182" s="21" t="n"/>
      <c r="W182" s="21" t="n"/>
      <c r="X182" s="21" t="n"/>
      <c r="Y182" s="21" t="n"/>
      <c r="Z182" s="21" t="n"/>
    </row>
    <row r="183" ht="15.75" customHeight="1" s="545">
      <c r="A183" s="504" t="n"/>
      <c r="B183" s="548" t="n"/>
      <c r="C183" s="548" t="n"/>
      <c r="D183" s="548" t="n"/>
      <c r="E183" s="548" t="n"/>
      <c r="F183" s="548" t="n"/>
      <c r="G183" s="548" t="n"/>
      <c r="H183" s="548" t="n"/>
      <c r="I183" s="548" t="n"/>
      <c r="J183" s="548" t="n"/>
      <c r="K183" s="548" t="n"/>
      <c r="L183" s="548" t="n"/>
      <c r="M183" s="548" t="n"/>
      <c r="N183" s="548" t="n"/>
      <c r="O183" s="548" t="n"/>
      <c r="P183" s="548" t="n"/>
      <c r="Q183" s="548" t="n"/>
      <c r="R183" s="548" t="n"/>
      <c r="S183" s="548" t="n"/>
      <c r="T183" s="21" t="n"/>
      <c r="U183" s="21" t="n"/>
      <c r="V183" s="21" t="n"/>
      <c r="W183" s="21" t="n"/>
      <c r="X183" s="21" t="n"/>
      <c r="Y183" s="21" t="n"/>
      <c r="Z183" s="21" t="n"/>
    </row>
    <row r="184" ht="15.75" customHeight="1" s="545">
      <c r="A184" s="504" t="n"/>
      <c r="B184" s="548" t="n"/>
      <c r="C184" s="548" t="n"/>
      <c r="D184" s="548" t="n"/>
      <c r="E184" s="548" t="n"/>
      <c r="F184" s="548" t="n"/>
      <c r="G184" s="548" t="n"/>
      <c r="H184" s="548" t="n"/>
      <c r="I184" s="548" t="n"/>
      <c r="J184" s="548" t="n"/>
      <c r="K184" s="548" t="n"/>
      <c r="L184" s="548" t="n"/>
      <c r="M184" s="548" t="n"/>
      <c r="N184" s="548" t="n"/>
      <c r="O184" s="548" t="n"/>
      <c r="P184" s="548" t="n"/>
      <c r="Q184" s="548" t="n"/>
      <c r="R184" s="548" t="n"/>
      <c r="S184" s="548" t="n"/>
      <c r="T184" s="21" t="n"/>
      <c r="U184" s="21" t="n"/>
      <c r="V184" s="21" t="n"/>
      <c r="W184" s="21" t="n"/>
      <c r="X184" s="21" t="n"/>
      <c r="Y184" s="21" t="n"/>
      <c r="Z184" s="21" t="n"/>
    </row>
    <row r="185" ht="15.75" customHeight="1" s="545">
      <c r="A185" s="504" t="n"/>
      <c r="B185" s="548" t="n"/>
      <c r="C185" s="548" t="n"/>
      <c r="D185" s="548" t="n"/>
      <c r="E185" s="548" t="n"/>
      <c r="F185" s="548" t="n"/>
      <c r="G185" s="548" t="n"/>
      <c r="H185" s="548" t="n"/>
      <c r="I185" s="548" t="n"/>
      <c r="J185" s="548" t="n"/>
      <c r="K185" s="548" t="n"/>
      <c r="L185" s="548" t="n"/>
      <c r="M185" s="548" t="n"/>
      <c r="N185" s="548" t="n"/>
      <c r="O185" s="548" t="n"/>
      <c r="P185" s="548" t="n"/>
      <c r="Q185" s="548" t="n"/>
      <c r="R185" s="548" t="n"/>
      <c r="S185" s="548" t="n"/>
      <c r="T185" s="21" t="n"/>
      <c r="U185" s="21" t="n"/>
      <c r="V185" s="21" t="n"/>
      <c r="W185" s="21" t="n"/>
      <c r="X185" s="21" t="n"/>
      <c r="Y185" s="21" t="n"/>
      <c r="Z185" s="21" t="n"/>
    </row>
    <row r="186" ht="15.75" customHeight="1" s="545">
      <c r="A186" s="504" t="n"/>
      <c r="B186" s="548" t="n"/>
      <c r="C186" s="548" t="n"/>
      <c r="D186" s="548" t="n"/>
      <c r="E186" s="548" t="n"/>
      <c r="F186" s="548" t="n"/>
      <c r="G186" s="548" t="n"/>
      <c r="H186" s="548" t="n"/>
      <c r="I186" s="548" t="n"/>
      <c r="J186" s="548" t="n"/>
      <c r="K186" s="548" t="n"/>
      <c r="L186" s="548" t="n"/>
      <c r="M186" s="548" t="n"/>
      <c r="N186" s="548" t="n"/>
      <c r="O186" s="548" t="n"/>
      <c r="P186" s="548" t="n"/>
      <c r="Q186" s="548" t="n"/>
      <c r="R186" s="548" t="n"/>
      <c r="S186" s="548" t="n"/>
      <c r="T186" s="21" t="n"/>
      <c r="U186" s="21" t="n"/>
      <c r="V186" s="21" t="n"/>
      <c r="W186" s="21" t="n"/>
      <c r="X186" s="21" t="n"/>
      <c r="Y186" s="21" t="n"/>
      <c r="Z186" s="21" t="n"/>
    </row>
    <row r="187" ht="15.75" customHeight="1" s="545">
      <c r="A187" s="504" t="n"/>
      <c r="B187" s="548" t="n"/>
      <c r="C187" s="548" t="n"/>
      <c r="D187" s="548" t="n"/>
      <c r="E187" s="548" t="n"/>
      <c r="F187" s="548" t="n"/>
      <c r="G187" s="548" t="n"/>
      <c r="H187" s="548" t="n"/>
      <c r="I187" s="548" t="n"/>
      <c r="J187" s="548" t="n"/>
      <c r="K187" s="548" t="n"/>
      <c r="L187" s="548" t="n"/>
      <c r="M187" s="548" t="n"/>
      <c r="N187" s="548" t="n"/>
      <c r="O187" s="548" t="n"/>
      <c r="P187" s="548" t="n"/>
      <c r="Q187" s="548" t="n"/>
      <c r="R187" s="548" t="n"/>
      <c r="S187" s="548" t="n"/>
      <c r="T187" s="21" t="n"/>
      <c r="U187" s="21" t="n"/>
      <c r="V187" s="21" t="n"/>
      <c r="W187" s="21" t="n"/>
      <c r="X187" s="21" t="n"/>
      <c r="Y187" s="21" t="n"/>
      <c r="Z187" s="21" t="n"/>
    </row>
    <row r="188" ht="15.75" customHeight="1" s="545">
      <c r="A188" s="504" t="n"/>
      <c r="B188" s="548" t="n"/>
      <c r="C188" s="548" t="n"/>
      <c r="D188" s="548" t="n"/>
      <c r="E188" s="548" t="n"/>
      <c r="F188" s="548" t="n"/>
      <c r="G188" s="548" t="n"/>
      <c r="H188" s="548" t="n"/>
      <c r="I188" s="548" t="n"/>
      <c r="J188" s="548" t="n"/>
      <c r="K188" s="548" t="n"/>
      <c r="L188" s="548" t="n"/>
      <c r="M188" s="548" t="n"/>
      <c r="N188" s="548" t="n"/>
      <c r="O188" s="548" t="n"/>
      <c r="P188" s="548" t="n"/>
      <c r="Q188" s="548" t="n"/>
      <c r="R188" s="548" t="n"/>
      <c r="S188" s="548" t="n"/>
      <c r="T188" s="21" t="n"/>
      <c r="U188" s="21" t="n"/>
      <c r="V188" s="21" t="n"/>
      <c r="W188" s="21" t="n"/>
      <c r="X188" s="21" t="n"/>
      <c r="Y188" s="21" t="n"/>
      <c r="Z188" s="21" t="n"/>
    </row>
    <row r="189" ht="15.75" customHeight="1" s="545">
      <c r="A189" s="504" t="n"/>
      <c r="B189" s="548" t="n"/>
      <c r="C189" s="548" t="n"/>
      <c r="D189" s="548" t="n"/>
      <c r="E189" s="548" t="n"/>
      <c r="F189" s="548" t="n"/>
      <c r="G189" s="548" t="n"/>
      <c r="H189" s="548" t="n"/>
      <c r="I189" s="548" t="n"/>
      <c r="J189" s="548" t="n"/>
      <c r="K189" s="548" t="n"/>
      <c r="L189" s="548" t="n"/>
      <c r="M189" s="548" t="n"/>
      <c r="N189" s="548" t="n"/>
      <c r="O189" s="548" t="n"/>
      <c r="P189" s="548" t="n"/>
      <c r="Q189" s="548" t="n"/>
      <c r="R189" s="548" t="n"/>
      <c r="S189" s="548" t="n"/>
      <c r="T189" s="21" t="n"/>
      <c r="U189" s="21" t="n"/>
      <c r="V189" s="21" t="n"/>
      <c r="W189" s="21" t="n"/>
      <c r="X189" s="21" t="n"/>
      <c r="Y189" s="21" t="n"/>
      <c r="Z189" s="21" t="n"/>
    </row>
    <row r="190" ht="15.75" customHeight="1" s="545">
      <c r="A190" s="504" t="n"/>
      <c r="B190" s="548" t="n"/>
      <c r="C190" s="548" t="n"/>
      <c r="D190" s="548" t="n"/>
      <c r="E190" s="548" t="n"/>
      <c r="F190" s="548" t="n"/>
      <c r="G190" s="548" t="n"/>
      <c r="H190" s="548" t="n"/>
      <c r="I190" s="548" t="n"/>
      <c r="J190" s="548" t="n"/>
      <c r="K190" s="548" t="n"/>
      <c r="L190" s="548" t="n"/>
      <c r="M190" s="548" t="n"/>
      <c r="N190" s="548" t="n"/>
      <c r="O190" s="548" t="n"/>
      <c r="P190" s="548" t="n"/>
      <c r="Q190" s="548" t="n"/>
      <c r="R190" s="548" t="n"/>
      <c r="S190" s="548" t="n"/>
      <c r="T190" s="21" t="n"/>
      <c r="U190" s="21" t="n"/>
      <c r="V190" s="21" t="n"/>
      <c r="W190" s="21" t="n"/>
      <c r="X190" s="21" t="n"/>
      <c r="Y190" s="21" t="n"/>
      <c r="Z190" s="21" t="n"/>
    </row>
    <row r="191" ht="15.75" customHeight="1" s="545">
      <c r="A191" s="504" t="n"/>
      <c r="B191" s="548" t="n"/>
      <c r="C191" s="548" t="n"/>
      <c r="D191" s="548" t="n"/>
      <c r="E191" s="548" t="n"/>
      <c r="F191" s="548" t="n"/>
      <c r="G191" s="548" t="n"/>
      <c r="H191" s="548" t="n"/>
      <c r="I191" s="548" t="n"/>
      <c r="J191" s="548" t="n"/>
      <c r="K191" s="548" t="n"/>
      <c r="L191" s="548" t="n"/>
      <c r="M191" s="548" t="n"/>
      <c r="N191" s="548" t="n"/>
      <c r="O191" s="548" t="n"/>
      <c r="P191" s="548" t="n"/>
      <c r="Q191" s="548" t="n"/>
      <c r="R191" s="548" t="n"/>
      <c r="S191" s="548" t="n"/>
      <c r="T191" s="21" t="n"/>
      <c r="U191" s="21" t="n"/>
      <c r="V191" s="21" t="n"/>
      <c r="W191" s="21" t="n"/>
      <c r="X191" s="21" t="n"/>
      <c r="Y191" s="21" t="n"/>
      <c r="Z191" s="21" t="n"/>
    </row>
    <row r="192" ht="15.75" customHeight="1" s="545">
      <c r="A192" s="504" t="n"/>
      <c r="B192" s="548" t="n"/>
      <c r="C192" s="548" t="n"/>
      <c r="D192" s="548" t="n"/>
      <c r="E192" s="548" t="n"/>
      <c r="F192" s="548" t="n"/>
      <c r="G192" s="548" t="n"/>
      <c r="H192" s="548" t="n"/>
      <c r="I192" s="548" t="n"/>
      <c r="J192" s="548" t="n"/>
      <c r="K192" s="548" t="n"/>
      <c r="L192" s="548" t="n"/>
      <c r="M192" s="548" t="n"/>
      <c r="N192" s="548" t="n"/>
      <c r="O192" s="548" t="n"/>
      <c r="P192" s="548" t="n"/>
      <c r="Q192" s="548" t="n"/>
      <c r="R192" s="548" t="n"/>
      <c r="S192" s="548" t="n"/>
      <c r="T192" s="21" t="n"/>
      <c r="U192" s="21" t="n"/>
      <c r="V192" s="21" t="n"/>
      <c r="W192" s="21" t="n"/>
      <c r="X192" s="21" t="n"/>
      <c r="Y192" s="21" t="n"/>
      <c r="Z192" s="21" t="n"/>
    </row>
    <row r="193" ht="15.75" customHeight="1" s="545">
      <c r="A193" s="504" t="n"/>
      <c r="B193" s="548" t="n"/>
      <c r="C193" s="548" t="n"/>
      <c r="D193" s="548" t="n"/>
      <c r="E193" s="548" t="n"/>
      <c r="F193" s="548" t="n"/>
      <c r="G193" s="548" t="n"/>
      <c r="H193" s="548" t="n"/>
      <c r="I193" s="548" t="n"/>
      <c r="J193" s="548" t="n"/>
      <c r="K193" s="548" t="n"/>
      <c r="L193" s="548" t="n"/>
      <c r="M193" s="548" t="n"/>
      <c r="N193" s="548" t="n"/>
      <c r="O193" s="548" t="n"/>
      <c r="P193" s="548" t="n"/>
      <c r="Q193" s="548" t="n"/>
      <c r="R193" s="548" t="n"/>
      <c r="S193" s="548" t="n"/>
      <c r="T193" s="21" t="n"/>
      <c r="U193" s="21" t="n"/>
      <c r="V193" s="21" t="n"/>
      <c r="W193" s="21" t="n"/>
      <c r="X193" s="21" t="n"/>
      <c r="Y193" s="21" t="n"/>
      <c r="Z193" s="21" t="n"/>
    </row>
    <row r="194" ht="15.75" customHeight="1" s="545">
      <c r="A194" s="504" t="n"/>
      <c r="B194" s="548" t="n"/>
      <c r="C194" s="548" t="n"/>
      <c r="D194" s="548" t="n"/>
      <c r="E194" s="548" t="n"/>
      <c r="F194" s="548" t="n"/>
      <c r="G194" s="548" t="n"/>
      <c r="H194" s="548" t="n"/>
      <c r="I194" s="548" t="n"/>
      <c r="J194" s="548" t="n"/>
      <c r="K194" s="548" t="n"/>
      <c r="L194" s="548" t="n"/>
      <c r="M194" s="548" t="n"/>
      <c r="N194" s="548" t="n"/>
      <c r="O194" s="548" t="n"/>
      <c r="P194" s="548" t="n"/>
      <c r="Q194" s="548" t="n"/>
      <c r="R194" s="548" t="n"/>
      <c r="S194" s="548" t="n"/>
      <c r="T194" s="21" t="n"/>
      <c r="U194" s="21" t="n"/>
      <c r="V194" s="21" t="n"/>
      <c r="W194" s="21" t="n"/>
      <c r="X194" s="21" t="n"/>
      <c r="Y194" s="21" t="n"/>
      <c r="Z194" s="21" t="n"/>
    </row>
    <row r="195" ht="15.75" customHeight="1" s="545">
      <c r="A195" s="504" t="n"/>
      <c r="B195" s="548" t="n"/>
      <c r="C195" s="548" t="n"/>
      <c r="D195" s="548" t="n"/>
      <c r="E195" s="548" t="n"/>
      <c r="F195" s="548" t="n"/>
      <c r="G195" s="548" t="n"/>
      <c r="H195" s="548" t="n"/>
      <c r="I195" s="548" t="n"/>
      <c r="J195" s="548" t="n"/>
      <c r="K195" s="548" t="n"/>
      <c r="L195" s="548" t="n"/>
      <c r="M195" s="548" t="n"/>
      <c r="N195" s="548" t="n"/>
      <c r="O195" s="548" t="n"/>
      <c r="P195" s="548" t="n"/>
      <c r="Q195" s="548" t="n"/>
      <c r="R195" s="548" t="n"/>
      <c r="S195" s="548" t="n"/>
      <c r="T195" s="21" t="n"/>
      <c r="U195" s="21" t="n"/>
      <c r="V195" s="21" t="n"/>
      <c r="W195" s="21" t="n"/>
      <c r="X195" s="21" t="n"/>
      <c r="Y195" s="21" t="n"/>
      <c r="Z195" s="21" t="n"/>
    </row>
    <row r="196" ht="15.75" customHeight="1" s="545">
      <c r="A196" s="504" t="n"/>
      <c r="B196" s="548" t="n"/>
      <c r="C196" s="548" t="n"/>
      <c r="D196" s="548" t="n"/>
      <c r="E196" s="548" t="n"/>
      <c r="F196" s="548" t="n"/>
      <c r="G196" s="548" t="n"/>
      <c r="H196" s="548" t="n"/>
      <c r="I196" s="548" t="n"/>
      <c r="J196" s="548" t="n"/>
      <c r="K196" s="548" t="n"/>
      <c r="L196" s="548" t="n"/>
      <c r="M196" s="548" t="n"/>
      <c r="N196" s="548" t="n"/>
      <c r="O196" s="548" t="n"/>
      <c r="P196" s="548" t="n"/>
      <c r="Q196" s="548" t="n"/>
      <c r="R196" s="548" t="n"/>
      <c r="S196" s="548" t="n"/>
      <c r="T196" s="21" t="n"/>
      <c r="U196" s="21" t="n"/>
      <c r="V196" s="21" t="n"/>
      <c r="W196" s="21" t="n"/>
      <c r="X196" s="21" t="n"/>
      <c r="Y196" s="21" t="n"/>
      <c r="Z196" s="21" t="n"/>
    </row>
    <row r="197" ht="15.75" customHeight="1" s="545">
      <c r="A197" s="504" t="n"/>
      <c r="B197" s="548" t="n"/>
      <c r="C197" s="548" t="n"/>
      <c r="D197" s="548" t="n"/>
      <c r="E197" s="548" t="n"/>
      <c r="F197" s="548" t="n"/>
      <c r="G197" s="548" t="n"/>
      <c r="H197" s="548" t="n"/>
      <c r="I197" s="548" t="n"/>
      <c r="J197" s="548" t="n"/>
      <c r="K197" s="548" t="n"/>
      <c r="L197" s="548" t="n"/>
      <c r="M197" s="548" t="n"/>
      <c r="N197" s="548" t="n"/>
      <c r="O197" s="548" t="n"/>
      <c r="P197" s="548" t="n"/>
      <c r="Q197" s="548" t="n"/>
      <c r="R197" s="548" t="n"/>
      <c r="S197" s="548" t="n"/>
      <c r="T197" s="21" t="n"/>
      <c r="U197" s="21" t="n"/>
      <c r="V197" s="21" t="n"/>
      <c r="W197" s="21" t="n"/>
      <c r="X197" s="21" t="n"/>
      <c r="Y197" s="21" t="n"/>
      <c r="Z197" s="21" t="n"/>
    </row>
    <row r="198" ht="15.75" customHeight="1" s="545">
      <c r="A198" s="504" t="n"/>
      <c r="B198" s="548" t="n"/>
      <c r="C198" s="548" t="n"/>
      <c r="D198" s="548" t="n"/>
      <c r="E198" s="548" t="n"/>
      <c r="F198" s="548" t="n"/>
      <c r="G198" s="548" t="n"/>
      <c r="H198" s="548" t="n"/>
      <c r="I198" s="548" t="n"/>
      <c r="J198" s="548" t="n"/>
      <c r="K198" s="548" t="n"/>
      <c r="L198" s="548" t="n"/>
      <c r="M198" s="548" t="n"/>
      <c r="N198" s="548" t="n"/>
      <c r="O198" s="548" t="n"/>
      <c r="P198" s="548" t="n"/>
      <c r="Q198" s="548" t="n"/>
      <c r="R198" s="548" t="n"/>
      <c r="S198" s="548" t="n"/>
      <c r="T198" s="21" t="n"/>
      <c r="U198" s="21" t="n"/>
      <c r="V198" s="21" t="n"/>
      <c r="W198" s="21" t="n"/>
      <c r="X198" s="21" t="n"/>
      <c r="Y198" s="21" t="n"/>
      <c r="Z198" s="21" t="n"/>
    </row>
    <row r="199" ht="15.75" customHeight="1" s="545">
      <c r="A199" s="504" t="n"/>
      <c r="B199" s="548" t="n"/>
      <c r="C199" s="548" t="n"/>
      <c r="D199" s="548" t="n"/>
      <c r="E199" s="548" t="n"/>
      <c r="F199" s="548" t="n"/>
      <c r="G199" s="548" t="n"/>
      <c r="H199" s="548" t="n"/>
      <c r="I199" s="548" t="n"/>
      <c r="J199" s="548" t="n"/>
      <c r="K199" s="548" t="n"/>
      <c r="L199" s="548" t="n"/>
      <c r="M199" s="548" t="n"/>
      <c r="N199" s="548" t="n"/>
      <c r="O199" s="548" t="n"/>
      <c r="P199" s="548" t="n"/>
      <c r="Q199" s="548" t="n"/>
      <c r="R199" s="548" t="n"/>
      <c r="S199" s="548" t="n"/>
      <c r="T199" s="21" t="n"/>
      <c r="U199" s="21" t="n"/>
      <c r="V199" s="21" t="n"/>
      <c r="W199" s="21" t="n"/>
      <c r="X199" s="21" t="n"/>
      <c r="Y199" s="21" t="n"/>
      <c r="Z199" s="21" t="n"/>
    </row>
    <row r="200" ht="15.75" customHeight="1" s="545">
      <c r="A200" s="504" t="n"/>
      <c r="B200" s="548" t="n"/>
      <c r="C200" s="548" t="n"/>
      <c r="D200" s="548" t="n"/>
      <c r="E200" s="548" t="n"/>
      <c r="F200" s="548" t="n"/>
      <c r="G200" s="548" t="n"/>
      <c r="H200" s="548" t="n"/>
      <c r="I200" s="548" t="n"/>
      <c r="J200" s="548" t="n"/>
      <c r="K200" s="548" t="n"/>
      <c r="L200" s="548" t="n"/>
      <c r="M200" s="548" t="n"/>
      <c r="N200" s="548" t="n"/>
      <c r="O200" s="548" t="n"/>
      <c r="P200" s="548" t="n"/>
      <c r="Q200" s="548" t="n"/>
      <c r="R200" s="548" t="n"/>
      <c r="S200" s="548" t="n"/>
      <c r="T200" s="21" t="n"/>
      <c r="U200" s="21" t="n"/>
      <c r="V200" s="21" t="n"/>
      <c r="W200" s="21" t="n"/>
      <c r="X200" s="21" t="n"/>
      <c r="Y200" s="21" t="n"/>
      <c r="Z200" s="21" t="n"/>
    </row>
    <row r="201" ht="15.75" customHeight="1" s="545">
      <c r="A201" s="504" t="n"/>
      <c r="B201" s="548" t="n"/>
      <c r="C201" s="548" t="n"/>
      <c r="D201" s="548" t="n"/>
      <c r="E201" s="548" t="n"/>
      <c r="F201" s="548" t="n"/>
      <c r="G201" s="548" t="n"/>
      <c r="H201" s="548" t="n"/>
      <c r="I201" s="548" t="n"/>
      <c r="J201" s="548" t="n"/>
      <c r="K201" s="548" t="n"/>
      <c r="L201" s="548" t="n"/>
      <c r="M201" s="548" t="n"/>
      <c r="N201" s="548" t="n"/>
      <c r="O201" s="548" t="n"/>
      <c r="P201" s="548" t="n"/>
      <c r="Q201" s="548" t="n"/>
      <c r="R201" s="548" t="n"/>
      <c r="S201" s="548" t="n"/>
      <c r="T201" s="21" t="n"/>
      <c r="U201" s="21" t="n"/>
      <c r="V201" s="21" t="n"/>
      <c r="W201" s="21" t="n"/>
      <c r="X201" s="21" t="n"/>
      <c r="Y201" s="21" t="n"/>
      <c r="Z201" s="21" t="n"/>
    </row>
    <row r="202" ht="15.75" customHeight="1" s="545">
      <c r="A202" s="504" t="n"/>
      <c r="B202" s="548" t="n"/>
      <c r="C202" s="548" t="n"/>
      <c r="D202" s="548" t="n"/>
      <c r="E202" s="548" t="n"/>
      <c r="F202" s="548" t="n"/>
      <c r="G202" s="548" t="n"/>
      <c r="H202" s="548" t="n"/>
      <c r="I202" s="548" t="n"/>
      <c r="J202" s="548" t="n"/>
      <c r="K202" s="548" t="n"/>
      <c r="L202" s="548" t="n"/>
      <c r="M202" s="548" t="n"/>
      <c r="N202" s="548" t="n"/>
      <c r="O202" s="548" t="n"/>
      <c r="P202" s="548" t="n"/>
      <c r="Q202" s="548" t="n"/>
      <c r="R202" s="548" t="n"/>
      <c r="S202" s="548" t="n"/>
      <c r="T202" s="21" t="n"/>
      <c r="U202" s="21" t="n"/>
      <c r="V202" s="21" t="n"/>
      <c r="W202" s="21" t="n"/>
      <c r="X202" s="21" t="n"/>
      <c r="Y202" s="21" t="n"/>
      <c r="Z202" s="21" t="n"/>
    </row>
    <row r="203" ht="15.75" customHeight="1" s="545">
      <c r="A203" s="504" t="n"/>
      <c r="B203" s="548" t="n"/>
      <c r="C203" s="548" t="n"/>
      <c r="D203" s="548" t="n"/>
      <c r="E203" s="548" t="n"/>
      <c r="F203" s="548" t="n"/>
      <c r="G203" s="548" t="n"/>
      <c r="H203" s="548" t="n"/>
      <c r="I203" s="548" t="n"/>
      <c r="J203" s="548" t="n"/>
      <c r="K203" s="548" t="n"/>
      <c r="L203" s="548" t="n"/>
      <c r="M203" s="548" t="n"/>
      <c r="N203" s="548" t="n"/>
      <c r="O203" s="548" t="n"/>
      <c r="P203" s="548" t="n"/>
      <c r="Q203" s="548" t="n"/>
      <c r="R203" s="548" t="n"/>
      <c r="S203" s="548" t="n"/>
      <c r="T203" s="21" t="n"/>
      <c r="U203" s="21" t="n"/>
      <c r="V203" s="21" t="n"/>
      <c r="W203" s="21" t="n"/>
      <c r="X203" s="21" t="n"/>
      <c r="Y203" s="21" t="n"/>
      <c r="Z203" s="21" t="n"/>
    </row>
    <row r="204" ht="15.75" customHeight="1" s="545">
      <c r="A204" s="504" t="n"/>
      <c r="B204" s="548" t="n"/>
      <c r="C204" s="548" t="n"/>
      <c r="D204" s="548" t="n"/>
      <c r="E204" s="548" t="n"/>
      <c r="F204" s="548" t="n"/>
      <c r="G204" s="548" t="n"/>
      <c r="H204" s="548" t="n"/>
      <c r="I204" s="548" t="n"/>
      <c r="J204" s="548" t="n"/>
      <c r="K204" s="548" t="n"/>
      <c r="L204" s="548" t="n"/>
      <c r="M204" s="548" t="n"/>
      <c r="N204" s="548" t="n"/>
      <c r="O204" s="548" t="n"/>
      <c r="P204" s="548" t="n"/>
      <c r="Q204" s="548" t="n"/>
      <c r="R204" s="548" t="n"/>
      <c r="S204" s="548" t="n"/>
      <c r="T204" s="21" t="n"/>
      <c r="U204" s="21" t="n"/>
      <c r="V204" s="21" t="n"/>
      <c r="W204" s="21" t="n"/>
      <c r="X204" s="21" t="n"/>
      <c r="Y204" s="21" t="n"/>
      <c r="Z204" s="21" t="n"/>
    </row>
    <row r="205" ht="15.75" customHeight="1" s="545">
      <c r="A205" s="504" t="n"/>
      <c r="B205" s="548" t="n"/>
      <c r="C205" s="548" t="n"/>
      <c r="D205" s="548" t="n"/>
      <c r="E205" s="548" t="n"/>
      <c r="F205" s="548" t="n"/>
      <c r="G205" s="548" t="n"/>
      <c r="H205" s="548" t="n"/>
      <c r="I205" s="548" t="n"/>
      <c r="J205" s="548" t="n"/>
      <c r="K205" s="548" t="n"/>
      <c r="L205" s="548" t="n"/>
      <c r="M205" s="548" t="n"/>
      <c r="N205" s="548" t="n"/>
      <c r="O205" s="548" t="n"/>
      <c r="P205" s="548" t="n"/>
      <c r="Q205" s="548" t="n"/>
      <c r="R205" s="548" t="n"/>
      <c r="S205" s="548" t="n"/>
      <c r="T205" s="21" t="n"/>
      <c r="U205" s="21" t="n"/>
      <c r="V205" s="21" t="n"/>
      <c r="W205" s="21" t="n"/>
      <c r="X205" s="21" t="n"/>
      <c r="Y205" s="21" t="n"/>
      <c r="Z205" s="21" t="n"/>
    </row>
    <row r="206" ht="15.75" customHeight="1" s="545">
      <c r="A206" s="504" t="n"/>
      <c r="B206" s="548" t="n"/>
      <c r="C206" s="548" t="n"/>
      <c r="D206" s="548" t="n"/>
      <c r="E206" s="548" t="n"/>
      <c r="F206" s="548" t="n"/>
      <c r="G206" s="548" t="n"/>
      <c r="H206" s="548" t="n"/>
      <c r="I206" s="548" t="n"/>
      <c r="J206" s="548" t="n"/>
      <c r="K206" s="548" t="n"/>
      <c r="L206" s="548" t="n"/>
      <c r="M206" s="548" t="n"/>
      <c r="N206" s="548" t="n"/>
      <c r="O206" s="548" t="n"/>
      <c r="P206" s="548" t="n"/>
      <c r="Q206" s="548" t="n"/>
      <c r="R206" s="548" t="n"/>
      <c r="S206" s="548" t="n"/>
      <c r="T206" s="21" t="n"/>
      <c r="U206" s="21" t="n"/>
      <c r="V206" s="21" t="n"/>
      <c r="W206" s="21" t="n"/>
      <c r="X206" s="21" t="n"/>
      <c r="Y206" s="21" t="n"/>
      <c r="Z206" s="21" t="n"/>
    </row>
    <row r="207" ht="15.75" customHeight="1" s="545">
      <c r="A207" s="504" t="n"/>
      <c r="B207" s="548" t="n"/>
      <c r="C207" s="548" t="n"/>
      <c r="D207" s="548" t="n"/>
      <c r="E207" s="548" t="n"/>
      <c r="F207" s="548" t="n"/>
      <c r="G207" s="548" t="n"/>
      <c r="H207" s="548" t="n"/>
      <c r="I207" s="548" t="n"/>
      <c r="J207" s="548" t="n"/>
      <c r="K207" s="548" t="n"/>
      <c r="L207" s="548" t="n"/>
      <c r="M207" s="548" t="n"/>
      <c r="N207" s="548" t="n"/>
      <c r="O207" s="548" t="n"/>
      <c r="P207" s="548" t="n"/>
      <c r="Q207" s="548" t="n"/>
      <c r="R207" s="548" t="n"/>
      <c r="S207" s="548" t="n"/>
      <c r="T207" s="21" t="n"/>
      <c r="U207" s="21" t="n"/>
      <c r="V207" s="21" t="n"/>
      <c r="W207" s="21" t="n"/>
      <c r="X207" s="21" t="n"/>
      <c r="Y207" s="21" t="n"/>
      <c r="Z207" s="21" t="n"/>
    </row>
    <row r="208" ht="15.75" customHeight="1" s="545">
      <c r="A208" s="504" t="n"/>
      <c r="B208" s="548" t="n"/>
      <c r="C208" s="548" t="n"/>
      <c r="D208" s="548" t="n"/>
      <c r="E208" s="548" t="n"/>
      <c r="F208" s="548" t="n"/>
      <c r="G208" s="548" t="n"/>
      <c r="H208" s="548" t="n"/>
      <c r="I208" s="548" t="n"/>
      <c r="J208" s="548" t="n"/>
      <c r="K208" s="548" t="n"/>
      <c r="L208" s="548" t="n"/>
      <c r="M208" s="548" t="n"/>
      <c r="N208" s="548" t="n"/>
      <c r="O208" s="548" t="n"/>
      <c r="P208" s="548" t="n"/>
      <c r="Q208" s="548" t="n"/>
      <c r="R208" s="548" t="n"/>
      <c r="S208" s="548" t="n"/>
      <c r="T208" s="21" t="n"/>
      <c r="U208" s="21" t="n"/>
      <c r="V208" s="21" t="n"/>
      <c r="W208" s="21" t="n"/>
      <c r="X208" s="21" t="n"/>
      <c r="Y208" s="21" t="n"/>
      <c r="Z208" s="21" t="n"/>
    </row>
    <row r="209" ht="15.75" customHeight="1" s="545">
      <c r="A209" s="504" t="n"/>
      <c r="B209" s="548" t="n"/>
      <c r="C209" s="548" t="n"/>
      <c r="D209" s="548" t="n"/>
      <c r="E209" s="548" t="n"/>
      <c r="F209" s="548" t="n"/>
      <c r="G209" s="548" t="n"/>
      <c r="H209" s="548" t="n"/>
      <c r="I209" s="548" t="n"/>
      <c r="J209" s="548" t="n"/>
      <c r="K209" s="548" t="n"/>
      <c r="L209" s="548" t="n"/>
      <c r="M209" s="548" t="n"/>
      <c r="N209" s="548" t="n"/>
      <c r="O209" s="548" t="n"/>
      <c r="P209" s="548" t="n"/>
      <c r="Q209" s="548" t="n"/>
      <c r="R209" s="548" t="n"/>
      <c r="S209" s="548" t="n"/>
      <c r="T209" s="21" t="n"/>
      <c r="U209" s="21" t="n"/>
      <c r="V209" s="21" t="n"/>
      <c r="W209" s="21" t="n"/>
      <c r="X209" s="21" t="n"/>
      <c r="Y209" s="21" t="n"/>
      <c r="Z209" s="21" t="n"/>
    </row>
    <row r="210" ht="15.75" customHeight="1" s="545">
      <c r="A210" s="504" t="n"/>
      <c r="B210" s="548" t="n"/>
      <c r="C210" s="548" t="n"/>
      <c r="D210" s="548" t="n"/>
      <c r="E210" s="548" t="n"/>
      <c r="F210" s="548" t="n"/>
      <c r="G210" s="548" t="n"/>
      <c r="H210" s="548" t="n"/>
      <c r="I210" s="548" t="n"/>
      <c r="J210" s="548" t="n"/>
      <c r="K210" s="548" t="n"/>
      <c r="L210" s="548" t="n"/>
      <c r="M210" s="548" t="n"/>
      <c r="N210" s="548" t="n"/>
      <c r="O210" s="548" t="n"/>
      <c r="P210" s="548" t="n"/>
      <c r="Q210" s="548" t="n"/>
      <c r="R210" s="548" t="n"/>
      <c r="S210" s="548" t="n"/>
      <c r="T210" s="21" t="n"/>
      <c r="U210" s="21" t="n"/>
      <c r="V210" s="21" t="n"/>
      <c r="W210" s="21" t="n"/>
      <c r="X210" s="21" t="n"/>
      <c r="Y210" s="21" t="n"/>
      <c r="Z210" s="21" t="n"/>
    </row>
    <row r="211" ht="15.75" customHeight="1" s="545">
      <c r="A211" s="504" t="n"/>
      <c r="B211" s="548" t="n"/>
      <c r="C211" s="548" t="n"/>
      <c r="D211" s="548" t="n"/>
      <c r="E211" s="548" t="n"/>
      <c r="F211" s="548" t="n"/>
      <c r="G211" s="548" t="n"/>
      <c r="H211" s="548" t="n"/>
      <c r="I211" s="548" t="n"/>
      <c r="J211" s="548" t="n"/>
      <c r="K211" s="548" t="n"/>
      <c r="L211" s="548" t="n"/>
      <c r="M211" s="548" t="n"/>
      <c r="N211" s="548" t="n"/>
      <c r="O211" s="548" t="n"/>
      <c r="P211" s="548" t="n"/>
      <c r="Q211" s="548" t="n"/>
      <c r="R211" s="548" t="n"/>
      <c r="S211" s="548" t="n"/>
      <c r="T211" s="21" t="n"/>
      <c r="U211" s="21" t="n"/>
      <c r="V211" s="21" t="n"/>
      <c r="W211" s="21" t="n"/>
      <c r="X211" s="21" t="n"/>
      <c r="Y211" s="21" t="n"/>
      <c r="Z211" s="21" t="n"/>
    </row>
    <row r="212" ht="15.75" customHeight="1" s="545">
      <c r="A212" s="504" t="n"/>
      <c r="B212" s="548" t="n"/>
      <c r="C212" s="548" t="n"/>
      <c r="D212" s="548" t="n"/>
      <c r="E212" s="548" t="n"/>
      <c r="F212" s="548" t="n"/>
      <c r="G212" s="548" t="n"/>
      <c r="H212" s="548" t="n"/>
      <c r="I212" s="548" t="n"/>
      <c r="J212" s="548" t="n"/>
      <c r="K212" s="548" t="n"/>
      <c r="L212" s="548" t="n"/>
      <c r="M212" s="548" t="n"/>
      <c r="N212" s="548" t="n"/>
      <c r="O212" s="548" t="n"/>
      <c r="P212" s="548" t="n"/>
      <c r="Q212" s="548" t="n"/>
      <c r="R212" s="548" t="n"/>
      <c r="S212" s="548" t="n"/>
      <c r="T212" s="21" t="n"/>
      <c r="U212" s="21" t="n"/>
      <c r="V212" s="21" t="n"/>
      <c r="W212" s="21" t="n"/>
      <c r="X212" s="21" t="n"/>
      <c r="Y212" s="21" t="n"/>
      <c r="Z212" s="21" t="n"/>
    </row>
    <row r="213" ht="15.75" customHeight="1" s="545">
      <c r="A213" s="504" t="n"/>
      <c r="B213" s="548" t="n"/>
      <c r="C213" s="548" t="n"/>
      <c r="D213" s="548" t="n"/>
      <c r="E213" s="548" t="n"/>
      <c r="F213" s="548" t="n"/>
      <c r="G213" s="548" t="n"/>
      <c r="H213" s="548" t="n"/>
      <c r="I213" s="548" t="n"/>
      <c r="J213" s="548" t="n"/>
      <c r="K213" s="548" t="n"/>
      <c r="L213" s="548" t="n"/>
      <c r="M213" s="548" t="n"/>
      <c r="N213" s="548" t="n"/>
      <c r="O213" s="548" t="n"/>
      <c r="P213" s="548" t="n"/>
      <c r="Q213" s="548" t="n"/>
      <c r="R213" s="548" t="n"/>
      <c r="S213" s="548" t="n"/>
      <c r="T213" s="21" t="n"/>
      <c r="U213" s="21" t="n"/>
      <c r="V213" s="21" t="n"/>
      <c r="W213" s="21" t="n"/>
      <c r="X213" s="21" t="n"/>
      <c r="Y213" s="21" t="n"/>
      <c r="Z213" s="21" t="n"/>
    </row>
    <row r="214" ht="15.75" customHeight="1" s="545">
      <c r="A214" s="504" t="n"/>
      <c r="B214" s="548" t="n"/>
      <c r="C214" s="548" t="n"/>
      <c r="D214" s="548" t="n"/>
      <c r="E214" s="548" t="n"/>
      <c r="F214" s="548" t="n"/>
      <c r="G214" s="548" t="n"/>
      <c r="H214" s="548" t="n"/>
      <c r="I214" s="548" t="n"/>
      <c r="J214" s="548" t="n"/>
      <c r="K214" s="548" t="n"/>
      <c r="L214" s="548" t="n"/>
      <c r="M214" s="548" t="n"/>
      <c r="N214" s="548" t="n"/>
      <c r="O214" s="548" t="n"/>
      <c r="P214" s="548" t="n"/>
      <c r="Q214" s="548" t="n"/>
      <c r="R214" s="548" t="n"/>
      <c r="S214" s="548" t="n"/>
      <c r="T214" s="21" t="n"/>
      <c r="U214" s="21" t="n"/>
      <c r="V214" s="21" t="n"/>
      <c r="W214" s="21" t="n"/>
      <c r="X214" s="21" t="n"/>
      <c r="Y214" s="21" t="n"/>
      <c r="Z214" s="21" t="n"/>
    </row>
    <row r="215" ht="15.75" customHeight="1" s="545">
      <c r="A215" s="504" t="n"/>
      <c r="B215" s="548" t="n"/>
      <c r="C215" s="548" t="n"/>
      <c r="D215" s="548" t="n"/>
      <c r="E215" s="548" t="n"/>
      <c r="F215" s="548" t="n"/>
      <c r="G215" s="548" t="n"/>
      <c r="H215" s="548" t="n"/>
      <c r="I215" s="548" t="n"/>
      <c r="J215" s="548" t="n"/>
      <c r="K215" s="548" t="n"/>
      <c r="L215" s="548" t="n"/>
      <c r="M215" s="548" t="n"/>
      <c r="N215" s="548" t="n"/>
      <c r="O215" s="548" t="n"/>
      <c r="P215" s="548" t="n"/>
      <c r="Q215" s="548" t="n"/>
      <c r="R215" s="548" t="n"/>
      <c r="S215" s="548" t="n"/>
      <c r="T215" s="21" t="n"/>
      <c r="U215" s="21" t="n"/>
      <c r="V215" s="21" t="n"/>
      <c r="W215" s="21" t="n"/>
      <c r="X215" s="21" t="n"/>
      <c r="Y215" s="21" t="n"/>
      <c r="Z215" s="21" t="n"/>
    </row>
    <row r="216" ht="15.75" customHeight="1" s="545">
      <c r="A216" s="504" t="n"/>
      <c r="B216" s="548" t="n"/>
      <c r="C216" s="548" t="n"/>
      <c r="D216" s="548" t="n"/>
      <c r="E216" s="548" t="n"/>
      <c r="F216" s="548" t="n"/>
      <c r="G216" s="548" t="n"/>
      <c r="H216" s="548" t="n"/>
      <c r="I216" s="548" t="n"/>
      <c r="J216" s="548" t="n"/>
      <c r="K216" s="548" t="n"/>
      <c r="L216" s="548" t="n"/>
      <c r="M216" s="548" t="n"/>
      <c r="N216" s="548" t="n"/>
      <c r="O216" s="548" t="n"/>
      <c r="P216" s="548" t="n"/>
      <c r="Q216" s="548" t="n"/>
      <c r="R216" s="548" t="n"/>
      <c r="S216" s="548" t="n"/>
      <c r="T216" s="21" t="n"/>
      <c r="U216" s="21" t="n"/>
      <c r="V216" s="21" t="n"/>
      <c r="W216" s="21" t="n"/>
      <c r="X216" s="21" t="n"/>
      <c r="Y216" s="21" t="n"/>
      <c r="Z216" s="21" t="n"/>
    </row>
    <row r="217" ht="15.75" customHeight="1" s="545">
      <c r="A217" s="504" t="n"/>
      <c r="B217" s="548" t="n"/>
      <c r="C217" s="548" t="n"/>
      <c r="D217" s="548" t="n"/>
      <c r="E217" s="548" t="n"/>
      <c r="F217" s="548" t="n"/>
      <c r="G217" s="548" t="n"/>
      <c r="H217" s="548" t="n"/>
      <c r="I217" s="548" t="n"/>
      <c r="J217" s="548" t="n"/>
      <c r="K217" s="548" t="n"/>
      <c r="L217" s="548" t="n"/>
      <c r="M217" s="548" t="n"/>
      <c r="N217" s="548" t="n"/>
      <c r="O217" s="548" t="n"/>
      <c r="P217" s="548" t="n"/>
      <c r="Q217" s="548" t="n"/>
      <c r="R217" s="548" t="n"/>
      <c r="S217" s="548" t="n"/>
      <c r="T217" s="21" t="n"/>
      <c r="U217" s="21" t="n"/>
      <c r="V217" s="21" t="n"/>
      <c r="W217" s="21" t="n"/>
      <c r="X217" s="21" t="n"/>
      <c r="Y217" s="21" t="n"/>
      <c r="Z217" s="21" t="n"/>
    </row>
    <row r="218" ht="15.75" customHeight="1" s="545">
      <c r="A218" s="504" t="n"/>
      <c r="B218" s="548" t="n"/>
      <c r="C218" s="548" t="n"/>
      <c r="D218" s="548" t="n"/>
      <c r="E218" s="548" t="n"/>
      <c r="F218" s="548" t="n"/>
      <c r="G218" s="548" t="n"/>
      <c r="H218" s="548" t="n"/>
      <c r="I218" s="548" t="n"/>
      <c r="J218" s="548" t="n"/>
      <c r="K218" s="548" t="n"/>
      <c r="L218" s="548" t="n"/>
      <c r="M218" s="548" t="n"/>
      <c r="N218" s="548" t="n"/>
      <c r="O218" s="548" t="n"/>
      <c r="P218" s="548" t="n"/>
      <c r="Q218" s="548" t="n"/>
      <c r="R218" s="548" t="n"/>
      <c r="S218" s="548" t="n"/>
      <c r="T218" s="21" t="n"/>
      <c r="U218" s="21" t="n"/>
      <c r="V218" s="21" t="n"/>
      <c r="W218" s="21" t="n"/>
      <c r="X218" s="21" t="n"/>
      <c r="Y218" s="21" t="n"/>
      <c r="Z218" s="21" t="n"/>
    </row>
    <row r="219" ht="15.75" customHeight="1" s="545">
      <c r="A219" s="504" t="n"/>
      <c r="B219" s="548" t="n"/>
      <c r="C219" s="548" t="n"/>
      <c r="D219" s="548" t="n"/>
      <c r="E219" s="548" t="n"/>
      <c r="F219" s="548" t="n"/>
      <c r="G219" s="548" t="n"/>
      <c r="H219" s="548" t="n"/>
      <c r="I219" s="548" t="n"/>
      <c r="J219" s="548" t="n"/>
      <c r="K219" s="548" t="n"/>
      <c r="L219" s="548" t="n"/>
      <c r="M219" s="548" t="n"/>
      <c r="N219" s="548" t="n"/>
      <c r="O219" s="548" t="n"/>
      <c r="P219" s="548" t="n"/>
      <c r="Q219" s="548" t="n"/>
      <c r="R219" s="548" t="n"/>
      <c r="S219" s="548" t="n"/>
      <c r="T219" s="21" t="n"/>
      <c r="U219" s="21" t="n"/>
      <c r="V219" s="21" t="n"/>
      <c r="W219" s="21" t="n"/>
      <c r="X219" s="21" t="n"/>
      <c r="Y219" s="21" t="n"/>
      <c r="Z219" s="21" t="n"/>
    </row>
    <row r="220" ht="15.75" customHeight="1" s="545">
      <c r="A220" s="504" t="n"/>
      <c r="B220" s="548" t="n"/>
      <c r="C220" s="548" t="n"/>
      <c r="D220" s="548" t="n"/>
      <c r="E220" s="548" t="n"/>
      <c r="F220" s="548" t="n"/>
      <c r="G220" s="548" t="n"/>
      <c r="H220" s="548" t="n"/>
      <c r="I220" s="548" t="n"/>
      <c r="J220" s="548" t="n"/>
      <c r="K220" s="548" t="n"/>
      <c r="L220" s="548" t="n"/>
      <c r="M220" s="548" t="n"/>
      <c r="N220" s="548" t="n"/>
      <c r="O220" s="548" t="n"/>
      <c r="P220" s="548" t="n"/>
      <c r="Q220" s="548" t="n"/>
      <c r="R220" s="548" t="n"/>
      <c r="S220" s="548" t="n"/>
      <c r="T220" s="21" t="n"/>
      <c r="U220" s="21" t="n"/>
      <c r="V220" s="21" t="n"/>
      <c r="W220" s="21" t="n"/>
      <c r="X220" s="21" t="n"/>
      <c r="Y220" s="21" t="n"/>
      <c r="Z220" s="21" t="n"/>
    </row>
    <row r="221" ht="15.75" customHeight="1" s="545">
      <c r="A221" s="504" t="n"/>
      <c r="B221" s="548" t="n"/>
      <c r="C221" s="548" t="n"/>
      <c r="D221" s="548" t="n"/>
      <c r="E221" s="548" t="n"/>
      <c r="F221" s="548" t="n"/>
      <c r="G221" s="548" t="n"/>
      <c r="H221" s="548" t="n"/>
      <c r="I221" s="548" t="n"/>
      <c r="J221" s="548" t="n"/>
      <c r="K221" s="548" t="n"/>
      <c r="L221" s="548" t="n"/>
      <c r="M221" s="548" t="n"/>
      <c r="N221" s="548" t="n"/>
      <c r="O221" s="548" t="n"/>
      <c r="P221" s="548" t="n"/>
      <c r="Q221" s="548" t="n"/>
      <c r="R221" s="548" t="n"/>
      <c r="S221" s="548" t="n"/>
      <c r="T221" s="21" t="n"/>
      <c r="U221" s="21" t="n"/>
      <c r="V221" s="21" t="n"/>
      <c r="W221" s="21" t="n"/>
      <c r="X221" s="21" t="n"/>
      <c r="Y221" s="21" t="n"/>
      <c r="Z221" s="21" t="n"/>
    </row>
    <row r="222" ht="15.75" customHeight="1" s="545">
      <c r="A222" s="504" t="n"/>
      <c r="B222" s="548" t="n"/>
      <c r="C222" s="548" t="n"/>
      <c r="D222" s="548" t="n"/>
      <c r="E222" s="548" t="n"/>
      <c r="F222" s="548" t="n"/>
      <c r="G222" s="548" t="n"/>
      <c r="H222" s="548" t="n"/>
      <c r="I222" s="548" t="n"/>
      <c r="J222" s="548" t="n"/>
      <c r="K222" s="548" t="n"/>
      <c r="L222" s="548" t="n"/>
      <c r="M222" s="548" t="n"/>
      <c r="N222" s="548" t="n"/>
      <c r="O222" s="548" t="n"/>
      <c r="P222" s="548" t="n"/>
      <c r="Q222" s="548" t="n"/>
      <c r="R222" s="548" t="n"/>
      <c r="S222" s="548" t="n"/>
      <c r="T222" s="21" t="n"/>
      <c r="U222" s="21" t="n"/>
      <c r="V222" s="21" t="n"/>
      <c r="W222" s="21" t="n"/>
      <c r="X222" s="21" t="n"/>
      <c r="Y222" s="21" t="n"/>
      <c r="Z222" s="21" t="n"/>
    </row>
    <row r="223" ht="15.75" customHeight="1" s="545">
      <c r="A223" s="504" t="n"/>
      <c r="B223" s="548" t="n"/>
      <c r="C223" s="548" t="n"/>
      <c r="D223" s="548" t="n"/>
      <c r="E223" s="548" t="n"/>
      <c r="F223" s="548" t="n"/>
      <c r="G223" s="548" t="n"/>
      <c r="H223" s="548" t="n"/>
      <c r="I223" s="548" t="n"/>
      <c r="J223" s="548" t="n"/>
      <c r="K223" s="548" t="n"/>
      <c r="L223" s="548" t="n"/>
      <c r="M223" s="548" t="n"/>
      <c r="N223" s="548" t="n"/>
      <c r="O223" s="548" t="n"/>
      <c r="P223" s="548" t="n"/>
      <c r="Q223" s="548" t="n"/>
      <c r="R223" s="548" t="n"/>
      <c r="S223" s="548" t="n"/>
      <c r="T223" s="21" t="n"/>
      <c r="U223" s="21" t="n"/>
      <c r="V223" s="21" t="n"/>
      <c r="W223" s="21" t="n"/>
      <c r="X223" s="21" t="n"/>
      <c r="Y223" s="21" t="n"/>
      <c r="Z223" s="21" t="n"/>
    </row>
    <row r="224" ht="15.75" customHeight="1" s="545">
      <c r="A224" s="504" t="n"/>
      <c r="B224" s="548" t="n"/>
      <c r="C224" s="548" t="n"/>
      <c r="D224" s="548" t="n"/>
      <c r="E224" s="548" t="n"/>
      <c r="F224" s="548" t="n"/>
      <c r="G224" s="548" t="n"/>
      <c r="H224" s="548" t="n"/>
      <c r="I224" s="548" t="n"/>
      <c r="J224" s="548" t="n"/>
      <c r="K224" s="548" t="n"/>
      <c r="L224" s="548" t="n"/>
      <c r="M224" s="548" t="n"/>
      <c r="N224" s="548" t="n"/>
      <c r="O224" s="548" t="n"/>
      <c r="P224" s="548" t="n"/>
      <c r="Q224" s="548" t="n"/>
      <c r="R224" s="548" t="n"/>
      <c r="S224" s="548" t="n"/>
      <c r="T224" s="21" t="n"/>
      <c r="U224" s="21" t="n"/>
      <c r="V224" s="21" t="n"/>
      <c r="W224" s="21" t="n"/>
      <c r="X224" s="21" t="n"/>
      <c r="Y224" s="21" t="n"/>
      <c r="Z224" s="21" t="n"/>
    </row>
    <row r="225" ht="15.75" customHeight="1" s="545">
      <c r="A225" s="504" t="n"/>
      <c r="B225" s="548" t="n"/>
      <c r="C225" s="548" t="n"/>
      <c r="D225" s="548" t="n"/>
      <c r="E225" s="548" t="n"/>
      <c r="F225" s="548" t="n"/>
      <c r="G225" s="548" t="n"/>
      <c r="H225" s="548" t="n"/>
      <c r="I225" s="548" t="n"/>
      <c r="J225" s="548" t="n"/>
      <c r="K225" s="548" t="n"/>
      <c r="L225" s="548" t="n"/>
      <c r="M225" s="548" t="n"/>
      <c r="N225" s="548" t="n"/>
      <c r="O225" s="548" t="n"/>
      <c r="P225" s="548" t="n"/>
      <c r="Q225" s="548" t="n"/>
      <c r="R225" s="548" t="n"/>
      <c r="S225" s="548" t="n"/>
      <c r="T225" s="21" t="n"/>
      <c r="U225" s="21" t="n"/>
      <c r="V225" s="21" t="n"/>
      <c r="W225" s="21" t="n"/>
      <c r="X225" s="21" t="n"/>
      <c r="Y225" s="21" t="n"/>
      <c r="Z225" s="21" t="n"/>
    </row>
    <row r="226" ht="15.75" customHeight="1" s="545">
      <c r="A226" s="504" t="n"/>
      <c r="B226" s="548" t="n"/>
      <c r="C226" s="548" t="n"/>
      <c r="D226" s="548" t="n"/>
      <c r="E226" s="548" t="n"/>
      <c r="F226" s="548" t="n"/>
      <c r="G226" s="548" t="n"/>
      <c r="H226" s="548" t="n"/>
      <c r="I226" s="548" t="n"/>
      <c r="J226" s="548" t="n"/>
      <c r="K226" s="548" t="n"/>
      <c r="L226" s="548" t="n"/>
      <c r="M226" s="548" t="n"/>
      <c r="N226" s="548" t="n"/>
      <c r="O226" s="548" t="n"/>
      <c r="P226" s="548" t="n"/>
      <c r="Q226" s="548" t="n"/>
      <c r="R226" s="548" t="n"/>
      <c r="S226" s="548" t="n"/>
      <c r="T226" s="21" t="n"/>
      <c r="U226" s="21" t="n"/>
      <c r="V226" s="21" t="n"/>
      <c r="W226" s="21" t="n"/>
      <c r="X226" s="21" t="n"/>
      <c r="Y226" s="21" t="n"/>
      <c r="Z226" s="21" t="n"/>
    </row>
    <row r="227" ht="15.75" customHeight="1" s="545">
      <c r="A227" s="504" t="n"/>
      <c r="B227" s="548" t="n"/>
      <c r="C227" s="548" t="n"/>
      <c r="D227" s="548" t="n"/>
      <c r="E227" s="548" t="n"/>
      <c r="F227" s="548" t="n"/>
      <c r="G227" s="548" t="n"/>
      <c r="H227" s="548" t="n"/>
      <c r="I227" s="548" t="n"/>
      <c r="J227" s="548" t="n"/>
      <c r="K227" s="548" t="n"/>
      <c r="L227" s="548" t="n"/>
      <c r="M227" s="548" t="n"/>
      <c r="N227" s="548" t="n"/>
      <c r="O227" s="548" t="n"/>
      <c r="P227" s="548" t="n"/>
      <c r="Q227" s="548" t="n"/>
      <c r="R227" s="548" t="n"/>
      <c r="S227" s="548" t="n"/>
      <c r="T227" s="21" t="n"/>
      <c r="U227" s="21" t="n"/>
      <c r="V227" s="21" t="n"/>
      <c r="W227" s="21" t="n"/>
      <c r="X227" s="21" t="n"/>
      <c r="Y227" s="21" t="n"/>
      <c r="Z227" s="21" t="n"/>
    </row>
    <row r="228" ht="15.75" customHeight="1" s="545">
      <c r="A228" s="504" t="n"/>
      <c r="B228" s="548" t="n"/>
      <c r="C228" s="548" t="n"/>
      <c r="D228" s="548" t="n"/>
      <c r="E228" s="548" t="n"/>
      <c r="F228" s="548" t="n"/>
      <c r="G228" s="548" t="n"/>
      <c r="H228" s="548" t="n"/>
      <c r="I228" s="548" t="n"/>
      <c r="J228" s="548" t="n"/>
      <c r="K228" s="548" t="n"/>
      <c r="L228" s="548" t="n"/>
      <c r="M228" s="548" t="n"/>
      <c r="N228" s="548" t="n"/>
      <c r="O228" s="548" t="n"/>
      <c r="P228" s="548" t="n"/>
      <c r="Q228" s="548" t="n"/>
      <c r="R228" s="548" t="n"/>
      <c r="S228" s="548" t="n"/>
      <c r="T228" s="21" t="n"/>
      <c r="U228" s="21" t="n"/>
      <c r="V228" s="21" t="n"/>
      <c r="W228" s="21" t="n"/>
      <c r="X228" s="21" t="n"/>
      <c r="Y228" s="21" t="n"/>
      <c r="Z228" s="21" t="n"/>
    </row>
    <row r="229" ht="15.75" customHeight="1" s="545">
      <c r="A229" s="504" t="n"/>
      <c r="B229" s="548" t="n"/>
      <c r="C229" s="548" t="n"/>
      <c r="D229" s="548" t="n"/>
      <c r="E229" s="548" t="n"/>
      <c r="F229" s="548" t="n"/>
      <c r="G229" s="548" t="n"/>
      <c r="H229" s="548" t="n"/>
      <c r="I229" s="548" t="n"/>
      <c r="J229" s="548" t="n"/>
      <c r="K229" s="548" t="n"/>
      <c r="L229" s="548" t="n"/>
      <c r="M229" s="548" t="n"/>
      <c r="N229" s="548" t="n"/>
      <c r="O229" s="548" t="n"/>
      <c r="P229" s="548" t="n"/>
      <c r="Q229" s="548" t="n"/>
      <c r="R229" s="548" t="n"/>
      <c r="S229" s="548" t="n"/>
      <c r="T229" s="21" t="n"/>
      <c r="U229" s="21" t="n"/>
      <c r="V229" s="21" t="n"/>
      <c r="W229" s="21" t="n"/>
      <c r="X229" s="21" t="n"/>
      <c r="Y229" s="21" t="n"/>
      <c r="Z229" s="21" t="n"/>
    </row>
    <row r="230" ht="15.75" customHeight="1" s="545">
      <c r="A230" s="504" t="n"/>
      <c r="B230" s="548" t="n"/>
      <c r="C230" s="548" t="n"/>
      <c r="D230" s="548" t="n"/>
      <c r="E230" s="548" t="n"/>
      <c r="F230" s="548" t="n"/>
      <c r="G230" s="548" t="n"/>
      <c r="H230" s="548" t="n"/>
      <c r="I230" s="548" t="n"/>
      <c r="J230" s="548" t="n"/>
      <c r="K230" s="548" t="n"/>
      <c r="L230" s="548" t="n"/>
      <c r="M230" s="548" t="n"/>
      <c r="N230" s="548" t="n"/>
      <c r="O230" s="548" t="n"/>
      <c r="P230" s="548" t="n"/>
      <c r="Q230" s="548" t="n"/>
      <c r="R230" s="548" t="n"/>
      <c r="S230" s="548" t="n"/>
      <c r="T230" s="21" t="n"/>
      <c r="U230" s="21" t="n"/>
      <c r="V230" s="21" t="n"/>
      <c r="W230" s="21" t="n"/>
      <c r="X230" s="21" t="n"/>
      <c r="Y230" s="21" t="n"/>
      <c r="Z230" s="21" t="n"/>
    </row>
    <row r="231" ht="15.75" customHeight="1" s="545">
      <c r="A231" s="504" t="n"/>
      <c r="B231" s="548" t="n"/>
      <c r="C231" s="548" t="n"/>
      <c r="D231" s="548" t="n"/>
      <c r="E231" s="548" t="n"/>
      <c r="F231" s="548" t="n"/>
      <c r="G231" s="548" t="n"/>
      <c r="H231" s="548" t="n"/>
      <c r="I231" s="548" t="n"/>
      <c r="J231" s="548" t="n"/>
      <c r="K231" s="548" t="n"/>
      <c r="L231" s="548" t="n"/>
      <c r="M231" s="548" t="n"/>
      <c r="N231" s="548" t="n"/>
      <c r="O231" s="548" t="n"/>
      <c r="P231" s="548" t="n"/>
      <c r="Q231" s="548" t="n"/>
      <c r="R231" s="548" t="n"/>
      <c r="S231" s="548" t="n"/>
      <c r="T231" s="21" t="n"/>
      <c r="U231" s="21" t="n"/>
      <c r="V231" s="21" t="n"/>
      <c r="W231" s="21" t="n"/>
      <c r="X231" s="21" t="n"/>
      <c r="Y231" s="21" t="n"/>
      <c r="Z231" s="21" t="n"/>
    </row>
    <row r="232" ht="15.75" customHeight="1" s="545">
      <c r="A232" s="504" t="n"/>
      <c r="B232" s="548" t="n"/>
      <c r="C232" s="548" t="n"/>
      <c r="D232" s="548" t="n"/>
      <c r="E232" s="548" t="n"/>
      <c r="F232" s="548" t="n"/>
      <c r="G232" s="548" t="n"/>
      <c r="H232" s="548" t="n"/>
      <c r="I232" s="548" t="n"/>
      <c r="J232" s="548" t="n"/>
      <c r="K232" s="548" t="n"/>
      <c r="L232" s="548" t="n"/>
      <c r="M232" s="548" t="n"/>
      <c r="N232" s="548" t="n"/>
      <c r="O232" s="548" t="n"/>
      <c r="P232" s="548" t="n"/>
      <c r="Q232" s="548" t="n"/>
      <c r="R232" s="548" t="n"/>
      <c r="S232" s="548" t="n"/>
      <c r="T232" s="21" t="n"/>
      <c r="U232" s="21" t="n"/>
      <c r="V232" s="21" t="n"/>
      <c r="W232" s="21" t="n"/>
      <c r="X232" s="21" t="n"/>
      <c r="Y232" s="21" t="n"/>
      <c r="Z232" s="21" t="n"/>
    </row>
    <row r="233" ht="15.75" customHeight="1" s="545">
      <c r="A233" s="504" t="n"/>
      <c r="B233" s="548" t="n"/>
      <c r="C233" s="548" t="n"/>
      <c r="D233" s="548" t="n"/>
      <c r="E233" s="548" t="n"/>
      <c r="F233" s="548" t="n"/>
      <c r="G233" s="548" t="n"/>
      <c r="H233" s="548" t="n"/>
      <c r="I233" s="548" t="n"/>
      <c r="J233" s="548" t="n"/>
      <c r="K233" s="548" t="n"/>
      <c r="L233" s="548" t="n"/>
      <c r="M233" s="548" t="n"/>
      <c r="N233" s="548" t="n"/>
      <c r="O233" s="548" t="n"/>
      <c r="P233" s="548" t="n"/>
      <c r="Q233" s="548" t="n"/>
      <c r="R233" s="548" t="n"/>
      <c r="S233" s="548" t="n"/>
      <c r="T233" s="21" t="n"/>
      <c r="U233" s="21" t="n"/>
      <c r="V233" s="21" t="n"/>
      <c r="W233" s="21" t="n"/>
      <c r="X233" s="21" t="n"/>
      <c r="Y233" s="21" t="n"/>
      <c r="Z233" s="21" t="n"/>
    </row>
    <row r="234" ht="15.75" customHeight="1" s="545">
      <c r="A234" s="504" t="n"/>
      <c r="B234" s="548" t="n"/>
      <c r="C234" s="548" t="n"/>
      <c r="D234" s="548" t="n"/>
      <c r="E234" s="548" t="n"/>
      <c r="F234" s="548" t="n"/>
      <c r="G234" s="548" t="n"/>
      <c r="H234" s="548" t="n"/>
      <c r="I234" s="548" t="n"/>
      <c r="J234" s="548" t="n"/>
      <c r="K234" s="548" t="n"/>
      <c r="L234" s="548" t="n"/>
      <c r="M234" s="548" t="n"/>
      <c r="N234" s="548" t="n"/>
      <c r="O234" s="548" t="n"/>
      <c r="P234" s="548" t="n"/>
      <c r="Q234" s="548" t="n"/>
      <c r="R234" s="548" t="n"/>
      <c r="S234" s="548" t="n"/>
      <c r="T234" s="21" t="n"/>
      <c r="U234" s="21" t="n"/>
      <c r="V234" s="21" t="n"/>
      <c r="W234" s="21" t="n"/>
      <c r="X234" s="21" t="n"/>
      <c r="Y234" s="21" t="n"/>
      <c r="Z234" s="21" t="n"/>
    </row>
    <row r="235" ht="15.75" customHeight="1" s="545">
      <c r="A235" s="504" t="n"/>
      <c r="B235" s="548" t="n"/>
      <c r="C235" s="548" t="n"/>
      <c r="D235" s="548" t="n"/>
      <c r="E235" s="548" t="n"/>
      <c r="F235" s="548" t="n"/>
      <c r="G235" s="548" t="n"/>
      <c r="H235" s="548" t="n"/>
      <c r="I235" s="548" t="n"/>
      <c r="J235" s="548" t="n"/>
      <c r="K235" s="548" t="n"/>
      <c r="L235" s="548" t="n"/>
      <c r="M235" s="548" t="n"/>
      <c r="N235" s="548" t="n"/>
      <c r="O235" s="548" t="n"/>
      <c r="P235" s="548" t="n"/>
      <c r="Q235" s="548" t="n"/>
      <c r="R235" s="548" t="n"/>
      <c r="S235" s="548" t="n"/>
      <c r="T235" s="21" t="n"/>
      <c r="U235" s="21" t="n"/>
      <c r="V235" s="21" t="n"/>
      <c r="W235" s="21" t="n"/>
      <c r="X235" s="21" t="n"/>
      <c r="Y235" s="21" t="n"/>
      <c r="Z235" s="21" t="n"/>
    </row>
    <row r="236" ht="15.75" customHeight="1" s="545">
      <c r="A236" s="504" t="n"/>
      <c r="B236" s="548" t="n"/>
      <c r="C236" s="548" t="n"/>
      <c r="D236" s="548" t="n"/>
      <c r="E236" s="548" t="n"/>
      <c r="F236" s="548" t="n"/>
      <c r="G236" s="548" t="n"/>
      <c r="H236" s="548" t="n"/>
      <c r="I236" s="548" t="n"/>
      <c r="J236" s="548" t="n"/>
      <c r="K236" s="548" t="n"/>
      <c r="L236" s="548" t="n"/>
      <c r="M236" s="548" t="n"/>
      <c r="N236" s="548" t="n"/>
      <c r="O236" s="548" t="n"/>
      <c r="P236" s="548" t="n"/>
      <c r="Q236" s="548" t="n"/>
      <c r="R236" s="548" t="n"/>
      <c r="S236" s="548" t="n"/>
      <c r="T236" s="21" t="n"/>
      <c r="U236" s="21" t="n"/>
      <c r="V236" s="21" t="n"/>
      <c r="W236" s="21" t="n"/>
      <c r="X236" s="21" t="n"/>
      <c r="Y236" s="21" t="n"/>
      <c r="Z236" s="21" t="n"/>
    </row>
    <row r="237" ht="15.75" customHeight="1" s="545">
      <c r="A237" s="504" t="n"/>
      <c r="B237" s="548" t="n"/>
      <c r="C237" s="548" t="n"/>
      <c r="D237" s="548" t="n"/>
      <c r="E237" s="548" t="n"/>
      <c r="F237" s="548" t="n"/>
      <c r="G237" s="548" t="n"/>
      <c r="H237" s="548" t="n"/>
      <c r="I237" s="548" t="n"/>
      <c r="J237" s="548" t="n"/>
      <c r="K237" s="548" t="n"/>
      <c r="L237" s="548" t="n"/>
      <c r="M237" s="548" t="n"/>
      <c r="N237" s="548" t="n"/>
      <c r="O237" s="548" t="n"/>
      <c r="P237" s="548" t="n"/>
      <c r="Q237" s="548" t="n"/>
      <c r="R237" s="548" t="n"/>
      <c r="S237" s="548" t="n"/>
      <c r="T237" s="21" t="n"/>
      <c r="U237" s="21" t="n"/>
      <c r="V237" s="21" t="n"/>
      <c r="W237" s="21" t="n"/>
      <c r="X237" s="21" t="n"/>
      <c r="Y237" s="21" t="n"/>
      <c r="Z237" s="21" t="n"/>
    </row>
    <row r="238" ht="15.75" customHeight="1" s="545">
      <c r="A238" s="504" t="n"/>
      <c r="B238" s="548" t="n"/>
      <c r="C238" s="548" t="n"/>
      <c r="D238" s="548" t="n"/>
      <c r="E238" s="548" t="n"/>
      <c r="F238" s="548" t="n"/>
      <c r="G238" s="548" t="n"/>
      <c r="H238" s="548" t="n"/>
      <c r="I238" s="548" t="n"/>
      <c r="J238" s="548" t="n"/>
      <c r="K238" s="548" t="n"/>
      <c r="L238" s="548" t="n"/>
      <c r="M238" s="548" t="n"/>
      <c r="N238" s="548" t="n"/>
      <c r="O238" s="548" t="n"/>
      <c r="P238" s="548" t="n"/>
      <c r="Q238" s="548" t="n"/>
      <c r="R238" s="548" t="n"/>
      <c r="S238" s="548" t="n"/>
      <c r="T238" s="21" t="n"/>
      <c r="U238" s="21" t="n"/>
      <c r="V238" s="21" t="n"/>
      <c r="W238" s="21" t="n"/>
      <c r="X238" s="21" t="n"/>
      <c r="Y238" s="21" t="n"/>
      <c r="Z238" s="21" t="n"/>
    </row>
    <row r="239" ht="15.75" customHeight="1" s="545">
      <c r="A239" s="504" t="n"/>
      <c r="B239" s="548" t="n"/>
      <c r="C239" s="548" t="n"/>
      <c r="D239" s="548" t="n"/>
      <c r="E239" s="548" t="n"/>
      <c r="F239" s="548" t="n"/>
      <c r="G239" s="548" t="n"/>
      <c r="H239" s="548" t="n"/>
      <c r="I239" s="548" t="n"/>
      <c r="J239" s="548" t="n"/>
      <c r="K239" s="548" t="n"/>
      <c r="L239" s="548" t="n"/>
      <c r="M239" s="548" t="n"/>
      <c r="N239" s="548" t="n"/>
      <c r="O239" s="548" t="n"/>
      <c r="P239" s="548" t="n"/>
      <c r="Q239" s="548" t="n"/>
      <c r="R239" s="548" t="n"/>
      <c r="S239" s="548" t="n"/>
      <c r="T239" s="21" t="n"/>
      <c r="U239" s="21" t="n"/>
      <c r="V239" s="21" t="n"/>
      <c r="W239" s="21" t="n"/>
      <c r="X239" s="21" t="n"/>
      <c r="Y239" s="21" t="n"/>
      <c r="Z239" s="21" t="n"/>
    </row>
    <row r="240" ht="15.75" customHeight="1" s="545">
      <c r="A240" s="504" t="n"/>
      <c r="B240" s="548" t="n"/>
      <c r="C240" s="548" t="n"/>
      <c r="D240" s="548" t="n"/>
      <c r="E240" s="548" t="n"/>
      <c r="F240" s="548" t="n"/>
      <c r="G240" s="548" t="n"/>
      <c r="H240" s="548" t="n"/>
      <c r="I240" s="548" t="n"/>
      <c r="J240" s="548" t="n"/>
      <c r="K240" s="548" t="n"/>
      <c r="L240" s="548" t="n"/>
      <c r="M240" s="548" t="n"/>
      <c r="N240" s="548" t="n"/>
      <c r="O240" s="548" t="n"/>
      <c r="P240" s="548" t="n"/>
      <c r="Q240" s="548" t="n"/>
      <c r="R240" s="548" t="n"/>
      <c r="S240" s="548" t="n"/>
      <c r="T240" s="21" t="n"/>
      <c r="U240" s="21" t="n"/>
      <c r="V240" s="21" t="n"/>
      <c r="W240" s="21" t="n"/>
      <c r="X240" s="21" t="n"/>
      <c r="Y240" s="21" t="n"/>
      <c r="Z240" s="21" t="n"/>
    </row>
    <row r="241" ht="15.75" customHeight="1" s="545">
      <c r="A241" s="504" t="n"/>
      <c r="B241" s="548" t="n"/>
      <c r="C241" s="548" t="n"/>
      <c r="D241" s="548" t="n"/>
      <c r="E241" s="548" t="n"/>
      <c r="F241" s="548" t="n"/>
      <c r="G241" s="548" t="n"/>
      <c r="H241" s="548" t="n"/>
      <c r="I241" s="548" t="n"/>
      <c r="J241" s="548" t="n"/>
      <c r="K241" s="548" t="n"/>
      <c r="L241" s="548" t="n"/>
      <c r="M241" s="548" t="n"/>
      <c r="N241" s="548" t="n"/>
      <c r="O241" s="548" t="n"/>
      <c r="P241" s="548" t="n"/>
      <c r="Q241" s="548" t="n"/>
      <c r="R241" s="548" t="n"/>
      <c r="S241" s="548" t="n"/>
      <c r="T241" s="21" t="n"/>
      <c r="U241" s="21" t="n"/>
      <c r="V241" s="21" t="n"/>
      <c r="W241" s="21" t="n"/>
      <c r="X241" s="21" t="n"/>
      <c r="Y241" s="21" t="n"/>
      <c r="Z241" s="21" t="n"/>
    </row>
    <row r="242" ht="15.75" customHeight="1" s="545">
      <c r="A242" s="504" t="n"/>
      <c r="B242" s="548" t="n"/>
      <c r="C242" s="548" t="n"/>
      <c r="D242" s="548" t="n"/>
      <c r="E242" s="548" t="n"/>
      <c r="F242" s="548" t="n"/>
      <c r="G242" s="548" t="n"/>
      <c r="H242" s="548" t="n"/>
      <c r="I242" s="548" t="n"/>
      <c r="J242" s="548" t="n"/>
      <c r="K242" s="548" t="n"/>
      <c r="L242" s="548" t="n"/>
      <c r="M242" s="548" t="n"/>
      <c r="N242" s="548" t="n"/>
      <c r="O242" s="548" t="n"/>
      <c r="P242" s="548" t="n"/>
      <c r="Q242" s="548" t="n"/>
      <c r="R242" s="548" t="n"/>
      <c r="S242" s="548" t="n"/>
      <c r="T242" s="21" t="n"/>
      <c r="U242" s="21" t="n"/>
      <c r="V242" s="21" t="n"/>
      <c r="W242" s="21" t="n"/>
      <c r="X242" s="21" t="n"/>
      <c r="Y242" s="21" t="n"/>
      <c r="Z242" s="21" t="n"/>
    </row>
    <row r="243" ht="15.75" customHeight="1" s="545">
      <c r="A243" s="504" t="n"/>
      <c r="B243" s="548" t="n"/>
      <c r="C243" s="548" t="n"/>
      <c r="D243" s="548" t="n"/>
      <c r="E243" s="548" t="n"/>
      <c r="F243" s="548" t="n"/>
      <c r="G243" s="548" t="n"/>
      <c r="H243" s="548" t="n"/>
      <c r="I243" s="548" t="n"/>
      <c r="J243" s="548" t="n"/>
      <c r="K243" s="548" t="n"/>
      <c r="L243" s="548" t="n"/>
      <c r="M243" s="548" t="n"/>
      <c r="N243" s="548" t="n"/>
      <c r="O243" s="548" t="n"/>
      <c r="P243" s="548" t="n"/>
      <c r="Q243" s="548" t="n"/>
      <c r="R243" s="548" t="n"/>
      <c r="S243" s="548" t="n"/>
      <c r="T243" s="21" t="n"/>
      <c r="U243" s="21" t="n"/>
      <c r="V243" s="21" t="n"/>
      <c r="W243" s="21" t="n"/>
      <c r="X243" s="21" t="n"/>
      <c r="Y243" s="21" t="n"/>
      <c r="Z243" s="21" t="n"/>
    </row>
    <row r="244" ht="15.75" customHeight="1" s="545">
      <c r="A244" s="504" t="n"/>
      <c r="B244" s="548" t="n"/>
      <c r="C244" s="548" t="n"/>
      <c r="D244" s="548" t="n"/>
      <c r="E244" s="548" t="n"/>
      <c r="F244" s="548" t="n"/>
      <c r="G244" s="548" t="n"/>
      <c r="H244" s="548" t="n"/>
      <c r="I244" s="548" t="n"/>
      <c r="J244" s="548" t="n"/>
      <c r="K244" s="548" t="n"/>
      <c r="L244" s="548" t="n"/>
      <c r="M244" s="548" t="n"/>
      <c r="N244" s="548" t="n"/>
      <c r="O244" s="548" t="n"/>
      <c r="P244" s="548" t="n"/>
      <c r="Q244" s="548" t="n"/>
      <c r="R244" s="548" t="n"/>
      <c r="S244" s="548" t="n"/>
      <c r="T244" s="21" t="n"/>
      <c r="U244" s="21" t="n"/>
      <c r="V244" s="21" t="n"/>
      <c r="W244" s="21" t="n"/>
      <c r="X244" s="21" t="n"/>
      <c r="Y244" s="21" t="n"/>
      <c r="Z244" s="21" t="n"/>
    </row>
    <row r="245" ht="15.75" customHeight="1" s="545">
      <c r="A245" s="504" t="n"/>
      <c r="B245" s="548" t="n"/>
      <c r="C245" s="548" t="n"/>
      <c r="D245" s="548" t="n"/>
      <c r="E245" s="548" t="n"/>
      <c r="F245" s="548" t="n"/>
      <c r="G245" s="548" t="n"/>
      <c r="H245" s="548" t="n"/>
      <c r="I245" s="548" t="n"/>
      <c r="J245" s="548" t="n"/>
      <c r="K245" s="548" t="n"/>
      <c r="L245" s="548" t="n"/>
      <c r="M245" s="548" t="n"/>
      <c r="N245" s="548" t="n"/>
      <c r="O245" s="548" t="n"/>
      <c r="P245" s="548" t="n"/>
      <c r="Q245" s="548" t="n"/>
      <c r="R245" s="548" t="n"/>
      <c r="S245" s="548" t="n"/>
      <c r="T245" s="21" t="n"/>
      <c r="U245" s="21" t="n"/>
      <c r="V245" s="21" t="n"/>
      <c r="W245" s="21" t="n"/>
      <c r="X245" s="21" t="n"/>
      <c r="Y245" s="21" t="n"/>
      <c r="Z245" s="21" t="n"/>
    </row>
    <row r="246" ht="15.75" customHeight="1" s="545">
      <c r="A246" s="504" t="n"/>
      <c r="B246" s="548" t="n"/>
      <c r="C246" s="548" t="n"/>
      <c r="D246" s="548" t="n"/>
      <c r="E246" s="548" t="n"/>
      <c r="F246" s="548" t="n"/>
      <c r="G246" s="548" t="n"/>
      <c r="H246" s="548" t="n"/>
      <c r="I246" s="548" t="n"/>
      <c r="J246" s="548" t="n"/>
      <c r="K246" s="548" t="n"/>
      <c r="L246" s="548" t="n"/>
      <c r="M246" s="548" t="n"/>
      <c r="N246" s="548" t="n"/>
      <c r="O246" s="548" t="n"/>
      <c r="P246" s="548" t="n"/>
      <c r="Q246" s="548" t="n"/>
      <c r="R246" s="548" t="n"/>
      <c r="S246" s="548" t="n"/>
      <c r="T246" s="21" t="n"/>
      <c r="U246" s="21" t="n"/>
      <c r="V246" s="21" t="n"/>
      <c r="W246" s="21" t="n"/>
      <c r="X246" s="21" t="n"/>
      <c r="Y246" s="21" t="n"/>
      <c r="Z246" s="21" t="n"/>
    </row>
    <row r="247" ht="15.75" customHeight="1" s="545">
      <c r="A247" s="504" t="n"/>
      <c r="B247" s="548" t="n"/>
      <c r="C247" s="548" t="n"/>
      <c r="D247" s="548" t="n"/>
      <c r="E247" s="548" t="n"/>
      <c r="F247" s="548" t="n"/>
      <c r="G247" s="548" t="n"/>
      <c r="H247" s="548" t="n"/>
      <c r="I247" s="548" t="n"/>
      <c r="J247" s="548" t="n"/>
      <c r="K247" s="548" t="n"/>
      <c r="L247" s="548" t="n"/>
      <c r="M247" s="548" t="n"/>
      <c r="N247" s="548" t="n"/>
      <c r="O247" s="548" t="n"/>
      <c r="P247" s="548" t="n"/>
      <c r="Q247" s="548" t="n"/>
      <c r="R247" s="548" t="n"/>
      <c r="S247" s="548" t="n"/>
      <c r="T247" s="21" t="n"/>
      <c r="U247" s="21" t="n"/>
      <c r="V247" s="21" t="n"/>
      <c r="W247" s="21" t="n"/>
      <c r="X247" s="21" t="n"/>
      <c r="Y247" s="21" t="n"/>
      <c r="Z247" s="21" t="n"/>
    </row>
    <row r="248" ht="15.75" customHeight="1" s="545">
      <c r="A248" s="504" t="n"/>
      <c r="B248" s="548" t="n"/>
      <c r="C248" s="548" t="n"/>
      <c r="D248" s="548" t="n"/>
      <c r="E248" s="548" t="n"/>
      <c r="F248" s="548" t="n"/>
      <c r="G248" s="548" t="n"/>
      <c r="H248" s="548" t="n"/>
      <c r="I248" s="548" t="n"/>
      <c r="J248" s="548" t="n"/>
      <c r="K248" s="548" t="n"/>
      <c r="L248" s="548" t="n"/>
      <c r="M248" s="548" t="n"/>
      <c r="N248" s="548" t="n"/>
      <c r="O248" s="548" t="n"/>
      <c r="P248" s="548" t="n"/>
      <c r="Q248" s="548" t="n"/>
      <c r="R248" s="548" t="n"/>
      <c r="S248" s="548" t="n"/>
      <c r="T248" s="21" t="n"/>
      <c r="U248" s="21" t="n"/>
      <c r="V248" s="21" t="n"/>
      <c r="W248" s="21" t="n"/>
      <c r="X248" s="21" t="n"/>
      <c r="Y248" s="21" t="n"/>
      <c r="Z248" s="21" t="n"/>
    </row>
    <row r="249" ht="15.75" customHeight="1" s="545">
      <c r="A249" s="504" t="n"/>
      <c r="B249" s="548" t="n"/>
      <c r="C249" s="548" t="n"/>
      <c r="D249" s="548" t="n"/>
      <c r="E249" s="548" t="n"/>
      <c r="F249" s="548" t="n"/>
      <c r="G249" s="548" t="n"/>
      <c r="H249" s="548" t="n"/>
      <c r="I249" s="548" t="n"/>
      <c r="J249" s="548" t="n"/>
      <c r="K249" s="548" t="n"/>
      <c r="L249" s="548" t="n"/>
      <c r="M249" s="548" t="n"/>
      <c r="N249" s="548" t="n"/>
      <c r="O249" s="548" t="n"/>
      <c r="P249" s="548" t="n"/>
      <c r="Q249" s="548" t="n"/>
      <c r="R249" s="548" t="n"/>
      <c r="S249" s="548" t="n"/>
      <c r="T249" s="21" t="n"/>
      <c r="U249" s="21" t="n"/>
      <c r="V249" s="21" t="n"/>
      <c r="W249" s="21" t="n"/>
      <c r="X249" s="21" t="n"/>
      <c r="Y249" s="21" t="n"/>
      <c r="Z249" s="21" t="n"/>
    </row>
    <row r="250" ht="15.75" customHeight="1" s="545">
      <c r="A250" s="504" t="n"/>
      <c r="B250" s="548" t="n"/>
      <c r="C250" s="548" t="n"/>
      <c r="D250" s="548" t="n"/>
      <c r="E250" s="548" t="n"/>
      <c r="F250" s="548" t="n"/>
      <c r="G250" s="548" t="n"/>
      <c r="H250" s="548" t="n"/>
      <c r="I250" s="548" t="n"/>
      <c r="J250" s="548" t="n"/>
      <c r="K250" s="548" t="n"/>
      <c r="L250" s="548" t="n"/>
      <c r="M250" s="548" t="n"/>
      <c r="N250" s="548" t="n"/>
      <c r="O250" s="548" t="n"/>
      <c r="P250" s="548" t="n"/>
      <c r="Q250" s="548" t="n"/>
      <c r="R250" s="548" t="n"/>
      <c r="S250" s="548" t="n"/>
      <c r="T250" s="21" t="n"/>
      <c r="U250" s="21" t="n"/>
      <c r="V250" s="21" t="n"/>
      <c r="W250" s="21" t="n"/>
      <c r="X250" s="21" t="n"/>
      <c r="Y250" s="21" t="n"/>
      <c r="Z250" s="21" t="n"/>
    </row>
    <row r="251" ht="15.75" customHeight="1" s="545">
      <c r="A251" s="504" t="n"/>
      <c r="B251" s="548" t="n"/>
      <c r="C251" s="548" t="n"/>
      <c r="D251" s="548" t="n"/>
      <c r="E251" s="548" t="n"/>
      <c r="F251" s="548" t="n"/>
      <c r="G251" s="548" t="n"/>
      <c r="H251" s="548" t="n"/>
      <c r="I251" s="548" t="n"/>
      <c r="J251" s="548" t="n"/>
      <c r="K251" s="548" t="n"/>
      <c r="L251" s="548" t="n"/>
      <c r="M251" s="548" t="n"/>
      <c r="N251" s="548" t="n"/>
      <c r="O251" s="548" t="n"/>
      <c r="P251" s="548" t="n"/>
      <c r="Q251" s="548" t="n"/>
      <c r="R251" s="548" t="n"/>
      <c r="S251" s="548" t="n"/>
      <c r="T251" s="21" t="n"/>
      <c r="U251" s="21" t="n"/>
      <c r="V251" s="21" t="n"/>
      <c r="W251" s="21" t="n"/>
      <c r="X251" s="21" t="n"/>
      <c r="Y251" s="21" t="n"/>
      <c r="Z251" s="21" t="n"/>
    </row>
    <row r="252" ht="15.75" customHeight="1" s="545">
      <c r="A252" s="504" t="n"/>
      <c r="B252" s="548" t="n"/>
      <c r="C252" s="548" t="n"/>
      <c r="D252" s="548" t="n"/>
      <c r="E252" s="548" t="n"/>
      <c r="F252" s="548" t="n"/>
      <c r="G252" s="548" t="n"/>
      <c r="H252" s="548" t="n"/>
      <c r="I252" s="548" t="n"/>
      <c r="J252" s="548" t="n"/>
      <c r="K252" s="548" t="n"/>
      <c r="L252" s="548" t="n"/>
      <c r="M252" s="548" t="n"/>
      <c r="N252" s="548" t="n"/>
      <c r="O252" s="548" t="n"/>
      <c r="P252" s="548" t="n"/>
      <c r="Q252" s="548" t="n"/>
      <c r="R252" s="548" t="n"/>
      <c r="S252" s="548" t="n"/>
      <c r="T252" s="21" t="n"/>
      <c r="U252" s="21" t="n"/>
      <c r="V252" s="21" t="n"/>
      <c r="W252" s="21" t="n"/>
      <c r="X252" s="21" t="n"/>
      <c r="Y252" s="21" t="n"/>
      <c r="Z252" s="21" t="n"/>
    </row>
    <row r="253" ht="15.75" customHeight="1" s="545">
      <c r="A253" s="504" t="n"/>
      <c r="B253" s="548" t="n"/>
      <c r="C253" s="548" t="n"/>
      <c r="D253" s="548" t="n"/>
      <c r="E253" s="548" t="n"/>
      <c r="F253" s="548" t="n"/>
      <c r="G253" s="548" t="n"/>
      <c r="H253" s="548" t="n"/>
      <c r="I253" s="548" t="n"/>
      <c r="J253" s="548" t="n"/>
      <c r="K253" s="548" t="n"/>
      <c r="L253" s="548" t="n"/>
      <c r="M253" s="548" t="n"/>
      <c r="N253" s="548" t="n"/>
      <c r="O253" s="548" t="n"/>
      <c r="P253" s="548" t="n"/>
      <c r="Q253" s="548" t="n"/>
      <c r="R253" s="548" t="n"/>
      <c r="S253" s="548" t="n"/>
      <c r="T253" s="21" t="n"/>
      <c r="U253" s="21" t="n"/>
      <c r="V253" s="21" t="n"/>
      <c r="W253" s="21" t="n"/>
      <c r="X253" s="21" t="n"/>
      <c r="Y253" s="21" t="n"/>
      <c r="Z253" s="21" t="n"/>
    </row>
    <row r="254" ht="15.75" customHeight="1" s="545">
      <c r="A254" s="504" t="n"/>
      <c r="B254" s="548" t="n"/>
      <c r="C254" s="548" t="n"/>
      <c r="D254" s="548" t="n"/>
      <c r="E254" s="548" t="n"/>
      <c r="F254" s="548" t="n"/>
      <c r="G254" s="548" t="n"/>
      <c r="H254" s="548" t="n"/>
      <c r="I254" s="548" t="n"/>
      <c r="J254" s="548" t="n"/>
      <c r="K254" s="548" t="n"/>
      <c r="L254" s="548" t="n"/>
      <c r="M254" s="548" t="n"/>
      <c r="N254" s="548" t="n"/>
      <c r="O254" s="548" t="n"/>
      <c r="P254" s="548" t="n"/>
      <c r="Q254" s="548" t="n"/>
      <c r="R254" s="548" t="n"/>
      <c r="S254" s="548" t="n"/>
      <c r="T254" s="21" t="n"/>
      <c r="U254" s="21" t="n"/>
      <c r="V254" s="21" t="n"/>
      <c r="W254" s="21" t="n"/>
      <c r="X254" s="21" t="n"/>
      <c r="Y254" s="21" t="n"/>
      <c r="Z254" s="21" t="n"/>
    </row>
    <row r="255" ht="15.75" customHeight="1" s="545">
      <c r="A255" s="504" t="n"/>
      <c r="B255" s="548" t="n"/>
      <c r="C255" s="548" t="n"/>
      <c r="D255" s="548" t="n"/>
      <c r="E255" s="548" t="n"/>
      <c r="F255" s="548" t="n"/>
      <c r="G255" s="548" t="n"/>
      <c r="H255" s="548" t="n"/>
      <c r="I255" s="548" t="n"/>
      <c r="J255" s="548" t="n"/>
      <c r="K255" s="548" t="n"/>
      <c r="L255" s="548" t="n"/>
      <c r="M255" s="548" t="n"/>
      <c r="N255" s="548" t="n"/>
      <c r="O255" s="548" t="n"/>
      <c r="P255" s="548" t="n"/>
      <c r="Q255" s="548" t="n"/>
      <c r="R255" s="548" t="n"/>
      <c r="S255" s="548" t="n"/>
      <c r="T255" s="21" t="n"/>
      <c r="U255" s="21" t="n"/>
      <c r="V255" s="21" t="n"/>
      <c r="W255" s="21" t="n"/>
      <c r="X255" s="21" t="n"/>
      <c r="Y255" s="21" t="n"/>
      <c r="Z255" s="21" t="n"/>
    </row>
    <row r="256" ht="15.75" customHeight="1" s="545">
      <c r="A256" s="504" t="n"/>
      <c r="B256" s="548" t="n"/>
      <c r="C256" s="548" t="n"/>
      <c r="D256" s="548" t="n"/>
      <c r="E256" s="548" t="n"/>
      <c r="F256" s="548" t="n"/>
      <c r="G256" s="548" t="n"/>
      <c r="H256" s="548" t="n"/>
      <c r="I256" s="548" t="n"/>
      <c r="J256" s="548" t="n"/>
      <c r="K256" s="548" t="n"/>
      <c r="L256" s="548" t="n"/>
      <c r="M256" s="548" t="n"/>
      <c r="N256" s="548" t="n"/>
      <c r="O256" s="548" t="n"/>
      <c r="P256" s="548" t="n"/>
      <c r="Q256" s="548" t="n"/>
      <c r="R256" s="548" t="n"/>
      <c r="S256" s="548" t="n"/>
      <c r="T256" s="21" t="n"/>
      <c r="U256" s="21" t="n"/>
      <c r="V256" s="21" t="n"/>
      <c r="W256" s="21" t="n"/>
      <c r="X256" s="21" t="n"/>
      <c r="Y256" s="21" t="n"/>
      <c r="Z256" s="21" t="n"/>
    </row>
    <row r="257" ht="15.75" customHeight="1" s="545">
      <c r="A257" s="504" t="n"/>
      <c r="B257" s="548" t="n"/>
      <c r="C257" s="548" t="n"/>
      <c r="D257" s="548" t="n"/>
      <c r="E257" s="548" t="n"/>
      <c r="F257" s="548" t="n"/>
      <c r="G257" s="548" t="n"/>
      <c r="H257" s="548" t="n"/>
      <c r="I257" s="548" t="n"/>
      <c r="J257" s="548" t="n"/>
      <c r="K257" s="548" t="n"/>
      <c r="L257" s="548" t="n"/>
      <c r="M257" s="548" t="n"/>
      <c r="N257" s="548" t="n"/>
      <c r="O257" s="548" t="n"/>
      <c r="P257" s="548" t="n"/>
      <c r="Q257" s="548" t="n"/>
      <c r="R257" s="548" t="n"/>
      <c r="S257" s="548" t="n"/>
      <c r="T257" s="21" t="n"/>
      <c r="U257" s="21" t="n"/>
      <c r="V257" s="21" t="n"/>
      <c r="W257" s="21" t="n"/>
      <c r="X257" s="21" t="n"/>
      <c r="Y257" s="21" t="n"/>
      <c r="Z257" s="21" t="n"/>
    </row>
    <row r="258" ht="15.75" customHeight="1" s="545">
      <c r="A258" s="504" t="n"/>
      <c r="B258" s="548" t="n"/>
      <c r="C258" s="548" t="n"/>
      <c r="D258" s="548" t="n"/>
      <c r="E258" s="548" t="n"/>
      <c r="F258" s="548" t="n"/>
      <c r="G258" s="548" t="n"/>
      <c r="H258" s="548" t="n"/>
      <c r="I258" s="548" t="n"/>
      <c r="J258" s="548" t="n"/>
      <c r="K258" s="548" t="n"/>
      <c r="L258" s="548" t="n"/>
      <c r="M258" s="548" t="n"/>
      <c r="N258" s="548" t="n"/>
      <c r="O258" s="548" t="n"/>
      <c r="P258" s="548" t="n"/>
      <c r="Q258" s="548" t="n"/>
      <c r="R258" s="548" t="n"/>
      <c r="S258" s="548" t="n"/>
      <c r="T258" s="21" t="n"/>
      <c r="U258" s="21" t="n"/>
      <c r="V258" s="21" t="n"/>
      <c r="W258" s="21" t="n"/>
      <c r="X258" s="21" t="n"/>
      <c r="Y258" s="21" t="n"/>
      <c r="Z258" s="21" t="n"/>
    </row>
    <row r="259" ht="15.75" customHeight="1" s="545">
      <c r="A259" s="504" t="n"/>
      <c r="B259" s="548" t="n"/>
      <c r="C259" s="548" t="n"/>
      <c r="D259" s="548" t="n"/>
      <c r="E259" s="548" t="n"/>
      <c r="F259" s="548" t="n"/>
      <c r="G259" s="548" t="n"/>
      <c r="H259" s="548" t="n"/>
      <c r="I259" s="548" t="n"/>
      <c r="J259" s="548" t="n"/>
      <c r="K259" s="548" t="n"/>
      <c r="L259" s="548" t="n"/>
      <c r="M259" s="548" t="n"/>
      <c r="N259" s="548" t="n"/>
      <c r="O259" s="548" t="n"/>
      <c r="P259" s="548" t="n"/>
      <c r="Q259" s="548" t="n"/>
      <c r="R259" s="548" t="n"/>
      <c r="S259" s="548" t="n"/>
      <c r="T259" s="21" t="n"/>
      <c r="U259" s="21" t="n"/>
      <c r="V259" s="21" t="n"/>
      <c r="W259" s="21" t="n"/>
      <c r="X259" s="21" t="n"/>
      <c r="Y259" s="21" t="n"/>
      <c r="Z259" s="21" t="n"/>
    </row>
    <row r="260" ht="15.75" customHeight="1" s="545">
      <c r="A260" s="504" t="n"/>
      <c r="B260" s="548" t="n"/>
      <c r="C260" s="548" t="n"/>
      <c r="D260" s="548" t="n"/>
      <c r="E260" s="548" t="n"/>
      <c r="F260" s="548" t="n"/>
      <c r="G260" s="548" t="n"/>
      <c r="H260" s="548" t="n"/>
      <c r="I260" s="548" t="n"/>
      <c r="J260" s="548" t="n"/>
      <c r="K260" s="548" t="n"/>
      <c r="L260" s="548" t="n"/>
      <c r="M260" s="548" t="n"/>
      <c r="N260" s="548" t="n"/>
      <c r="O260" s="548" t="n"/>
      <c r="P260" s="548" t="n"/>
      <c r="Q260" s="548" t="n"/>
      <c r="R260" s="548" t="n"/>
      <c r="S260" s="548" t="n"/>
      <c r="T260" s="21" t="n"/>
      <c r="U260" s="21" t="n"/>
      <c r="V260" s="21" t="n"/>
      <c r="W260" s="21" t="n"/>
      <c r="X260" s="21" t="n"/>
      <c r="Y260" s="21" t="n"/>
      <c r="Z260" s="21" t="n"/>
    </row>
    <row r="261" ht="15.75" customHeight="1" s="545">
      <c r="A261" s="504" t="n"/>
      <c r="B261" s="548" t="n"/>
      <c r="C261" s="548" t="n"/>
      <c r="D261" s="548" t="n"/>
      <c r="E261" s="548" t="n"/>
      <c r="F261" s="548" t="n"/>
      <c r="G261" s="548" t="n"/>
      <c r="H261" s="548" t="n"/>
      <c r="I261" s="548" t="n"/>
      <c r="J261" s="548" t="n"/>
      <c r="K261" s="548" t="n"/>
      <c r="L261" s="548" t="n"/>
      <c r="M261" s="548" t="n"/>
      <c r="N261" s="548" t="n"/>
      <c r="O261" s="548" t="n"/>
      <c r="P261" s="548" t="n"/>
      <c r="Q261" s="548" t="n"/>
      <c r="R261" s="548" t="n"/>
      <c r="S261" s="548" t="n"/>
      <c r="T261" s="21" t="n"/>
      <c r="U261" s="21" t="n"/>
      <c r="V261" s="21" t="n"/>
      <c r="W261" s="21" t="n"/>
      <c r="X261" s="21" t="n"/>
      <c r="Y261" s="21" t="n"/>
      <c r="Z261" s="21" t="n"/>
    </row>
    <row r="262" ht="15.75" customHeight="1" s="545">
      <c r="A262" s="504" t="n"/>
      <c r="B262" s="548" t="n"/>
      <c r="C262" s="548" t="n"/>
      <c r="D262" s="548" t="n"/>
      <c r="E262" s="548" t="n"/>
      <c r="F262" s="548" t="n"/>
      <c r="G262" s="548" t="n"/>
      <c r="H262" s="548" t="n"/>
      <c r="I262" s="548" t="n"/>
      <c r="J262" s="548" t="n"/>
      <c r="K262" s="548" t="n"/>
      <c r="L262" s="548" t="n"/>
      <c r="M262" s="548" t="n"/>
      <c r="N262" s="548" t="n"/>
      <c r="O262" s="548" t="n"/>
      <c r="P262" s="548" t="n"/>
      <c r="Q262" s="548" t="n"/>
      <c r="R262" s="548" t="n"/>
      <c r="S262" s="548" t="n"/>
      <c r="T262" s="21" t="n"/>
      <c r="U262" s="21" t="n"/>
      <c r="V262" s="21" t="n"/>
      <c r="W262" s="21" t="n"/>
      <c r="X262" s="21" t="n"/>
      <c r="Y262" s="21" t="n"/>
      <c r="Z262" s="21" t="n"/>
    </row>
    <row r="263" ht="15.75" customHeight="1" s="545">
      <c r="A263" s="504" t="n"/>
      <c r="B263" s="548" t="n"/>
      <c r="C263" s="548" t="n"/>
      <c r="D263" s="548" t="n"/>
      <c r="E263" s="548" t="n"/>
      <c r="F263" s="548" t="n"/>
      <c r="G263" s="548" t="n"/>
      <c r="H263" s="548" t="n"/>
      <c r="I263" s="548" t="n"/>
      <c r="J263" s="548" t="n"/>
      <c r="K263" s="548" t="n"/>
      <c r="L263" s="548" t="n"/>
      <c r="M263" s="548" t="n"/>
      <c r="N263" s="548" t="n"/>
      <c r="O263" s="548" t="n"/>
      <c r="P263" s="548" t="n"/>
      <c r="Q263" s="548" t="n"/>
      <c r="R263" s="548" t="n"/>
      <c r="S263" s="548" t="n"/>
      <c r="T263" s="21" t="n"/>
      <c r="U263" s="21" t="n"/>
      <c r="V263" s="21" t="n"/>
      <c r="W263" s="21" t="n"/>
      <c r="X263" s="21" t="n"/>
      <c r="Y263" s="21" t="n"/>
      <c r="Z263" s="21" t="n"/>
    </row>
    <row r="264" ht="15.75" customHeight="1" s="545">
      <c r="A264" s="504" t="n"/>
      <c r="B264" s="548" t="n"/>
      <c r="C264" s="548" t="n"/>
      <c r="D264" s="548" t="n"/>
      <c r="E264" s="548" t="n"/>
      <c r="F264" s="548" t="n"/>
      <c r="G264" s="548" t="n"/>
      <c r="H264" s="548" t="n"/>
      <c r="I264" s="548" t="n"/>
      <c r="J264" s="548" t="n"/>
      <c r="K264" s="548" t="n"/>
      <c r="L264" s="548" t="n"/>
      <c r="M264" s="548" t="n"/>
      <c r="N264" s="548" t="n"/>
      <c r="O264" s="548" t="n"/>
      <c r="P264" s="548" t="n"/>
      <c r="Q264" s="548" t="n"/>
      <c r="R264" s="548" t="n"/>
      <c r="S264" s="548" t="n"/>
      <c r="T264" s="21" t="n"/>
      <c r="U264" s="21" t="n"/>
      <c r="V264" s="21" t="n"/>
      <c r="W264" s="21" t="n"/>
      <c r="X264" s="21" t="n"/>
      <c r="Y264" s="21" t="n"/>
      <c r="Z264" s="21" t="n"/>
    </row>
    <row r="265" ht="15.75" customHeight="1" s="545">
      <c r="A265" s="504" t="n"/>
      <c r="B265" s="548" t="n"/>
      <c r="C265" s="548" t="n"/>
      <c r="D265" s="548" t="n"/>
      <c r="E265" s="548" t="n"/>
      <c r="F265" s="548" t="n"/>
      <c r="G265" s="548" t="n"/>
      <c r="H265" s="548" t="n"/>
      <c r="I265" s="548" t="n"/>
      <c r="J265" s="548" t="n"/>
      <c r="K265" s="548" t="n"/>
      <c r="L265" s="548" t="n"/>
      <c r="M265" s="548" t="n"/>
      <c r="N265" s="548" t="n"/>
      <c r="O265" s="548" t="n"/>
      <c r="P265" s="548" t="n"/>
      <c r="Q265" s="548" t="n"/>
      <c r="R265" s="548" t="n"/>
      <c r="S265" s="548" t="n"/>
      <c r="T265" s="21" t="n"/>
      <c r="U265" s="21" t="n"/>
      <c r="V265" s="21" t="n"/>
      <c r="W265" s="21" t="n"/>
      <c r="X265" s="21" t="n"/>
      <c r="Y265" s="21" t="n"/>
      <c r="Z265" s="21" t="n"/>
    </row>
    <row r="266" ht="15.75" customHeight="1" s="545">
      <c r="A266" s="504" t="n"/>
      <c r="B266" s="548" t="n"/>
      <c r="C266" s="548" t="n"/>
      <c r="D266" s="548" t="n"/>
      <c r="E266" s="548" t="n"/>
      <c r="F266" s="548" t="n"/>
      <c r="G266" s="548" t="n"/>
      <c r="H266" s="548" t="n"/>
      <c r="I266" s="548" t="n"/>
      <c r="J266" s="548" t="n"/>
      <c r="K266" s="548" t="n"/>
      <c r="L266" s="548" t="n"/>
      <c r="M266" s="548" t="n"/>
      <c r="N266" s="548" t="n"/>
      <c r="O266" s="548" t="n"/>
      <c r="P266" s="548" t="n"/>
      <c r="Q266" s="548" t="n"/>
      <c r="R266" s="548" t="n"/>
      <c r="S266" s="548" t="n"/>
      <c r="T266" s="21" t="n"/>
      <c r="U266" s="21" t="n"/>
      <c r="V266" s="21" t="n"/>
      <c r="W266" s="21" t="n"/>
      <c r="X266" s="21" t="n"/>
      <c r="Y266" s="21" t="n"/>
      <c r="Z266" s="21" t="n"/>
    </row>
    <row r="267" ht="15.75" customHeight="1" s="545">
      <c r="A267" s="504" t="n"/>
      <c r="B267" s="548" t="n"/>
      <c r="C267" s="548" t="n"/>
      <c r="D267" s="548" t="n"/>
      <c r="E267" s="548" t="n"/>
      <c r="F267" s="548" t="n"/>
      <c r="G267" s="548" t="n"/>
      <c r="H267" s="548" t="n"/>
      <c r="I267" s="548" t="n"/>
      <c r="J267" s="548" t="n"/>
      <c r="K267" s="548" t="n"/>
      <c r="L267" s="548" t="n"/>
      <c r="M267" s="548" t="n"/>
      <c r="N267" s="548" t="n"/>
      <c r="O267" s="548" t="n"/>
      <c r="P267" s="548" t="n"/>
      <c r="Q267" s="548" t="n"/>
      <c r="R267" s="548" t="n"/>
      <c r="S267" s="548" t="n"/>
      <c r="T267" s="21" t="n"/>
      <c r="U267" s="21" t="n"/>
      <c r="V267" s="21" t="n"/>
      <c r="W267" s="21" t="n"/>
      <c r="X267" s="21" t="n"/>
      <c r="Y267" s="21" t="n"/>
      <c r="Z267" s="21" t="n"/>
    </row>
    <row r="268" ht="15.75" customHeight="1" s="545">
      <c r="A268" s="504" t="n"/>
      <c r="B268" s="548" t="n"/>
      <c r="C268" s="548" t="n"/>
      <c r="D268" s="548" t="n"/>
      <c r="E268" s="548" t="n"/>
      <c r="F268" s="548" t="n"/>
      <c r="G268" s="548" t="n"/>
      <c r="H268" s="548" t="n"/>
      <c r="I268" s="548" t="n"/>
      <c r="J268" s="548" t="n"/>
      <c r="K268" s="548" t="n"/>
      <c r="L268" s="548" t="n"/>
      <c r="M268" s="548" t="n"/>
      <c r="N268" s="548" t="n"/>
      <c r="O268" s="548" t="n"/>
      <c r="P268" s="548" t="n"/>
      <c r="Q268" s="548" t="n"/>
      <c r="R268" s="548" t="n"/>
      <c r="S268" s="548" t="n"/>
      <c r="T268" s="21" t="n"/>
      <c r="U268" s="21" t="n"/>
      <c r="V268" s="21" t="n"/>
      <c r="W268" s="21" t="n"/>
      <c r="X268" s="21" t="n"/>
      <c r="Y268" s="21" t="n"/>
      <c r="Z268" s="21" t="n"/>
    </row>
    <row r="269" ht="15.75" customHeight="1" s="545">
      <c r="A269" s="504" t="n"/>
      <c r="B269" s="548" t="n"/>
      <c r="C269" s="548" t="n"/>
      <c r="D269" s="548" t="n"/>
      <c r="E269" s="548" t="n"/>
      <c r="F269" s="548" t="n"/>
      <c r="G269" s="548" t="n"/>
      <c r="H269" s="548" t="n"/>
      <c r="I269" s="548" t="n"/>
      <c r="J269" s="548" t="n"/>
      <c r="K269" s="548" t="n"/>
      <c r="L269" s="548" t="n"/>
      <c r="M269" s="548" t="n"/>
      <c r="N269" s="548" t="n"/>
      <c r="O269" s="548" t="n"/>
      <c r="P269" s="548" t="n"/>
      <c r="Q269" s="548" t="n"/>
      <c r="R269" s="548" t="n"/>
      <c r="S269" s="548" t="n"/>
      <c r="T269" s="21" t="n"/>
      <c r="U269" s="21" t="n"/>
      <c r="V269" s="21" t="n"/>
      <c r="W269" s="21" t="n"/>
      <c r="X269" s="21" t="n"/>
      <c r="Y269" s="21" t="n"/>
      <c r="Z269" s="21" t="n"/>
    </row>
    <row r="270" ht="15.75" customHeight="1" s="545">
      <c r="A270" s="504" t="n"/>
      <c r="B270" s="548" t="n"/>
      <c r="C270" s="548" t="n"/>
      <c r="D270" s="548" t="n"/>
      <c r="E270" s="548" t="n"/>
      <c r="F270" s="548" t="n"/>
      <c r="G270" s="548" t="n"/>
      <c r="H270" s="548" t="n"/>
      <c r="I270" s="548" t="n"/>
      <c r="J270" s="548" t="n"/>
      <c r="K270" s="548" t="n"/>
      <c r="L270" s="548" t="n"/>
      <c r="M270" s="548" t="n"/>
      <c r="N270" s="548" t="n"/>
      <c r="O270" s="548" t="n"/>
      <c r="P270" s="548" t="n"/>
      <c r="Q270" s="548" t="n"/>
      <c r="R270" s="548" t="n"/>
      <c r="S270" s="548" t="n"/>
      <c r="T270" s="21" t="n"/>
      <c r="U270" s="21" t="n"/>
      <c r="V270" s="21" t="n"/>
      <c r="W270" s="21" t="n"/>
      <c r="X270" s="21" t="n"/>
      <c r="Y270" s="21" t="n"/>
      <c r="Z270" s="21" t="n"/>
    </row>
    <row r="271" ht="15.75" customHeight="1" s="545">
      <c r="A271" s="504" t="n"/>
      <c r="B271" s="548" t="n"/>
      <c r="C271" s="548" t="n"/>
      <c r="D271" s="548" t="n"/>
      <c r="E271" s="548" t="n"/>
      <c r="F271" s="548" t="n"/>
      <c r="G271" s="548" t="n"/>
      <c r="H271" s="548" t="n"/>
      <c r="I271" s="548" t="n"/>
      <c r="J271" s="548" t="n"/>
      <c r="K271" s="548" t="n"/>
      <c r="L271" s="548" t="n"/>
      <c r="M271" s="548" t="n"/>
      <c r="N271" s="548" t="n"/>
      <c r="O271" s="548" t="n"/>
      <c r="P271" s="548" t="n"/>
      <c r="Q271" s="548" t="n"/>
      <c r="R271" s="548" t="n"/>
      <c r="S271" s="548" t="n"/>
      <c r="T271" s="21" t="n"/>
      <c r="U271" s="21" t="n"/>
      <c r="V271" s="21" t="n"/>
      <c r="W271" s="21" t="n"/>
      <c r="X271" s="21" t="n"/>
      <c r="Y271" s="21" t="n"/>
      <c r="Z271" s="21" t="n"/>
    </row>
    <row r="272" ht="15.75" customHeight="1" s="545">
      <c r="A272" s="504" t="n"/>
      <c r="B272" s="548" t="n"/>
      <c r="C272" s="548" t="n"/>
      <c r="D272" s="548" t="n"/>
      <c r="E272" s="548" t="n"/>
      <c r="F272" s="548" t="n"/>
      <c r="G272" s="548" t="n"/>
      <c r="H272" s="548" t="n"/>
      <c r="I272" s="548" t="n"/>
      <c r="J272" s="548" t="n"/>
      <c r="K272" s="548" t="n"/>
      <c r="L272" s="548" t="n"/>
      <c r="M272" s="548" t="n"/>
      <c r="N272" s="548" t="n"/>
      <c r="O272" s="548" t="n"/>
      <c r="P272" s="548" t="n"/>
      <c r="Q272" s="548" t="n"/>
      <c r="R272" s="548" t="n"/>
      <c r="S272" s="548" t="n"/>
      <c r="T272" s="21" t="n"/>
      <c r="U272" s="21" t="n"/>
      <c r="V272" s="21" t="n"/>
      <c r="W272" s="21" t="n"/>
      <c r="X272" s="21" t="n"/>
      <c r="Y272" s="21" t="n"/>
      <c r="Z272" s="21" t="n"/>
    </row>
    <row r="273" ht="15.75" customHeight="1" s="545">
      <c r="A273" s="504" t="n"/>
      <c r="B273" s="548" t="n"/>
      <c r="C273" s="548" t="n"/>
      <c r="D273" s="548" t="n"/>
      <c r="E273" s="548" t="n"/>
      <c r="F273" s="548" t="n"/>
      <c r="G273" s="548" t="n"/>
      <c r="H273" s="548" t="n"/>
      <c r="I273" s="548" t="n"/>
      <c r="J273" s="548" t="n"/>
      <c r="K273" s="548" t="n"/>
      <c r="L273" s="548" t="n"/>
      <c r="M273" s="548" t="n"/>
      <c r="N273" s="548" t="n"/>
      <c r="O273" s="548" t="n"/>
      <c r="P273" s="548" t="n"/>
      <c r="Q273" s="548" t="n"/>
      <c r="R273" s="548" t="n"/>
      <c r="S273" s="548" t="n"/>
      <c r="T273" s="21" t="n"/>
      <c r="U273" s="21" t="n"/>
      <c r="V273" s="21" t="n"/>
      <c r="W273" s="21" t="n"/>
      <c r="X273" s="21" t="n"/>
      <c r="Y273" s="21" t="n"/>
      <c r="Z273" s="21" t="n"/>
    </row>
    <row r="274" ht="15.75" customHeight="1" s="545">
      <c r="A274" s="504" t="n"/>
      <c r="B274" s="548" t="n"/>
      <c r="C274" s="548" t="n"/>
      <c r="D274" s="548" t="n"/>
      <c r="E274" s="548" t="n"/>
      <c r="F274" s="548" t="n"/>
      <c r="G274" s="548" t="n"/>
      <c r="H274" s="548" t="n"/>
      <c r="I274" s="548" t="n"/>
      <c r="J274" s="548" t="n"/>
      <c r="K274" s="548" t="n"/>
      <c r="L274" s="548" t="n"/>
      <c r="M274" s="548" t="n"/>
      <c r="N274" s="548" t="n"/>
      <c r="O274" s="548" t="n"/>
      <c r="P274" s="548" t="n"/>
      <c r="Q274" s="548" t="n"/>
      <c r="R274" s="548" t="n"/>
      <c r="S274" s="548" t="n"/>
      <c r="T274" s="21" t="n"/>
      <c r="U274" s="21" t="n"/>
      <c r="V274" s="21" t="n"/>
      <c r="W274" s="21" t="n"/>
      <c r="X274" s="21" t="n"/>
      <c r="Y274" s="21" t="n"/>
      <c r="Z274" s="21" t="n"/>
    </row>
    <row r="275" ht="15.75" customHeight="1" s="545">
      <c r="A275" s="504" t="n"/>
      <c r="B275" s="548" t="n"/>
      <c r="C275" s="548" t="n"/>
      <c r="D275" s="548" t="n"/>
      <c r="E275" s="548" t="n"/>
      <c r="F275" s="548" t="n"/>
      <c r="G275" s="548" t="n"/>
      <c r="H275" s="548" t="n"/>
      <c r="I275" s="548" t="n"/>
      <c r="J275" s="548" t="n"/>
      <c r="K275" s="548" t="n"/>
      <c r="L275" s="548" t="n"/>
      <c r="M275" s="548" t="n"/>
      <c r="N275" s="548" t="n"/>
      <c r="O275" s="548" t="n"/>
      <c r="P275" s="548" t="n"/>
      <c r="Q275" s="548" t="n"/>
      <c r="R275" s="548" t="n"/>
      <c r="S275" s="548" t="n"/>
      <c r="T275" s="21" t="n"/>
      <c r="U275" s="21" t="n"/>
      <c r="V275" s="21" t="n"/>
      <c r="W275" s="21" t="n"/>
      <c r="X275" s="21" t="n"/>
      <c r="Y275" s="21" t="n"/>
      <c r="Z275" s="21" t="n"/>
    </row>
    <row r="276" ht="15.75" customHeight="1" s="545">
      <c r="A276" s="504" t="n"/>
      <c r="B276" s="548" t="n"/>
      <c r="C276" s="548" t="n"/>
      <c r="D276" s="548" t="n"/>
      <c r="E276" s="548" t="n"/>
      <c r="F276" s="548" t="n"/>
      <c r="G276" s="548" t="n"/>
      <c r="H276" s="548" t="n"/>
      <c r="I276" s="548" t="n"/>
      <c r="J276" s="548" t="n"/>
      <c r="K276" s="548" t="n"/>
      <c r="L276" s="548" t="n"/>
      <c r="M276" s="548" t="n"/>
      <c r="N276" s="548" t="n"/>
      <c r="O276" s="548" t="n"/>
      <c r="P276" s="548" t="n"/>
      <c r="Q276" s="548" t="n"/>
      <c r="R276" s="548" t="n"/>
      <c r="S276" s="548" t="n"/>
      <c r="T276" s="21" t="n"/>
      <c r="U276" s="21" t="n"/>
      <c r="V276" s="21" t="n"/>
      <c r="W276" s="21" t="n"/>
      <c r="X276" s="21" t="n"/>
      <c r="Y276" s="21" t="n"/>
      <c r="Z276" s="21" t="n"/>
    </row>
    <row r="277" ht="15.75" customHeight="1" s="545">
      <c r="A277" s="504" t="n"/>
      <c r="B277" s="548" t="n"/>
      <c r="C277" s="548" t="n"/>
      <c r="D277" s="548" t="n"/>
      <c r="E277" s="548" t="n"/>
      <c r="F277" s="548" t="n"/>
      <c r="G277" s="548" t="n"/>
      <c r="H277" s="548" t="n"/>
      <c r="I277" s="548" t="n"/>
      <c r="J277" s="548" t="n"/>
      <c r="K277" s="548" t="n"/>
      <c r="L277" s="548" t="n"/>
      <c r="M277" s="548" t="n"/>
      <c r="N277" s="548" t="n"/>
      <c r="O277" s="548" t="n"/>
      <c r="P277" s="548" t="n"/>
      <c r="Q277" s="548" t="n"/>
      <c r="R277" s="548" t="n"/>
      <c r="S277" s="548" t="n"/>
      <c r="T277" s="21" t="n"/>
      <c r="U277" s="21" t="n"/>
      <c r="V277" s="21" t="n"/>
      <c r="W277" s="21" t="n"/>
      <c r="X277" s="21" t="n"/>
      <c r="Y277" s="21" t="n"/>
      <c r="Z277" s="21" t="n"/>
    </row>
    <row r="278" ht="15.75" customHeight="1" s="545">
      <c r="A278" s="504" t="n"/>
      <c r="B278" s="548" t="n"/>
      <c r="C278" s="548" t="n"/>
      <c r="D278" s="548" t="n"/>
      <c r="E278" s="548" t="n"/>
      <c r="F278" s="548" t="n"/>
      <c r="G278" s="548" t="n"/>
      <c r="H278" s="548" t="n"/>
      <c r="I278" s="548" t="n"/>
      <c r="J278" s="548" t="n"/>
      <c r="K278" s="548" t="n"/>
      <c r="L278" s="548" t="n"/>
      <c r="M278" s="548" t="n"/>
      <c r="N278" s="548" t="n"/>
      <c r="O278" s="548" t="n"/>
      <c r="P278" s="548" t="n"/>
      <c r="Q278" s="548" t="n"/>
      <c r="R278" s="548" t="n"/>
      <c r="S278" s="548" t="n"/>
      <c r="T278" s="21" t="n"/>
      <c r="U278" s="21" t="n"/>
      <c r="V278" s="21" t="n"/>
      <c r="W278" s="21" t="n"/>
      <c r="X278" s="21" t="n"/>
      <c r="Y278" s="21" t="n"/>
      <c r="Z278" s="21" t="n"/>
    </row>
    <row r="279" ht="15.75" customHeight="1" s="545">
      <c r="A279" s="504" t="n"/>
      <c r="B279" s="548" t="n"/>
      <c r="C279" s="548" t="n"/>
      <c r="D279" s="548" t="n"/>
      <c r="E279" s="548" t="n"/>
      <c r="F279" s="548" t="n"/>
      <c r="G279" s="548" t="n"/>
      <c r="H279" s="548" t="n"/>
      <c r="I279" s="548" t="n"/>
      <c r="J279" s="548" t="n"/>
      <c r="K279" s="548" t="n"/>
      <c r="L279" s="548" t="n"/>
      <c r="M279" s="548" t="n"/>
      <c r="N279" s="548" t="n"/>
      <c r="O279" s="548" t="n"/>
      <c r="P279" s="548" t="n"/>
      <c r="Q279" s="548" t="n"/>
      <c r="R279" s="548" t="n"/>
      <c r="S279" s="548" t="n"/>
      <c r="T279" s="21" t="n"/>
      <c r="U279" s="21" t="n"/>
      <c r="V279" s="21" t="n"/>
      <c r="W279" s="21" t="n"/>
      <c r="X279" s="21" t="n"/>
      <c r="Y279" s="21" t="n"/>
      <c r="Z279" s="21" t="n"/>
    </row>
    <row r="280" ht="15.75" customHeight="1" s="545">
      <c r="A280" s="504" t="n"/>
      <c r="B280" s="548" t="n"/>
      <c r="C280" s="548" t="n"/>
      <c r="D280" s="548" t="n"/>
      <c r="E280" s="548" t="n"/>
      <c r="F280" s="548" t="n"/>
      <c r="G280" s="548" t="n"/>
      <c r="H280" s="548" t="n"/>
      <c r="I280" s="548" t="n"/>
      <c r="J280" s="548" t="n"/>
      <c r="K280" s="548" t="n"/>
      <c r="L280" s="548" t="n"/>
      <c r="M280" s="548" t="n"/>
      <c r="N280" s="548" t="n"/>
      <c r="O280" s="548" t="n"/>
      <c r="P280" s="548" t="n"/>
      <c r="Q280" s="548" t="n"/>
      <c r="R280" s="548" t="n"/>
      <c r="S280" s="548" t="n"/>
      <c r="T280" s="21" t="n"/>
      <c r="U280" s="21" t="n"/>
      <c r="V280" s="21" t="n"/>
      <c r="W280" s="21" t="n"/>
      <c r="X280" s="21" t="n"/>
      <c r="Y280" s="21" t="n"/>
      <c r="Z280" s="21" t="n"/>
    </row>
    <row r="281" ht="15.75" customHeight="1" s="545">
      <c r="A281" s="504" t="n"/>
      <c r="B281" s="548" t="n"/>
      <c r="C281" s="548" t="n"/>
      <c r="D281" s="548" t="n"/>
      <c r="E281" s="548" t="n"/>
      <c r="F281" s="548" t="n"/>
      <c r="G281" s="548" t="n"/>
      <c r="H281" s="548" t="n"/>
      <c r="I281" s="548" t="n"/>
      <c r="J281" s="548" t="n"/>
      <c r="K281" s="548" t="n"/>
      <c r="L281" s="548" t="n"/>
      <c r="M281" s="548" t="n"/>
      <c r="N281" s="548" t="n"/>
      <c r="O281" s="548" t="n"/>
      <c r="P281" s="548" t="n"/>
      <c r="Q281" s="548" t="n"/>
      <c r="R281" s="548" t="n"/>
      <c r="S281" s="548" t="n"/>
      <c r="T281" s="21" t="n"/>
      <c r="U281" s="21" t="n"/>
      <c r="V281" s="21" t="n"/>
      <c r="W281" s="21" t="n"/>
      <c r="X281" s="21" t="n"/>
      <c r="Y281" s="21" t="n"/>
      <c r="Z281" s="21" t="n"/>
    </row>
    <row r="282" ht="15.75" customHeight="1" s="545">
      <c r="A282" s="504" t="n"/>
      <c r="B282" s="548" t="n"/>
      <c r="C282" s="548" t="n"/>
      <c r="D282" s="548" t="n"/>
      <c r="E282" s="548" t="n"/>
      <c r="F282" s="548" t="n"/>
      <c r="G282" s="548" t="n"/>
      <c r="H282" s="548" t="n"/>
      <c r="I282" s="548" t="n"/>
      <c r="J282" s="548" t="n"/>
      <c r="K282" s="548" t="n"/>
      <c r="L282" s="548" t="n"/>
      <c r="M282" s="548" t="n"/>
      <c r="N282" s="548" t="n"/>
      <c r="O282" s="548" t="n"/>
      <c r="P282" s="548" t="n"/>
      <c r="Q282" s="548" t="n"/>
      <c r="R282" s="548" t="n"/>
      <c r="S282" s="548" t="n"/>
      <c r="T282" s="21" t="n"/>
      <c r="U282" s="21" t="n"/>
      <c r="V282" s="21" t="n"/>
      <c r="W282" s="21" t="n"/>
      <c r="X282" s="21" t="n"/>
      <c r="Y282" s="21" t="n"/>
      <c r="Z282" s="21" t="n"/>
    </row>
    <row r="283" ht="15.75" customHeight="1" s="545">
      <c r="A283" s="504" t="n"/>
      <c r="B283" s="548" t="n"/>
      <c r="C283" s="548" t="n"/>
      <c r="D283" s="548" t="n"/>
      <c r="E283" s="548" t="n"/>
      <c r="F283" s="548" t="n"/>
      <c r="G283" s="548" t="n"/>
      <c r="H283" s="548" t="n"/>
      <c r="I283" s="548" t="n"/>
      <c r="J283" s="548" t="n"/>
      <c r="K283" s="548" t="n"/>
      <c r="L283" s="548" t="n"/>
      <c r="M283" s="548" t="n"/>
      <c r="N283" s="548" t="n"/>
      <c r="O283" s="548" t="n"/>
      <c r="P283" s="548" t="n"/>
      <c r="Q283" s="548" t="n"/>
      <c r="R283" s="548" t="n"/>
      <c r="S283" s="548" t="n"/>
      <c r="T283" s="21" t="n"/>
      <c r="U283" s="21" t="n"/>
      <c r="V283" s="21" t="n"/>
      <c r="W283" s="21" t="n"/>
      <c r="X283" s="21" t="n"/>
      <c r="Y283" s="21" t="n"/>
      <c r="Z283" s="21" t="n"/>
    </row>
    <row r="284" ht="15.75" customHeight="1" s="545">
      <c r="A284" s="504" t="n"/>
      <c r="B284" s="548" t="n"/>
      <c r="C284" s="548" t="n"/>
      <c r="D284" s="548" t="n"/>
      <c r="E284" s="548" t="n"/>
      <c r="F284" s="548" t="n"/>
      <c r="G284" s="548" t="n"/>
      <c r="H284" s="548" t="n"/>
      <c r="I284" s="548" t="n"/>
      <c r="J284" s="548" t="n"/>
      <c r="K284" s="548" t="n"/>
      <c r="L284" s="548" t="n"/>
      <c r="M284" s="548" t="n"/>
      <c r="N284" s="548" t="n"/>
      <c r="O284" s="548" t="n"/>
      <c r="P284" s="548" t="n"/>
      <c r="Q284" s="548" t="n"/>
      <c r="R284" s="548" t="n"/>
      <c r="S284" s="548" t="n"/>
      <c r="T284" s="21" t="n"/>
      <c r="U284" s="21" t="n"/>
      <c r="V284" s="21" t="n"/>
      <c r="W284" s="21" t="n"/>
      <c r="X284" s="21" t="n"/>
      <c r="Y284" s="21" t="n"/>
      <c r="Z284" s="21" t="n"/>
    </row>
    <row r="285" ht="15.75" customHeight="1" s="545">
      <c r="A285" s="504" t="n"/>
      <c r="B285" s="548" t="n"/>
      <c r="C285" s="548" t="n"/>
      <c r="D285" s="548" t="n"/>
      <c r="E285" s="548" t="n"/>
      <c r="F285" s="548" t="n"/>
      <c r="G285" s="548" t="n"/>
      <c r="H285" s="548" t="n"/>
      <c r="I285" s="548" t="n"/>
      <c r="J285" s="548" t="n"/>
      <c r="K285" s="548" t="n"/>
      <c r="L285" s="548" t="n"/>
      <c r="M285" s="548" t="n"/>
      <c r="N285" s="548" t="n"/>
      <c r="O285" s="548" t="n"/>
      <c r="P285" s="548" t="n"/>
      <c r="Q285" s="548" t="n"/>
      <c r="R285" s="548" t="n"/>
      <c r="S285" s="548" t="n"/>
      <c r="T285" s="21" t="n"/>
      <c r="U285" s="21" t="n"/>
      <c r="V285" s="21" t="n"/>
      <c r="W285" s="21" t="n"/>
      <c r="X285" s="21" t="n"/>
      <c r="Y285" s="21" t="n"/>
      <c r="Z285" s="21" t="n"/>
    </row>
    <row r="286" ht="15.75" customHeight="1" s="545">
      <c r="A286" s="504" t="n"/>
      <c r="B286" s="548" t="n"/>
      <c r="C286" s="548" t="n"/>
      <c r="D286" s="548" t="n"/>
      <c r="E286" s="548" t="n"/>
      <c r="F286" s="548" t="n"/>
      <c r="G286" s="548" t="n"/>
      <c r="H286" s="548" t="n"/>
      <c r="I286" s="548" t="n"/>
      <c r="J286" s="548" t="n"/>
      <c r="K286" s="548" t="n"/>
      <c r="L286" s="548" t="n"/>
      <c r="M286" s="548" t="n"/>
      <c r="N286" s="548" t="n"/>
      <c r="O286" s="548" t="n"/>
      <c r="P286" s="548" t="n"/>
      <c r="Q286" s="548" t="n"/>
      <c r="R286" s="548" t="n"/>
      <c r="S286" s="548" t="n"/>
      <c r="T286" s="21" t="n"/>
      <c r="U286" s="21" t="n"/>
      <c r="V286" s="21" t="n"/>
      <c r="W286" s="21" t="n"/>
      <c r="X286" s="21" t="n"/>
      <c r="Y286" s="21" t="n"/>
      <c r="Z286" s="21" t="n"/>
    </row>
    <row r="287" ht="15.75" customHeight="1" s="545">
      <c r="A287" s="504" t="n"/>
      <c r="B287" s="548" t="n"/>
      <c r="C287" s="548" t="n"/>
      <c r="D287" s="548" t="n"/>
      <c r="E287" s="548" t="n"/>
      <c r="F287" s="548" t="n"/>
      <c r="G287" s="548" t="n"/>
      <c r="H287" s="548" t="n"/>
      <c r="I287" s="548" t="n"/>
      <c r="J287" s="548" t="n"/>
      <c r="K287" s="548" t="n"/>
      <c r="L287" s="548" t="n"/>
      <c r="M287" s="548" t="n"/>
      <c r="N287" s="548" t="n"/>
      <c r="O287" s="548" t="n"/>
      <c r="P287" s="548" t="n"/>
      <c r="Q287" s="548" t="n"/>
      <c r="R287" s="548" t="n"/>
      <c r="S287" s="548" t="n"/>
      <c r="T287" s="21" t="n"/>
      <c r="U287" s="21" t="n"/>
      <c r="V287" s="21" t="n"/>
      <c r="W287" s="21" t="n"/>
      <c r="X287" s="21" t="n"/>
      <c r="Y287" s="21" t="n"/>
      <c r="Z287" s="21" t="n"/>
    </row>
    <row r="288" ht="15.75" customHeight="1" s="545">
      <c r="A288" s="504" t="n"/>
      <c r="B288" s="548" t="n"/>
      <c r="C288" s="548" t="n"/>
      <c r="D288" s="548" t="n"/>
      <c r="E288" s="548" t="n"/>
      <c r="F288" s="548" t="n"/>
      <c r="G288" s="548" t="n"/>
      <c r="H288" s="548" t="n"/>
      <c r="I288" s="548" t="n"/>
      <c r="J288" s="548" t="n"/>
      <c r="K288" s="548" t="n"/>
      <c r="L288" s="548" t="n"/>
      <c r="M288" s="548" t="n"/>
      <c r="N288" s="548" t="n"/>
      <c r="O288" s="548" t="n"/>
      <c r="P288" s="548" t="n"/>
      <c r="Q288" s="548" t="n"/>
      <c r="R288" s="548" t="n"/>
      <c r="S288" s="548" t="n"/>
      <c r="T288" s="21" t="n"/>
      <c r="U288" s="21" t="n"/>
      <c r="V288" s="21" t="n"/>
      <c r="W288" s="21" t="n"/>
      <c r="X288" s="21" t="n"/>
      <c r="Y288" s="21" t="n"/>
      <c r="Z288" s="21" t="n"/>
    </row>
    <row r="289" ht="15.75" customHeight="1" s="545">
      <c r="A289" s="504" t="n"/>
      <c r="B289" s="548" t="n"/>
      <c r="C289" s="548" t="n"/>
      <c r="D289" s="548" t="n"/>
      <c r="E289" s="548" t="n"/>
      <c r="F289" s="548" t="n"/>
      <c r="G289" s="548" t="n"/>
      <c r="H289" s="548" t="n"/>
      <c r="I289" s="548" t="n"/>
      <c r="J289" s="548" t="n"/>
      <c r="K289" s="548" t="n"/>
      <c r="L289" s="548" t="n"/>
      <c r="M289" s="548" t="n"/>
      <c r="N289" s="548" t="n"/>
      <c r="O289" s="548" t="n"/>
      <c r="P289" s="548" t="n"/>
      <c r="Q289" s="548" t="n"/>
      <c r="R289" s="548" t="n"/>
      <c r="S289" s="548" t="n"/>
      <c r="T289" s="21" t="n"/>
      <c r="U289" s="21" t="n"/>
      <c r="V289" s="21" t="n"/>
      <c r="W289" s="21" t="n"/>
      <c r="X289" s="21" t="n"/>
      <c r="Y289" s="21" t="n"/>
      <c r="Z289" s="21" t="n"/>
    </row>
    <row r="290" ht="15.75" customHeight="1" s="545">
      <c r="A290" s="504" t="n"/>
      <c r="B290" s="548" t="n"/>
      <c r="C290" s="548" t="n"/>
      <c r="D290" s="548" t="n"/>
      <c r="E290" s="548" t="n"/>
      <c r="F290" s="548" t="n"/>
      <c r="G290" s="548" t="n"/>
      <c r="H290" s="548" t="n"/>
      <c r="I290" s="548" t="n"/>
      <c r="J290" s="548" t="n"/>
      <c r="K290" s="548" t="n"/>
      <c r="L290" s="548" t="n"/>
      <c r="M290" s="548" t="n"/>
      <c r="N290" s="548" t="n"/>
      <c r="O290" s="548" t="n"/>
      <c r="P290" s="548" t="n"/>
      <c r="Q290" s="548" t="n"/>
      <c r="R290" s="548" t="n"/>
      <c r="S290" s="548" t="n"/>
      <c r="T290" s="21" t="n"/>
      <c r="U290" s="21" t="n"/>
      <c r="V290" s="21" t="n"/>
      <c r="W290" s="21" t="n"/>
      <c r="X290" s="21" t="n"/>
      <c r="Y290" s="21" t="n"/>
      <c r="Z290" s="21" t="n"/>
    </row>
    <row r="291" ht="15.75" customHeight="1" s="545">
      <c r="A291" s="504" t="n"/>
      <c r="B291" s="548" t="n"/>
      <c r="C291" s="548" t="n"/>
      <c r="D291" s="548" t="n"/>
      <c r="E291" s="548" t="n"/>
      <c r="F291" s="548" t="n"/>
      <c r="G291" s="548" t="n"/>
      <c r="H291" s="548" t="n"/>
      <c r="I291" s="548" t="n"/>
      <c r="J291" s="548" t="n"/>
      <c r="K291" s="548" t="n"/>
      <c r="L291" s="548" t="n"/>
      <c r="M291" s="548" t="n"/>
      <c r="N291" s="548" t="n"/>
      <c r="O291" s="548" t="n"/>
      <c r="P291" s="548" t="n"/>
      <c r="Q291" s="548" t="n"/>
      <c r="R291" s="548" t="n"/>
      <c r="S291" s="548" t="n"/>
      <c r="T291" s="21" t="n"/>
      <c r="U291" s="21" t="n"/>
      <c r="V291" s="21" t="n"/>
      <c r="W291" s="21" t="n"/>
      <c r="X291" s="21" t="n"/>
      <c r="Y291" s="21" t="n"/>
      <c r="Z291" s="21" t="n"/>
    </row>
    <row r="292" ht="15.75" customHeight="1" s="545">
      <c r="A292" s="504" t="n"/>
      <c r="B292" s="548" t="n"/>
      <c r="C292" s="548" t="n"/>
      <c r="D292" s="548" t="n"/>
      <c r="E292" s="548" t="n"/>
      <c r="F292" s="548" t="n"/>
      <c r="G292" s="548" t="n"/>
      <c r="H292" s="548" t="n"/>
      <c r="I292" s="548" t="n"/>
      <c r="J292" s="548" t="n"/>
      <c r="K292" s="548" t="n"/>
      <c r="L292" s="548" t="n"/>
      <c r="M292" s="548" t="n"/>
      <c r="N292" s="548" t="n"/>
      <c r="O292" s="548" t="n"/>
      <c r="P292" s="548" t="n"/>
      <c r="Q292" s="548" t="n"/>
      <c r="R292" s="548" t="n"/>
      <c r="S292" s="548" t="n"/>
      <c r="T292" s="21" t="n"/>
      <c r="U292" s="21" t="n"/>
      <c r="V292" s="21" t="n"/>
      <c r="W292" s="21" t="n"/>
      <c r="X292" s="21" t="n"/>
      <c r="Y292" s="21" t="n"/>
      <c r="Z292" s="21" t="n"/>
    </row>
    <row r="293" ht="15.75" customHeight="1" s="545">
      <c r="A293" s="504" t="n"/>
      <c r="B293" s="548" t="n"/>
      <c r="C293" s="548" t="n"/>
      <c r="D293" s="548" t="n"/>
      <c r="E293" s="548" t="n"/>
      <c r="F293" s="548" t="n"/>
      <c r="G293" s="548" t="n"/>
      <c r="H293" s="548" t="n"/>
      <c r="I293" s="548" t="n"/>
      <c r="J293" s="548" t="n"/>
      <c r="K293" s="548" t="n"/>
      <c r="L293" s="548" t="n"/>
      <c r="M293" s="548" t="n"/>
      <c r="N293" s="548" t="n"/>
      <c r="O293" s="548" t="n"/>
      <c r="P293" s="548" t="n"/>
      <c r="Q293" s="548" t="n"/>
      <c r="R293" s="548" t="n"/>
      <c r="S293" s="548" t="n"/>
      <c r="T293" s="21" t="n"/>
      <c r="U293" s="21" t="n"/>
      <c r="V293" s="21" t="n"/>
      <c r="W293" s="21" t="n"/>
      <c r="X293" s="21" t="n"/>
      <c r="Y293" s="21" t="n"/>
      <c r="Z293" s="21" t="n"/>
    </row>
    <row r="294" ht="15.75" customHeight="1" s="545">
      <c r="A294" s="504" t="n"/>
      <c r="B294" s="548" t="n"/>
      <c r="C294" s="548" t="n"/>
      <c r="D294" s="548" t="n"/>
      <c r="E294" s="548" t="n"/>
      <c r="F294" s="548" t="n"/>
      <c r="G294" s="548" t="n"/>
      <c r="H294" s="548" t="n"/>
      <c r="I294" s="548" t="n"/>
      <c r="J294" s="548" t="n"/>
      <c r="K294" s="548" t="n"/>
      <c r="L294" s="548" t="n"/>
      <c r="M294" s="548" t="n"/>
      <c r="N294" s="548" t="n"/>
      <c r="O294" s="548" t="n"/>
      <c r="P294" s="548" t="n"/>
      <c r="Q294" s="548" t="n"/>
      <c r="R294" s="548" t="n"/>
      <c r="S294" s="548" t="n"/>
      <c r="T294" s="21" t="n"/>
      <c r="U294" s="21" t="n"/>
      <c r="V294" s="21" t="n"/>
      <c r="W294" s="21" t="n"/>
      <c r="X294" s="21" t="n"/>
      <c r="Y294" s="21" t="n"/>
      <c r="Z294" s="21" t="n"/>
    </row>
    <row r="295" ht="15.75" customHeight="1" s="545">
      <c r="A295" s="504" t="n"/>
      <c r="B295" s="548" t="n"/>
      <c r="C295" s="548" t="n"/>
      <c r="D295" s="548" t="n"/>
      <c r="E295" s="548" t="n"/>
      <c r="F295" s="548" t="n"/>
      <c r="G295" s="548" t="n"/>
      <c r="H295" s="548" t="n"/>
      <c r="I295" s="548" t="n"/>
      <c r="J295" s="548" t="n"/>
      <c r="K295" s="548" t="n"/>
      <c r="L295" s="548" t="n"/>
      <c r="M295" s="548" t="n"/>
      <c r="N295" s="548" t="n"/>
      <c r="O295" s="548" t="n"/>
      <c r="P295" s="548" t="n"/>
      <c r="Q295" s="548" t="n"/>
      <c r="R295" s="548" t="n"/>
      <c r="S295" s="548" t="n"/>
      <c r="T295" s="21" t="n"/>
      <c r="U295" s="21" t="n"/>
      <c r="V295" s="21" t="n"/>
      <c r="W295" s="21" t="n"/>
      <c r="X295" s="21" t="n"/>
      <c r="Y295" s="21" t="n"/>
      <c r="Z295" s="21" t="n"/>
    </row>
    <row r="296" ht="15.75" customHeight="1" s="545">
      <c r="A296" s="504" t="n"/>
      <c r="B296" s="548" t="n"/>
      <c r="C296" s="548" t="n"/>
      <c r="D296" s="548" t="n"/>
      <c r="E296" s="548" t="n"/>
      <c r="F296" s="548" t="n"/>
      <c r="G296" s="548" t="n"/>
      <c r="H296" s="548" t="n"/>
      <c r="I296" s="548" t="n"/>
      <c r="J296" s="548" t="n"/>
      <c r="K296" s="548" t="n"/>
      <c r="L296" s="548" t="n"/>
      <c r="M296" s="548" t="n"/>
      <c r="N296" s="548" t="n"/>
      <c r="O296" s="548" t="n"/>
      <c r="P296" s="548" t="n"/>
      <c r="Q296" s="548" t="n"/>
      <c r="R296" s="548" t="n"/>
      <c r="S296" s="548" t="n"/>
      <c r="T296" s="21" t="n"/>
      <c r="U296" s="21" t="n"/>
      <c r="V296" s="21" t="n"/>
      <c r="W296" s="21" t="n"/>
      <c r="X296" s="21" t="n"/>
      <c r="Y296" s="21" t="n"/>
      <c r="Z296" s="21" t="n"/>
    </row>
    <row r="297" ht="15.75" customHeight="1" s="545">
      <c r="A297" s="504" t="n"/>
      <c r="B297" s="548" t="n"/>
      <c r="C297" s="548" t="n"/>
      <c r="D297" s="548" t="n"/>
      <c r="E297" s="548" t="n"/>
      <c r="F297" s="548" t="n"/>
      <c r="G297" s="548" t="n"/>
      <c r="H297" s="548" t="n"/>
      <c r="I297" s="548" t="n"/>
      <c r="J297" s="548" t="n"/>
      <c r="K297" s="548" t="n"/>
      <c r="L297" s="548" t="n"/>
      <c r="M297" s="548" t="n"/>
      <c r="N297" s="548" t="n"/>
      <c r="O297" s="548" t="n"/>
      <c r="P297" s="548" t="n"/>
      <c r="Q297" s="548" t="n"/>
      <c r="R297" s="548" t="n"/>
      <c r="S297" s="548" t="n"/>
      <c r="T297" s="21" t="n"/>
      <c r="U297" s="21" t="n"/>
      <c r="V297" s="21" t="n"/>
      <c r="W297" s="21" t="n"/>
      <c r="X297" s="21" t="n"/>
      <c r="Y297" s="21" t="n"/>
      <c r="Z297" s="21" t="n"/>
    </row>
    <row r="298" ht="15.75" customHeight="1" s="545">
      <c r="A298" s="504" t="n"/>
      <c r="B298" s="548" t="n"/>
      <c r="C298" s="548" t="n"/>
      <c r="D298" s="548" t="n"/>
      <c r="E298" s="548" t="n"/>
      <c r="F298" s="548" t="n"/>
      <c r="G298" s="548" t="n"/>
      <c r="H298" s="548" t="n"/>
      <c r="I298" s="548" t="n"/>
      <c r="J298" s="548" t="n"/>
      <c r="K298" s="548" t="n"/>
      <c r="L298" s="548" t="n"/>
      <c r="M298" s="548" t="n"/>
      <c r="N298" s="548" t="n"/>
      <c r="O298" s="548" t="n"/>
      <c r="P298" s="548" t="n"/>
      <c r="Q298" s="548" t="n"/>
      <c r="R298" s="548" t="n"/>
      <c r="S298" s="548" t="n"/>
      <c r="T298" s="21" t="n"/>
      <c r="U298" s="21" t="n"/>
      <c r="V298" s="21" t="n"/>
      <c r="W298" s="21" t="n"/>
      <c r="X298" s="21" t="n"/>
      <c r="Y298" s="21" t="n"/>
      <c r="Z298" s="21" t="n"/>
    </row>
    <row r="299" ht="15.75" customHeight="1" s="545">
      <c r="A299" s="504" t="n"/>
      <c r="B299" s="548" t="n"/>
      <c r="C299" s="548" t="n"/>
      <c r="D299" s="548" t="n"/>
      <c r="E299" s="548" t="n"/>
      <c r="F299" s="548" t="n"/>
      <c r="G299" s="548" t="n"/>
      <c r="H299" s="548" t="n"/>
      <c r="I299" s="548" t="n"/>
      <c r="J299" s="548" t="n"/>
      <c r="K299" s="548" t="n"/>
      <c r="L299" s="548" t="n"/>
      <c r="M299" s="548" t="n"/>
      <c r="N299" s="548" t="n"/>
      <c r="O299" s="548" t="n"/>
      <c r="P299" s="548" t="n"/>
      <c r="Q299" s="548" t="n"/>
      <c r="R299" s="548" t="n"/>
      <c r="S299" s="548" t="n"/>
      <c r="T299" s="21" t="n"/>
      <c r="U299" s="21" t="n"/>
      <c r="V299" s="21" t="n"/>
      <c r="W299" s="21" t="n"/>
      <c r="X299" s="21" t="n"/>
      <c r="Y299" s="21" t="n"/>
      <c r="Z299" s="21" t="n"/>
    </row>
    <row r="300" ht="15.75" customHeight="1" s="545">
      <c r="A300" s="504" t="n"/>
      <c r="B300" s="548" t="n"/>
      <c r="C300" s="548" t="n"/>
      <c r="D300" s="548" t="n"/>
      <c r="E300" s="548" t="n"/>
      <c r="F300" s="548" t="n"/>
      <c r="G300" s="548" t="n"/>
      <c r="H300" s="548" t="n"/>
      <c r="I300" s="548" t="n"/>
      <c r="J300" s="548" t="n"/>
      <c r="K300" s="548" t="n"/>
      <c r="L300" s="548" t="n"/>
      <c r="M300" s="548" t="n"/>
      <c r="N300" s="548" t="n"/>
      <c r="O300" s="548" t="n"/>
      <c r="P300" s="548" t="n"/>
      <c r="Q300" s="548" t="n"/>
      <c r="R300" s="548" t="n"/>
      <c r="S300" s="548" t="n"/>
      <c r="T300" s="21" t="n"/>
      <c r="U300" s="21" t="n"/>
      <c r="V300" s="21" t="n"/>
      <c r="W300" s="21" t="n"/>
      <c r="X300" s="21" t="n"/>
      <c r="Y300" s="21" t="n"/>
      <c r="Z300" s="21" t="n"/>
    </row>
    <row r="301" ht="15.75" customHeight="1" s="545">
      <c r="A301" s="504" t="n"/>
      <c r="B301" s="548" t="n"/>
      <c r="C301" s="548" t="n"/>
      <c r="D301" s="548" t="n"/>
      <c r="E301" s="548" t="n"/>
      <c r="F301" s="548" t="n"/>
      <c r="G301" s="548" t="n"/>
      <c r="H301" s="548" t="n"/>
      <c r="I301" s="548" t="n"/>
      <c r="J301" s="548" t="n"/>
      <c r="K301" s="548" t="n"/>
      <c r="L301" s="548" t="n"/>
      <c r="M301" s="548" t="n"/>
      <c r="N301" s="548" t="n"/>
      <c r="O301" s="548" t="n"/>
      <c r="P301" s="548" t="n"/>
      <c r="Q301" s="548" t="n"/>
      <c r="R301" s="548" t="n"/>
      <c r="S301" s="548" t="n"/>
      <c r="T301" s="21" t="n"/>
      <c r="U301" s="21" t="n"/>
      <c r="V301" s="21" t="n"/>
      <c r="W301" s="21" t="n"/>
      <c r="X301" s="21" t="n"/>
      <c r="Y301" s="21" t="n"/>
      <c r="Z301" s="21" t="n"/>
    </row>
    <row r="302" ht="15.75" customHeight="1" s="545">
      <c r="A302" s="504" t="n"/>
      <c r="B302" s="548" t="n"/>
      <c r="C302" s="548" t="n"/>
      <c r="D302" s="548" t="n"/>
      <c r="E302" s="548" t="n"/>
      <c r="F302" s="548" t="n"/>
      <c r="G302" s="548" t="n"/>
      <c r="H302" s="548" t="n"/>
      <c r="I302" s="548" t="n"/>
      <c r="J302" s="548" t="n"/>
      <c r="K302" s="548" t="n"/>
      <c r="L302" s="548" t="n"/>
      <c r="M302" s="548" t="n"/>
      <c r="N302" s="548" t="n"/>
      <c r="O302" s="548" t="n"/>
      <c r="P302" s="548" t="n"/>
      <c r="Q302" s="548" t="n"/>
      <c r="R302" s="548" t="n"/>
      <c r="S302" s="548" t="n"/>
      <c r="T302" s="21" t="n"/>
      <c r="U302" s="21" t="n"/>
      <c r="V302" s="21" t="n"/>
      <c r="W302" s="21" t="n"/>
      <c r="X302" s="21" t="n"/>
      <c r="Y302" s="21" t="n"/>
      <c r="Z302" s="21" t="n"/>
    </row>
    <row r="303" ht="15.75" customHeight="1" s="545">
      <c r="A303" s="504" t="n"/>
      <c r="B303" s="548" t="n"/>
      <c r="C303" s="548" t="n"/>
      <c r="D303" s="548" t="n"/>
      <c r="E303" s="548" t="n"/>
      <c r="F303" s="548" t="n"/>
      <c r="G303" s="548" t="n"/>
      <c r="H303" s="548" t="n"/>
      <c r="I303" s="548" t="n"/>
      <c r="J303" s="548" t="n"/>
      <c r="K303" s="548" t="n"/>
      <c r="L303" s="548" t="n"/>
      <c r="M303" s="548" t="n"/>
      <c r="N303" s="548" t="n"/>
      <c r="O303" s="548" t="n"/>
      <c r="P303" s="548" t="n"/>
      <c r="Q303" s="548" t="n"/>
      <c r="R303" s="548" t="n"/>
      <c r="S303" s="548" t="n"/>
      <c r="T303" s="21" t="n"/>
      <c r="U303" s="21" t="n"/>
      <c r="V303" s="21" t="n"/>
      <c r="W303" s="21" t="n"/>
      <c r="X303" s="21" t="n"/>
      <c r="Y303" s="21" t="n"/>
      <c r="Z303" s="21" t="n"/>
    </row>
    <row r="304" ht="15.75" customHeight="1" s="545">
      <c r="A304" s="504" t="n"/>
      <c r="B304" s="548" t="n"/>
      <c r="C304" s="548" t="n"/>
      <c r="D304" s="548" t="n"/>
      <c r="E304" s="548" t="n"/>
      <c r="F304" s="548" t="n"/>
      <c r="G304" s="548" t="n"/>
      <c r="H304" s="548" t="n"/>
      <c r="I304" s="548" t="n"/>
      <c r="J304" s="548" t="n"/>
      <c r="K304" s="548" t="n"/>
      <c r="L304" s="548" t="n"/>
      <c r="M304" s="548" t="n"/>
      <c r="N304" s="548" t="n"/>
      <c r="O304" s="548" t="n"/>
      <c r="P304" s="548" t="n"/>
      <c r="Q304" s="548" t="n"/>
      <c r="R304" s="548" t="n"/>
      <c r="S304" s="548" t="n"/>
      <c r="T304" s="21" t="n"/>
      <c r="U304" s="21" t="n"/>
      <c r="V304" s="21" t="n"/>
      <c r="W304" s="21" t="n"/>
      <c r="X304" s="21" t="n"/>
      <c r="Y304" s="21" t="n"/>
      <c r="Z304" s="21" t="n"/>
    </row>
    <row r="305" ht="15.75" customHeight="1" s="545">
      <c r="A305" s="504" t="n"/>
      <c r="B305" s="548" t="n"/>
      <c r="C305" s="548" t="n"/>
      <c r="D305" s="548" t="n"/>
      <c r="E305" s="548" t="n"/>
      <c r="F305" s="548" t="n"/>
      <c r="G305" s="548" t="n"/>
      <c r="H305" s="548" t="n"/>
      <c r="I305" s="548" t="n"/>
      <c r="J305" s="548" t="n"/>
      <c r="K305" s="548" t="n"/>
      <c r="L305" s="548" t="n"/>
      <c r="M305" s="548" t="n"/>
      <c r="N305" s="548" t="n"/>
      <c r="O305" s="548" t="n"/>
      <c r="P305" s="548" t="n"/>
      <c r="Q305" s="548" t="n"/>
      <c r="R305" s="548" t="n"/>
      <c r="S305" s="548" t="n"/>
      <c r="T305" s="21" t="n"/>
      <c r="U305" s="21" t="n"/>
      <c r="V305" s="21" t="n"/>
      <c r="W305" s="21" t="n"/>
      <c r="X305" s="21" t="n"/>
      <c r="Y305" s="21" t="n"/>
      <c r="Z305" s="21" t="n"/>
    </row>
    <row r="306" ht="15.75" customHeight="1" s="545">
      <c r="A306" s="504" t="n"/>
      <c r="B306" s="548" t="n"/>
      <c r="C306" s="548" t="n"/>
      <c r="D306" s="548" t="n"/>
      <c r="E306" s="548" t="n"/>
      <c r="F306" s="548" t="n"/>
      <c r="G306" s="548" t="n"/>
      <c r="H306" s="548" t="n"/>
      <c r="I306" s="548" t="n"/>
      <c r="J306" s="548" t="n"/>
      <c r="K306" s="548" t="n"/>
      <c r="L306" s="548" t="n"/>
      <c r="M306" s="548" t="n"/>
      <c r="N306" s="548" t="n"/>
      <c r="O306" s="548" t="n"/>
      <c r="P306" s="548" t="n"/>
      <c r="Q306" s="548" t="n"/>
      <c r="R306" s="548" t="n"/>
      <c r="S306" s="548" t="n"/>
      <c r="T306" s="21" t="n"/>
      <c r="U306" s="21" t="n"/>
      <c r="V306" s="21" t="n"/>
      <c r="W306" s="21" t="n"/>
      <c r="X306" s="21" t="n"/>
      <c r="Y306" s="21" t="n"/>
      <c r="Z306" s="21" t="n"/>
    </row>
    <row r="307" ht="15.75" customHeight="1" s="545">
      <c r="A307" s="504" t="n"/>
      <c r="B307" s="548" t="n"/>
      <c r="C307" s="548" t="n"/>
      <c r="D307" s="548" t="n"/>
      <c r="E307" s="548" t="n"/>
      <c r="F307" s="548" t="n"/>
      <c r="G307" s="548" t="n"/>
      <c r="H307" s="548" t="n"/>
      <c r="I307" s="548" t="n"/>
      <c r="J307" s="548" t="n"/>
      <c r="K307" s="548" t="n"/>
      <c r="L307" s="548" t="n"/>
      <c r="M307" s="548" t="n"/>
      <c r="N307" s="548" t="n"/>
      <c r="O307" s="548" t="n"/>
      <c r="P307" s="548" t="n"/>
      <c r="Q307" s="548" t="n"/>
      <c r="R307" s="548" t="n"/>
      <c r="S307" s="548" t="n"/>
      <c r="T307" s="21" t="n"/>
      <c r="U307" s="21" t="n"/>
      <c r="V307" s="21" t="n"/>
      <c r="W307" s="21" t="n"/>
      <c r="X307" s="21" t="n"/>
      <c r="Y307" s="21" t="n"/>
      <c r="Z307" s="21" t="n"/>
    </row>
    <row r="308" ht="15.75" customHeight="1" s="545">
      <c r="A308" s="504" t="n"/>
      <c r="B308" s="548" t="n"/>
      <c r="C308" s="548" t="n"/>
      <c r="D308" s="548" t="n"/>
      <c r="E308" s="548" t="n"/>
      <c r="F308" s="548" t="n"/>
      <c r="G308" s="548" t="n"/>
      <c r="H308" s="548" t="n"/>
      <c r="I308" s="548" t="n"/>
      <c r="J308" s="548" t="n"/>
      <c r="K308" s="548" t="n"/>
      <c r="L308" s="548" t="n"/>
      <c r="M308" s="548" t="n"/>
      <c r="N308" s="548" t="n"/>
      <c r="O308" s="548" t="n"/>
      <c r="P308" s="548" t="n"/>
      <c r="Q308" s="548" t="n"/>
      <c r="R308" s="548" t="n"/>
      <c r="S308" s="548" t="n"/>
      <c r="T308" s="21" t="n"/>
      <c r="U308" s="21" t="n"/>
      <c r="V308" s="21" t="n"/>
      <c r="W308" s="21" t="n"/>
      <c r="X308" s="21" t="n"/>
      <c r="Y308" s="21" t="n"/>
      <c r="Z308" s="21" t="n"/>
    </row>
    <row r="309" ht="15.75" customHeight="1" s="545">
      <c r="A309" s="504" t="n"/>
      <c r="B309" s="548" t="n"/>
      <c r="C309" s="548" t="n"/>
      <c r="D309" s="548" t="n"/>
      <c r="E309" s="548" t="n"/>
      <c r="F309" s="548" t="n"/>
      <c r="G309" s="548" t="n"/>
      <c r="H309" s="548" t="n"/>
      <c r="I309" s="548" t="n"/>
      <c r="J309" s="548" t="n"/>
      <c r="K309" s="548" t="n"/>
      <c r="L309" s="548" t="n"/>
      <c r="M309" s="548" t="n"/>
      <c r="N309" s="548" t="n"/>
      <c r="O309" s="548" t="n"/>
      <c r="P309" s="548" t="n"/>
      <c r="Q309" s="548" t="n"/>
      <c r="R309" s="548" t="n"/>
      <c r="S309" s="548" t="n"/>
      <c r="T309" s="21" t="n"/>
      <c r="U309" s="21" t="n"/>
      <c r="V309" s="21" t="n"/>
      <c r="W309" s="21" t="n"/>
      <c r="X309" s="21" t="n"/>
      <c r="Y309" s="21" t="n"/>
      <c r="Z309" s="21" t="n"/>
    </row>
    <row r="310" ht="15.75" customHeight="1" s="545">
      <c r="A310" s="504" t="n"/>
      <c r="B310" s="548" t="n"/>
      <c r="C310" s="548" t="n"/>
      <c r="D310" s="548" t="n"/>
      <c r="E310" s="548" t="n"/>
      <c r="F310" s="548" t="n"/>
      <c r="G310" s="548" t="n"/>
      <c r="H310" s="548" t="n"/>
      <c r="I310" s="548" t="n"/>
      <c r="J310" s="548" t="n"/>
      <c r="K310" s="548" t="n"/>
      <c r="L310" s="548" t="n"/>
      <c r="M310" s="548" t="n"/>
      <c r="N310" s="548" t="n"/>
      <c r="O310" s="548" t="n"/>
      <c r="P310" s="548" t="n"/>
      <c r="Q310" s="548" t="n"/>
      <c r="R310" s="548" t="n"/>
      <c r="S310" s="548" t="n"/>
      <c r="T310" s="21" t="n"/>
      <c r="U310" s="21" t="n"/>
      <c r="V310" s="21" t="n"/>
      <c r="W310" s="21" t="n"/>
      <c r="X310" s="21" t="n"/>
      <c r="Y310" s="21" t="n"/>
      <c r="Z310" s="21" t="n"/>
    </row>
    <row r="311" ht="15.75" customHeight="1" s="545">
      <c r="A311" s="504" t="n"/>
      <c r="B311" s="548" t="n"/>
      <c r="C311" s="548" t="n"/>
      <c r="D311" s="548" t="n"/>
      <c r="E311" s="548" t="n"/>
      <c r="F311" s="548" t="n"/>
      <c r="G311" s="548" t="n"/>
      <c r="H311" s="548" t="n"/>
      <c r="I311" s="548" t="n"/>
      <c r="J311" s="548" t="n"/>
      <c r="K311" s="548" t="n"/>
      <c r="L311" s="548" t="n"/>
      <c r="M311" s="548" t="n"/>
      <c r="N311" s="548" t="n"/>
      <c r="O311" s="548" t="n"/>
      <c r="P311" s="548" t="n"/>
      <c r="Q311" s="548" t="n"/>
      <c r="R311" s="548" t="n"/>
      <c r="S311" s="548" t="n"/>
      <c r="T311" s="21" t="n"/>
      <c r="U311" s="21" t="n"/>
      <c r="V311" s="21" t="n"/>
      <c r="W311" s="21" t="n"/>
      <c r="X311" s="21" t="n"/>
      <c r="Y311" s="21" t="n"/>
      <c r="Z311" s="21" t="n"/>
    </row>
    <row r="312" ht="15.75" customHeight="1" s="545">
      <c r="A312" s="504" t="n"/>
      <c r="B312" s="548" t="n"/>
      <c r="C312" s="548" t="n"/>
      <c r="D312" s="548" t="n"/>
      <c r="E312" s="548" t="n"/>
      <c r="F312" s="548" t="n"/>
      <c r="G312" s="548" t="n"/>
      <c r="H312" s="548" t="n"/>
      <c r="I312" s="548" t="n"/>
      <c r="J312" s="548" t="n"/>
      <c r="K312" s="548" t="n"/>
      <c r="L312" s="548" t="n"/>
      <c r="M312" s="548" t="n"/>
      <c r="N312" s="548" t="n"/>
      <c r="O312" s="548" t="n"/>
      <c r="P312" s="548" t="n"/>
      <c r="Q312" s="548" t="n"/>
      <c r="R312" s="548" t="n"/>
      <c r="S312" s="548" t="n"/>
      <c r="T312" s="21" t="n"/>
      <c r="U312" s="21" t="n"/>
      <c r="V312" s="21" t="n"/>
      <c r="W312" s="21" t="n"/>
      <c r="X312" s="21" t="n"/>
      <c r="Y312" s="21" t="n"/>
      <c r="Z312" s="21" t="n"/>
    </row>
    <row r="313" ht="15.75" customHeight="1" s="545">
      <c r="A313" s="504" t="n"/>
      <c r="B313" s="548" t="n"/>
      <c r="C313" s="548" t="n"/>
      <c r="D313" s="548" t="n"/>
      <c r="E313" s="548" t="n"/>
      <c r="F313" s="548" t="n"/>
      <c r="G313" s="548" t="n"/>
      <c r="H313" s="548" t="n"/>
      <c r="I313" s="548" t="n"/>
      <c r="J313" s="548" t="n"/>
      <c r="K313" s="548" t="n"/>
      <c r="L313" s="548" t="n"/>
      <c r="M313" s="548" t="n"/>
      <c r="N313" s="548" t="n"/>
      <c r="O313" s="548" t="n"/>
      <c r="P313" s="548" t="n"/>
      <c r="Q313" s="548" t="n"/>
      <c r="R313" s="548" t="n"/>
      <c r="S313" s="548" t="n"/>
      <c r="T313" s="21" t="n"/>
      <c r="U313" s="21" t="n"/>
      <c r="V313" s="21" t="n"/>
      <c r="W313" s="21" t="n"/>
      <c r="X313" s="21" t="n"/>
      <c r="Y313" s="21" t="n"/>
      <c r="Z313" s="21" t="n"/>
    </row>
    <row r="314" ht="15.75" customHeight="1" s="545">
      <c r="A314" s="504" t="n"/>
      <c r="B314" s="548" t="n"/>
      <c r="C314" s="548" t="n"/>
      <c r="D314" s="548" t="n"/>
      <c r="E314" s="548" t="n"/>
      <c r="F314" s="548" t="n"/>
      <c r="G314" s="548" t="n"/>
      <c r="H314" s="548" t="n"/>
      <c r="I314" s="548" t="n"/>
      <c r="J314" s="548" t="n"/>
      <c r="K314" s="548" t="n"/>
      <c r="L314" s="548" t="n"/>
      <c r="M314" s="548" t="n"/>
      <c r="N314" s="548" t="n"/>
      <c r="O314" s="548" t="n"/>
      <c r="P314" s="548" t="n"/>
      <c r="Q314" s="548" t="n"/>
      <c r="R314" s="548" t="n"/>
      <c r="S314" s="548" t="n"/>
      <c r="T314" s="21" t="n"/>
      <c r="U314" s="21" t="n"/>
      <c r="V314" s="21" t="n"/>
      <c r="W314" s="21" t="n"/>
      <c r="X314" s="21" t="n"/>
      <c r="Y314" s="21" t="n"/>
      <c r="Z314" s="21" t="n"/>
    </row>
    <row r="315" ht="15.75" customHeight="1" s="545">
      <c r="A315" s="504" t="n"/>
      <c r="B315" s="548" t="n"/>
      <c r="C315" s="548" t="n"/>
      <c r="D315" s="548" t="n"/>
      <c r="E315" s="548" t="n"/>
      <c r="F315" s="548" t="n"/>
      <c r="G315" s="548" t="n"/>
      <c r="H315" s="548" t="n"/>
      <c r="I315" s="548" t="n"/>
      <c r="J315" s="548" t="n"/>
      <c r="K315" s="548" t="n"/>
      <c r="L315" s="548" t="n"/>
      <c r="M315" s="548" t="n"/>
      <c r="N315" s="548" t="n"/>
      <c r="O315" s="548" t="n"/>
      <c r="P315" s="548" t="n"/>
      <c r="Q315" s="548" t="n"/>
      <c r="R315" s="548" t="n"/>
      <c r="S315" s="548" t="n"/>
      <c r="T315" s="21" t="n"/>
      <c r="U315" s="21" t="n"/>
      <c r="V315" s="21" t="n"/>
      <c r="W315" s="21" t="n"/>
      <c r="X315" s="21" t="n"/>
      <c r="Y315" s="21" t="n"/>
      <c r="Z315" s="21" t="n"/>
    </row>
    <row r="316" ht="15.75" customHeight="1" s="545">
      <c r="A316" s="504" t="n"/>
      <c r="B316" s="548" t="n"/>
      <c r="C316" s="548" t="n"/>
      <c r="D316" s="548" t="n"/>
      <c r="E316" s="548" t="n"/>
      <c r="F316" s="548" t="n"/>
      <c r="G316" s="548" t="n"/>
      <c r="H316" s="548" t="n"/>
      <c r="I316" s="548" t="n"/>
      <c r="J316" s="548" t="n"/>
      <c r="K316" s="548" t="n"/>
      <c r="L316" s="548" t="n"/>
      <c r="M316" s="548" t="n"/>
      <c r="N316" s="548" t="n"/>
      <c r="O316" s="548" t="n"/>
      <c r="P316" s="548" t="n"/>
      <c r="Q316" s="548" t="n"/>
      <c r="R316" s="548" t="n"/>
      <c r="S316" s="548" t="n"/>
      <c r="T316" s="21" t="n"/>
      <c r="U316" s="21" t="n"/>
      <c r="V316" s="21" t="n"/>
      <c r="W316" s="21" t="n"/>
      <c r="X316" s="21" t="n"/>
      <c r="Y316" s="21" t="n"/>
      <c r="Z316" s="21" t="n"/>
    </row>
    <row r="317" ht="15.75" customHeight="1" s="545">
      <c r="A317" s="504" t="n"/>
      <c r="B317" s="548" t="n"/>
      <c r="C317" s="548" t="n"/>
      <c r="D317" s="548" t="n"/>
      <c r="E317" s="548" t="n"/>
      <c r="F317" s="548" t="n"/>
      <c r="G317" s="548" t="n"/>
      <c r="H317" s="548" t="n"/>
      <c r="I317" s="548" t="n"/>
      <c r="J317" s="548" t="n"/>
      <c r="K317" s="548" t="n"/>
      <c r="L317" s="548" t="n"/>
      <c r="M317" s="548" t="n"/>
      <c r="N317" s="548" t="n"/>
      <c r="O317" s="548" t="n"/>
      <c r="P317" s="548" t="n"/>
      <c r="Q317" s="548" t="n"/>
      <c r="R317" s="548" t="n"/>
      <c r="S317" s="548" t="n"/>
      <c r="T317" s="21" t="n"/>
      <c r="U317" s="21" t="n"/>
      <c r="V317" s="21" t="n"/>
      <c r="W317" s="21" t="n"/>
      <c r="X317" s="21" t="n"/>
      <c r="Y317" s="21" t="n"/>
      <c r="Z317" s="21" t="n"/>
    </row>
    <row r="318" ht="15.75" customHeight="1" s="545">
      <c r="A318" s="504" t="n"/>
      <c r="B318" s="548" t="n"/>
      <c r="C318" s="548" t="n"/>
      <c r="D318" s="548" t="n"/>
      <c r="E318" s="548" t="n"/>
      <c r="F318" s="548" t="n"/>
      <c r="G318" s="548" t="n"/>
      <c r="H318" s="548" t="n"/>
      <c r="I318" s="548" t="n"/>
      <c r="J318" s="548" t="n"/>
      <c r="K318" s="548" t="n"/>
      <c r="L318" s="548" t="n"/>
      <c r="M318" s="548" t="n"/>
      <c r="N318" s="548" t="n"/>
      <c r="O318" s="548" t="n"/>
      <c r="P318" s="548" t="n"/>
      <c r="Q318" s="548" t="n"/>
      <c r="R318" s="548" t="n"/>
      <c r="S318" s="548" t="n"/>
      <c r="T318" s="21" t="n"/>
      <c r="U318" s="21" t="n"/>
      <c r="V318" s="21" t="n"/>
      <c r="W318" s="21" t="n"/>
      <c r="X318" s="21" t="n"/>
      <c r="Y318" s="21" t="n"/>
      <c r="Z318" s="21" t="n"/>
    </row>
    <row r="319" ht="15.75" customHeight="1" s="545">
      <c r="A319" s="504" t="n"/>
      <c r="B319" s="548" t="n"/>
      <c r="C319" s="548" t="n"/>
      <c r="D319" s="548" t="n"/>
      <c r="E319" s="548" t="n"/>
      <c r="F319" s="548" t="n"/>
      <c r="G319" s="548" t="n"/>
      <c r="H319" s="548" t="n"/>
      <c r="I319" s="548" t="n"/>
      <c r="J319" s="548" t="n"/>
      <c r="K319" s="548" t="n"/>
      <c r="L319" s="548" t="n"/>
      <c r="M319" s="548" t="n"/>
      <c r="N319" s="548" t="n"/>
      <c r="O319" s="548" t="n"/>
      <c r="P319" s="548" t="n"/>
      <c r="Q319" s="548" t="n"/>
      <c r="R319" s="548" t="n"/>
      <c r="S319" s="548" t="n"/>
      <c r="T319" s="21" t="n"/>
      <c r="U319" s="21" t="n"/>
      <c r="V319" s="21" t="n"/>
      <c r="W319" s="21" t="n"/>
      <c r="X319" s="21" t="n"/>
      <c r="Y319" s="21" t="n"/>
      <c r="Z319" s="21" t="n"/>
    </row>
    <row r="320" ht="15.75" customHeight="1" s="545">
      <c r="A320" s="504" t="n"/>
      <c r="B320" s="548" t="n"/>
      <c r="C320" s="548" t="n"/>
      <c r="D320" s="548" t="n"/>
      <c r="E320" s="548" t="n"/>
      <c r="F320" s="548" t="n"/>
      <c r="G320" s="548" t="n"/>
      <c r="H320" s="548" t="n"/>
      <c r="I320" s="548" t="n"/>
      <c r="J320" s="548" t="n"/>
      <c r="K320" s="548" t="n"/>
      <c r="L320" s="548" t="n"/>
      <c r="M320" s="548" t="n"/>
      <c r="N320" s="548" t="n"/>
      <c r="O320" s="548" t="n"/>
      <c r="P320" s="548" t="n"/>
      <c r="Q320" s="548" t="n"/>
      <c r="R320" s="548" t="n"/>
      <c r="S320" s="548" t="n"/>
      <c r="T320" s="21" t="n"/>
      <c r="U320" s="21" t="n"/>
      <c r="V320" s="21" t="n"/>
      <c r="W320" s="21" t="n"/>
      <c r="X320" s="21" t="n"/>
      <c r="Y320" s="21" t="n"/>
      <c r="Z320" s="21" t="n"/>
    </row>
    <row r="321" ht="15.75" customHeight="1" s="545">
      <c r="A321" s="504" t="n"/>
      <c r="B321" s="548" t="n"/>
      <c r="C321" s="548" t="n"/>
      <c r="D321" s="548" t="n"/>
      <c r="E321" s="548" t="n"/>
      <c r="F321" s="548" t="n"/>
      <c r="G321" s="548" t="n"/>
      <c r="H321" s="548" t="n"/>
      <c r="I321" s="548" t="n"/>
      <c r="J321" s="548" t="n"/>
      <c r="K321" s="548" t="n"/>
      <c r="L321" s="548" t="n"/>
      <c r="M321" s="548" t="n"/>
      <c r="N321" s="548" t="n"/>
      <c r="O321" s="548" t="n"/>
      <c r="P321" s="548" t="n"/>
      <c r="Q321" s="548" t="n"/>
      <c r="R321" s="548" t="n"/>
      <c r="S321" s="548" t="n"/>
      <c r="T321" s="21" t="n"/>
      <c r="U321" s="21" t="n"/>
      <c r="V321" s="21" t="n"/>
      <c r="W321" s="21" t="n"/>
      <c r="X321" s="21" t="n"/>
      <c r="Y321" s="21" t="n"/>
      <c r="Z321" s="21" t="n"/>
    </row>
    <row r="322" ht="15.75" customHeight="1" s="545">
      <c r="A322" s="504" t="n"/>
      <c r="B322" s="548" t="n"/>
      <c r="C322" s="548" t="n"/>
      <c r="D322" s="548" t="n"/>
      <c r="E322" s="548" t="n"/>
      <c r="F322" s="548" t="n"/>
      <c r="G322" s="548" t="n"/>
      <c r="H322" s="548" t="n"/>
      <c r="I322" s="548" t="n"/>
      <c r="J322" s="548" t="n"/>
      <c r="K322" s="548" t="n"/>
      <c r="L322" s="548" t="n"/>
      <c r="M322" s="548" t="n"/>
      <c r="N322" s="548" t="n"/>
      <c r="O322" s="548" t="n"/>
      <c r="P322" s="548" t="n"/>
      <c r="Q322" s="548" t="n"/>
      <c r="R322" s="548" t="n"/>
      <c r="S322" s="548" t="n"/>
      <c r="T322" s="21" t="n"/>
      <c r="U322" s="21" t="n"/>
      <c r="V322" s="21" t="n"/>
      <c r="W322" s="21" t="n"/>
      <c r="X322" s="21" t="n"/>
      <c r="Y322" s="21" t="n"/>
      <c r="Z322" s="21" t="n"/>
    </row>
    <row r="323" ht="15.75" customHeight="1" s="545">
      <c r="A323" s="504" t="n"/>
      <c r="B323" s="548" t="n"/>
      <c r="C323" s="548" t="n"/>
      <c r="D323" s="548" t="n"/>
      <c r="E323" s="548" t="n"/>
      <c r="F323" s="548" t="n"/>
      <c r="G323" s="548" t="n"/>
      <c r="H323" s="548" t="n"/>
      <c r="I323" s="548" t="n"/>
      <c r="J323" s="548" t="n"/>
      <c r="K323" s="548" t="n"/>
      <c r="L323" s="548" t="n"/>
      <c r="M323" s="548" t="n"/>
      <c r="N323" s="548" t="n"/>
      <c r="O323" s="548" t="n"/>
      <c r="P323" s="548" t="n"/>
      <c r="Q323" s="548" t="n"/>
      <c r="R323" s="548" t="n"/>
      <c r="S323" s="548" t="n"/>
      <c r="T323" s="21" t="n"/>
      <c r="U323" s="21" t="n"/>
      <c r="V323" s="21" t="n"/>
      <c r="W323" s="21" t="n"/>
      <c r="X323" s="21" t="n"/>
      <c r="Y323" s="21" t="n"/>
      <c r="Z323" s="21" t="n"/>
    </row>
    <row r="324" ht="15.75" customHeight="1" s="545">
      <c r="A324" s="504" t="n"/>
      <c r="B324" s="548" t="n"/>
      <c r="C324" s="548" t="n"/>
      <c r="D324" s="548" t="n"/>
      <c r="E324" s="548" t="n"/>
      <c r="F324" s="548" t="n"/>
      <c r="G324" s="548" t="n"/>
      <c r="H324" s="548" t="n"/>
      <c r="I324" s="548" t="n"/>
      <c r="J324" s="548" t="n"/>
      <c r="K324" s="548" t="n"/>
      <c r="L324" s="548" t="n"/>
      <c r="M324" s="548" t="n"/>
      <c r="N324" s="548" t="n"/>
      <c r="O324" s="548" t="n"/>
      <c r="P324" s="548" t="n"/>
      <c r="Q324" s="548" t="n"/>
      <c r="R324" s="548" t="n"/>
      <c r="S324" s="548" t="n"/>
      <c r="T324" s="21" t="n"/>
      <c r="U324" s="21" t="n"/>
      <c r="V324" s="21" t="n"/>
      <c r="W324" s="21" t="n"/>
      <c r="X324" s="21" t="n"/>
      <c r="Y324" s="21" t="n"/>
      <c r="Z324" s="21" t="n"/>
    </row>
    <row r="325" ht="15.75" customHeight="1" s="545">
      <c r="A325" s="504" t="n"/>
      <c r="B325" s="548" t="n"/>
      <c r="C325" s="548" t="n"/>
      <c r="D325" s="548" t="n"/>
      <c r="E325" s="548" t="n"/>
      <c r="F325" s="548" t="n"/>
      <c r="G325" s="548" t="n"/>
      <c r="H325" s="548" t="n"/>
      <c r="I325" s="548" t="n"/>
      <c r="J325" s="548" t="n"/>
      <c r="K325" s="548" t="n"/>
      <c r="L325" s="548" t="n"/>
      <c r="M325" s="548" t="n"/>
      <c r="N325" s="548" t="n"/>
      <c r="O325" s="548" t="n"/>
      <c r="P325" s="548" t="n"/>
      <c r="Q325" s="548" t="n"/>
      <c r="R325" s="548" t="n"/>
      <c r="S325" s="548" t="n"/>
      <c r="T325" s="21" t="n"/>
      <c r="U325" s="21" t="n"/>
      <c r="V325" s="21" t="n"/>
      <c r="W325" s="21" t="n"/>
      <c r="X325" s="21" t="n"/>
      <c r="Y325" s="21" t="n"/>
      <c r="Z325" s="21" t="n"/>
    </row>
    <row r="326" ht="15.75" customHeight="1" s="545">
      <c r="A326" s="504" t="n"/>
      <c r="B326" s="548" t="n"/>
      <c r="C326" s="548" t="n"/>
      <c r="D326" s="548" t="n"/>
      <c r="E326" s="548" t="n"/>
      <c r="F326" s="548" t="n"/>
      <c r="G326" s="548" t="n"/>
      <c r="H326" s="548" t="n"/>
      <c r="I326" s="548" t="n"/>
      <c r="J326" s="548" t="n"/>
      <c r="K326" s="548" t="n"/>
      <c r="L326" s="548" t="n"/>
      <c r="M326" s="548" t="n"/>
      <c r="N326" s="548" t="n"/>
      <c r="O326" s="548" t="n"/>
      <c r="P326" s="548" t="n"/>
      <c r="Q326" s="548" t="n"/>
      <c r="R326" s="548" t="n"/>
      <c r="S326" s="548" t="n"/>
      <c r="T326" s="21" t="n"/>
      <c r="U326" s="21" t="n"/>
      <c r="V326" s="21" t="n"/>
      <c r="W326" s="21" t="n"/>
      <c r="X326" s="21" t="n"/>
      <c r="Y326" s="21" t="n"/>
      <c r="Z326" s="21" t="n"/>
    </row>
    <row r="327" ht="15.75" customHeight="1" s="545">
      <c r="A327" s="504" t="n"/>
      <c r="B327" s="548" t="n"/>
      <c r="C327" s="548" t="n"/>
      <c r="D327" s="548" t="n"/>
      <c r="E327" s="548" t="n"/>
      <c r="F327" s="548" t="n"/>
      <c r="G327" s="548" t="n"/>
      <c r="H327" s="548" t="n"/>
      <c r="I327" s="548" t="n"/>
      <c r="J327" s="548" t="n"/>
      <c r="K327" s="548" t="n"/>
      <c r="L327" s="548" t="n"/>
      <c r="M327" s="548" t="n"/>
      <c r="N327" s="548" t="n"/>
      <c r="O327" s="548" t="n"/>
      <c r="P327" s="548" t="n"/>
      <c r="Q327" s="548" t="n"/>
      <c r="R327" s="548" t="n"/>
      <c r="S327" s="548" t="n"/>
      <c r="T327" s="21" t="n"/>
      <c r="U327" s="21" t="n"/>
      <c r="V327" s="21" t="n"/>
      <c r="W327" s="21" t="n"/>
      <c r="X327" s="21" t="n"/>
      <c r="Y327" s="21" t="n"/>
      <c r="Z327" s="21" t="n"/>
    </row>
    <row r="328" ht="15.75" customHeight="1" s="545">
      <c r="A328" s="504" t="n"/>
      <c r="B328" s="548" t="n"/>
      <c r="C328" s="548" t="n"/>
      <c r="D328" s="548" t="n"/>
      <c r="E328" s="548" t="n"/>
      <c r="F328" s="548" t="n"/>
      <c r="G328" s="548" t="n"/>
      <c r="H328" s="548" t="n"/>
      <c r="I328" s="548" t="n"/>
      <c r="J328" s="548" t="n"/>
      <c r="K328" s="548" t="n"/>
      <c r="L328" s="548" t="n"/>
      <c r="M328" s="548" t="n"/>
      <c r="N328" s="548" t="n"/>
      <c r="O328" s="548" t="n"/>
      <c r="P328" s="548" t="n"/>
      <c r="Q328" s="548" t="n"/>
      <c r="R328" s="548" t="n"/>
      <c r="S328" s="548" t="n"/>
      <c r="T328" s="21" t="n"/>
      <c r="U328" s="21" t="n"/>
      <c r="V328" s="21" t="n"/>
      <c r="W328" s="21" t="n"/>
      <c r="X328" s="21" t="n"/>
      <c r="Y328" s="21" t="n"/>
      <c r="Z328" s="21" t="n"/>
    </row>
    <row r="329" ht="15.75" customHeight="1" s="545">
      <c r="A329" s="504" t="n"/>
      <c r="B329" s="548" t="n"/>
      <c r="C329" s="548" t="n"/>
      <c r="D329" s="548" t="n"/>
      <c r="E329" s="548" t="n"/>
      <c r="F329" s="548" t="n"/>
      <c r="G329" s="548" t="n"/>
      <c r="H329" s="548" t="n"/>
      <c r="I329" s="548" t="n"/>
      <c r="J329" s="548" t="n"/>
      <c r="K329" s="548" t="n"/>
      <c r="L329" s="548" t="n"/>
      <c r="M329" s="548" t="n"/>
      <c r="N329" s="548" t="n"/>
      <c r="O329" s="548" t="n"/>
      <c r="P329" s="548" t="n"/>
      <c r="Q329" s="548" t="n"/>
      <c r="R329" s="548" t="n"/>
      <c r="S329" s="548" t="n"/>
      <c r="T329" s="21" t="n"/>
      <c r="U329" s="21" t="n"/>
      <c r="V329" s="21" t="n"/>
      <c r="W329" s="21" t="n"/>
      <c r="X329" s="21" t="n"/>
      <c r="Y329" s="21" t="n"/>
      <c r="Z329" s="21" t="n"/>
    </row>
    <row r="330" ht="15.75" customHeight="1" s="545">
      <c r="A330" s="504" t="n"/>
      <c r="B330" s="548" t="n"/>
      <c r="C330" s="548" t="n"/>
      <c r="D330" s="548" t="n"/>
      <c r="E330" s="548" t="n"/>
      <c r="F330" s="548" t="n"/>
      <c r="G330" s="548" t="n"/>
      <c r="H330" s="548" t="n"/>
      <c r="I330" s="548" t="n"/>
      <c r="J330" s="548" t="n"/>
      <c r="K330" s="548" t="n"/>
      <c r="L330" s="548" t="n"/>
      <c r="M330" s="548" t="n"/>
      <c r="N330" s="548" t="n"/>
      <c r="O330" s="548" t="n"/>
      <c r="P330" s="548" t="n"/>
      <c r="Q330" s="548" t="n"/>
      <c r="R330" s="548" t="n"/>
      <c r="S330" s="548" t="n"/>
      <c r="T330" s="21" t="n"/>
      <c r="U330" s="21" t="n"/>
      <c r="V330" s="21" t="n"/>
      <c r="W330" s="21" t="n"/>
      <c r="X330" s="21" t="n"/>
      <c r="Y330" s="21" t="n"/>
      <c r="Z330" s="21" t="n"/>
    </row>
    <row r="331" ht="15.75" customHeight="1" s="545">
      <c r="A331" s="504" t="n"/>
      <c r="B331" s="548" t="n"/>
      <c r="C331" s="548" t="n"/>
      <c r="D331" s="548" t="n"/>
      <c r="E331" s="548" t="n"/>
      <c r="F331" s="548" t="n"/>
      <c r="G331" s="548" t="n"/>
      <c r="H331" s="548" t="n"/>
      <c r="I331" s="548" t="n"/>
      <c r="J331" s="548" t="n"/>
      <c r="K331" s="548" t="n"/>
      <c r="L331" s="548" t="n"/>
      <c r="M331" s="548" t="n"/>
      <c r="N331" s="548" t="n"/>
      <c r="O331" s="548" t="n"/>
      <c r="P331" s="548" t="n"/>
      <c r="Q331" s="548" t="n"/>
      <c r="R331" s="548" t="n"/>
      <c r="S331" s="548" t="n"/>
      <c r="T331" s="21" t="n"/>
      <c r="U331" s="21" t="n"/>
      <c r="V331" s="21" t="n"/>
      <c r="W331" s="21" t="n"/>
      <c r="X331" s="21" t="n"/>
      <c r="Y331" s="21" t="n"/>
      <c r="Z331" s="21" t="n"/>
    </row>
    <row r="332" ht="15.75" customHeight="1" s="545">
      <c r="A332" s="504" t="n"/>
      <c r="B332" s="548" t="n"/>
      <c r="C332" s="548" t="n"/>
      <c r="D332" s="548" t="n"/>
      <c r="E332" s="548" t="n"/>
      <c r="F332" s="548" t="n"/>
      <c r="G332" s="548" t="n"/>
      <c r="H332" s="548" t="n"/>
      <c r="I332" s="548" t="n"/>
      <c r="J332" s="548" t="n"/>
      <c r="K332" s="548" t="n"/>
      <c r="L332" s="548" t="n"/>
      <c r="M332" s="548" t="n"/>
      <c r="N332" s="548" t="n"/>
      <c r="O332" s="548" t="n"/>
      <c r="P332" s="548" t="n"/>
      <c r="Q332" s="548" t="n"/>
      <c r="R332" s="548" t="n"/>
      <c r="S332" s="548" t="n"/>
      <c r="T332" s="21" t="n"/>
      <c r="U332" s="21" t="n"/>
      <c r="V332" s="21" t="n"/>
      <c r="W332" s="21" t="n"/>
      <c r="X332" s="21" t="n"/>
      <c r="Y332" s="21" t="n"/>
      <c r="Z332" s="21" t="n"/>
    </row>
    <row r="333" ht="15.75" customHeight="1" s="545">
      <c r="A333" s="504" t="n"/>
      <c r="B333" s="548" t="n"/>
      <c r="C333" s="548" t="n"/>
      <c r="D333" s="548" t="n"/>
      <c r="E333" s="548" t="n"/>
      <c r="F333" s="548" t="n"/>
      <c r="G333" s="548" t="n"/>
      <c r="H333" s="548" t="n"/>
      <c r="I333" s="548" t="n"/>
      <c r="J333" s="548" t="n"/>
      <c r="K333" s="548" t="n"/>
      <c r="L333" s="548" t="n"/>
      <c r="M333" s="548" t="n"/>
      <c r="N333" s="548" t="n"/>
      <c r="O333" s="548" t="n"/>
      <c r="P333" s="548" t="n"/>
      <c r="Q333" s="548" t="n"/>
      <c r="R333" s="548" t="n"/>
      <c r="S333" s="548" t="n"/>
      <c r="T333" s="21" t="n"/>
      <c r="U333" s="21" t="n"/>
      <c r="V333" s="21" t="n"/>
      <c r="W333" s="21" t="n"/>
      <c r="X333" s="21" t="n"/>
      <c r="Y333" s="21" t="n"/>
      <c r="Z333" s="21" t="n"/>
    </row>
    <row r="334" ht="15.75" customHeight="1" s="545">
      <c r="A334" s="504" t="n"/>
      <c r="B334" s="548" t="n"/>
      <c r="C334" s="548" t="n"/>
      <c r="D334" s="548" t="n"/>
      <c r="E334" s="548" t="n"/>
      <c r="F334" s="548" t="n"/>
      <c r="G334" s="548" t="n"/>
      <c r="H334" s="548" t="n"/>
      <c r="I334" s="548" t="n"/>
      <c r="J334" s="548" t="n"/>
      <c r="K334" s="548" t="n"/>
      <c r="L334" s="548" t="n"/>
      <c r="M334" s="548" t="n"/>
      <c r="N334" s="548" t="n"/>
      <c r="O334" s="548" t="n"/>
      <c r="P334" s="548" t="n"/>
      <c r="Q334" s="548" t="n"/>
      <c r="R334" s="548" t="n"/>
      <c r="S334" s="548" t="n"/>
      <c r="T334" s="21" t="n"/>
      <c r="U334" s="21" t="n"/>
      <c r="V334" s="21" t="n"/>
      <c r="W334" s="21" t="n"/>
      <c r="X334" s="21" t="n"/>
      <c r="Y334" s="21" t="n"/>
      <c r="Z334" s="21" t="n"/>
    </row>
    <row r="335" ht="15.75" customHeight="1" s="545">
      <c r="A335" s="504" t="n"/>
      <c r="B335" s="548" t="n"/>
      <c r="C335" s="548" t="n"/>
      <c r="D335" s="548" t="n"/>
      <c r="E335" s="548" t="n"/>
      <c r="F335" s="548" t="n"/>
      <c r="G335" s="548" t="n"/>
      <c r="H335" s="548" t="n"/>
      <c r="I335" s="548" t="n"/>
      <c r="J335" s="548" t="n"/>
      <c r="K335" s="548" t="n"/>
      <c r="L335" s="548" t="n"/>
      <c r="M335" s="548" t="n"/>
      <c r="N335" s="548" t="n"/>
      <c r="O335" s="548" t="n"/>
      <c r="P335" s="548" t="n"/>
      <c r="Q335" s="548" t="n"/>
      <c r="R335" s="548" t="n"/>
      <c r="S335" s="548" t="n"/>
      <c r="T335" s="21" t="n"/>
      <c r="U335" s="21" t="n"/>
      <c r="V335" s="21" t="n"/>
      <c r="W335" s="21" t="n"/>
      <c r="X335" s="21" t="n"/>
      <c r="Y335" s="21" t="n"/>
      <c r="Z335" s="21" t="n"/>
    </row>
    <row r="336" ht="15.75" customHeight="1" s="545">
      <c r="A336" s="504" t="n"/>
      <c r="B336" s="548" t="n"/>
      <c r="C336" s="548" t="n"/>
      <c r="D336" s="548" t="n"/>
      <c r="E336" s="548" t="n"/>
      <c r="F336" s="548" t="n"/>
      <c r="G336" s="548" t="n"/>
      <c r="H336" s="548" t="n"/>
      <c r="I336" s="548" t="n"/>
      <c r="J336" s="548" t="n"/>
      <c r="K336" s="548" t="n"/>
      <c r="L336" s="548" t="n"/>
      <c r="M336" s="548" t="n"/>
      <c r="N336" s="548" t="n"/>
      <c r="O336" s="548" t="n"/>
      <c r="P336" s="548" t="n"/>
      <c r="Q336" s="548" t="n"/>
      <c r="R336" s="548" t="n"/>
      <c r="S336" s="548" t="n"/>
      <c r="T336" s="21" t="n"/>
      <c r="U336" s="21" t="n"/>
      <c r="V336" s="21" t="n"/>
      <c r="W336" s="21" t="n"/>
      <c r="X336" s="21" t="n"/>
      <c r="Y336" s="21" t="n"/>
      <c r="Z336" s="21" t="n"/>
    </row>
    <row r="337" ht="15.75" customHeight="1" s="545">
      <c r="A337" s="504" t="n"/>
      <c r="B337" s="548" t="n"/>
      <c r="C337" s="548" t="n"/>
      <c r="D337" s="548" t="n"/>
      <c r="E337" s="548" t="n"/>
      <c r="F337" s="548" t="n"/>
      <c r="G337" s="548" t="n"/>
      <c r="H337" s="548" t="n"/>
      <c r="I337" s="548" t="n"/>
      <c r="J337" s="548" t="n"/>
      <c r="K337" s="548" t="n"/>
      <c r="L337" s="548" t="n"/>
      <c r="M337" s="548" t="n"/>
      <c r="N337" s="548" t="n"/>
      <c r="O337" s="548" t="n"/>
      <c r="P337" s="548" t="n"/>
      <c r="Q337" s="548" t="n"/>
      <c r="R337" s="548" t="n"/>
      <c r="S337" s="548" t="n"/>
      <c r="T337" s="21" t="n"/>
      <c r="U337" s="21" t="n"/>
      <c r="V337" s="21" t="n"/>
      <c r="W337" s="21" t="n"/>
      <c r="X337" s="21" t="n"/>
      <c r="Y337" s="21" t="n"/>
      <c r="Z337" s="21" t="n"/>
    </row>
    <row r="338" ht="15.75" customHeight="1" s="545">
      <c r="A338" s="504" t="n"/>
      <c r="B338" s="548" t="n"/>
      <c r="C338" s="548" t="n"/>
      <c r="D338" s="548" t="n"/>
      <c r="E338" s="548" t="n"/>
      <c r="F338" s="548" t="n"/>
      <c r="G338" s="548" t="n"/>
      <c r="H338" s="548" t="n"/>
      <c r="I338" s="548" t="n"/>
      <c r="J338" s="548" t="n"/>
      <c r="K338" s="548" t="n"/>
      <c r="L338" s="548" t="n"/>
      <c r="M338" s="548" t="n"/>
      <c r="N338" s="548" t="n"/>
      <c r="O338" s="548" t="n"/>
      <c r="P338" s="548" t="n"/>
      <c r="Q338" s="548" t="n"/>
      <c r="R338" s="548" t="n"/>
      <c r="S338" s="548" t="n"/>
      <c r="T338" s="21" t="n"/>
      <c r="U338" s="21" t="n"/>
      <c r="V338" s="21" t="n"/>
      <c r="W338" s="21" t="n"/>
      <c r="X338" s="21" t="n"/>
      <c r="Y338" s="21" t="n"/>
      <c r="Z338" s="21" t="n"/>
    </row>
    <row r="339" ht="15.75" customHeight="1" s="545">
      <c r="A339" s="504" t="n"/>
      <c r="B339" s="548" t="n"/>
      <c r="C339" s="548" t="n"/>
      <c r="D339" s="548" t="n"/>
      <c r="E339" s="548" t="n"/>
      <c r="F339" s="548" t="n"/>
      <c r="G339" s="548" t="n"/>
      <c r="H339" s="548" t="n"/>
      <c r="I339" s="548" t="n"/>
      <c r="J339" s="548" t="n"/>
      <c r="K339" s="548" t="n"/>
      <c r="L339" s="548" t="n"/>
      <c r="M339" s="548" t="n"/>
      <c r="N339" s="548" t="n"/>
      <c r="O339" s="548" t="n"/>
      <c r="P339" s="548" t="n"/>
      <c r="Q339" s="548" t="n"/>
      <c r="R339" s="548" t="n"/>
      <c r="S339" s="548" t="n"/>
      <c r="T339" s="21" t="n"/>
      <c r="U339" s="21" t="n"/>
      <c r="V339" s="21" t="n"/>
      <c r="W339" s="21" t="n"/>
      <c r="X339" s="21" t="n"/>
      <c r="Y339" s="21" t="n"/>
      <c r="Z339" s="21" t="n"/>
    </row>
    <row r="340" ht="15.75" customHeight="1" s="545">
      <c r="A340" s="504" t="n"/>
      <c r="B340" s="548" t="n"/>
      <c r="C340" s="548" t="n"/>
      <c r="D340" s="548" t="n"/>
      <c r="E340" s="548" t="n"/>
      <c r="F340" s="548" t="n"/>
      <c r="G340" s="548" t="n"/>
      <c r="H340" s="548" t="n"/>
      <c r="I340" s="548" t="n"/>
      <c r="J340" s="548" t="n"/>
      <c r="K340" s="548" t="n"/>
      <c r="L340" s="548" t="n"/>
      <c r="M340" s="548" t="n"/>
      <c r="N340" s="548" t="n"/>
      <c r="O340" s="548" t="n"/>
      <c r="P340" s="548" t="n"/>
      <c r="Q340" s="548" t="n"/>
      <c r="R340" s="548" t="n"/>
      <c r="S340" s="548" t="n"/>
      <c r="T340" s="21" t="n"/>
      <c r="U340" s="21" t="n"/>
      <c r="V340" s="21" t="n"/>
      <c r="W340" s="21" t="n"/>
      <c r="X340" s="21" t="n"/>
      <c r="Y340" s="21" t="n"/>
      <c r="Z340" s="21" t="n"/>
    </row>
    <row r="341" ht="15.75" customHeight="1" s="545">
      <c r="A341" s="504" t="n"/>
      <c r="B341" s="548" t="n"/>
      <c r="C341" s="548" t="n"/>
      <c r="D341" s="548" t="n"/>
      <c r="E341" s="548" t="n"/>
      <c r="F341" s="548" t="n"/>
      <c r="G341" s="548" t="n"/>
      <c r="H341" s="548" t="n"/>
      <c r="I341" s="548" t="n"/>
      <c r="J341" s="548" t="n"/>
      <c r="K341" s="548" t="n"/>
      <c r="L341" s="548" t="n"/>
      <c r="M341" s="548" t="n"/>
      <c r="N341" s="548" t="n"/>
      <c r="O341" s="548" t="n"/>
      <c r="P341" s="548" t="n"/>
      <c r="Q341" s="548" t="n"/>
      <c r="R341" s="548" t="n"/>
      <c r="S341" s="548" t="n"/>
      <c r="T341" s="21" t="n"/>
      <c r="U341" s="21" t="n"/>
      <c r="V341" s="21" t="n"/>
      <c r="W341" s="21" t="n"/>
      <c r="X341" s="21" t="n"/>
      <c r="Y341" s="21" t="n"/>
      <c r="Z341" s="21" t="n"/>
    </row>
    <row r="342" ht="15.75" customHeight="1" s="545">
      <c r="A342" s="504" t="n"/>
      <c r="B342" s="548" t="n"/>
      <c r="C342" s="548" t="n"/>
      <c r="D342" s="548" t="n"/>
      <c r="E342" s="548" t="n"/>
      <c r="F342" s="548" t="n"/>
      <c r="G342" s="548" t="n"/>
      <c r="H342" s="548" t="n"/>
      <c r="I342" s="548" t="n"/>
      <c r="J342" s="548" t="n"/>
      <c r="K342" s="548" t="n"/>
      <c r="L342" s="548" t="n"/>
      <c r="M342" s="548" t="n"/>
      <c r="N342" s="548" t="n"/>
      <c r="O342" s="548" t="n"/>
      <c r="P342" s="548" t="n"/>
      <c r="Q342" s="548" t="n"/>
      <c r="R342" s="548" t="n"/>
      <c r="S342" s="548" t="n"/>
      <c r="T342" s="21" t="n"/>
      <c r="U342" s="21" t="n"/>
      <c r="V342" s="21" t="n"/>
      <c r="W342" s="21" t="n"/>
      <c r="X342" s="21" t="n"/>
      <c r="Y342" s="21" t="n"/>
      <c r="Z342" s="21" t="n"/>
    </row>
    <row r="343" ht="15.75" customHeight="1" s="545">
      <c r="A343" s="504" t="n"/>
      <c r="B343" s="548" t="n"/>
      <c r="C343" s="548" t="n"/>
      <c r="D343" s="548" t="n"/>
      <c r="E343" s="548" t="n"/>
      <c r="F343" s="548" t="n"/>
      <c r="G343" s="548" t="n"/>
      <c r="H343" s="548" t="n"/>
      <c r="I343" s="548" t="n"/>
      <c r="J343" s="548" t="n"/>
      <c r="K343" s="548" t="n"/>
      <c r="L343" s="548" t="n"/>
      <c r="M343" s="548" t="n"/>
      <c r="N343" s="548" t="n"/>
      <c r="O343" s="548" t="n"/>
      <c r="P343" s="548" t="n"/>
      <c r="Q343" s="548" t="n"/>
      <c r="R343" s="548" t="n"/>
      <c r="S343" s="548" t="n"/>
      <c r="T343" s="21" t="n"/>
      <c r="U343" s="21" t="n"/>
      <c r="V343" s="21" t="n"/>
      <c r="W343" s="21" t="n"/>
      <c r="X343" s="21" t="n"/>
      <c r="Y343" s="21" t="n"/>
      <c r="Z343" s="21" t="n"/>
    </row>
    <row r="344" ht="15.75" customHeight="1" s="545">
      <c r="A344" s="504" t="n"/>
      <c r="B344" s="548" t="n"/>
      <c r="C344" s="548" t="n"/>
      <c r="D344" s="548" t="n"/>
      <c r="E344" s="548" t="n"/>
      <c r="F344" s="548" t="n"/>
      <c r="G344" s="548" t="n"/>
      <c r="H344" s="548" t="n"/>
      <c r="I344" s="548" t="n"/>
      <c r="J344" s="548" t="n"/>
      <c r="K344" s="548" t="n"/>
      <c r="L344" s="548" t="n"/>
      <c r="M344" s="548" t="n"/>
      <c r="N344" s="548" t="n"/>
      <c r="O344" s="548" t="n"/>
      <c r="P344" s="548" t="n"/>
      <c r="Q344" s="548" t="n"/>
      <c r="R344" s="548" t="n"/>
      <c r="S344" s="548" t="n"/>
      <c r="T344" s="21" t="n"/>
      <c r="U344" s="21" t="n"/>
      <c r="V344" s="21" t="n"/>
      <c r="W344" s="21" t="n"/>
      <c r="X344" s="21" t="n"/>
      <c r="Y344" s="21" t="n"/>
      <c r="Z344" s="21" t="n"/>
    </row>
    <row r="345" ht="15.75" customHeight="1" s="545">
      <c r="A345" s="504" t="n"/>
      <c r="B345" s="548" t="n"/>
      <c r="C345" s="548" t="n"/>
      <c r="D345" s="548" t="n"/>
      <c r="E345" s="548" t="n"/>
      <c r="F345" s="548" t="n"/>
      <c r="G345" s="548" t="n"/>
      <c r="H345" s="548" t="n"/>
      <c r="I345" s="548" t="n"/>
      <c r="J345" s="548" t="n"/>
      <c r="K345" s="548" t="n"/>
      <c r="L345" s="548" t="n"/>
      <c r="M345" s="548" t="n"/>
      <c r="N345" s="548" t="n"/>
      <c r="O345" s="548" t="n"/>
      <c r="P345" s="548" t="n"/>
      <c r="Q345" s="548" t="n"/>
      <c r="R345" s="548" t="n"/>
      <c r="S345" s="548" t="n"/>
      <c r="T345" s="21" t="n"/>
      <c r="U345" s="21" t="n"/>
      <c r="V345" s="21" t="n"/>
      <c r="W345" s="21" t="n"/>
      <c r="X345" s="21" t="n"/>
      <c r="Y345" s="21" t="n"/>
      <c r="Z345" s="21" t="n"/>
    </row>
    <row r="346" ht="15.75" customHeight="1" s="545">
      <c r="A346" s="504" t="n"/>
      <c r="B346" s="548" t="n"/>
      <c r="C346" s="548" t="n"/>
      <c r="D346" s="548" t="n"/>
      <c r="E346" s="548" t="n"/>
      <c r="F346" s="548" t="n"/>
      <c r="G346" s="548" t="n"/>
      <c r="H346" s="548" t="n"/>
      <c r="I346" s="548" t="n"/>
      <c r="J346" s="548" t="n"/>
      <c r="K346" s="548" t="n"/>
      <c r="L346" s="548" t="n"/>
      <c r="M346" s="548" t="n"/>
      <c r="N346" s="548" t="n"/>
      <c r="O346" s="548" t="n"/>
      <c r="P346" s="548" t="n"/>
      <c r="Q346" s="548" t="n"/>
      <c r="R346" s="548" t="n"/>
      <c r="S346" s="548" t="n"/>
      <c r="T346" s="21" t="n"/>
      <c r="U346" s="21" t="n"/>
      <c r="V346" s="21" t="n"/>
      <c r="W346" s="21" t="n"/>
      <c r="X346" s="21" t="n"/>
      <c r="Y346" s="21" t="n"/>
      <c r="Z346" s="21" t="n"/>
    </row>
    <row r="347" ht="15.75" customHeight="1" s="545">
      <c r="A347" s="504" t="n"/>
      <c r="B347" s="548" t="n"/>
      <c r="C347" s="548" t="n"/>
      <c r="D347" s="548" t="n"/>
      <c r="E347" s="548" t="n"/>
      <c r="F347" s="548" t="n"/>
      <c r="G347" s="548" t="n"/>
      <c r="H347" s="548" t="n"/>
      <c r="I347" s="548" t="n"/>
      <c r="J347" s="548" t="n"/>
      <c r="K347" s="548" t="n"/>
      <c r="L347" s="548" t="n"/>
      <c r="M347" s="548" t="n"/>
      <c r="N347" s="548" t="n"/>
      <c r="O347" s="548" t="n"/>
      <c r="P347" s="548" t="n"/>
      <c r="Q347" s="548" t="n"/>
      <c r="R347" s="548" t="n"/>
      <c r="S347" s="548" t="n"/>
      <c r="T347" s="21" t="n"/>
      <c r="U347" s="21" t="n"/>
      <c r="V347" s="21" t="n"/>
      <c r="W347" s="21" t="n"/>
      <c r="X347" s="21" t="n"/>
      <c r="Y347" s="21" t="n"/>
      <c r="Z347" s="21" t="n"/>
    </row>
    <row r="348" ht="15.75" customHeight="1" s="545">
      <c r="A348" s="504" t="n"/>
      <c r="B348" s="548" t="n"/>
      <c r="C348" s="548" t="n"/>
      <c r="D348" s="548" t="n"/>
      <c r="E348" s="548" t="n"/>
      <c r="F348" s="548" t="n"/>
      <c r="G348" s="548" t="n"/>
      <c r="H348" s="548" t="n"/>
      <c r="I348" s="548" t="n"/>
      <c r="J348" s="548" t="n"/>
      <c r="K348" s="548" t="n"/>
      <c r="L348" s="548" t="n"/>
      <c r="M348" s="548" t="n"/>
      <c r="N348" s="548" t="n"/>
      <c r="O348" s="548" t="n"/>
      <c r="P348" s="548" t="n"/>
      <c r="Q348" s="548" t="n"/>
      <c r="R348" s="548" t="n"/>
      <c r="S348" s="548" t="n"/>
      <c r="T348" s="21" t="n"/>
      <c r="U348" s="21" t="n"/>
      <c r="V348" s="21" t="n"/>
      <c r="W348" s="21" t="n"/>
      <c r="X348" s="21" t="n"/>
      <c r="Y348" s="21" t="n"/>
      <c r="Z348" s="21" t="n"/>
    </row>
    <row r="349" ht="15.75" customHeight="1" s="545">
      <c r="A349" s="504" t="n"/>
      <c r="B349" s="548" t="n"/>
      <c r="C349" s="548" t="n"/>
      <c r="D349" s="548" t="n"/>
      <c r="E349" s="548" t="n"/>
      <c r="F349" s="548" t="n"/>
      <c r="G349" s="548" t="n"/>
      <c r="H349" s="548" t="n"/>
      <c r="I349" s="548" t="n"/>
      <c r="J349" s="548" t="n"/>
      <c r="K349" s="548" t="n"/>
      <c r="L349" s="548" t="n"/>
      <c r="M349" s="548" t="n"/>
      <c r="N349" s="548" t="n"/>
      <c r="O349" s="548" t="n"/>
      <c r="P349" s="548" t="n"/>
      <c r="Q349" s="548" t="n"/>
      <c r="R349" s="548" t="n"/>
      <c r="S349" s="548" t="n"/>
      <c r="T349" s="21" t="n"/>
      <c r="U349" s="21" t="n"/>
      <c r="V349" s="21" t="n"/>
      <c r="W349" s="21" t="n"/>
      <c r="X349" s="21" t="n"/>
      <c r="Y349" s="21" t="n"/>
      <c r="Z349" s="21" t="n"/>
    </row>
    <row r="350" ht="15.75" customHeight="1" s="545">
      <c r="A350" s="504" t="n"/>
      <c r="B350" s="548" t="n"/>
      <c r="C350" s="548" t="n"/>
      <c r="D350" s="548" t="n"/>
      <c r="E350" s="548" t="n"/>
      <c r="F350" s="548" t="n"/>
      <c r="G350" s="548" t="n"/>
      <c r="H350" s="548" t="n"/>
      <c r="I350" s="548" t="n"/>
      <c r="J350" s="548" t="n"/>
      <c r="K350" s="548" t="n"/>
      <c r="L350" s="548" t="n"/>
      <c r="M350" s="548" t="n"/>
      <c r="N350" s="548" t="n"/>
      <c r="O350" s="548" t="n"/>
      <c r="P350" s="548" t="n"/>
      <c r="Q350" s="548" t="n"/>
      <c r="R350" s="548" t="n"/>
      <c r="S350" s="548" t="n"/>
      <c r="T350" s="21" t="n"/>
      <c r="U350" s="21" t="n"/>
      <c r="V350" s="21" t="n"/>
      <c r="W350" s="21" t="n"/>
      <c r="X350" s="21" t="n"/>
      <c r="Y350" s="21" t="n"/>
      <c r="Z350" s="21" t="n"/>
    </row>
    <row r="351" ht="15.75" customHeight="1" s="545">
      <c r="A351" s="504" t="n"/>
      <c r="B351" s="548" t="n"/>
      <c r="C351" s="548" t="n"/>
      <c r="D351" s="548" t="n"/>
      <c r="E351" s="548" t="n"/>
      <c r="F351" s="548" t="n"/>
      <c r="G351" s="548" t="n"/>
      <c r="H351" s="548" t="n"/>
      <c r="I351" s="548" t="n"/>
      <c r="J351" s="548" t="n"/>
      <c r="K351" s="548" t="n"/>
      <c r="L351" s="548" t="n"/>
      <c r="M351" s="548" t="n"/>
      <c r="N351" s="548" t="n"/>
      <c r="O351" s="548" t="n"/>
      <c r="P351" s="548" t="n"/>
      <c r="Q351" s="548" t="n"/>
      <c r="R351" s="548" t="n"/>
      <c r="S351" s="548" t="n"/>
      <c r="T351" s="21" t="n"/>
      <c r="U351" s="21" t="n"/>
      <c r="V351" s="21" t="n"/>
      <c r="W351" s="21" t="n"/>
      <c r="X351" s="21" t="n"/>
      <c r="Y351" s="21" t="n"/>
      <c r="Z351" s="21" t="n"/>
    </row>
    <row r="352" ht="15.75" customHeight="1" s="545">
      <c r="A352" s="504" t="n"/>
      <c r="B352" s="548" t="n"/>
      <c r="C352" s="548" t="n"/>
      <c r="D352" s="548" t="n"/>
      <c r="E352" s="548" t="n"/>
      <c r="F352" s="548" t="n"/>
      <c r="G352" s="548" t="n"/>
      <c r="H352" s="548" t="n"/>
      <c r="I352" s="548" t="n"/>
      <c r="J352" s="548" t="n"/>
      <c r="K352" s="548" t="n"/>
      <c r="L352" s="548" t="n"/>
      <c r="M352" s="548" t="n"/>
      <c r="N352" s="548" t="n"/>
      <c r="O352" s="548" t="n"/>
      <c r="P352" s="548" t="n"/>
      <c r="Q352" s="548" t="n"/>
      <c r="R352" s="548" t="n"/>
      <c r="S352" s="548" t="n"/>
      <c r="T352" s="21" t="n"/>
      <c r="U352" s="21" t="n"/>
      <c r="V352" s="21" t="n"/>
      <c r="W352" s="21" t="n"/>
      <c r="X352" s="21" t="n"/>
      <c r="Y352" s="21" t="n"/>
      <c r="Z352" s="21" t="n"/>
    </row>
    <row r="353" ht="15.75" customHeight="1" s="545">
      <c r="A353" s="504" t="n"/>
      <c r="B353" s="548" t="n"/>
      <c r="C353" s="548" t="n"/>
      <c r="D353" s="548" t="n"/>
      <c r="E353" s="548" t="n"/>
      <c r="F353" s="548" t="n"/>
      <c r="G353" s="548" t="n"/>
      <c r="H353" s="548" t="n"/>
      <c r="I353" s="548" t="n"/>
      <c r="J353" s="548" t="n"/>
      <c r="K353" s="548" t="n"/>
      <c r="L353" s="548" t="n"/>
      <c r="M353" s="548" t="n"/>
      <c r="N353" s="548" t="n"/>
      <c r="O353" s="548" t="n"/>
      <c r="P353" s="548" t="n"/>
      <c r="Q353" s="548" t="n"/>
      <c r="R353" s="548" t="n"/>
      <c r="S353" s="548" t="n"/>
      <c r="T353" s="21" t="n"/>
      <c r="U353" s="21" t="n"/>
      <c r="V353" s="21" t="n"/>
      <c r="W353" s="21" t="n"/>
      <c r="X353" s="21" t="n"/>
      <c r="Y353" s="21" t="n"/>
      <c r="Z353" s="21" t="n"/>
    </row>
    <row r="354" ht="15.75" customHeight="1" s="545">
      <c r="A354" s="504" t="n"/>
      <c r="B354" s="548" t="n"/>
      <c r="C354" s="548" t="n"/>
      <c r="D354" s="548" t="n"/>
      <c r="E354" s="548" t="n"/>
      <c r="F354" s="548" t="n"/>
      <c r="G354" s="548" t="n"/>
      <c r="H354" s="548" t="n"/>
      <c r="I354" s="548" t="n"/>
      <c r="J354" s="548" t="n"/>
      <c r="K354" s="548" t="n"/>
      <c r="L354" s="548" t="n"/>
      <c r="M354" s="548" t="n"/>
      <c r="N354" s="548" t="n"/>
      <c r="O354" s="548" t="n"/>
      <c r="P354" s="548" t="n"/>
      <c r="Q354" s="548" t="n"/>
      <c r="R354" s="548" t="n"/>
      <c r="S354" s="548" t="n"/>
      <c r="T354" s="21" t="n"/>
      <c r="U354" s="21" t="n"/>
      <c r="V354" s="21" t="n"/>
      <c r="W354" s="21" t="n"/>
      <c r="X354" s="21" t="n"/>
      <c r="Y354" s="21" t="n"/>
      <c r="Z354" s="21" t="n"/>
    </row>
    <row r="355" ht="15.75" customHeight="1" s="545">
      <c r="A355" s="504" t="n"/>
      <c r="B355" s="548" t="n"/>
      <c r="C355" s="548" t="n"/>
      <c r="D355" s="548" t="n"/>
      <c r="E355" s="548" t="n"/>
      <c r="F355" s="548" t="n"/>
      <c r="G355" s="548" t="n"/>
      <c r="H355" s="548" t="n"/>
      <c r="I355" s="548" t="n"/>
      <c r="J355" s="548" t="n"/>
      <c r="K355" s="548" t="n"/>
      <c r="L355" s="548" t="n"/>
      <c r="M355" s="548" t="n"/>
      <c r="N355" s="548" t="n"/>
      <c r="O355" s="548" t="n"/>
      <c r="P355" s="548" t="n"/>
      <c r="Q355" s="548" t="n"/>
      <c r="R355" s="548" t="n"/>
      <c r="S355" s="548" t="n"/>
      <c r="T355" s="21" t="n"/>
      <c r="U355" s="21" t="n"/>
      <c r="V355" s="21" t="n"/>
      <c r="W355" s="21" t="n"/>
      <c r="X355" s="21" t="n"/>
      <c r="Y355" s="21" t="n"/>
      <c r="Z355" s="21" t="n"/>
    </row>
    <row r="356" ht="15.75" customHeight="1" s="545">
      <c r="A356" s="504" t="n"/>
      <c r="B356" s="548" t="n"/>
      <c r="C356" s="548" t="n"/>
      <c r="D356" s="548" t="n"/>
      <c r="E356" s="548" t="n"/>
      <c r="F356" s="548" t="n"/>
      <c r="G356" s="548" t="n"/>
      <c r="H356" s="548" t="n"/>
      <c r="I356" s="548" t="n"/>
      <c r="J356" s="548" t="n"/>
      <c r="K356" s="548" t="n"/>
      <c r="L356" s="548" t="n"/>
      <c r="M356" s="548" t="n"/>
      <c r="N356" s="548" t="n"/>
      <c r="O356" s="548" t="n"/>
      <c r="P356" s="548" t="n"/>
      <c r="Q356" s="548" t="n"/>
      <c r="R356" s="548" t="n"/>
      <c r="S356" s="548" t="n"/>
      <c r="T356" s="21" t="n"/>
      <c r="U356" s="21" t="n"/>
      <c r="V356" s="21" t="n"/>
      <c r="W356" s="21" t="n"/>
      <c r="X356" s="21" t="n"/>
      <c r="Y356" s="21" t="n"/>
      <c r="Z356" s="21" t="n"/>
    </row>
    <row r="357" ht="15.75" customHeight="1" s="545">
      <c r="A357" s="117" t="n"/>
      <c r="B357" s="21" t="n"/>
      <c r="C357" s="21" t="n"/>
      <c r="D357" s="21" t="n"/>
      <c r="E357" s="21" t="n"/>
      <c r="F357" s="21" t="n"/>
      <c r="G357" s="21" t="n"/>
      <c r="H357" s="21" t="n"/>
      <c r="I357" s="21" t="n"/>
      <c r="J357" s="21" t="n"/>
      <c r="K357" s="21" t="n"/>
      <c r="L357" s="21" t="n"/>
      <c r="M357" s="21" t="n"/>
      <c r="N357" s="21" t="n"/>
      <c r="O357" s="21" t="n"/>
      <c r="P357" s="21" t="n"/>
      <c r="Q357" s="21" t="n"/>
      <c r="R357" s="21" t="n"/>
      <c r="S357" s="21" t="n"/>
      <c r="T357" s="21" t="n"/>
      <c r="U357" s="21" t="n"/>
      <c r="V357" s="21" t="n"/>
      <c r="W357" s="21" t="n"/>
      <c r="X357" s="21" t="n"/>
      <c r="Y357" s="21" t="n"/>
      <c r="Z357" s="21" t="n"/>
    </row>
    <row r="358" ht="15.75" customHeight="1" s="545">
      <c r="A358" s="117" t="n"/>
      <c r="B358" s="21" t="n"/>
      <c r="C358" s="21" t="n"/>
      <c r="D358" s="21" t="n"/>
      <c r="E358" s="21" t="n"/>
      <c r="F358" s="21" t="n"/>
      <c r="G358" s="21" t="n"/>
      <c r="H358" s="21" t="n"/>
      <c r="I358" s="21" t="n"/>
      <c r="J358" s="21" t="n"/>
      <c r="K358" s="21" t="n"/>
      <c r="L358" s="21" t="n"/>
      <c r="M358" s="21" t="n"/>
      <c r="N358" s="21" t="n"/>
      <c r="O358" s="21" t="n"/>
      <c r="P358" s="21" t="n"/>
      <c r="Q358" s="21" t="n"/>
      <c r="R358" s="21" t="n"/>
      <c r="S358" s="21" t="n"/>
      <c r="T358" s="21" t="n"/>
      <c r="U358" s="21" t="n"/>
      <c r="V358" s="21" t="n"/>
      <c r="W358" s="21" t="n"/>
      <c r="X358" s="21" t="n"/>
      <c r="Y358" s="21" t="n"/>
      <c r="Z358" s="21" t="n"/>
    </row>
    <row r="359" ht="15.75" customHeight="1" s="545">
      <c r="A359" s="117" t="n"/>
      <c r="B359" s="21" t="n"/>
      <c r="C359" s="21" t="n"/>
      <c r="D359" s="21" t="n"/>
      <c r="E359" s="21" t="n"/>
      <c r="F359" s="21" t="n"/>
      <c r="G359" s="21" t="n"/>
      <c r="H359" s="21" t="n"/>
      <c r="I359" s="21" t="n"/>
      <c r="J359" s="21" t="n"/>
      <c r="K359" s="21" t="n"/>
      <c r="L359" s="21" t="n"/>
      <c r="M359" s="21" t="n"/>
      <c r="N359" s="21" t="n"/>
      <c r="O359" s="21" t="n"/>
      <c r="P359" s="21" t="n"/>
      <c r="Q359" s="21" t="n"/>
      <c r="R359" s="21" t="n"/>
      <c r="S359" s="21" t="n"/>
      <c r="T359" s="21" t="n"/>
      <c r="U359" s="21" t="n"/>
      <c r="V359" s="21" t="n"/>
      <c r="W359" s="21" t="n"/>
      <c r="X359" s="21" t="n"/>
      <c r="Y359" s="21" t="n"/>
      <c r="Z359" s="21" t="n"/>
    </row>
    <row r="360" ht="15.75" customHeight="1" s="545">
      <c r="A360" s="117" t="n"/>
      <c r="B360" s="21" t="n"/>
      <c r="C360" s="21" t="n"/>
      <c r="D360" s="21" t="n"/>
      <c r="E360" s="21" t="n"/>
      <c r="F360" s="21" t="n"/>
      <c r="G360" s="21" t="n"/>
      <c r="H360" s="21" t="n"/>
      <c r="I360" s="21" t="n"/>
      <c r="J360" s="21" t="n"/>
      <c r="K360" s="21" t="n"/>
      <c r="L360" s="21" t="n"/>
      <c r="M360" s="21" t="n"/>
      <c r="N360" s="21" t="n"/>
      <c r="O360" s="21" t="n"/>
      <c r="P360" s="21" t="n"/>
      <c r="Q360" s="21" t="n"/>
      <c r="R360" s="21" t="n"/>
      <c r="S360" s="21" t="n"/>
      <c r="T360" s="21" t="n"/>
      <c r="U360" s="21" t="n"/>
      <c r="V360" s="21" t="n"/>
      <c r="W360" s="21" t="n"/>
      <c r="X360" s="21" t="n"/>
      <c r="Y360" s="21" t="n"/>
      <c r="Z360" s="21" t="n"/>
    </row>
    <row r="361" ht="15.75" customHeight="1" s="545">
      <c r="A361" s="19" t="n"/>
      <c r="B361" s="19" t="n"/>
      <c r="C361" s="19" t="n"/>
      <c r="D361" s="19" t="n"/>
      <c r="E361" s="19" t="n"/>
      <c r="F361" s="19" t="n"/>
      <c r="G361" s="19" t="n"/>
      <c r="H361" s="19" t="n"/>
      <c r="I361" s="19" t="n"/>
      <c r="J361" s="19" t="n"/>
    </row>
    <row r="362" ht="15.75" customHeight="1" s="545">
      <c r="A362" s="19" t="n"/>
      <c r="B362" s="19" t="n"/>
      <c r="C362" s="19" t="n"/>
      <c r="D362" s="19" t="n"/>
      <c r="E362" s="19" t="n"/>
      <c r="F362" s="19" t="n"/>
      <c r="G362" s="19" t="n"/>
      <c r="H362" s="19" t="n"/>
      <c r="I362" s="19" t="n"/>
      <c r="J362" s="19" t="n"/>
    </row>
    <row r="363" ht="15.75" customHeight="1" s="545">
      <c r="A363" s="19" t="n"/>
      <c r="B363" s="19" t="n"/>
      <c r="C363" s="19" t="n"/>
      <c r="D363" s="19" t="n"/>
      <c r="E363" s="19" t="n"/>
      <c r="F363" s="19" t="n"/>
      <c r="G363" s="19" t="n"/>
      <c r="H363" s="19" t="n"/>
      <c r="I363" s="19" t="n"/>
      <c r="J363" s="19" t="n"/>
    </row>
    <row r="364" ht="15.75" customHeight="1" s="545">
      <c r="A364" s="19" t="n"/>
      <c r="B364" s="19" t="n"/>
      <c r="C364" s="19" t="n"/>
      <c r="D364" s="19" t="n"/>
      <c r="E364" s="19" t="n"/>
      <c r="F364" s="19" t="n"/>
      <c r="G364" s="19" t="n"/>
      <c r="H364" s="19" t="n"/>
      <c r="I364" s="19" t="n"/>
      <c r="J364" s="19" t="n"/>
    </row>
    <row r="365" ht="15.75" customHeight="1" s="545">
      <c r="A365" s="19" t="n"/>
      <c r="B365" s="19" t="n"/>
      <c r="C365" s="19" t="n"/>
      <c r="D365" s="19" t="n"/>
      <c r="E365" s="19" t="n"/>
      <c r="F365" s="19" t="n"/>
      <c r="G365" s="19" t="n"/>
      <c r="H365" s="19" t="n"/>
      <c r="I365" s="19" t="n"/>
      <c r="J365" s="19" t="n"/>
    </row>
    <row r="366" ht="15.75" customHeight="1" s="545">
      <c r="A366" s="19" t="n"/>
      <c r="B366" s="19" t="n"/>
      <c r="C366" s="19" t="n"/>
      <c r="D366" s="19" t="n"/>
      <c r="E366" s="19" t="n"/>
      <c r="F366" s="19" t="n"/>
      <c r="G366" s="19" t="n"/>
      <c r="H366" s="19" t="n"/>
      <c r="I366" s="19" t="n"/>
      <c r="J366" s="19" t="n"/>
    </row>
    <row r="367" ht="15.75" customHeight="1" s="545">
      <c r="A367" s="19" t="n"/>
      <c r="B367" s="19" t="n"/>
      <c r="C367" s="19" t="n"/>
      <c r="D367" s="19" t="n"/>
      <c r="E367" s="19" t="n"/>
      <c r="F367" s="19" t="n"/>
      <c r="G367" s="19" t="n"/>
      <c r="H367" s="19" t="n"/>
      <c r="I367" s="19" t="n"/>
      <c r="J367" s="19" t="n"/>
    </row>
    <row r="368" ht="15.75" customHeight="1" s="545">
      <c r="A368" s="19" t="n"/>
      <c r="B368" s="19" t="n"/>
      <c r="C368" s="19" t="n"/>
      <c r="D368" s="19" t="n"/>
      <c r="E368" s="19" t="n"/>
      <c r="F368" s="19" t="n"/>
      <c r="G368" s="19" t="n"/>
      <c r="H368" s="19" t="n"/>
      <c r="I368" s="19" t="n"/>
      <c r="J368" s="19" t="n"/>
    </row>
    <row r="369" ht="15.75" customHeight="1" s="545">
      <c r="A369" s="19" t="n"/>
      <c r="B369" s="19" t="n"/>
      <c r="C369" s="19" t="n"/>
      <c r="D369" s="19" t="n"/>
      <c r="E369" s="19" t="n"/>
      <c r="F369" s="19" t="n"/>
      <c r="G369" s="19" t="n"/>
      <c r="H369" s="19" t="n"/>
      <c r="I369" s="19" t="n"/>
      <c r="J369" s="19" t="n"/>
    </row>
    <row r="370" ht="15.75" customHeight="1" s="545">
      <c r="A370" s="19" t="n"/>
      <c r="B370" s="19" t="n"/>
      <c r="C370" s="19" t="n"/>
      <c r="D370" s="19" t="n"/>
      <c r="E370" s="19" t="n"/>
      <c r="F370" s="19" t="n"/>
      <c r="G370" s="19" t="n"/>
      <c r="H370" s="19" t="n"/>
      <c r="I370" s="19" t="n"/>
      <c r="J370" s="19" t="n"/>
    </row>
    <row r="371" ht="15.75" customHeight="1" s="545">
      <c r="A371" s="19" t="n"/>
      <c r="B371" s="19" t="n"/>
      <c r="C371" s="19" t="n"/>
      <c r="D371" s="19" t="n"/>
      <c r="E371" s="19" t="n"/>
      <c r="F371" s="19" t="n"/>
      <c r="G371" s="19" t="n"/>
      <c r="H371" s="19" t="n"/>
      <c r="I371" s="19" t="n"/>
      <c r="J371" s="19" t="n"/>
    </row>
    <row r="372" ht="15.75" customHeight="1" s="545">
      <c r="A372" s="19" t="n"/>
      <c r="B372" s="19" t="n"/>
      <c r="C372" s="19" t="n"/>
      <c r="D372" s="19" t="n"/>
      <c r="E372" s="19" t="n"/>
      <c r="F372" s="19" t="n"/>
      <c r="G372" s="19" t="n"/>
      <c r="H372" s="19" t="n"/>
      <c r="I372" s="19" t="n"/>
      <c r="J372" s="19" t="n"/>
    </row>
    <row r="373" ht="15.75" customHeight="1" s="545">
      <c r="A373" s="19" t="n"/>
      <c r="B373" s="19" t="n"/>
      <c r="C373" s="19" t="n"/>
      <c r="D373" s="19" t="n"/>
      <c r="E373" s="19" t="n"/>
      <c r="F373" s="19" t="n"/>
      <c r="G373" s="19" t="n"/>
      <c r="H373" s="19" t="n"/>
      <c r="I373" s="19" t="n"/>
      <c r="J373" s="19" t="n"/>
    </row>
    <row r="374" ht="15.75" customHeight="1" s="545">
      <c r="A374" s="19" t="n"/>
      <c r="B374" s="19" t="n"/>
      <c r="C374" s="19" t="n"/>
      <c r="D374" s="19" t="n"/>
      <c r="E374" s="19" t="n"/>
      <c r="F374" s="19" t="n"/>
      <c r="G374" s="19" t="n"/>
      <c r="H374" s="19" t="n"/>
      <c r="I374" s="19" t="n"/>
      <c r="J374" s="19" t="n"/>
    </row>
    <row r="375" ht="15.75" customHeight="1" s="545">
      <c r="A375" s="19" t="n"/>
      <c r="B375" s="19" t="n"/>
      <c r="C375" s="19" t="n"/>
      <c r="D375" s="19" t="n"/>
      <c r="E375" s="19" t="n"/>
      <c r="F375" s="19" t="n"/>
      <c r="G375" s="19" t="n"/>
      <c r="H375" s="19" t="n"/>
      <c r="I375" s="19" t="n"/>
      <c r="J375" s="19" t="n"/>
    </row>
    <row r="376" ht="15.75" customHeight="1" s="545">
      <c r="A376" s="19" t="n"/>
      <c r="B376" s="19" t="n"/>
      <c r="C376" s="19" t="n"/>
      <c r="D376" s="19" t="n"/>
      <c r="E376" s="19" t="n"/>
      <c r="F376" s="19" t="n"/>
      <c r="G376" s="19" t="n"/>
      <c r="H376" s="19" t="n"/>
      <c r="I376" s="19" t="n"/>
      <c r="J376" s="19" t="n"/>
    </row>
    <row r="377" ht="15.75" customHeight="1" s="545">
      <c r="A377" s="19" t="n"/>
      <c r="B377" s="19" t="n"/>
      <c r="C377" s="19" t="n"/>
      <c r="D377" s="19" t="n"/>
      <c r="E377" s="19" t="n"/>
      <c r="F377" s="19" t="n"/>
      <c r="G377" s="19" t="n"/>
      <c r="H377" s="19" t="n"/>
      <c r="I377" s="19" t="n"/>
      <c r="J377" s="19" t="n"/>
    </row>
    <row r="378" ht="15.75" customHeight="1" s="545">
      <c r="A378" s="19" t="n"/>
      <c r="B378" s="19" t="n"/>
      <c r="C378" s="19" t="n"/>
      <c r="D378" s="19" t="n"/>
      <c r="E378" s="19" t="n"/>
      <c r="F378" s="19" t="n"/>
      <c r="G378" s="19" t="n"/>
      <c r="H378" s="19" t="n"/>
      <c r="I378" s="19" t="n"/>
      <c r="J378" s="19" t="n"/>
    </row>
    <row r="379" ht="15.75" customHeight="1" s="545">
      <c r="A379" s="19" t="n"/>
      <c r="B379" s="19" t="n"/>
      <c r="C379" s="19" t="n"/>
      <c r="D379" s="19" t="n"/>
      <c r="E379" s="19" t="n"/>
      <c r="F379" s="19" t="n"/>
      <c r="G379" s="19" t="n"/>
      <c r="H379" s="19" t="n"/>
      <c r="I379" s="19" t="n"/>
      <c r="J379" s="19" t="n"/>
    </row>
    <row r="380" ht="15.75" customHeight="1" s="545">
      <c r="A380" s="19" t="n"/>
      <c r="B380" s="19" t="n"/>
      <c r="C380" s="19" t="n"/>
      <c r="D380" s="19" t="n"/>
      <c r="E380" s="19" t="n"/>
      <c r="F380" s="19" t="n"/>
      <c r="G380" s="19" t="n"/>
      <c r="H380" s="19" t="n"/>
      <c r="I380" s="19" t="n"/>
      <c r="J380" s="19" t="n"/>
    </row>
    <row r="381" ht="15.75" customHeight="1" s="545">
      <c r="A381" s="19" t="n"/>
      <c r="B381" s="19" t="n"/>
      <c r="C381" s="19" t="n"/>
      <c r="D381" s="19" t="n"/>
      <c r="E381" s="19" t="n"/>
      <c r="F381" s="19" t="n"/>
      <c r="G381" s="19" t="n"/>
      <c r="H381" s="19" t="n"/>
      <c r="I381" s="19" t="n"/>
      <c r="J381" s="19" t="n"/>
    </row>
    <row r="382" ht="15.75" customHeight="1" s="545">
      <c r="A382" s="19" t="n"/>
      <c r="B382" s="19" t="n"/>
      <c r="C382" s="19" t="n"/>
      <c r="D382" s="19" t="n"/>
      <c r="E382" s="19" t="n"/>
      <c r="F382" s="19" t="n"/>
      <c r="G382" s="19" t="n"/>
      <c r="H382" s="19" t="n"/>
      <c r="I382" s="19" t="n"/>
      <c r="J382" s="19" t="n"/>
    </row>
    <row r="383" ht="15.75" customHeight="1" s="545">
      <c r="A383" s="19" t="n"/>
      <c r="B383" s="19" t="n"/>
      <c r="C383" s="19" t="n"/>
      <c r="D383" s="19" t="n"/>
      <c r="E383" s="19" t="n"/>
      <c r="F383" s="19" t="n"/>
      <c r="G383" s="19" t="n"/>
      <c r="H383" s="19" t="n"/>
      <c r="I383" s="19" t="n"/>
      <c r="J383" s="19" t="n"/>
    </row>
    <row r="384" ht="15.75" customHeight="1" s="545">
      <c r="A384" s="19" t="n"/>
      <c r="B384" s="19" t="n"/>
      <c r="C384" s="19" t="n"/>
      <c r="D384" s="19" t="n"/>
      <c r="E384" s="19" t="n"/>
      <c r="F384" s="19" t="n"/>
      <c r="G384" s="19" t="n"/>
      <c r="H384" s="19" t="n"/>
      <c r="I384" s="19" t="n"/>
      <c r="J384" s="19" t="n"/>
    </row>
    <row r="385" ht="15.75" customHeight="1" s="545">
      <c r="A385" s="19" t="n"/>
      <c r="B385" s="19" t="n"/>
      <c r="C385" s="19" t="n"/>
      <c r="D385" s="19" t="n"/>
      <c r="E385" s="19" t="n"/>
      <c r="F385" s="19" t="n"/>
      <c r="G385" s="19" t="n"/>
      <c r="H385" s="19" t="n"/>
      <c r="I385" s="19" t="n"/>
      <c r="J385" s="19" t="n"/>
    </row>
    <row r="386" ht="15.75" customHeight="1" s="545">
      <c r="A386" s="19" t="n"/>
      <c r="B386" s="19" t="n"/>
      <c r="C386" s="19" t="n"/>
      <c r="D386" s="19" t="n"/>
      <c r="E386" s="19" t="n"/>
      <c r="F386" s="19" t="n"/>
      <c r="G386" s="19" t="n"/>
      <c r="H386" s="19" t="n"/>
      <c r="I386" s="19" t="n"/>
      <c r="J386" s="19" t="n"/>
    </row>
    <row r="387" ht="15.75" customHeight="1" s="545">
      <c r="A387" s="19" t="n"/>
      <c r="B387" s="19" t="n"/>
      <c r="C387" s="19" t="n"/>
      <c r="D387" s="19" t="n"/>
      <c r="E387" s="19" t="n"/>
      <c r="F387" s="19" t="n"/>
      <c r="G387" s="19" t="n"/>
      <c r="H387" s="19" t="n"/>
      <c r="I387" s="19" t="n"/>
      <c r="J387" s="19" t="n"/>
    </row>
    <row r="388" ht="15.75" customHeight="1" s="545">
      <c r="A388" s="19" t="n"/>
      <c r="B388" s="19" t="n"/>
      <c r="C388" s="19" t="n"/>
      <c r="D388" s="19" t="n"/>
      <c r="E388" s="19" t="n"/>
      <c r="F388" s="19" t="n"/>
      <c r="G388" s="19" t="n"/>
      <c r="H388" s="19" t="n"/>
      <c r="I388" s="19" t="n"/>
      <c r="J388" s="19" t="n"/>
    </row>
    <row r="389" ht="15.75" customHeight="1" s="545">
      <c r="A389" s="19" t="n"/>
      <c r="B389" s="19" t="n"/>
      <c r="C389" s="19" t="n"/>
      <c r="D389" s="19" t="n"/>
      <c r="E389" s="19" t="n"/>
      <c r="F389" s="19" t="n"/>
      <c r="G389" s="19" t="n"/>
      <c r="H389" s="19" t="n"/>
      <c r="I389" s="19" t="n"/>
      <c r="J389" s="19" t="n"/>
    </row>
    <row r="390" ht="15.75" customHeight="1" s="545">
      <c r="A390" s="19" t="n"/>
      <c r="B390" s="19" t="n"/>
      <c r="C390" s="19" t="n"/>
      <c r="D390" s="19" t="n"/>
      <c r="E390" s="19" t="n"/>
      <c r="F390" s="19" t="n"/>
      <c r="G390" s="19" t="n"/>
      <c r="H390" s="19" t="n"/>
      <c r="I390" s="19" t="n"/>
      <c r="J390" s="19" t="n"/>
    </row>
    <row r="391" ht="15.75" customHeight="1" s="545">
      <c r="A391" s="19" t="n"/>
      <c r="B391" s="19" t="n"/>
      <c r="C391" s="19" t="n"/>
      <c r="D391" s="19" t="n"/>
      <c r="E391" s="19" t="n"/>
      <c r="F391" s="19" t="n"/>
      <c r="G391" s="19" t="n"/>
      <c r="H391" s="19" t="n"/>
      <c r="I391" s="19" t="n"/>
      <c r="J391" s="19" t="n"/>
    </row>
    <row r="392" ht="15.75" customHeight="1" s="545">
      <c r="A392" s="19" t="n"/>
      <c r="B392" s="19" t="n"/>
      <c r="C392" s="19" t="n"/>
      <c r="D392" s="19" t="n"/>
      <c r="E392" s="19" t="n"/>
      <c r="F392" s="19" t="n"/>
      <c r="G392" s="19" t="n"/>
      <c r="H392" s="19" t="n"/>
      <c r="I392" s="19" t="n"/>
      <c r="J392" s="19" t="n"/>
    </row>
    <row r="393" ht="15.75" customHeight="1" s="545">
      <c r="A393" s="19" t="n"/>
      <c r="B393" s="19" t="n"/>
      <c r="C393" s="19" t="n"/>
      <c r="D393" s="19" t="n"/>
      <c r="E393" s="19" t="n"/>
      <c r="F393" s="19" t="n"/>
      <c r="G393" s="19" t="n"/>
      <c r="H393" s="19" t="n"/>
      <c r="I393" s="19" t="n"/>
      <c r="J393" s="19" t="n"/>
    </row>
    <row r="394" ht="15.75" customHeight="1" s="545">
      <c r="A394" s="19" t="n"/>
      <c r="B394" s="19" t="n"/>
      <c r="C394" s="19" t="n"/>
      <c r="D394" s="19" t="n"/>
      <c r="E394" s="19" t="n"/>
      <c r="F394" s="19" t="n"/>
      <c r="G394" s="19" t="n"/>
      <c r="H394" s="19" t="n"/>
      <c r="I394" s="19" t="n"/>
      <c r="J394" s="19" t="n"/>
    </row>
    <row r="395" ht="15.75" customHeight="1" s="545">
      <c r="A395" s="19" t="n"/>
      <c r="B395" s="19" t="n"/>
      <c r="C395" s="19" t="n"/>
      <c r="D395" s="19" t="n"/>
      <c r="E395" s="19" t="n"/>
      <c r="F395" s="19" t="n"/>
      <c r="G395" s="19" t="n"/>
      <c r="H395" s="19" t="n"/>
      <c r="I395" s="19" t="n"/>
      <c r="J395" s="19" t="n"/>
    </row>
    <row r="396" ht="15.75" customHeight="1" s="545">
      <c r="A396" s="19" t="n"/>
      <c r="B396" s="19" t="n"/>
      <c r="C396" s="19" t="n"/>
      <c r="D396" s="19" t="n"/>
      <c r="E396" s="19" t="n"/>
      <c r="F396" s="19" t="n"/>
      <c r="G396" s="19" t="n"/>
      <c r="H396" s="19" t="n"/>
      <c r="I396" s="19" t="n"/>
      <c r="J396" s="19" t="n"/>
    </row>
    <row r="397" ht="15.75" customHeight="1" s="545">
      <c r="A397" s="19" t="n"/>
      <c r="B397" s="19" t="n"/>
      <c r="C397" s="19" t="n"/>
      <c r="D397" s="19" t="n"/>
      <c r="E397" s="19" t="n"/>
      <c r="F397" s="19" t="n"/>
      <c r="G397" s="19" t="n"/>
      <c r="H397" s="19" t="n"/>
      <c r="I397" s="19" t="n"/>
      <c r="J397" s="19" t="n"/>
    </row>
    <row r="398" ht="15.75" customHeight="1" s="545">
      <c r="A398" s="19" t="n"/>
      <c r="B398" s="19" t="n"/>
      <c r="C398" s="19" t="n"/>
      <c r="D398" s="19" t="n"/>
      <c r="E398" s="19" t="n"/>
      <c r="F398" s="19" t="n"/>
      <c r="G398" s="19" t="n"/>
      <c r="H398" s="19" t="n"/>
      <c r="I398" s="19" t="n"/>
      <c r="J398" s="19" t="n"/>
    </row>
    <row r="399" ht="15.75" customHeight="1" s="545">
      <c r="A399" s="19" t="n"/>
      <c r="B399" s="19" t="n"/>
      <c r="C399" s="19" t="n"/>
      <c r="D399" s="19" t="n"/>
      <c r="E399" s="19" t="n"/>
      <c r="F399" s="19" t="n"/>
      <c r="G399" s="19" t="n"/>
      <c r="H399" s="19" t="n"/>
      <c r="I399" s="19" t="n"/>
      <c r="J399" s="19" t="n"/>
    </row>
    <row r="400" ht="15.75" customHeight="1" s="545">
      <c r="A400" s="19" t="n"/>
      <c r="B400" s="19" t="n"/>
      <c r="C400" s="19" t="n"/>
      <c r="D400" s="19" t="n"/>
      <c r="E400" s="19" t="n"/>
      <c r="F400" s="19" t="n"/>
      <c r="G400" s="19" t="n"/>
      <c r="H400" s="19" t="n"/>
      <c r="I400" s="19" t="n"/>
      <c r="J400" s="19" t="n"/>
    </row>
    <row r="401" ht="15.75" customHeight="1" s="545">
      <c r="A401" s="19" t="n"/>
      <c r="B401" s="19" t="n"/>
      <c r="C401" s="19" t="n"/>
      <c r="D401" s="19" t="n"/>
      <c r="E401" s="19" t="n"/>
      <c r="F401" s="19" t="n"/>
      <c r="G401" s="19" t="n"/>
      <c r="H401" s="19" t="n"/>
      <c r="I401" s="19" t="n"/>
      <c r="J401" s="19" t="n"/>
    </row>
    <row r="402" ht="15.75" customHeight="1" s="545">
      <c r="A402" s="19" t="n"/>
      <c r="B402" s="19" t="n"/>
      <c r="C402" s="19" t="n"/>
      <c r="D402" s="19" t="n"/>
      <c r="E402" s="19" t="n"/>
      <c r="F402" s="19" t="n"/>
      <c r="G402" s="19" t="n"/>
      <c r="H402" s="19" t="n"/>
      <c r="I402" s="19" t="n"/>
      <c r="J402" s="19" t="n"/>
    </row>
    <row r="403" ht="15.75" customHeight="1" s="545">
      <c r="A403" s="19" t="n"/>
      <c r="B403" s="19" t="n"/>
      <c r="C403" s="19" t="n"/>
      <c r="D403" s="19" t="n"/>
      <c r="E403" s="19" t="n"/>
      <c r="F403" s="19" t="n"/>
      <c r="G403" s="19" t="n"/>
      <c r="H403" s="19" t="n"/>
      <c r="I403" s="19" t="n"/>
      <c r="J403" s="19" t="n"/>
    </row>
    <row r="404" ht="15.75" customHeight="1" s="545">
      <c r="A404" s="19" t="n"/>
      <c r="B404" s="19" t="n"/>
      <c r="C404" s="19" t="n"/>
      <c r="D404" s="19" t="n"/>
      <c r="E404" s="19" t="n"/>
      <c r="F404" s="19" t="n"/>
      <c r="G404" s="19" t="n"/>
      <c r="H404" s="19" t="n"/>
      <c r="I404" s="19" t="n"/>
      <c r="J404" s="19" t="n"/>
    </row>
    <row r="405" ht="15.75" customHeight="1" s="545">
      <c r="A405" s="19" t="n"/>
      <c r="B405" s="19" t="n"/>
      <c r="C405" s="19" t="n"/>
      <c r="D405" s="19" t="n"/>
      <c r="E405" s="19" t="n"/>
      <c r="F405" s="19" t="n"/>
      <c r="G405" s="19" t="n"/>
      <c r="H405" s="19" t="n"/>
      <c r="I405" s="19" t="n"/>
      <c r="J405" s="19" t="n"/>
    </row>
    <row r="406" ht="15.75" customHeight="1" s="545">
      <c r="A406" s="19" t="n"/>
      <c r="B406" s="19" t="n"/>
      <c r="C406" s="19" t="n"/>
      <c r="D406" s="19" t="n"/>
      <c r="E406" s="19" t="n"/>
      <c r="F406" s="19" t="n"/>
      <c r="G406" s="19" t="n"/>
      <c r="H406" s="19" t="n"/>
      <c r="I406" s="19" t="n"/>
      <c r="J406" s="19" t="n"/>
    </row>
    <row r="407" ht="15.75" customHeight="1" s="545">
      <c r="A407" s="19" t="n"/>
      <c r="B407" s="19" t="n"/>
      <c r="C407" s="19" t="n"/>
      <c r="D407" s="19" t="n"/>
      <c r="E407" s="19" t="n"/>
      <c r="F407" s="19" t="n"/>
      <c r="G407" s="19" t="n"/>
      <c r="H407" s="19" t="n"/>
      <c r="I407" s="19" t="n"/>
      <c r="J407" s="19" t="n"/>
    </row>
    <row r="408" ht="15.75" customHeight="1" s="545">
      <c r="A408" s="19" t="n"/>
      <c r="B408" s="19" t="n"/>
      <c r="C408" s="19" t="n"/>
      <c r="D408" s="19" t="n"/>
      <c r="E408" s="19" t="n"/>
      <c r="F408" s="19" t="n"/>
      <c r="G408" s="19" t="n"/>
      <c r="H408" s="19" t="n"/>
      <c r="I408" s="19" t="n"/>
      <c r="J408" s="19" t="n"/>
    </row>
    <row r="409" ht="15.75" customHeight="1" s="545">
      <c r="A409" s="19" t="n"/>
      <c r="B409" s="19" t="n"/>
      <c r="C409" s="19" t="n"/>
      <c r="D409" s="19" t="n"/>
      <c r="E409" s="19" t="n"/>
      <c r="F409" s="19" t="n"/>
      <c r="G409" s="19" t="n"/>
      <c r="H409" s="19" t="n"/>
      <c r="I409" s="19" t="n"/>
      <c r="J409" s="19" t="n"/>
    </row>
    <row r="410" ht="15.75" customHeight="1" s="545">
      <c r="A410" s="19" t="n"/>
      <c r="B410" s="19" t="n"/>
      <c r="C410" s="19" t="n"/>
      <c r="D410" s="19" t="n"/>
      <c r="E410" s="19" t="n"/>
      <c r="F410" s="19" t="n"/>
      <c r="G410" s="19" t="n"/>
      <c r="H410" s="19" t="n"/>
      <c r="I410" s="19" t="n"/>
      <c r="J410" s="19" t="n"/>
    </row>
    <row r="411" ht="15.75" customHeight="1" s="545">
      <c r="A411" s="19" t="n"/>
      <c r="B411" s="19" t="n"/>
      <c r="C411" s="19" t="n"/>
      <c r="D411" s="19" t="n"/>
      <c r="E411" s="19" t="n"/>
      <c r="F411" s="19" t="n"/>
      <c r="G411" s="19" t="n"/>
      <c r="H411" s="19" t="n"/>
      <c r="I411" s="19" t="n"/>
      <c r="J411" s="19" t="n"/>
    </row>
    <row r="412" ht="15.75" customHeight="1" s="545">
      <c r="A412" s="19" t="n"/>
      <c r="B412" s="19" t="n"/>
      <c r="C412" s="19" t="n"/>
      <c r="D412" s="19" t="n"/>
      <c r="E412" s="19" t="n"/>
      <c r="F412" s="19" t="n"/>
      <c r="G412" s="19" t="n"/>
      <c r="H412" s="19" t="n"/>
      <c r="I412" s="19" t="n"/>
      <c r="J412" s="19" t="n"/>
    </row>
    <row r="413" ht="15.75" customHeight="1" s="545">
      <c r="A413" s="19" t="n"/>
      <c r="B413" s="19" t="n"/>
      <c r="C413" s="19" t="n"/>
      <c r="D413" s="19" t="n"/>
      <c r="E413" s="19" t="n"/>
      <c r="F413" s="19" t="n"/>
      <c r="G413" s="19" t="n"/>
      <c r="H413" s="19" t="n"/>
      <c r="I413" s="19" t="n"/>
      <c r="J413" s="19" t="n"/>
    </row>
    <row r="414" ht="15.75" customHeight="1" s="545">
      <c r="A414" s="19" t="n"/>
      <c r="B414" s="19" t="n"/>
      <c r="C414" s="19" t="n"/>
      <c r="D414" s="19" t="n"/>
      <c r="E414" s="19" t="n"/>
      <c r="F414" s="19" t="n"/>
      <c r="G414" s="19" t="n"/>
      <c r="H414" s="19" t="n"/>
      <c r="I414" s="19" t="n"/>
      <c r="J414" s="19" t="n"/>
    </row>
    <row r="415" ht="15.75" customHeight="1" s="545">
      <c r="A415" s="19" t="n"/>
      <c r="B415" s="19" t="n"/>
      <c r="C415" s="19" t="n"/>
      <c r="D415" s="19" t="n"/>
      <c r="E415" s="19" t="n"/>
      <c r="F415" s="19" t="n"/>
      <c r="G415" s="19" t="n"/>
      <c r="H415" s="19" t="n"/>
      <c r="I415" s="19" t="n"/>
      <c r="J415" s="19" t="n"/>
    </row>
    <row r="416" ht="15.75" customHeight="1" s="545">
      <c r="A416" s="19" t="n"/>
      <c r="B416" s="19" t="n"/>
      <c r="C416" s="19" t="n"/>
      <c r="D416" s="19" t="n"/>
      <c r="E416" s="19" t="n"/>
      <c r="F416" s="19" t="n"/>
      <c r="G416" s="19" t="n"/>
      <c r="H416" s="19" t="n"/>
      <c r="I416" s="19" t="n"/>
      <c r="J416" s="19" t="n"/>
    </row>
    <row r="417" ht="15.75" customHeight="1" s="545">
      <c r="A417" s="19" t="n"/>
      <c r="B417" s="19" t="n"/>
      <c r="C417" s="19" t="n"/>
      <c r="D417" s="19" t="n"/>
      <c r="E417" s="19" t="n"/>
      <c r="F417" s="19" t="n"/>
      <c r="G417" s="19" t="n"/>
      <c r="H417" s="19" t="n"/>
      <c r="I417" s="19" t="n"/>
      <c r="J417" s="19" t="n"/>
    </row>
    <row r="418" ht="15.75" customHeight="1" s="545">
      <c r="A418" s="19" t="n"/>
      <c r="B418" s="19" t="n"/>
      <c r="C418" s="19" t="n"/>
      <c r="D418" s="19" t="n"/>
      <c r="E418" s="19" t="n"/>
      <c r="F418" s="19" t="n"/>
      <c r="G418" s="19" t="n"/>
      <c r="H418" s="19" t="n"/>
      <c r="I418" s="19" t="n"/>
      <c r="J418" s="19" t="n"/>
    </row>
    <row r="419" ht="15.75" customHeight="1" s="545">
      <c r="A419" s="19" t="n"/>
      <c r="B419" s="19" t="n"/>
      <c r="C419" s="19" t="n"/>
      <c r="D419" s="19" t="n"/>
      <c r="E419" s="19" t="n"/>
      <c r="F419" s="19" t="n"/>
      <c r="G419" s="19" t="n"/>
      <c r="H419" s="19" t="n"/>
      <c r="I419" s="19" t="n"/>
      <c r="J419" s="19" t="n"/>
    </row>
    <row r="420" ht="15.75" customHeight="1" s="545">
      <c r="A420" s="19" t="n"/>
      <c r="B420" s="19" t="n"/>
      <c r="C420" s="19" t="n"/>
      <c r="D420" s="19" t="n"/>
      <c r="E420" s="19" t="n"/>
      <c r="F420" s="19" t="n"/>
      <c r="G420" s="19" t="n"/>
      <c r="H420" s="19" t="n"/>
      <c r="I420" s="19" t="n"/>
      <c r="J420" s="19" t="n"/>
    </row>
    <row r="421" ht="15.75" customHeight="1" s="545">
      <c r="A421" s="19" t="n"/>
      <c r="B421" s="19" t="n"/>
      <c r="C421" s="19" t="n"/>
      <c r="D421" s="19" t="n"/>
      <c r="E421" s="19" t="n"/>
      <c r="F421" s="19" t="n"/>
      <c r="G421" s="19" t="n"/>
      <c r="H421" s="19" t="n"/>
      <c r="I421" s="19" t="n"/>
      <c r="J421" s="19" t="n"/>
    </row>
    <row r="422" ht="15.75" customHeight="1" s="545">
      <c r="A422" s="19" t="n"/>
      <c r="B422" s="19" t="n"/>
      <c r="C422" s="19" t="n"/>
      <c r="D422" s="19" t="n"/>
      <c r="E422" s="19" t="n"/>
      <c r="F422" s="19" t="n"/>
      <c r="G422" s="19" t="n"/>
      <c r="H422" s="19" t="n"/>
      <c r="I422" s="19" t="n"/>
      <c r="J422" s="19" t="n"/>
    </row>
    <row r="423" ht="15.75" customHeight="1" s="545">
      <c r="A423" s="19" t="n"/>
      <c r="B423" s="19" t="n"/>
      <c r="C423" s="19" t="n"/>
      <c r="D423" s="19" t="n"/>
      <c r="E423" s="19" t="n"/>
      <c r="F423" s="19" t="n"/>
      <c r="G423" s="19" t="n"/>
      <c r="H423" s="19" t="n"/>
      <c r="I423" s="19" t="n"/>
      <c r="J423" s="19" t="n"/>
    </row>
    <row r="424" ht="15.75" customHeight="1" s="545">
      <c r="A424" s="19" t="n"/>
      <c r="B424" s="19" t="n"/>
      <c r="C424" s="19" t="n"/>
      <c r="D424" s="19" t="n"/>
      <c r="E424" s="19" t="n"/>
      <c r="F424" s="19" t="n"/>
      <c r="G424" s="19" t="n"/>
      <c r="H424" s="19" t="n"/>
      <c r="I424" s="19" t="n"/>
      <c r="J424" s="19" t="n"/>
    </row>
    <row r="425" ht="15.75" customHeight="1" s="545">
      <c r="A425" s="19" t="n"/>
      <c r="B425" s="19" t="n"/>
      <c r="C425" s="19" t="n"/>
      <c r="D425" s="19" t="n"/>
      <c r="E425" s="19" t="n"/>
      <c r="F425" s="19" t="n"/>
      <c r="G425" s="19" t="n"/>
      <c r="H425" s="19" t="n"/>
      <c r="I425" s="19" t="n"/>
      <c r="J425" s="19" t="n"/>
    </row>
    <row r="426" ht="15.75" customHeight="1" s="545">
      <c r="A426" s="19" t="n"/>
      <c r="B426" s="19" t="n"/>
      <c r="C426" s="19" t="n"/>
      <c r="D426" s="19" t="n"/>
      <c r="E426" s="19" t="n"/>
      <c r="F426" s="19" t="n"/>
      <c r="G426" s="19" t="n"/>
      <c r="H426" s="19" t="n"/>
      <c r="I426" s="19" t="n"/>
      <c r="J426" s="19" t="n"/>
    </row>
    <row r="427" ht="15.75" customHeight="1" s="545">
      <c r="A427" s="19" t="n"/>
      <c r="B427" s="19" t="n"/>
      <c r="C427" s="19" t="n"/>
      <c r="D427" s="19" t="n"/>
      <c r="E427" s="19" t="n"/>
      <c r="F427" s="19" t="n"/>
      <c r="G427" s="19" t="n"/>
      <c r="H427" s="19" t="n"/>
      <c r="I427" s="19" t="n"/>
      <c r="J427" s="19" t="n"/>
    </row>
    <row r="428" ht="15.75" customHeight="1" s="545">
      <c r="A428" s="19" t="n"/>
      <c r="B428" s="19" t="n"/>
      <c r="C428" s="19" t="n"/>
      <c r="D428" s="19" t="n"/>
      <c r="E428" s="19" t="n"/>
      <c r="F428" s="19" t="n"/>
      <c r="G428" s="19" t="n"/>
      <c r="H428" s="19" t="n"/>
      <c r="I428" s="19" t="n"/>
      <c r="J428" s="19" t="n"/>
    </row>
    <row r="429" ht="15.75" customHeight="1" s="545">
      <c r="A429" s="19" t="n"/>
      <c r="B429" s="19" t="n"/>
      <c r="C429" s="19" t="n"/>
      <c r="D429" s="19" t="n"/>
      <c r="E429" s="19" t="n"/>
      <c r="F429" s="19" t="n"/>
      <c r="G429" s="19" t="n"/>
      <c r="H429" s="19" t="n"/>
      <c r="I429" s="19" t="n"/>
      <c r="J429" s="19" t="n"/>
    </row>
    <row r="430" ht="15.75" customHeight="1" s="545">
      <c r="A430" s="19" t="n"/>
      <c r="B430" s="19" t="n"/>
      <c r="C430" s="19" t="n"/>
      <c r="D430" s="19" t="n"/>
      <c r="E430" s="19" t="n"/>
      <c r="F430" s="19" t="n"/>
      <c r="G430" s="19" t="n"/>
      <c r="H430" s="19" t="n"/>
      <c r="I430" s="19" t="n"/>
      <c r="J430" s="19" t="n"/>
    </row>
    <row r="431" ht="15.75" customHeight="1" s="545">
      <c r="A431" s="19" t="n"/>
      <c r="B431" s="19" t="n"/>
      <c r="C431" s="19" t="n"/>
      <c r="D431" s="19" t="n"/>
      <c r="E431" s="19" t="n"/>
      <c r="F431" s="19" t="n"/>
      <c r="G431" s="19" t="n"/>
      <c r="H431" s="19" t="n"/>
      <c r="I431" s="19" t="n"/>
      <c r="J431" s="19" t="n"/>
    </row>
    <row r="432" ht="15.75" customHeight="1" s="545">
      <c r="A432" s="19" t="n"/>
      <c r="B432" s="19" t="n"/>
      <c r="C432" s="19" t="n"/>
      <c r="D432" s="19" t="n"/>
      <c r="E432" s="19" t="n"/>
      <c r="F432" s="19" t="n"/>
      <c r="G432" s="19" t="n"/>
      <c r="H432" s="19" t="n"/>
      <c r="I432" s="19" t="n"/>
      <c r="J432" s="19" t="n"/>
    </row>
    <row r="433" ht="15.75" customHeight="1" s="545">
      <c r="A433" s="19" t="n"/>
      <c r="B433" s="19" t="n"/>
      <c r="C433" s="19" t="n"/>
      <c r="D433" s="19" t="n"/>
      <c r="E433" s="19" t="n"/>
      <c r="F433" s="19" t="n"/>
      <c r="G433" s="19" t="n"/>
      <c r="H433" s="19" t="n"/>
      <c r="I433" s="19" t="n"/>
      <c r="J433" s="19" t="n"/>
    </row>
    <row r="434" ht="15.75" customHeight="1" s="545">
      <c r="A434" s="19" t="n"/>
      <c r="B434" s="19" t="n"/>
      <c r="C434" s="19" t="n"/>
      <c r="D434" s="19" t="n"/>
      <c r="E434" s="19" t="n"/>
      <c r="F434" s="19" t="n"/>
      <c r="G434" s="19" t="n"/>
      <c r="H434" s="19" t="n"/>
      <c r="I434" s="19" t="n"/>
      <c r="J434" s="19" t="n"/>
    </row>
    <row r="435" ht="15.75" customHeight="1" s="545">
      <c r="A435" s="19" t="n"/>
      <c r="B435" s="19" t="n"/>
      <c r="C435" s="19" t="n"/>
      <c r="D435" s="19" t="n"/>
      <c r="E435" s="19" t="n"/>
      <c r="F435" s="19" t="n"/>
      <c r="G435" s="19" t="n"/>
      <c r="H435" s="19" t="n"/>
      <c r="I435" s="19" t="n"/>
      <c r="J435" s="19" t="n"/>
    </row>
    <row r="436" ht="15.75" customHeight="1" s="545">
      <c r="A436" s="19" t="n"/>
      <c r="B436" s="19" t="n"/>
      <c r="C436" s="19" t="n"/>
      <c r="D436" s="19" t="n"/>
      <c r="E436" s="19" t="n"/>
      <c r="F436" s="19" t="n"/>
      <c r="G436" s="19" t="n"/>
      <c r="H436" s="19" t="n"/>
      <c r="I436" s="19" t="n"/>
      <c r="J436" s="19" t="n"/>
    </row>
    <row r="437" ht="15.75" customHeight="1" s="545">
      <c r="A437" s="19" t="n"/>
      <c r="B437" s="19" t="n"/>
      <c r="C437" s="19" t="n"/>
      <c r="D437" s="19" t="n"/>
      <c r="E437" s="19" t="n"/>
      <c r="F437" s="19" t="n"/>
      <c r="G437" s="19" t="n"/>
      <c r="H437" s="19" t="n"/>
      <c r="I437" s="19" t="n"/>
      <c r="J437" s="19" t="n"/>
    </row>
    <row r="438" ht="15.75" customHeight="1" s="545">
      <c r="A438" s="19" t="n"/>
      <c r="B438" s="19" t="n"/>
      <c r="C438" s="19" t="n"/>
      <c r="D438" s="19" t="n"/>
      <c r="E438" s="19" t="n"/>
      <c r="F438" s="19" t="n"/>
      <c r="G438" s="19" t="n"/>
      <c r="H438" s="19" t="n"/>
      <c r="I438" s="19" t="n"/>
      <c r="J438" s="19" t="n"/>
    </row>
    <row r="439" ht="15.75" customHeight="1" s="545">
      <c r="A439" s="19" t="n"/>
      <c r="B439" s="19" t="n"/>
      <c r="C439" s="19" t="n"/>
      <c r="D439" s="19" t="n"/>
      <c r="E439" s="19" t="n"/>
      <c r="F439" s="19" t="n"/>
      <c r="G439" s="19" t="n"/>
      <c r="H439" s="19" t="n"/>
      <c r="I439" s="19" t="n"/>
      <c r="J439" s="19" t="n"/>
    </row>
    <row r="440" ht="15.75" customHeight="1" s="545">
      <c r="A440" s="19" t="n"/>
      <c r="B440" s="19" t="n"/>
      <c r="C440" s="19" t="n"/>
      <c r="D440" s="19" t="n"/>
      <c r="E440" s="19" t="n"/>
      <c r="F440" s="19" t="n"/>
      <c r="G440" s="19" t="n"/>
      <c r="H440" s="19" t="n"/>
      <c r="I440" s="19" t="n"/>
      <c r="J440" s="19" t="n"/>
    </row>
    <row r="441" ht="15.75" customHeight="1" s="545">
      <c r="A441" s="19" t="n"/>
      <c r="B441" s="19" t="n"/>
      <c r="C441" s="19" t="n"/>
      <c r="D441" s="19" t="n"/>
      <c r="E441" s="19" t="n"/>
      <c r="F441" s="19" t="n"/>
      <c r="G441" s="19" t="n"/>
      <c r="H441" s="19" t="n"/>
      <c r="I441" s="19" t="n"/>
      <c r="J441" s="19" t="n"/>
    </row>
    <row r="442" ht="15.75" customHeight="1" s="545">
      <c r="A442" s="19" t="n"/>
      <c r="B442" s="19" t="n"/>
      <c r="C442" s="19" t="n"/>
      <c r="D442" s="19" t="n"/>
      <c r="E442" s="19" t="n"/>
      <c r="F442" s="19" t="n"/>
      <c r="G442" s="19" t="n"/>
      <c r="H442" s="19" t="n"/>
      <c r="I442" s="19" t="n"/>
      <c r="J442" s="19" t="n"/>
    </row>
    <row r="443" ht="15.75" customHeight="1" s="545">
      <c r="A443" s="19" t="n"/>
      <c r="B443" s="19" t="n"/>
      <c r="C443" s="19" t="n"/>
      <c r="D443" s="19" t="n"/>
      <c r="E443" s="19" t="n"/>
      <c r="F443" s="19" t="n"/>
      <c r="G443" s="19" t="n"/>
      <c r="H443" s="19" t="n"/>
      <c r="I443" s="19" t="n"/>
      <c r="J443" s="19" t="n"/>
    </row>
    <row r="444" ht="15.75" customHeight="1" s="545">
      <c r="A444" s="19" t="n"/>
      <c r="B444" s="19" t="n"/>
      <c r="C444" s="19" t="n"/>
      <c r="D444" s="19" t="n"/>
      <c r="E444" s="19" t="n"/>
      <c r="F444" s="19" t="n"/>
      <c r="G444" s="19" t="n"/>
      <c r="H444" s="19" t="n"/>
      <c r="I444" s="19" t="n"/>
      <c r="J444" s="19" t="n"/>
    </row>
    <row r="445" ht="15.75" customHeight="1" s="545">
      <c r="A445" s="19" t="n"/>
      <c r="B445" s="19" t="n"/>
      <c r="C445" s="19" t="n"/>
      <c r="D445" s="19" t="n"/>
      <c r="E445" s="19" t="n"/>
      <c r="F445" s="19" t="n"/>
      <c r="G445" s="19" t="n"/>
      <c r="H445" s="19" t="n"/>
      <c r="I445" s="19" t="n"/>
      <c r="J445" s="19" t="n"/>
    </row>
    <row r="446" ht="15.75" customHeight="1" s="545">
      <c r="A446" s="19" t="n"/>
      <c r="B446" s="19" t="n"/>
      <c r="C446" s="19" t="n"/>
      <c r="D446" s="19" t="n"/>
      <c r="E446" s="19" t="n"/>
      <c r="F446" s="19" t="n"/>
      <c r="G446" s="19" t="n"/>
      <c r="H446" s="19" t="n"/>
      <c r="I446" s="19" t="n"/>
      <c r="J446" s="19" t="n"/>
    </row>
    <row r="447" ht="15.75" customHeight="1" s="545">
      <c r="A447" s="19" t="n"/>
      <c r="B447" s="19" t="n"/>
      <c r="C447" s="19" t="n"/>
      <c r="D447" s="19" t="n"/>
      <c r="E447" s="19" t="n"/>
      <c r="F447" s="19" t="n"/>
      <c r="G447" s="19" t="n"/>
      <c r="H447" s="19" t="n"/>
      <c r="I447" s="19" t="n"/>
      <c r="J447" s="19" t="n"/>
    </row>
    <row r="448" ht="15.75" customHeight="1" s="545">
      <c r="A448" s="19" t="n"/>
      <c r="B448" s="19" t="n"/>
      <c r="C448" s="19" t="n"/>
      <c r="D448" s="19" t="n"/>
      <c r="E448" s="19" t="n"/>
      <c r="F448" s="19" t="n"/>
      <c r="G448" s="19" t="n"/>
      <c r="H448" s="19" t="n"/>
      <c r="I448" s="19" t="n"/>
      <c r="J448" s="19" t="n"/>
    </row>
    <row r="449" ht="15.75" customHeight="1" s="545">
      <c r="A449" s="19" t="n"/>
      <c r="B449" s="19" t="n"/>
      <c r="C449" s="19" t="n"/>
      <c r="D449" s="19" t="n"/>
      <c r="E449" s="19" t="n"/>
      <c r="F449" s="19" t="n"/>
      <c r="G449" s="19" t="n"/>
      <c r="H449" s="19" t="n"/>
      <c r="I449" s="19" t="n"/>
      <c r="J449" s="19" t="n"/>
    </row>
    <row r="450" ht="15.75" customHeight="1" s="545">
      <c r="A450" s="19" t="n"/>
      <c r="B450" s="19" t="n"/>
      <c r="C450" s="19" t="n"/>
      <c r="D450" s="19" t="n"/>
      <c r="E450" s="19" t="n"/>
      <c r="F450" s="19" t="n"/>
      <c r="G450" s="19" t="n"/>
      <c r="H450" s="19" t="n"/>
      <c r="I450" s="19" t="n"/>
      <c r="J450" s="19" t="n"/>
    </row>
    <row r="451" ht="15.75" customHeight="1" s="545">
      <c r="A451" s="19" t="n"/>
      <c r="B451" s="19" t="n"/>
      <c r="C451" s="19" t="n"/>
      <c r="D451" s="19" t="n"/>
      <c r="E451" s="19" t="n"/>
      <c r="F451" s="19" t="n"/>
      <c r="G451" s="19" t="n"/>
      <c r="H451" s="19" t="n"/>
      <c r="I451" s="19" t="n"/>
      <c r="J451" s="19" t="n"/>
    </row>
    <row r="452" ht="15.75" customHeight="1" s="545">
      <c r="A452" s="19" t="n"/>
      <c r="B452" s="19" t="n"/>
      <c r="C452" s="19" t="n"/>
      <c r="D452" s="19" t="n"/>
      <c r="E452" s="19" t="n"/>
      <c r="F452" s="19" t="n"/>
      <c r="G452" s="19" t="n"/>
      <c r="H452" s="19" t="n"/>
      <c r="I452" s="19" t="n"/>
      <c r="J452" s="19" t="n"/>
    </row>
    <row r="453" ht="15.75" customHeight="1" s="545">
      <c r="A453" s="19" t="n"/>
      <c r="B453" s="19" t="n"/>
      <c r="C453" s="19" t="n"/>
      <c r="D453" s="19" t="n"/>
      <c r="E453" s="19" t="n"/>
      <c r="F453" s="19" t="n"/>
      <c r="G453" s="19" t="n"/>
      <c r="H453" s="19" t="n"/>
      <c r="I453" s="19" t="n"/>
      <c r="J453" s="19" t="n"/>
    </row>
    <row r="454" ht="15.75" customHeight="1" s="545">
      <c r="A454" s="19" t="n"/>
      <c r="B454" s="19" t="n"/>
      <c r="C454" s="19" t="n"/>
      <c r="D454" s="19" t="n"/>
      <c r="E454" s="19" t="n"/>
      <c r="F454" s="19" t="n"/>
      <c r="G454" s="19" t="n"/>
      <c r="H454" s="19" t="n"/>
      <c r="I454" s="19" t="n"/>
      <c r="J454" s="19" t="n"/>
    </row>
    <row r="455" ht="15.75" customHeight="1" s="545">
      <c r="A455" s="19" t="n"/>
      <c r="B455" s="19" t="n"/>
      <c r="C455" s="19" t="n"/>
      <c r="D455" s="19" t="n"/>
      <c r="E455" s="19" t="n"/>
      <c r="F455" s="19" t="n"/>
      <c r="G455" s="19" t="n"/>
      <c r="H455" s="19" t="n"/>
      <c r="I455" s="19" t="n"/>
      <c r="J455" s="19" t="n"/>
    </row>
    <row r="456" ht="15.75" customHeight="1" s="545">
      <c r="A456" s="19" t="n"/>
      <c r="B456" s="19" t="n"/>
      <c r="C456" s="19" t="n"/>
      <c r="D456" s="19" t="n"/>
      <c r="E456" s="19" t="n"/>
      <c r="F456" s="19" t="n"/>
      <c r="G456" s="19" t="n"/>
      <c r="H456" s="19" t="n"/>
      <c r="I456" s="19" t="n"/>
      <c r="J456" s="19" t="n"/>
    </row>
    <row r="457" ht="15.75" customHeight="1" s="545">
      <c r="A457" s="19" t="n"/>
      <c r="B457" s="19" t="n"/>
      <c r="C457" s="19" t="n"/>
      <c r="D457" s="19" t="n"/>
      <c r="E457" s="19" t="n"/>
      <c r="F457" s="19" t="n"/>
      <c r="G457" s="19" t="n"/>
      <c r="H457" s="19" t="n"/>
      <c r="I457" s="19" t="n"/>
      <c r="J457" s="19" t="n"/>
    </row>
    <row r="458" ht="15.75" customHeight="1" s="545">
      <c r="A458" s="19" t="n"/>
      <c r="B458" s="19" t="n"/>
      <c r="C458" s="19" t="n"/>
      <c r="D458" s="19" t="n"/>
      <c r="E458" s="19" t="n"/>
      <c r="F458" s="19" t="n"/>
      <c r="G458" s="19" t="n"/>
      <c r="H458" s="19" t="n"/>
      <c r="I458" s="19" t="n"/>
      <c r="J458" s="19" t="n"/>
    </row>
    <row r="459" ht="15.75" customHeight="1" s="545">
      <c r="A459" s="19" t="n"/>
      <c r="B459" s="19" t="n"/>
      <c r="C459" s="19" t="n"/>
      <c r="D459" s="19" t="n"/>
      <c r="E459" s="19" t="n"/>
      <c r="F459" s="19" t="n"/>
      <c r="G459" s="19" t="n"/>
      <c r="H459" s="19" t="n"/>
      <c r="I459" s="19" t="n"/>
      <c r="J459" s="19" t="n"/>
    </row>
    <row r="460" ht="15.75" customHeight="1" s="545">
      <c r="A460" s="19" t="n"/>
      <c r="B460" s="19" t="n"/>
      <c r="C460" s="19" t="n"/>
      <c r="D460" s="19" t="n"/>
      <c r="E460" s="19" t="n"/>
      <c r="F460" s="19" t="n"/>
      <c r="G460" s="19" t="n"/>
      <c r="H460" s="19" t="n"/>
      <c r="I460" s="19" t="n"/>
      <c r="J460" s="19" t="n"/>
    </row>
    <row r="461" ht="15.75" customHeight="1" s="545">
      <c r="A461" s="19" t="n"/>
      <c r="B461" s="19" t="n"/>
      <c r="C461" s="19" t="n"/>
      <c r="D461" s="19" t="n"/>
      <c r="E461" s="19" t="n"/>
      <c r="F461" s="19" t="n"/>
      <c r="G461" s="19" t="n"/>
      <c r="H461" s="19" t="n"/>
      <c r="I461" s="19" t="n"/>
      <c r="J461" s="19" t="n"/>
    </row>
    <row r="462" ht="15.75" customHeight="1" s="545">
      <c r="A462" s="19" t="n"/>
      <c r="B462" s="19" t="n"/>
      <c r="C462" s="19" t="n"/>
      <c r="D462" s="19" t="n"/>
      <c r="E462" s="19" t="n"/>
      <c r="F462" s="19" t="n"/>
      <c r="G462" s="19" t="n"/>
      <c r="H462" s="19" t="n"/>
      <c r="I462" s="19" t="n"/>
      <c r="J462" s="19" t="n"/>
    </row>
    <row r="463" ht="15.75" customHeight="1" s="545">
      <c r="A463" s="19" t="n"/>
      <c r="B463" s="19" t="n"/>
      <c r="C463" s="19" t="n"/>
      <c r="D463" s="19" t="n"/>
      <c r="E463" s="19" t="n"/>
      <c r="F463" s="19" t="n"/>
      <c r="G463" s="19" t="n"/>
      <c r="H463" s="19" t="n"/>
      <c r="I463" s="19" t="n"/>
      <c r="J463" s="19" t="n"/>
    </row>
    <row r="464" ht="15.75" customHeight="1" s="545">
      <c r="A464" s="19" t="n"/>
      <c r="B464" s="19" t="n"/>
      <c r="C464" s="19" t="n"/>
      <c r="D464" s="19" t="n"/>
      <c r="E464" s="19" t="n"/>
      <c r="F464" s="19" t="n"/>
      <c r="G464" s="19" t="n"/>
      <c r="H464" s="19" t="n"/>
      <c r="I464" s="19" t="n"/>
      <c r="J464" s="19" t="n"/>
    </row>
    <row r="465" ht="15.75" customHeight="1" s="545">
      <c r="A465" s="19" t="n"/>
      <c r="B465" s="19" t="n"/>
      <c r="C465" s="19" t="n"/>
      <c r="D465" s="19" t="n"/>
      <c r="E465" s="19" t="n"/>
      <c r="F465" s="19" t="n"/>
      <c r="G465" s="19" t="n"/>
      <c r="H465" s="19" t="n"/>
      <c r="I465" s="19" t="n"/>
      <c r="J465" s="19" t="n"/>
    </row>
    <row r="466" ht="15.75" customHeight="1" s="545">
      <c r="A466" s="19" t="n"/>
      <c r="B466" s="19" t="n"/>
      <c r="C466" s="19" t="n"/>
      <c r="D466" s="19" t="n"/>
      <c r="E466" s="19" t="n"/>
      <c r="F466" s="19" t="n"/>
      <c r="G466" s="19" t="n"/>
      <c r="H466" s="19" t="n"/>
      <c r="I466" s="19" t="n"/>
      <c r="J466" s="19" t="n"/>
    </row>
    <row r="467" ht="15.75" customHeight="1" s="545">
      <c r="A467" s="19" t="n"/>
      <c r="B467" s="19" t="n"/>
      <c r="C467" s="19" t="n"/>
      <c r="D467" s="19" t="n"/>
      <c r="E467" s="19" t="n"/>
      <c r="F467" s="19" t="n"/>
      <c r="G467" s="19" t="n"/>
      <c r="H467" s="19" t="n"/>
      <c r="I467" s="19" t="n"/>
      <c r="J467" s="19" t="n"/>
    </row>
    <row r="468" ht="15.75" customHeight="1" s="545">
      <c r="A468" s="19" t="n"/>
      <c r="B468" s="19" t="n"/>
      <c r="C468" s="19" t="n"/>
      <c r="D468" s="19" t="n"/>
      <c r="E468" s="19" t="n"/>
      <c r="F468" s="19" t="n"/>
      <c r="G468" s="19" t="n"/>
      <c r="H468" s="19" t="n"/>
      <c r="I468" s="19" t="n"/>
      <c r="J468" s="19" t="n"/>
    </row>
    <row r="469" ht="15.75" customHeight="1" s="545">
      <c r="A469" s="19" t="n"/>
      <c r="B469" s="19" t="n"/>
      <c r="C469" s="19" t="n"/>
      <c r="D469" s="19" t="n"/>
      <c r="E469" s="19" t="n"/>
      <c r="F469" s="19" t="n"/>
      <c r="G469" s="19" t="n"/>
      <c r="H469" s="19" t="n"/>
      <c r="I469" s="19" t="n"/>
      <c r="J469" s="19" t="n"/>
    </row>
    <row r="470" ht="15.75" customHeight="1" s="545">
      <c r="A470" s="19" t="n"/>
      <c r="B470" s="19" t="n"/>
      <c r="C470" s="19" t="n"/>
      <c r="D470" s="19" t="n"/>
      <c r="E470" s="19" t="n"/>
      <c r="F470" s="19" t="n"/>
      <c r="G470" s="19" t="n"/>
      <c r="H470" s="19" t="n"/>
      <c r="I470" s="19" t="n"/>
      <c r="J470" s="19" t="n"/>
    </row>
    <row r="471" ht="15.75" customHeight="1" s="545">
      <c r="A471" s="19" t="n"/>
      <c r="B471" s="19" t="n"/>
      <c r="C471" s="19" t="n"/>
      <c r="D471" s="19" t="n"/>
      <c r="E471" s="19" t="n"/>
      <c r="F471" s="19" t="n"/>
      <c r="G471" s="19" t="n"/>
      <c r="H471" s="19" t="n"/>
      <c r="I471" s="19" t="n"/>
      <c r="J471" s="19" t="n"/>
    </row>
    <row r="472" ht="15.75" customHeight="1" s="545">
      <c r="A472" s="19" t="n"/>
      <c r="B472" s="19" t="n"/>
      <c r="C472" s="19" t="n"/>
      <c r="D472" s="19" t="n"/>
      <c r="E472" s="19" t="n"/>
      <c r="F472" s="19" t="n"/>
      <c r="G472" s="19" t="n"/>
      <c r="H472" s="19" t="n"/>
      <c r="I472" s="19" t="n"/>
      <c r="J472" s="19" t="n"/>
    </row>
    <row r="473" ht="15.75" customHeight="1" s="545">
      <c r="A473" s="19" t="n"/>
      <c r="B473" s="19" t="n"/>
      <c r="C473" s="19" t="n"/>
      <c r="D473" s="19" t="n"/>
      <c r="E473" s="19" t="n"/>
      <c r="F473" s="19" t="n"/>
      <c r="G473" s="19" t="n"/>
      <c r="H473" s="19" t="n"/>
      <c r="I473" s="19" t="n"/>
      <c r="J473" s="19" t="n"/>
    </row>
    <row r="474" ht="15.75" customHeight="1" s="545">
      <c r="A474" s="19" t="n"/>
      <c r="B474" s="19" t="n"/>
      <c r="C474" s="19" t="n"/>
      <c r="D474" s="19" t="n"/>
      <c r="E474" s="19" t="n"/>
      <c r="F474" s="19" t="n"/>
      <c r="G474" s="19" t="n"/>
      <c r="H474" s="19" t="n"/>
      <c r="I474" s="19" t="n"/>
      <c r="J474" s="19" t="n"/>
    </row>
    <row r="475" ht="15.75" customHeight="1" s="545">
      <c r="A475" s="19" t="n"/>
      <c r="B475" s="19" t="n"/>
      <c r="C475" s="19" t="n"/>
      <c r="D475" s="19" t="n"/>
      <c r="E475" s="19" t="n"/>
      <c r="F475" s="19" t="n"/>
      <c r="G475" s="19" t="n"/>
      <c r="H475" s="19" t="n"/>
      <c r="I475" s="19" t="n"/>
      <c r="J475" s="19" t="n"/>
    </row>
    <row r="476" ht="15.75" customHeight="1" s="545">
      <c r="A476" s="19" t="n"/>
      <c r="B476" s="19" t="n"/>
      <c r="C476" s="19" t="n"/>
      <c r="D476" s="19" t="n"/>
      <c r="E476" s="19" t="n"/>
      <c r="F476" s="19" t="n"/>
      <c r="G476" s="19" t="n"/>
      <c r="H476" s="19" t="n"/>
      <c r="I476" s="19" t="n"/>
      <c r="J476" s="19" t="n"/>
    </row>
    <row r="477" ht="15.75" customHeight="1" s="545">
      <c r="A477" s="19" t="n"/>
      <c r="B477" s="19" t="n"/>
      <c r="C477" s="19" t="n"/>
      <c r="D477" s="19" t="n"/>
      <c r="E477" s="19" t="n"/>
      <c r="F477" s="19" t="n"/>
      <c r="G477" s="19" t="n"/>
      <c r="H477" s="19" t="n"/>
      <c r="I477" s="19" t="n"/>
      <c r="J477" s="19" t="n"/>
    </row>
    <row r="478" ht="15.75" customHeight="1" s="545">
      <c r="A478" s="19" t="n"/>
      <c r="B478" s="19" t="n"/>
      <c r="C478" s="19" t="n"/>
      <c r="D478" s="19" t="n"/>
      <c r="E478" s="19" t="n"/>
      <c r="F478" s="19" t="n"/>
      <c r="G478" s="19" t="n"/>
      <c r="H478" s="19" t="n"/>
      <c r="I478" s="19" t="n"/>
      <c r="J478" s="19" t="n"/>
    </row>
    <row r="479" ht="15.75" customHeight="1" s="545">
      <c r="A479" s="19" t="n"/>
      <c r="B479" s="19" t="n"/>
      <c r="C479" s="19" t="n"/>
      <c r="D479" s="19" t="n"/>
      <c r="E479" s="19" t="n"/>
      <c r="F479" s="19" t="n"/>
      <c r="G479" s="19" t="n"/>
      <c r="H479" s="19" t="n"/>
      <c r="I479" s="19" t="n"/>
      <c r="J479" s="19" t="n"/>
    </row>
    <row r="480" ht="15.75" customHeight="1" s="545">
      <c r="A480" s="19" t="n"/>
      <c r="B480" s="19" t="n"/>
      <c r="C480" s="19" t="n"/>
      <c r="D480" s="19" t="n"/>
      <c r="E480" s="19" t="n"/>
      <c r="F480" s="19" t="n"/>
      <c r="G480" s="19" t="n"/>
      <c r="H480" s="19" t="n"/>
      <c r="I480" s="19" t="n"/>
      <c r="J480" s="19" t="n"/>
    </row>
    <row r="481" ht="15.75" customHeight="1" s="545">
      <c r="A481" s="19" t="n"/>
      <c r="B481" s="19" t="n"/>
      <c r="C481" s="19" t="n"/>
      <c r="D481" s="19" t="n"/>
      <c r="E481" s="19" t="n"/>
      <c r="F481" s="19" t="n"/>
      <c r="G481" s="19" t="n"/>
      <c r="H481" s="19" t="n"/>
      <c r="I481" s="19" t="n"/>
      <c r="J481" s="19" t="n"/>
    </row>
    <row r="482" ht="15.75" customHeight="1" s="545">
      <c r="A482" s="19" t="n"/>
      <c r="B482" s="19" t="n"/>
      <c r="C482" s="19" t="n"/>
      <c r="D482" s="19" t="n"/>
      <c r="E482" s="19" t="n"/>
      <c r="F482" s="19" t="n"/>
      <c r="G482" s="19" t="n"/>
      <c r="H482" s="19" t="n"/>
      <c r="I482" s="19" t="n"/>
      <c r="J482" s="19" t="n"/>
    </row>
    <row r="483" ht="15.75" customHeight="1" s="545">
      <c r="A483" s="19" t="n"/>
      <c r="B483" s="19" t="n"/>
      <c r="C483" s="19" t="n"/>
      <c r="D483" s="19" t="n"/>
      <c r="E483" s="19" t="n"/>
      <c r="F483" s="19" t="n"/>
      <c r="G483" s="19" t="n"/>
      <c r="H483" s="19" t="n"/>
      <c r="I483" s="19" t="n"/>
      <c r="J483" s="19" t="n"/>
    </row>
    <row r="484" ht="15.75" customHeight="1" s="545">
      <c r="A484" s="19" t="n"/>
      <c r="B484" s="19" t="n"/>
      <c r="C484" s="19" t="n"/>
      <c r="D484" s="19" t="n"/>
      <c r="E484" s="19" t="n"/>
      <c r="F484" s="19" t="n"/>
      <c r="G484" s="19" t="n"/>
      <c r="H484" s="19" t="n"/>
      <c r="I484" s="19" t="n"/>
      <c r="J484" s="19" t="n"/>
    </row>
    <row r="485" ht="15.75" customHeight="1" s="545">
      <c r="A485" s="19" t="n"/>
      <c r="B485" s="19" t="n"/>
      <c r="C485" s="19" t="n"/>
      <c r="D485" s="19" t="n"/>
      <c r="E485" s="19" t="n"/>
      <c r="F485" s="19" t="n"/>
      <c r="G485" s="19" t="n"/>
      <c r="H485" s="19" t="n"/>
      <c r="I485" s="19" t="n"/>
      <c r="J485" s="19" t="n"/>
    </row>
    <row r="486" ht="15.75" customHeight="1" s="545">
      <c r="A486" s="19" t="n"/>
      <c r="B486" s="19" t="n"/>
      <c r="C486" s="19" t="n"/>
      <c r="D486" s="19" t="n"/>
      <c r="E486" s="19" t="n"/>
      <c r="F486" s="19" t="n"/>
      <c r="G486" s="19" t="n"/>
      <c r="H486" s="19" t="n"/>
      <c r="I486" s="19" t="n"/>
      <c r="J486" s="19" t="n"/>
    </row>
    <row r="487" ht="15.75" customHeight="1" s="545">
      <c r="A487" s="19" t="n"/>
      <c r="B487" s="19" t="n"/>
      <c r="C487" s="19" t="n"/>
      <c r="D487" s="19" t="n"/>
      <c r="E487" s="19" t="n"/>
      <c r="F487" s="19" t="n"/>
      <c r="G487" s="19" t="n"/>
      <c r="H487" s="19" t="n"/>
      <c r="I487" s="19" t="n"/>
      <c r="J487" s="19" t="n"/>
    </row>
    <row r="488" ht="15.75" customHeight="1" s="545">
      <c r="A488" s="19" t="n"/>
      <c r="B488" s="19" t="n"/>
      <c r="C488" s="19" t="n"/>
      <c r="D488" s="19" t="n"/>
      <c r="E488" s="19" t="n"/>
      <c r="F488" s="19" t="n"/>
      <c r="G488" s="19" t="n"/>
      <c r="H488" s="19" t="n"/>
      <c r="I488" s="19" t="n"/>
      <c r="J488" s="19" t="n"/>
    </row>
    <row r="489" ht="15.75" customHeight="1" s="545">
      <c r="A489" s="19" t="n"/>
      <c r="B489" s="19" t="n"/>
      <c r="C489" s="19" t="n"/>
      <c r="D489" s="19" t="n"/>
      <c r="E489" s="19" t="n"/>
      <c r="F489" s="19" t="n"/>
      <c r="G489" s="19" t="n"/>
      <c r="H489" s="19" t="n"/>
      <c r="I489" s="19" t="n"/>
      <c r="J489" s="19" t="n"/>
    </row>
    <row r="490" ht="15.75" customHeight="1" s="545">
      <c r="A490" s="19" t="n"/>
      <c r="B490" s="19" t="n"/>
      <c r="C490" s="19" t="n"/>
      <c r="D490" s="19" t="n"/>
      <c r="E490" s="19" t="n"/>
      <c r="F490" s="19" t="n"/>
      <c r="G490" s="19" t="n"/>
      <c r="H490" s="19" t="n"/>
      <c r="I490" s="19" t="n"/>
      <c r="J490" s="19" t="n"/>
    </row>
    <row r="491" ht="15.75" customHeight="1" s="545">
      <c r="A491" s="19" t="n"/>
      <c r="B491" s="19" t="n"/>
      <c r="C491" s="19" t="n"/>
      <c r="D491" s="19" t="n"/>
      <c r="E491" s="19" t="n"/>
      <c r="F491" s="19" t="n"/>
      <c r="G491" s="19" t="n"/>
      <c r="H491" s="19" t="n"/>
      <c r="I491" s="19" t="n"/>
      <c r="J491" s="19" t="n"/>
    </row>
    <row r="492" ht="15.75" customHeight="1" s="545">
      <c r="A492" s="19" t="n"/>
      <c r="B492" s="19" t="n"/>
      <c r="C492" s="19" t="n"/>
      <c r="D492" s="19" t="n"/>
      <c r="E492" s="19" t="n"/>
      <c r="F492" s="19" t="n"/>
      <c r="G492" s="19" t="n"/>
      <c r="H492" s="19" t="n"/>
      <c r="I492" s="19" t="n"/>
      <c r="J492" s="19" t="n"/>
    </row>
    <row r="493" ht="15.75" customHeight="1" s="545">
      <c r="A493" s="19" t="n"/>
      <c r="B493" s="19" t="n"/>
      <c r="C493" s="19" t="n"/>
      <c r="D493" s="19" t="n"/>
      <c r="E493" s="19" t="n"/>
      <c r="F493" s="19" t="n"/>
      <c r="G493" s="19" t="n"/>
      <c r="H493" s="19" t="n"/>
      <c r="I493" s="19" t="n"/>
      <c r="J493" s="19" t="n"/>
    </row>
    <row r="494" ht="15.75" customHeight="1" s="545">
      <c r="A494" s="19" t="n"/>
      <c r="B494" s="19" t="n"/>
      <c r="C494" s="19" t="n"/>
      <c r="D494" s="19" t="n"/>
      <c r="E494" s="19" t="n"/>
      <c r="F494" s="19" t="n"/>
      <c r="G494" s="19" t="n"/>
      <c r="H494" s="19" t="n"/>
      <c r="I494" s="19" t="n"/>
      <c r="J494" s="19" t="n"/>
    </row>
    <row r="495" ht="15.75" customHeight="1" s="545">
      <c r="A495" s="19" t="n"/>
      <c r="B495" s="19" t="n"/>
      <c r="C495" s="19" t="n"/>
      <c r="D495" s="19" t="n"/>
      <c r="E495" s="19" t="n"/>
      <c r="F495" s="19" t="n"/>
      <c r="G495" s="19" t="n"/>
      <c r="H495" s="19" t="n"/>
      <c r="I495" s="19" t="n"/>
      <c r="J495" s="19" t="n"/>
    </row>
    <row r="496" ht="15.75" customHeight="1" s="545">
      <c r="A496" s="19" t="n"/>
      <c r="B496" s="19" t="n"/>
      <c r="C496" s="19" t="n"/>
      <c r="D496" s="19" t="n"/>
      <c r="E496" s="19" t="n"/>
      <c r="F496" s="19" t="n"/>
      <c r="G496" s="19" t="n"/>
      <c r="H496" s="19" t="n"/>
      <c r="I496" s="19" t="n"/>
      <c r="J496" s="19" t="n"/>
    </row>
    <row r="497" ht="15.75" customHeight="1" s="545">
      <c r="A497" s="19" t="n"/>
      <c r="B497" s="19" t="n"/>
      <c r="C497" s="19" t="n"/>
      <c r="D497" s="19" t="n"/>
      <c r="E497" s="19" t="n"/>
      <c r="F497" s="19" t="n"/>
      <c r="G497" s="19" t="n"/>
      <c r="H497" s="19" t="n"/>
      <c r="I497" s="19" t="n"/>
      <c r="J497" s="19" t="n"/>
    </row>
    <row r="498" ht="15.75" customHeight="1" s="545">
      <c r="A498" s="19" t="n"/>
      <c r="B498" s="19" t="n"/>
      <c r="C498" s="19" t="n"/>
      <c r="D498" s="19" t="n"/>
      <c r="E498" s="19" t="n"/>
      <c r="F498" s="19" t="n"/>
      <c r="G498" s="19" t="n"/>
      <c r="H498" s="19" t="n"/>
      <c r="I498" s="19" t="n"/>
      <c r="J498" s="19" t="n"/>
    </row>
    <row r="499" ht="15.75" customHeight="1" s="545">
      <c r="A499" s="19" t="n"/>
      <c r="B499" s="19" t="n"/>
      <c r="C499" s="19" t="n"/>
      <c r="D499" s="19" t="n"/>
      <c r="E499" s="19" t="n"/>
      <c r="F499" s="19" t="n"/>
      <c r="G499" s="19" t="n"/>
      <c r="H499" s="19" t="n"/>
      <c r="I499" s="19" t="n"/>
      <c r="J499" s="19" t="n"/>
    </row>
    <row r="500" ht="15.75" customHeight="1" s="545">
      <c r="A500" s="19" t="n"/>
      <c r="B500" s="19" t="n"/>
      <c r="C500" s="19" t="n"/>
      <c r="D500" s="19" t="n"/>
      <c r="E500" s="19" t="n"/>
      <c r="F500" s="19" t="n"/>
      <c r="G500" s="19" t="n"/>
      <c r="H500" s="19" t="n"/>
      <c r="I500" s="19" t="n"/>
      <c r="J500" s="19" t="n"/>
    </row>
    <row r="501" ht="15.75" customHeight="1" s="545">
      <c r="A501" s="19" t="n"/>
      <c r="B501" s="19" t="n"/>
      <c r="C501" s="19" t="n"/>
      <c r="D501" s="19" t="n"/>
      <c r="E501" s="19" t="n"/>
      <c r="F501" s="19" t="n"/>
      <c r="G501" s="19" t="n"/>
      <c r="H501" s="19" t="n"/>
      <c r="I501" s="19" t="n"/>
      <c r="J501" s="19" t="n"/>
    </row>
    <row r="502" ht="15.75" customHeight="1" s="545">
      <c r="A502" s="19" t="n"/>
      <c r="B502" s="19" t="n"/>
      <c r="C502" s="19" t="n"/>
      <c r="D502" s="19" t="n"/>
      <c r="E502" s="19" t="n"/>
      <c r="F502" s="19" t="n"/>
      <c r="G502" s="19" t="n"/>
      <c r="H502" s="19" t="n"/>
      <c r="I502" s="19" t="n"/>
      <c r="J502" s="19" t="n"/>
    </row>
    <row r="503" ht="15.75" customHeight="1" s="545">
      <c r="A503" s="19" t="n"/>
      <c r="B503" s="19" t="n"/>
      <c r="C503" s="19" t="n"/>
      <c r="D503" s="19" t="n"/>
      <c r="E503" s="19" t="n"/>
      <c r="F503" s="19" t="n"/>
      <c r="G503" s="19" t="n"/>
      <c r="H503" s="19" t="n"/>
      <c r="I503" s="19" t="n"/>
      <c r="J503" s="19" t="n"/>
    </row>
    <row r="504" ht="15.75" customHeight="1" s="545">
      <c r="A504" s="19" t="n"/>
      <c r="B504" s="19" t="n"/>
      <c r="C504" s="19" t="n"/>
      <c r="D504" s="19" t="n"/>
      <c r="E504" s="19" t="n"/>
      <c r="F504" s="19" t="n"/>
      <c r="G504" s="19" t="n"/>
      <c r="H504" s="19" t="n"/>
      <c r="I504" s="19" t="n"/>
      <c r="J504" s="19" t="n"/>
    </row>
    <row r="505" ht="15.75" customHeight="1" s="545">
      <c r="A505" s="19" t="n"/>
      <c r="B505" s="19" t="n"/>
      <c r="C505" s="19" t="n"/>
      <c r="D505" s="19" t="n"/>
      <c r="E505" s="19" t="n"/>
      <c r="F505" s="19" t="n"/>
      <c r="G505" s="19" t="n"/>
      <c r="H505" s="19" t="n"/>
      <c r="I505" s="19" t="n"/>
      <c r="J505" s="19" t="n"/>
    </row>
    <row r="506" ht="15.75" customHeight="1" s="545">
      <c r="A506" s="19" t="n"/>
      <c r="B506" s="19" t="n"/>
      <c r="C506" s="19" t="n"/>
      <c r="D506" s="19" t="n"/>
      <c r="E506" s="19" t="n"/>
      <c r="F506" s="19" t="n"/>
      <c r="G506" s="19" t="n"/>
      <c r="H506" s="19" t="n"/>
      <c r="I506" s="19" t="n"/>
      <c r="J506" s="19" t="n"/>
    </row>
    <row r="507" ht="15.75" customHeight="1" s="545">
      <c r="A507" s="19" t="n"/>
      <c r="B507" s="19" t="n"/>
      <c r="C507" s="19" t="n"/>
      <c r="D507" s="19" t="n"/>
      <c r="E507" s="19" t="n"/>
      <c r="F507" s="19" t="n"/>
      <c r="G507" s="19" t="n"/>
      <c r="H507" s="19" t="n"/>
      <c r="I507" s="19" t="n"/>
      <c r="J507" s="19" t="n"/>
    </row>
    <row r="508" ht="15.75" customHeight="1" s="545">
      <c r="A508" s="19" t="n"/>
      <c r="B508" s="19" t="n"/>
      <c r="C508" s="19" t="n"/>
      <c r="D508" s="19" t="n"/>
      <c r="E508" s="19" t="n"/>
      <c r="F508" s="19" t="n"/>
      <c r="G508" s="19" t="n"/>
      <c r="H508" s="19" t="n"/>
      <c r="I508" s="19" t="n"/>
      <c r="J508" s="19" t="n"/>
    </row>
    <row r="509" ht="15.75" customHeight="1" s="545">
      <c r="A509" s="19" t="n"/>
      <c r="B509" s="19" t="n"/>
      <c r="C509" s="19" t="n"/>
      <c r="D509" s="19" t="n"/>
      <c r="E509" s="19" t="n"/>
      <c r="F509" s="19" t="n"/>
      <c r="G509" s="19" t="n"/>
      <c r="H509" s="19" t="n"/>
      <c r="I509" s="19" t="n"/>
      <c r="J509" s="19" t="n"/>
    </row>
    <row r="510" ht="15.75" customHeight="1" s="545">
      <c r="A510" s="19" t="n"/>
      <c r="B510" s="19" t="n"/>
      <c r="C510" s="19" t="n"/>
      <c r="D510" s="19" t="n"/>
      <c r="E510" s="19" t="n"/>
      <c r="F510" s="19" t="n"/>
      <c r="G510" s="19" t="n"/>
      <c r="H510" s="19" t="n"/>
      <c r="I510" s="19" t="n"/>
      <c r="J510" s="19" t="n"/>
    </row>
    <row r="511" ht="15.75" customHeight="1" s="545">
      <c r="A511" s="19" t="n"/>
      <c r="B511" s="19" t="n"/>
      <c r="C511" s="19" t="n"/>
      <c r="D511" s="19" t="n"/>
      <c r="E511" s="19" t="n"/>
      <c r="F511" s="19" t="n"/>
      <c r="G511" s="19" t="n"/>
      <c r="H511" s="19" t="n"/>
      <c r="I511" s="19" t="n"/>
      <c r="J511" s="19" t="n"/>
    </row>
    <row r="512" ht="15.75" customHeight="1" s="545">
      <c r="A512" s="19" t="n"/>
      <c r="B512" s="19" t="n"/>
      <c r="C512" s="19" t="n"/>
      <c r="D512" s="19" t="n"/>
      <c r="E512" s="19" t="n"/>
      <c r="F512" s="19" t="n"/>
      <c r="G512" s="19" t="n"/>
      <c r="H512" s="19" t="n"/>
      <c r="I512" s="19" t="n"/>
      <c r="J512" s="19" t="n"/>
    </row>
    <row r="513" ht="15.75" customHeight="1" s="545">
      <c r="A513" s="19" t="n"/>
      <c r="B513" s="19" t="n"/>
      <c r="C513" s="19" t="n"/>
      <c r="D513" s="19" t="n"/>
      <c r="E513" s="19" t="n"/>
      <c r="F513" s="19" t="n"/>
      <c r="G513" s="19" t="n"/>
      <c r="H513" s="19" t="n"/>
      <c r="I513" s="19" t="n"/>
      <c r="J513" s="19" t="n"/>
    </row>
    <row r="514" ht="15.75" customHeight="1" s="545">
      <c r="A514" s="19" t="n"/>
      <c r="B514" s="19" t="n"/>
      <c r="C514" s="19" t="n"/>
      <c r="D514" s="19" t="n"/>
      <c r="E514" s="19" t="n"/>
      <c r="F514" s="19" t="n"/>
      <c r="G514" s="19" t="n"/>
      <c r="H514" s="19" t="n"/>
      <c r="I514" s="19" t="n"/>
      <c r="J514" s="19" t="n"/>
    </row>
    <row r="515" ht="15.75" customHeight="1" s="545">
      <c r="A515" s="19" t="n"/>
      <c r="B515" s="19" t="n"/>
      <c r="C515" s="19" t="n"/>
      <c r="D515" s="19" t="n"/>
      <c r="E515" s="19" t="n"/>
      <c r="F515" s="19" t="n"/>
      <c r="G515" s="19" t="n"/>
      <c r="H515" s="19" t="n"/>
      <c r="I515" s="19" t="n"/>
      <c r="J515" s="19" t="n"/>
    </row>
    <row r="516" ht="15.75" customHeight="1" s="545">
      <c r="A516" s="19" t="n"/>
      <c r="B516" s="19" t="n"/>
      <c r="C516" s="19" t="n"/>
      <c r="D516" s="19" t="n"/>
      <c r="E516" s="19" t="n"/>
      <c r="F516" s="19" t="n"/>
      <c r="G516" s="19" t="n"/>
      <c r="H516" s="19" t="n"/>
      <c r="I516" s="19" t="n"/>
      <c r="J516" s="19" t="n"/>
    </row>
    <row r="517" ht="15.75" customHeight="1" s="545">
      <c r="A517" s="19" t="n"/>
      <c r="B517" s="19" t="n"/>
      <c r="C517" s="19" t="n"/>
      <c r="D517" s="19" t="n"/>
      <c r="E517" s="19" t="n"/>
      <c r="F517" s="19" t="n"/>
      <c r="G517" s="19" t="n"/>
      <c r="H517" s="19" t="n"/>
      <c r="I517" s="19" t="n"/>
      <c r="J517" s="19" t="n"/>
    </row>
    <row r="518" ht="15.75" customHeight="1" s="545">
      <c r="A518" s="19" t="n"/>
      <c r="B518" s="19" t="n"/>
      <c r="C518" s="19" t="n"/>
      <c r="D518" s="19" t="n"/>
      <c r="E518" s="19" t="n"/>
      <c r="F518" s="19" t="n"/>
      <c r="G518" s="19" t="n"/>
      <c r="H518" s="19" t="n"/>
      <c r="I518" s="19" t="n"/>
      <c r="J518" s="19" t="n"/>
    </row>
    <row r="519" ht="15.75" customHeight="1" s="545">
      <c r="A519" s="19" t="n"/>
      <c r="B519" s="19" t="n"/>
      <c r="C519" s="19" t="n"/>
      <c r="D519" s="19" t="n"/>
      <c r="E519" s="19" t="n"/>
      <c r="F519" s="19" t="n"/>
      <c r="G519" s="19" t="n"/>
      <c r="H519" s="19" t="n"/>
      <c r="I519" s="19" t="n"/>
      <c r="J519" s="19" t="n"/>
    </row>
    <row r="520" ht="15.75" customHeight="1" s="545">
      <c r="A520" s="19" t="n"/>
      <c r="B520" s="19" t="n"/>
      <c r="C520" s="19" t="n"/>
      <c r="D520" s="19" t="n"/>
      <c r="E520" s="19" t="n"/>
      <c r="F520" s="19" t="n"/>
      <c r="G520" s="19" t="n"/>
      <c r="H520" s="19" t="n"/>
      <c r="I520" s="19" t="n"/>
      <c r="J520" s="19" t="n"/>
    </row>
    <row r="521" ht="15.75" customHeight="1" s="545">
      <c r="A521" s="19" t="n"/>
      <c r="B521" s="19" t="n"/>
      <c r="C521" s="19" t="n"/>
      <c r="D521" s="19" t="n"/>
      <c r="E521" s="19" t="n"/>
      <c r="F521" s="19" t="n"/>
      <c r="G521" s="19" t="n"/>
      <c r="H521" s="19" t="n"/>
      <c r="I521" s="19" t="n"/>
      <c r="J521" s="19" t="n"/>
    </row>
    <row r="522" ht="15.75" customHeight="1" s="545">
      <c r="A522" s="19" t="n"/>
      <c r="B522" s="19" t="n"/>
      <c r="C522" s="19" t="n"/>
      <c r="D522" s="19" t="n"/>
      <c r="E522" s="19" t="n"/>
      <c r="F522" s="19" t="n"/>
      <c r="G522" s="19" t="n"/>
      <c r="H522" s="19" t="n"/>
      <c r="I522" s="19" t="n"/>
      <c r="J522" s="19" t="n"/>
    </row>
    <row r="523" ht="15.75" customHeight="1" s="545">
      <c r="A523" s="19" t="n"/>
      <c r="B523" s="19" t="n"/>
      <c r="C523" s="19" t="n"/>
      <c r="D523" s="19" t="n"/>
      <c r="E523" s="19" t="n"/>
      <c r="F523" s="19" t="n"/>
      <c r="G523" s="19" t="n"/>
      <c r="H523" s="19" t="n"/>
      <c r="I523" s="19" t="n"/>
      <c r="J523" s="19" t="n"/>
    </row>
    <row r="524" ht="15.75" customHeight="1" s="545">
      <c r="A524" s="19" t="n"/>
      <c r="B524" s="19" t="n"/>
      <c r="C524" s="19" t="n"/>
      <c r="D524" s="19" t="n"/>
      <c r="E524" s="19" t="n"/>
      <c r="F524" s="19" t="n"/>
      <c r="G524" s="19" t="n"/>
      <c r="H524" s="19" t="n"/>
      <c r="I524" s="19" t="n"/>
      <c r="J524" s="19" t="n"/>
    </row>
    <row r="525" ht="15.75" customHeight="1" s="545">
      <c r="A525" s="19" t="n"/>
      <c r="B525" s="19" t="n"/>
      <c r="C525" s="19" t="n"/>
      <c r="D525" s="19" t="n"/>
      <c r="E525" s="19" t="n"/>
      <c r="F525" s="19" t="n"/>
      <c r="G525" s="19" t="n"/>
      <c r="H525" s="19" t="n"/>
      <c r="I525" s="19" t="n"/>
      <c r="J525" s="19" t="n"/>
    </row>
    <row r="526" ht="15.75" customHeight="1" s="545">
      <c r="A526" s="19" t="n"/>
      <c r="B526" s="19" t="n"/>
      <c r="C526" s="19" t="n"/>
      <c r="D526" s="19" t="n"/>
      <c r="E526" s="19" t="n"/>
      <c r="F526" s="19" t="n"/>
      <c r="G526" s="19" t="n"/>
      <c r="H526" s="19" t="n"/>
      <c r="I526" s="19" t="n"/>
      <c r="J526" s="19" t="n"/>
    </row>
    <row r="527" ht="15.75" customHeight="1" s="545">
      <c r="A527" s="19" t="n"/>
      <c r="B527" s="19" t="n"/>
      <c r="C527" s="19" t="n"/>
      <c r="D527" s="19" t="n"/>
      <c r="E527" s="19" t="n"/>
      <c r="F527" s="19" t="n"/>
      <c r="G527" s="19" t="n"/>
      <c r="H527" s="19" t="n"/>
      <c r="I527" s="19" t="n"/>
      <c r="J527" s="19" t="n"/>
    </row>
    <row r="528" ht="15.75" customHeight="1" s="545">
      <c r="A528" s="19" t="n"/>
      <c r="B528" s="19" t="n"/>
      <c r="C528" s="19" t="n"/>
      <c r="D528" s="19" t="n"/>
      <c r="E528" s="19" t="n"/>
      <c r="F528" s="19" t="n"/>
      <c r="G528" s="19" t="n"/>
      <c r="H528" s="19" t="n"/>
      <c r="I528" s="19" t="n"/>
      <c r="J528" s="19" t="n"/>
    </row>
    <row r="529" ht="15.75" customHeight="1" s="545">
      <c r="A529" s="19" t="n"/>
      <c r="B529" s="19" t="n"/>
      <c r="C529" s="19" t="n"/>
      <c r="D529" s="19" t="n"/>
      <c r="E529" s="19" t="n"/>
      <c r="F529" s="19" t="n"/>
      <c r="G529" s="19" t="n"/>
      <c r="H529" s="19" t="n"/>
      <c r="I529" s="19" t="n"/>
      <c r="J529" s="19" t="n"/>
    </row>
    <row r="530" ht="15.75" customHeight="1" s="545">
      <c r="A530" s="19" t="n"/>
      <c r="B530" s="19" t="n"/>
      <c r="C530" s="19" t="n"/>
      <c r="D530" s="19" t="n"/>
      <c r="E530" s="19" t="n"/>
      <c r="F530" s="19" t="n"/>
      <c r="G530" s="19" t="n"/>
      <c r="H530" s="19" t="n"/>
      <c r="I530" s="19" t="n"/>
      <c r="J530" s="19" t="n"/>
    </row>
    <row r="531" ht="15.75" customHeight="1" s="545">
      <c r="A531" s="19" t="n"/>
      <c r="B531" s="19" t="n"/>
      <c r="C531" s="19" t="n"/>
      <c r="D531" s="19" t="n"/>
      <c r="E531" s="19" t="n"/>
      <c r="F531" s="19" t="n"/>
      <c r="G531" s="19" t="n"/>
      <c r="H531" s="19" t="n"/>
      <c r="I531" s="19" t="n"/>
      <c r="J531" s="19" t="n"/>
    </row>
    <row r="532" ht="15.75" customHeight="1" s="545">
      <c r="A532" s="19" t="n"/>
      <c r="B532" s="19" t="n"/>
      <c r="C532" s="19" t="n"/>
      <c r="D532" s="19" t="n"/>
      <c r="E532" s="19" t="n"/>
      <c r="F532" s="19" t="n"/>
      <c r="G532" s="19" t="n"/>
      <c r="H532" s="19" t="n"/>
      <c r="I532" s="19" t="n"/>
      <c r="J532" s="19" t="n"/>
    </row>
    <row r="533" ht="15.75" customHeight="1" s="545">
      <c r="A533" s="19" t="n"/>
      <c r="B533" s="19" t="n"/>
      <c r="C533" s="19" t="n"/>
      <c r="D533" s="19" t="n"/>
      <c r="E533" s="19" t="n"/>
      <c r="F533" s="19" t="n"/>
      <c r="G533" s="19" t="n"/>
      <c r="H533" s="19" t="n"/>
      <c r="I533" s="19" t="n"/>
      <c r="J533" s="19" t="n"/>
    </row>
    <row r="534" ht="15.75" customHeight="1" s="545">
      <c r="A534" s="19" t="n"/>
      <c r="B534" s="19" t="n"/>
      <c r="C534" s="19" t="n"/>
      <c r="D534" s="19" t="n"/>
      <c r="E534" s="19" t="n"/>
      <c r="F534" s="19" t="n"/>
      <c r="G534" s="19" t="n"/>
      <c r="H534" s="19" t="n"/>
      <c r="I534" s="19" t="n"/>
      <c r="J534" s="19" t="n"/>
    </row>
    <row r="535" ht="15.75" customHeight="1" s="545">
      <c r="A535" s="19" t="n"/>
      <c r="B535" s="19" t="n"/>
      <c r="C535" s="19" t="n"/>
      <c r="D535" s="19" t="n"/>
      <c r="E535" s="19" t="n"/>
      <c r="F535" s="19" t="n"/>
      <c r="G535" s="19" t="n"/>
      <c r="H535" s="19" t="n"/>
      <c r="I535" s="19" t="n"/>
      <c r="J535" s="19" t="n"/>
    </row>
    <row r="536" ht="15.75" customHeight="1" s="545">
      <c r="A536" s="19" t="n"/>
      <c r="B536" s="19" t="n"/>
      <c r="C536" s="19" t="n"/>
      <c r="D536" s="19" t="n"/>
      <c r="E536" s="19" t="n"/>
      <c r="F536" s="19" t="n"/>
      <c r="G536" s="19" t="n"/>
      <c r="H536" s="19" t="n"/>
      <c r="I536" s="19" t="n"/>
      <c r="J536" s="19" t="n"/>
    </row>
    <row r="537" ht="15.75" customHeight="1" s="545">
      <c r="A537" s="19" t="n"/>
      <c r="B537" s="19" t="n"/>
      <c r="C537" s="19" t="n"/>
      <c r="D537" s="19" t="n"/>
      <c r="E537" s="19" t="n"/>
      <c r="F537" s="19" t="n"/>
      <c r="G537" s="19" t="n"/>
      <c r="H537" s="19" t="n"/>
      <c r="I537" s="19" t="n"/>
      <c r="J537" s="19" t="n"/>
    </row>
    <row r="538" ht="15.75" customHeight="1" s="545">
      <c r="A538" s="19" t="n"/>
      <c r="B538" s="19" t="n"/>
      <c r="C538" s="19" t="n"/>
      <c r="D538" s="19" t="n"/>
      <c r="E538" s="19" t="n"/>
      <c r="F538" s="19" t="n"/>
      <c r="G538" s="19" t="n"/>
      <c r="H538" s="19" t="n"/>
      <c r="I538" s="19" t="n"/>
      <c r="J538" s="19" t="n"/>
    </row>
    <row r="539" ht="15.75" customHeight="1" s="545">
      <c r="A539" s="19" t="n"/>
      <c r="B539" s="19" t="n"/>
      <c r="C539" s="19" t="n"/>
      <c r="D539" s="19" t="n"/>
      <c r="E539" s="19" t="n"/>
      <c r="F539" s="19" t="n"/>
      <c r="G539" s="19" t="n"/>
      <c r="H539" s="19" t="n"/>
      <c r="I539" s="19" t="n"/>
      <c r="J539" s="19" t="n"/>
    </row>
    <row r="540" ht="15.75" customHeight="1" s="545">
      <c r="A540" s="19" t="n"/>
      <c r="B540" s="19" t="n"/>
      <c r="C540" s="19" t="n"/>
      <c r="D540" s="19" t="n"/>
      <c r="E540" s="19" t="n"/>
      <c r="F540" s="19" t="n"/>
      <c r="G540" s="19" t="n"/>
      <c r="H540" s="19" t="n"/>
      <c r="I540" s="19" t="n"/>
      <c r="J540" s="19" t="n"/>
    </row>
    <row r="541" ht="15.75" customHeight="1" s="545">
      <c r="A541" s="19" t="n"/>
      <c r="B541" s="19" t="n"/>
      <c r="C541" s="19" t="n"/>
      <c r="D541" s="19" t="n"/>
      <c r="E541" s="19" t="n"/>
      <c r="F541" s="19" t="n"/>
      <c r="G541" s="19" t="n"/>
      <c r="H541" s="19" t="n"/>
      <c r="I541" s="19" t="n"/>
      <c r="J541" s="19" t="n"/>
    </row>
    <row r="542" ht="15.75" customHeight="1" s="545">
      <c r="A542" s="19" t="n"/>
      <c r="B542" s="19" t="n"/>
      <c r="C542" s="19" t="n"/>
      <c r="D542" s="19" t="n"/>
      <c r="E542" s="19" t="n"/>
      <c r="F542" s="19" t="n"/>
      <c r="G542" s="19" t="n"/>
      <c r="H542" s="19" t="n"/>
      <c r="I542" s="19" t="n"/>
      <c r="J542" s="19" t="n"/>
    </row>
    <row r="543" ht="15.75" customHeight="1" s="545">
      <c r="A543" s="19" t="n"/>
      <c r="B543" s="19" t="n"/>
      <c r="C543" s="19" t="n"/>
      <c r="D543" s="19" t="n"/>
      <c r="E543" s="19" t="n"/>
      <c r="F543" s="19" t="n"/>
      <c r="G543" s="19" t="n"/>
      <c r="H543" s="19" t="n"/>
      <c r="I543" s="19" t="n"/>
      <c r="J543" s="19" t="n"/>
    </row>
    <row r="544" ht="15.75" customHeight="1" s="545">
      <c r="A544" s="19" t="n"/>
      <c r="B544" s="19" t="n"/>
      <c r="C544" s="19" t="n"/>
      <c r="D544" s="19" t="n"/>
      <c r="E544" s="19" t="n"/>
      <c r="F544" s="19" t="n"/>
      <c r="G544" s="19" t="n"/>
      <c r="H544" s="19" t="n"/>
      <c r="I544" s="19" t="n"/>
      <c r="J544" s="19" t="n"/>
    </row>
    <row r="545" ht="15.75" customHeight="1" s="545">
      <c r="A545" s="19" t="n"/>
      <c r="B545" s="19" t="n"/>
      <c r="C545" s="19" t="n"/>
      <c r="D545" s="19" t="n"/>
      <c r="E545" s="19" t="n"/>
      <c r="F545" s="19" t="n"/>
      <c r="G545" s="19" t="n"/>
      <c r="H545" s="19" t="n"/>
      <c r="I545" s="19" t="n"/>
      <c r="J545" s="19" t="n"/>
    </row>
    <row r="546" ht="15.75" customHeight="1" s="545">
      <c r="A546" s="19" t="n"/>
      <c r="B546" s="19" t="n"/>
      <c r="C546" s="19" t="n"/>
      <c r="D546" s="19" t="n"/>
      <c r="E546" s="19" t="n"/>
      <c r="F546" s="19" t="n"/>
      <c r="G546" s="19" t="n"/>
      <c r="H546" s="19" t="n"/>
      <c r="I546" s="19" t="n"/>
      <c r="J546" s="19" t="n"/>
    </row>
    <row r="547" ht="15.75" customHeight="1" s="545">
      <c r="A547" s="19" t="n"/>
      <c r="B547" s="19" t="n"/>
      <c r="C547" s="19" t="n"/>
      <c r="D547" s="19" t="n"/>
      <c r="E547" s="19" t="n"/>
      <c r="F547" s="19" t="n"/>
      <c r="G547" s="19" t="n"/>
      <c r="H547" s="19" t="n"/>
      <c r="I547" s="19" t="n"/>
      <c r="J547" s="19" t="n"/>
    </row>
    <row r="548" ht="15.75" customHeight="1" s="545">
      <c r="A548" s="19" t="n"/>
      <c r="B548" s="19" t="n"/>
      <c r="C548" s="19" t="n"/>
      <c r="D548" s="19" t="n"/>
      <c r="E548" s="19" t="n"/>
      <c r="F548" s="19" t="n"/>
      <c r="G548" s="19" t="n"/>
      <c r="H548" s="19" t="n"/>
      <c r="I548" s="19" t="n"/>
      <c r="J548" s="19" t="n"/>
    </row>
    <row r="549" ht="15.75" customHeight="1" s="545">
      <c r="A549" s="19" t="n"/>
      <c r="B549" s="19" t="n"/>
      <c r="C549" s="19" t="n"/>
      <c r="D549" s="19" t="n"/>
      <c r="E549" s="19" t="n"/>
      <c r="F549" s="19" t="n"/>
      <c r="G549" s="19" t="n"/>
      <c r="H549" s="19" t="n"/>
      <c r="I549" s="19" t="n"/>
      <c r="J549" s="19" t="n"/>
    </row>
    <row r="550" ht="15.75" customHeight="1" s="545">
      <c r="A550" s="19" t="n"/>
      <c r="B550" s="19" t="n"/>
      <c r="C550" s="19" t="n"/>
      <c r="D550" s="19" t="n"/>
      <c r="E550" s="19" t="n"/>
      <c r="F550" s="19" t="n"/>
      <c r="G550" s="19" t="n"/>
      <c r="H550" s="19" t="n"/>
      <c r="I550" s="19" t="n"/>
      <c r="J550" s="19" t="n"/>
    </row>
    <row r="551" ht="15.75" customHeight="1" s="545">
      <c r="A551" s="19" t="n"/>
      <c r="B551" s="19" t="n"/>
      <c r="C551" s="19" t="n"/>
      <c r="D551" s="19" t="n"/>
      <c r="E551" s="19" t="n"/>
      <c r="F551" s="19" t="n"/>
      <c r="G551" s="19" t="n"/>
      <c r="H551" s="19" t="n"/>
      <c r="I551" s="19" t="n"/>
      <c r="J551" s="19" t="n"/>
    </row>
    <row r="552" ht="15.75" customHeight="1" s="545">
      <c r="A552" s="19" t="n"/>
      <c r="B552" s="19" t="n"/>
      <c r="C552" s="19" t="n"/>
      <c r="D552" s="19" t="n"/>
      <c r="E552" s="19" t="n"/>
      <c r="F552" s="19" t="n"/>
      <c r="G552" s="19" t="n"/>
      <c r="H552" s="19" t="n"/>
      <c r="I552" s="19" t="n"/>
      <c r="J552" s="19" t="n"/>
    </row>
    <row r="553" ht="15.75" customHeight="1" s="545">
      <c r="A553" s="19" t="n"/>
      <c r="B553" s="19" t="n"/>
      <c r="C553" s="19" t="n"/>
      <c r="D553" s="19" t="n"/>
      <c r="E553" s="19" t="n"/>
      <c r="F553" s="19" t="n"/>
      <c r="G553" s="19" t="n"/>
      <c r="H553" s="19" t="n"/>
      <c r="I553" s="19" t="n"/>
      <c r="J553" s="19" t="n"/>
    </row>
    <row r="554" ht="15.75" customHeight="1" s="545">
      <c r="A554" s="19" t="n"/>
      <c r="B554" s="19" t="n"/>
      <c r="C554" s="19" t="n"/>
      <c r="D554" s="19" t="n"/>
      <c r="E554" s="19" t="n"/>
      <c r="F554" s="19" t="n"/>
      <c r="G554" s="19" t="n"/>
      <c r="H554" s="19" t="n"/>
      <c r="I554" s="19" t="n"/>
      <c r="J554" s="19" t="n"/>
    </row>
    <row r="555" ht="15.75" customHeight="1" s="545">
      <c r="A555" s="19" t="n"/>
      <c r="B555" s="19" t="n"/>
      <c r="C555" s="19" t="n"/>
      <c r="D555" s="19" t="n"/>
      <c r="E555" s="19" t="n"/>
      <c r="F555" s="19" t="n"/>
      <c r="G555" s="19" t="n"/>
      <c r="H555" s="19" t="n"/>
      <c r="I555" s="19" t="n"/>
      <c r="J555" s="19" t="n"/>
    </row>
    <row r="556" ht="15.75" customHeight="1" s="545">
      <c r="A556" s="19" t="n"/>
      <c r="B556" s="19" t="n"/>
      <c r="C556" s="19" t="n"/>
      <c r="D556" s="19" t="n"/>
      <c r="E556" s="19" t="n"/>
      <c r="F556" s="19" t="n"/>
      <c r="G556" s="19" t="n"/>
      <c r="H556" s="19" t="n"/>
      <c r="I556" s="19" t="n"/>
      <c r="J556" s="19" t="n"/>
    </row>
    <row r="557" ht="15.75" customHeight="1" s="545">
      <c r="A557" s="19" t="n"/>
      <c r="B557" s="19" t="n"/>
      <c r="C557" s="19" t="n"/>
      <c r="D557" s="19" t="n"/>
      <c r="E557" s="19" t="n"/>
      <c r="F557" s="19" t="n"/>
      <c r="G557" s="19" t="n"/>
      <c r="H557" s="19" t="n"/>
      <c r="I557" s="19" t="n"/>
      <c r="J557" s="19" t="n"/>
    </row>
    <row r="558" ht="15.75" customHeight="1" s="545">
      <c r="A558" s="19" t="n"/>
      <c r="B558" s="19" t="n"/>
      <c r="C558" s="19" t="n"/>
      <c r="D558" s="19" t="n"/>
      <c r="E558" s="19" t="n"/>
      <c r="F558" s="19" t="n"/>
      <c r="G558" s="19" t="n"/>
      <c r="H558" s="19" t="n"/>
      <c r="I558" s="19" t="n"/>
      <c r="J558" s="19" t="n"/>
    </row>
    <row r="559" ht="15.75" customHeight="1" s="545">
      <c r="A559" s="19" t="n"/>
      <c r="B559" s="19" t="n"/>
      <c r="C559" s="19" t="n"/>
      <c r="D559" s="19" t="n"/>
      <c r="E559" s="19" t="n"/>
      <c r="F559" s="19" t="n"/>
      <c r="G559" s="19" t="n"/>
      <c r="H559" s="19" t="n"/>
      <c r="I559" s="19" t="n"/>
      <c r="J559" s="19" t="n"/>
    </row>
    <row r="560" ht="15.75" customHeight="1" s="545">
      <c r="A560" s="19" t="n"/>
      <c r="B560" s="19" t="n"/>
      <c r="C560" s="19" t="n"/>
      <c r="D560" s="19" t="n"/>
      <c r="E560" s="19" t="n"/>
      <c r="F560" s="19" t="n"/>
      <c r="G560" s="19" t="n"/>
      <c r="H560" s="19" t="n"/>
      <c r="I560" s="19" t="n"/>
      <c r="J560" s="19" t="n"/>
    </row>
    <row r="561" ht="15.75" customHeight="1" s="545">
      <c r="A561" s="19" t="n"/>
      <c r="B561" s="19" t="n"/>
      <c r="C561" s="19" t="n"/>
      <c r="D561" s="19" t="n"/>
      <c r="E561" s="19" t="n"/>
      <c r="F561" s="19" t="n"/>
      <c r="G561" s="19" t="n"/>
      <c r="H561" s="19" t="n"/>
      <c r="I561" s="19" t="n"/>
      <c r="J561" s="19" t="n"/>
    </row>
    <row r="562" ht="15.75" customHeight="1" s="545">
      <c r="A562" s="19" t="n"/>
      <c r="B562" s="19" t="n"/>
      <c r="C562" s="19" t="n"/>
      <c r="D562" s="19" t="n"/>
      <c r="E562" s="19" t="n"/>
      <c r="F562" s="19" t="n"/>
      <c r="G562" s="19" t="n"/>
      <c r="H562" s="19" t="n"/>
      <c r="I562" s="19" t="n"/>
      <c r="J562" s="19" t="n"/>
    </row>
    <row r="563" ht="15.75" customHeight="1" s="545">
      <c r="A563" s="19" t="n"/>
      <c r="B563" s="19" t="n"/>
      <c r="C563" s="19" t="n"/>
      <c r="D563" s="19" t="n"/>
      <c r="E563" s="19" t="n"/>
      <c r="F563" s="19" t="n"/>
      <c r="G563" s="19" t="n"/>
      <c r="H563" s="19" t="n"/>
      <c r="I563" s="19" t="n"/>
      <c r="J563" s="19" t="n"/>
    </row>
    <row r="564" ht="15.75" customHeight="1" s="545">
      <c r="A564" s="19" t="n"/>
      <c r="B564" s="19" t="n"/>
      <c r="C564" s="19" t="n"/>
      <c r="D564" s="19" t="n"/>
      <c r="E564" s="19" t="n"/>
      <c r="F564" s="19" t="n"/>
      <c r="G564" s="19" t="n"/>
      <c r="H564" s="19" t="n"/>
      <c r="I564" s="19" t="n"/>
      <c r="J564" s="19" t="n"/>
    </row>
    <row r="565" ht="15.75" customHeight="1" s="545">
      <c r="A565" s="19" t="n"/>
      <c r="B565" s="19" t="n"/>
      <c r="C565" s="19" t="n"/>
      <c r="D565" s="19" t="n"/>
      <c r="E565" s="19" t="n"/>
      <c r="F565" s="19" t="n"/>
      <c r="G565" s="19" t="n"/>
      <c r="H565" s="19" t="n"/>
      <c r="I565" s="19" t="n"/>
      <c r="J565" s="19" t="n"/>
    </row>
    <row r="566" ht="15.75" customHeight="1" s="545">
      <c r="A566" s="19" t="n"/>
      <c r="B566" s="19" t="n"/>
      <c r="C566" s="19" t="n"/>
      <c r="D566" s="19" t="n"/>
      <c r="E566" s="19" t="n"/>
      <c r="F566" s="19" t="n"/>
      <c r="G566" s="19" t="n"/>
      <c r="H566" s="19" t="n"/>
      <c r="I566" s="19" t="n"/>
      <c r="J566" s="19" t="n"/>
    </row>
    <row r="567" ht="15.75" customHeight="1" s="545">
      <c r="A567" s="19" t="n"/>
      <c r="B567" s="19" t="n"/>
      <c r="C567" s="19" t="n"/>
      <c r="D567" s="19" t="n"/>
      <c r="E567" s="19" t="n"/>
      <c r="F567" s="19" t="n"/>
      <c r="G567" s="19" t="n"/>
      <c r="H567" s="19" t="n"/>
      <c r="I567" s="19" t="n"/>
      <c r="J567" s="19" t="n"/>
    </row>
    <row r="568" ht="15.75" customHeight="1" s="545">
      <c r="A568" s="19" t="n"/>
      <c r="B568" s="19" t="n"/>
      <c r="C568" s="19" t="n"/>
      <c r="D568" s="19" t="n"/>
      <c r="E568" s="19" t="n"/>
      <c r="F568" s="19" t="n"/>
      <c r="G568" s="19" t="n"/>
      <c r="H568" s="19" t="n"/>
      <c r="I568" s="19" t="n"/>
      <c r="J568" s="19" t="n"/>
    </row>
    <row r="569" ht="15.75" customHeight="1" s="545">
      <c r="A569" s="19" t="n"/>
      <c r="B569" s="19" t="n"/>
      <c r="C569" s="19" t="n"/>
      <c r="D569" s="19" t="n"/>
      <c r="E569" s="19" t="n"/>
      <c r="F569" s="19" t="n"/>
      <c r="G569" s="19" t="n"/>
      <c r="H569" s="19" t="n"/>
      <c r="I569" s="19" t="n"/>
      <c r="J569" s="19" t="n"/>
    </row>
    <row r="570" ht="15.75" customHeight="1" s="545">
      <c r="A570" s="19" t="n"/>
      <c r="B570" s="19" t="n"/>
      <c r="C570" s="19" t="n"/>
      <c r="D570" s="19" t="n"/>
      <c r="E570" s="19" t="n"/>
      <c r="F570" s="19" t="n"/>
      <c r="G570" s="19" t="n"/>
      <c r="H570" s="19" t="n"/>
      <c r="I570" s="19" t="n"/>
      <c r="J570" s="19" t="n"/>
    </row>
    <row r="571" ht="15.75" customHeight="1" s="545">
      <c r="A571" s="19" t="n"/>
      <c r="B571" s="19" t="n"/>
      <c r="C571" s="19" t="n"/>
      <c r="D571" s="19" t="n"/>
      <c r="E571" s="19" t="n"/>
      <c r="F571" s="19" t="n"/>
      <c r="G571" s="19" t="n"/>
      <c r="H571" s="19" t="n"/>
      <c r="I571" s="19" t="n"/>
      <c r="J571" s="19" t="n"/>
    </row>
    <row r="572" ht="15.75" customHeight="1" s="545">
      <c r="A572" s="19" t="n"/>
      <c r="B572" s="19" t="n"/>
      <c r="C572" s="19" t="n"/>
      <c r="D572" s="19" t="n"/>
      <c r="E572" s="19" t="n"/>
      <c r="F572" s="19" t="n"/>
      <c r="G572" s="19" t="n"/>
      <c r="H572" s="19" t="n"/>
      <c r="I572" s="19" t="n"/>
      <c r="J572" s="19" t="n"/>
    </row>
    <row r="573" ht="15.75" customHeight="1" s="545">
      <c r="A573" s="19" t="n"/>
      <c r="B573" s="19" t="n"/>
      <c r="C573" s="19" t="n"/>
      <c r="D573" s="19" t="n"/>
      <c r="E573" s="19" t="n"/>
      <c r="F573" s="19" t="n"/>
      <c r="G573" s="19" t="n"/>
      <c r="H573" s="19" t="n"/>
      <c r="I573" s="19" t="n"/>
      <c r="J573" s="19" t="n"/>
    </row>
    <row r="574" ht="15.75" customHeight="1" s="545">
      <c r="A574" s="19" t="n"/>
      <c r="B574" s="19" t="n"/>
      <c r="C574" s="19" t="n"/>
      <c r="D574" s="19" t="n"/>
      <c r="E574" s="19" t="n"/>
      <c r="F574" s="19" t="n"/>
      <c r="G574" s="19" t="n"/>
      <c r="H574" s="19" t="n"/>
      <c r="I574" s="19" t="n"/>
      <c r="J574" s="19" t="n"/>
    </row>
    <row r="575" ht="15.75" customHeight="1" s="545">
      <c r="A575" s="19" t="n"/>
      <c r="B575" s="19" t="n"/>
      <c r="C575" s="19" t="n"/>
      <c r="D575" s="19" t="n"/>
      <c r="E575" s="19" t="n"/>
      <c r="F575" s="19" t="n"/>
      <c r="G575" s="19" t="n"/>
      <c r="H575" s="19" t="n"/>
      <c r="I575" s="19" t="n"/>
      <c r="J575" s="19" t="n"/>
    </row>
    <row r="576" ht="15.75" customHeight="1" s="545">
      <c r="A576" s="19" t="n"/>
      <c r="B576" s="19" t="n"/>
      <c r="C576" s="19" t="n"/>
      <c r="D576" s="19" t="n"/>
      <c r="E576" s="19" t="n"/>
      <c r="F576" s="19" t="n"/>
      <c r="G576" s="19" t="n"/>
      <c r="H576" s="19" t="n"/>
      <c r="I576" s="19" t="n"/>
      <c r="J576" s="19" t="n"/>
    </row>
    <row r="577" ht="15.75" customHeight="1" s="545">
      <c r="A577" s="19" t="n"/>
      <c r="B577" s="19" t="n"/>
      <c r="C577" s="19" t="n"/>
      <c r="D577" s="19" t="n"/>
      <c r="E577" s="19" t="n"/>
      <c r="F577" s="19" t="n"/>
      <c r="G577" s="19" t="n"/>
      <c r="H577" s="19" t="n"/>
      <c r="I577" s="19" t="n"/>
      <c r="J577" s="19" t="n"/>
    </row>
    <row r="578" ht="15.75" customHeight="1" s="545">
      <c r="A578" s="19" t="n"/>
      <c r="B578" s="19" t="n"/>
      <c r="C578" s="19" t="n"/>
      <c r="D578" s="19" t="n"/>
      <c r="E578" s="19" t="n"/>
      <c r="F578" s="19" t="n"/>
      <c r="G578" s="19" t="n"/>
      <c r="H578" s="19" t="n"/>
      <c r="I578" s="19" t="n"/>
      <c r="J578" s="19" t="n"/>
    </row>
    <row r="579" ht="15.75" customHeight="1" s="545">
      <c r="A579" s="19" t="n"/>
      <c r="B579" s="19" t="n"/>
      <c r="C579" s="19" t="n"/>
      <c r="D579" s="19" t="n"/>
      <c r="E579" s="19" t="n"/>
      <c r="F579" s="19" t="n"/>
      <c r="G579" s="19" t="n"/>
      <c r="H579" s="19" t="n"/>
      <c r="I579" s="19" t="n"/>
      <c r="J579" s="19" t="n"/>
    </row>
    <row r="580" ht="15.75" customHeight="1" s="545">
      <c r="A580" s="19" t="n"/>
      <c r="B580" s="19" t="n"/>
      <c r="C580" s="19" t="n"/>
      <c r="D580" s="19" t="n"/>
      <c r="E580" s="19" t="n"/>
      <c r="F580" s="19" t="n"/>
      <c r="G580" s="19" t="n"/>
      <c r="H580" s="19" t="n"/>
      <c r="I580" s="19" t="n"/>
      <c r="J580" s="19" t="n"/>
    </row>
    <row r="581" ht="15.75" customHeight="1" s="545">
      <c r="A581" s="19" t="n"/>
      <c r="B581" s="19" t="n"/>
      <c r="C581" s="19" t="n"/>
      <c r="D581" s="19" t="n"/>
      <c r="E581" s="19" t="n"/>
      <c r="F581" s="19" t="n"/>
      <c r="G581" s="19" t="n"/>
      <c r="H581" s="19" t="n"/>
      <c r="I581" s="19" t="n"/>
      <c r="J581" s="19" t="n"/>
    </row>
    <row r="582" ht="15.75" customHeight="1" s="545">
      <c r="A582" s="19" t="n"/>
      <c r="B582" s="19" t="n"/>
      <c r="C582" s="19" t="n"/>
      <c r="D582" s="19" t="n"/>
      <c r="E582" s="19" t="n"/>
      <c r="F582" s="19" t="n"/>
      <c r="G582" s="19" t="n"/>
      <c r="H582" s="19" t="n"/>
      <c r="I582" s="19" t="n"/>
      <c r="J582" s="19" t="n"/>
    </row>
    <row r="583" ht="15.75" customHeight="1" s="545">
      <c r="A583" s="19" t="n"/>
      <c r="B583" s="19" t="n"/>
      <c r="C583" s="19" t="n"/>
      <c r="D583" s="19" t="n"/>
      <c r="E583" s="19" t="n"/>
      <c r="F583" s="19" t="n"/>
      <c r="G583" s="19" t="n"/>
      <c r="H583" s="19" t="n"/>
      <c r="I583" s="19" t="n"/>
      <c r="J583" s="19" t="n"/>
    </row>
    <row r="584" ht="15.75" customHeight="1" s="545">
      <c r="A584" s="19" t="n"/>
      <c r="B584" s="19" t="n"/>
      <c r="C584" s="19" t="n"/>
      <c r="D584" s="19" t="n"/>
      <c r="E584" s="19" t="n"/>
      <c r="F584" s="19" t="n"/>
      <c r="G584" s="19" t="n"/>
      <c r="H584" s="19" t="n"/>
      <c r="I584" s="19" t="n"/>
      <c r="J584" s="19" t="n"/>
    </row>
    <row r="585" ht="15.75" customHeight="1" s="545">
      <c r="A585" s="19" t="n"/>
      <c r="B585" s="19" t="n"/>
      <c r="C585" s="19" t="n"/>
      <c r="D585" s="19" t="n"/>
      <c r="E585" s="19" t="n"/>
      <c r="F585" s="19" t="n"/>
      <c r="G585" s="19" t="n"/>
      <c r="H585" s="19" t="n"/>
      <c r="I585" s="19" t="n"/>
      <c r="J585" s="19" t="n"/>
    </row>
    <row r="586" ht="15.75" customHeight="1" s="545">
      <c r="A586" s="19" t="n"/>
      <c r="B586" s="19" t="n"/>
      <c r="C586" s="19" t="n"/>
      <c r="D586" s="19" t="n"/>
      <c r="E586" s="19" t="n"/>
      <c r="F586" s="19" t="n"/>
      <c r="G586" s="19" t="n"/>
      <c r="H586" s="19" t="n"/>
      <c r="I586" s="19" t="n"/>
      <c r="J586" s="19" t="n"/>
    </row>
    <row r="587" ht="15.75" customHeight="1" s="545">
      <c r="A587" s="19" t="n"/>
      <c r="B587" s="19" t="n"/>
      <c r="C587" s="19" t="n"/>
      <c r="D587" s="19" t="n"/>
      <c r="E587" s="19" t="n"/>
      <c r="F587" s="19" t="n"/>
      <c r="G587" s="19" t="n"/>
      <c r="H587" s="19" t="n"/>
      <c r="I587" s="19" t="n"/>
      <c r="J587" s="19" t="n"/>
    </row>
    <row r="588" ht="15.75" customHeight="1" s="545">
      <c r="A588" s="19" t="n"/>
      <c r="B588" s="19" t="n"/>
      <c r="C588" s="19" t="n"/>
      <c r="D588" s="19" t="n"/>
      <c r="E588" s="19" t="n"/>
      <c r="F588" s="19" t="n"/>
      <c r="G588" s="19" t="n"/>
      <c r="H588" s="19" t="n"/>
      <c r="I588" s="19" t="n"/>
      <c r="J588" s="19" t="n"/>
    </row>
    <row r="589" ht="15.75" customHeight="1" s="545">
      <c r="A589" s="19" t="n"/>
      <c r="B589" s="19" t="n"/>
      <c r="C589" s="19" t="n"/>
      <c r="D589" s="19" t="n"/>
      <c r="E589" s="19" t="n"/>
      <c r="F589" s="19" t="n"/>
      <c r="G589" s="19" t="n"/>
      <c r="H589" s="19" t="n"/>
      <c r="I589" s="19" t="n"/>
      <c r="J589" s="19" t="n"/>
    </row>
    <row r="590" ht="15.75" customHeight="1" s="545">
      <c r="A590" s="19" t="n"/>
      <c r="B590" s="19" t="n"/>
      <c r="C590" s="19" t="n"/>
      <c r="D590" s="19" t="n"/>
      <c r="E590" s="19" t="n"/>
      <c r="F590" s="19" t="n"/>
      <c r="G590" s="19" t="n"/>
      <c r="H590" s="19" t="n"/>
      <c r="I590" s="19" t="n"/>
      <c r="J590" s="19" t="n"/>
    </row>
    <row r="591" ht="15.75" customHeight="1" s="545">
      <c r="A591" s="19" t="n"/>
      <c r="B591" s="19" t="n"/>
      <c r="C591" s="19" t="n"/>
      <c r="D591" s="19" t="n"/>
      <c r="E591" s="19" t="n"/>
      <c r="F591" s="19" t="n"/>
      <c r="G591" s="19" t="n"/>
      <c r="H591" s="19" t="n"/>
      <c r="I591" s="19" t="n"/>
      <c r="J591" s="19" t="n"/>
    </row>
    <row r="592" ht="15.75" customHeight="1" s="545">
      <c r="A592" s="19" t="n"/>
      <c r="B592" s="19" t="n"/>
      <c r="C592" s="19" t="n"/>
      <c r="D592" s="19" t="n"/>
      <c r="E592" s="19" t="n"/>
      <c r="F592" s="19" t="n"/>
      <c r="G592" s="19" t="n"/>
      <c r="H592" s="19" t="n"/>
      <c r="I592" s="19" t="n"/>
      <c r="J592" s="19" t="n"/>
    </row>
    <row r="593" ht="15.75" customHeight="1" s="545">
      <c r="A593" s="19" t="n"/>
      <c r="B593" s="19" t="n"/>
      <c r="C593" s="19" t="n"/>
      <c r="D593" s="19" t="n"/>
      <c r="E593" s="19" t="n"/>
      <c r="F593" s="19" t="n"/>
      <c r="G593" s="19" t="n"/>
      <c r="H593" s="19" t="n"/>
      <c r="I593" s="19" t="n"/>
      <c r="J593" s="19" t="n"/>
    </row>
    <row r="594" ht="15.75" customHeight="1" s="545">
      <c r="A594" s="19" t="n"/>
      <c r="B594" s="19" t="n"/>
      <c r="C594" s="19" t="n"/>
      <c r="D594" s="19" t="n"/>
      <c r="E594" s="19" t="n"/>
      <c r="F594" s="19" t="n"/>
      <c r="G594" s="19" t="n"/>
      <c r="H594" s="19" t="n"/>
      <c r="I594" s="19" t="n"/>
      <c r="J594" s="19" t="n"/>
    </row>
    <row r="595" ht="15.75" customHeight="1" s="545">
      <c r="A595" s="19" t="n"/>
      <c r="B595" s="19" t="n"/>
      <c r="C595" s="19" t="n"/>
      <c r="D595" s="19" t="n"/>
      <c r="E595" s="19" t="n"/>
      <c r="F595" s="19" t="n"/>
      <c r="G595" s="19" t="n"/>
      <c r="H595" s="19" t="n"/>
      <c r="I595" s="19" t="n"/>
      <c r="J595" s="19" t="n"/>
    </row>
    <row r="596" ht="15.75" customHeight="1" s="545">
      <c r="A596" s="19" t="n"/>
      <c r="B596" s="19" t="n"/>
      <c r="C596" s="19" t="n"/>
      <c r="D596" s="19" t="n"/>
      <c r="E596" s="19" t="n"/>
      <c r="F596" s="19" t="n"/>
      <c r="G596" s="19" t="n"/>
      <c r="H596" s="19" t="n"/>
      <c r="I596" s="19" t="n"/>
      <c r="J596" s="19" t="n"/>
    </row>
    <row r="597" ht="15.75" customHeight="1" s="545">
      <c r="A597" s="19" t="n"/>
      <c r="B597" s="19" t="n"/>
      <c r="C597" s="19" t="n"/>
      <c r="D597" s="19" t="n"/>
      <c r="E597" s="19" t="n"/>
      <c r="F597" s="19" t="n"/>
      <c r="G597" s="19" t="n"/>
      <c r="H597" s="19" t="n"/>
      <c r="I597" s="19" t="n"/>
      <c r="J597" s="19" t="n"/>
    </row>
    <row r="598" ht="15.75" customHeight="1" s="545">
      <c r="A598" s="19" t="n"/>
      <c r="B598" s="19" t="n"/>
      <c r="C598" s="19" t="n"/>
      <c r="D598" s="19" t="n"/>
      <c r="E598" s="19" t="n"/>
      <c r="F598" s="19" t="n"/>
      <c r="G598" s="19" t="n"/>
      <c r="H598" s="19" t="n"/>
      <c r="I598" s="19" t="n"/>
      <c r="J598" s="19" t="n"/>
    </row>
    <row r="599" ht="15.75" customHeight="1" s="545">
      <c r="A599" s="19" t="n"/>
      <c r="B599" s="19" t="n"/>
      <c r="C599" s="19" t="n"/>
      <c r="D599" s="19" t="n"/>
      <c r="E599" s="19" t="n"/>
      <c r="F599" s="19" t="n"/>
      <c r="G599" s="19" t="n"/>
      <c r="H599" s="19" t="n"/>
      <c r="I599" s="19" t="n"/>
      <c r="J599" s="19" t="n"/>
    </row>
    <row r="600" ht="15.75" customHeight="1" s="545">
      <c r="A600" s="19" t="n"/>
      <c r="B600" s="19" t="n"/>
      <c r="C600" s="19" t="n"/>
      <c r="D600" s="19" t="n"/>
      <c r="E600" s="19" t="n"/>
      <c r="F600" s="19" t="n"/>
      <c r="G600" s="19" t="n"/>
      <c r="H600" s="19" t="n"/>
      <c r="I600" s="19" t="n"/>
      <c r="J600" s="19" t="n"/>
    </row>
    <row r="601" ht="15.75" customHeight="1" s="545">
      <c r="A601" s="19" t="n"/>
      <c r="B601" s="19" t="n"/>
      <c r="C601" s="19" t="n"/>
      <c r="D601" s="19" t="n"/>
      <c r="E601" s="19" t="n"/>
      <c r="F601" s="19" t="n"/>
      <c r="G601" s="19" t="n"/>
      <c r="H601" s="19" t="n"/>
      <c r="I601" s="19" t="n"/>
      <c r="J601" s="19" t="n"/>
    </row>
    <row r="602" ht="15.75" customHeight="1" s="545">
      <c r="A602" s="19" t="n"/>
      <c r="B602" s="19" t="n"/>
      <c r="C602" s="19" t="n"/>
      <c r="D602" s="19" t="n"/>
      <c r="E602" s="19" t="n"/>
      <c r="F602" s="19" t="n"/>
      <c r="G602" s="19" t="n"/>
      <c r="H602" s="19" t="n"/>
      <c r="I602" s="19" t="n"/>
      <c r="J602" s="19" t="n"/>
    </row>
    <row r="603" ht="15.75" customHeight="1" s="545">
      <c r="A603" s="19" t="n"/>
      <c r="B603" s="19" t="n"/>
      <c r="C603" s="19" t="n"/>
      <c r="D603" s="19" t="n"/>
      <c r="E603" s="19" t="n"/>
      <c r="F603" s="19" t="n"/>
      <c r="G603" s="19" t="n"/>
      <c r="H603" s="19" t="n"/>
      <c r="I603" s="19" t="n"/>
      <c r="J603" s="19" t="n"/>
    </row>
    <row r="604" ht="15.75" customHeight="1" s="545">
      <c r="A604" s="19" t="n"/>
      <c r="B604" s="19" t="n"/>
      <c r="C604" s="19" t="n"/>
      <c r="D604" s="19" t="n"/>
      <c r="E604" s="19" t="n"/>
      <c r="F604" s="19" t="n"/>
      <c r="G604" s="19" t="n"/>
      <c r="H604" s="19" t="n"/>
      <c r="I604" s="19" t="n"/>
      <c r="J604" s="19" t="n"/>
    </row>
    <row r="605" ht="15.75" customHeight="1" s="545">
      <c r="A605" s="19" t="n"/>
      <c r="B605" s="19" t="n"/>
      <c r="C605" s="19" t="n"/>
      <c r="D605" s="19" t="n"/>
      <c r="E605" s="19" t="n"/>
      <c r="F605" s="19" t="n"/>
      <c r="G605" s="19" t="n"/>
      <c r="H605" s="19" t="n"/>
      <c r="I605" s="19" t="n"/>
      <c r="J605" s="19" t="n"/>
    </row>
    <row r="606" ht="15.75" customHeight="1" s="545">
      <c r="A606" s="19" t="n"/>
      <c r="B606" s="19" t="n"/>
      <c r="C606" s="19" t="n"/>
      <c r="D606" s="19" t="n"/>
      <c r="E606" s="19" t="n"/>
      <c r="F606" s="19" t="n"/>
      <c r="G606" s="19" t="n"/>
      <c r="H606" s="19" t="n"/>
      <c r="I606" s="19" t="n"/>
      <c r="J606" s="19" t="n"/>
    </row>
    <row r="607" ht="15.75" customHeight="1" s="545">
      <c r="A607" s="19" t="n"/>
      <c r="B607" s="19" t="n"/>
      <c r="C607" s="19" t="n"/>
      <c r="D607" s="19" t="n"/>
      <c r="E607" s="19" t="n"/>
      <c r="F607" s="19" t="n"/>
      <c r="G607" s="19" t="n"/>
      <c r="H607" s="19" t="n"/>
      <c r="I607" s="19" t="n"/>
      <c r="J607" s="19" t="n"/>
    </row>
    <row r="608" ht="15.75" customHeight="1" s="545">
      <c r="A608" s="19" t="n"/>
      <c r="B608" s="19" t="n"/>
      <c r="C608" s="19" t="n"/>
      <c r="D608" s="19" t="n"/>
      <c r="E608" s="19" t="n"/>
      <c r="F608" s="19" t="n"/>
      <c r="G608" s="19" t="n"/>
      <c r="H608" s="19" t="n"/>
      <c r="I608" s="19" t="n"/>
      <c r="J608" s="19" t="n"/>
    </row>
    <row r="609" ht="15.75" customHeight="1" s="545">
      <c r="A609" s="19" t="n"/>
      <c r="B609" s="19" t="n"/>
      <c r="C609" s="19" t="n"/>
      <c r="D609" s="19" t="n"/>
      <c r="E609" s="19" t="n"/>
      <c r="F609" s="19" t="n"/>
      <c r="G609" s="19" t="n"/>
      <c r="H609" s="19" t="n"/>
      <c r="I609" s="19" t="n"/>
      <c r="J609" s="19" t="n"/>
    </row>
    <row r="610" ht="15.75" customHeight="1" s="545">
      <c r="A610" s="19" t="n"/>
      <c r="B610" s="19" t="n"/>
      <c r="C610" s="19" t="n"/>
      <c r="D610" s="19" t="n"/>
      <c r="E610" s="19" t="n"/>
      <c r="F610" s="19" t="n"/>
      <c r="G610" s="19" t="n"/>
      <c r="H610" s="19" t="n"/>
      <c r="I610" s="19" t="n"/>
      <c r="J610" s="19" t="n"/>
    </row>
    <row r="611" ht="15.75" customHeight="1" s="545">
      <c r="A611" s="19" t="n"/>
      <c r="B611" s="19" t="n"/>
      <c r="C611" s="19" t="n"/>
      <c r="D611" s="19" t="n"/>
      <c r="E611" s="19" t="n"/>
      <c r="F611" s="19" t="n"/>
      <c r="G611" s="19" t="n"/>
      <c r="H611" s="19" t="n"/>
      <c r="I611" s="19" t="n"/>
      <c r="J611" s="19" t="n"/>
    </row>
    <row r="612" ht="15.75" customHeight="1" s="545">
      <c r="A612" s="19" t="n"/>
      <c r="B612" s="19" t="n"/>
      <c r="C612" s="19" t="n"/>
      <c r="D612" s="19" t="n"/>
      <c r="E612" s="19" t="n"/>
      <c r="F612" s="19" t="n"/>
      <c r="G612" s="19" t="n"/>
      <c r="H612" s="19" t="n"/>
      <c r="I612" s="19" t="n"/>
      <c r="J612" s="19" t="n"/>
    </row>
    <row r="613" ht="15.75" customHeight="1" s="545">
      <c r="A613" s="19" t="n"/>
      <c r="B613" s="19" t="n"/>
      <c r="C613" s="19" t="n"/>
      <c r="D613" s="19" t="n"/>
      <c r="E613" s="19" t="n"/>
      <c r="F613" s="19" t="n"/>
      <c r="G613" s="19" t="n"/>
      <c r="H613" s="19" t="n"/>
      <c r="I613" s="19" t="n"/>
      <c r="J613" s="19" t="n"/>
    </row>
    <row r="614" ht="15.75" customHeight="1" s="545">
      <c r="A614" s="19" t="n"/>
      <c r="B614" s="19" t="n"/>
      <c r="C614" s="19" t="n"/>
      <c r="D614" s="19" t="n"/>
      <c r="E614" s="19" t="n"/>
      <c r="F614" s="19" t="n"/>
      <c r="G614" s="19" t="n"/>
      <c r="H614" s="19" t="n"/>
      <c r="I614" s="19" t="n"/>
      <c r="J614" s="19" t="n"/>
    </row>
    <row r="615" ht="15.75" customHeight="1" s="545">
      <c r="A615" s="19" t="n"/>
      <c r="B615" s="19" t="n"/>
      <c r="C615" s="19" t="n"/>
      <c r="D615" s="19" t="n"/>
      <c r="E615" s="19" t="n"/>
      <c r="F615" s="19" t="n"/>
      <c r="G615" s="19" t="n"/>
      <c r="H615" s="19" t="n"/>
      <c r="I615" s="19" t="n"/>
      <c r="J615" s="19" t="n"/>
    </row>
    <row r="616" ht="15.75" customHeight="1" s="545">
      <c r="A616" s="19" t="n"/>
      <c r="B616" s="19" t="n"/>
      <c r="C616" s="19" t="n"/>
      <c r="D616" s="19" t="n"/>
      <c r="E616" s="19" t="n"/>
      <c r="F616" s="19" t="n"/>
      <c r="G616" s="19" t="n"/>
      <c r="H616" s="19" t="n"/>
      <c r="I616" s="19" t="n"/>
      <c r="J616" s="19" t="n"/>
    </row>
    <row r="617" ht="15.75" customHeight="1" s="545">
      <c r="A617" s="19" t="n"/>
      <c r="B617" s="19" t="n"/>
      <c r="C617" s="19" t="n"/>
      <c r="D617" s="19" t="n"/>
      <c r="E617" s="19" t="n"/>
      <c r="F617" s="19" t="n"/>
      <c r="G617" s="19" t="n"/>
      <c r="H617" s="19" t="n"/>
      <c r="I617" s="19" t="n"/>
      <c r="J617" s="19" t="n"/>
    </row>
    <row r="618" ht="15.75" customHeight="1" s="545">
      <c r="A618" s="19" t="n"/>
      <c r="B618" s="19" t="n"/>
      <c r="C618" s="19" t="n"/>
      <c r="D618" s="19" t="n"/>
      <c r="E618" s="19" t="n"/>
      <c r="F618" s="19" t="n"/>
      <c r="G618" s="19" t="n"/>
      <c r="H618" s="19" t="n"/>
      <c r="I618" s="19" t="n"/>
      <c r="J618" s="19" t="n"/>
    </row>
    <row r="619" ht="15.75" customHeight="1" s="545">
      <c r="A619" s="19" t="n"/>
      <c r="B619" s="19" t="n"/>
      <c r="C619" s="19" t="n"/>
      <c r="D619" s="19" t="n"/>
      <c r="E619" s="19" t="n"/>
      <c r="F619" s="19" t="n"/>
      <c r="G619" s="19" t="n"/>
      <c r="H619" s="19" t="n"/>
      <c r="I619" s="19" t="n"/>
      <c r="J619" s="19" t="n"/>
    </row>
    <row r="620" ht="15.75" customHeight="1" s="545">
      <c r="A620" s="19" t="n"/>
      <c r="B620" s="19" t="n"/>
      <c r="C620" s="19" t="n"/>
      <c r="D620" s="19" t="n"/>
      <c r="E620" s="19" t="n"/>
      <c r="F620" s="19" t="n"/>
      <c r="G620" s="19" t="n"/>
      <c r="H620" s="19" t="n"/>
      <c r="I620" s="19" t="n"/>
      <c r="J620" s="19" t="n"/>
    </row>
    <row r="621" ht="15.75" customHeight="1" s="545">
      <c r="A621" s="19" t="n"/>
      <c r="B621" s="19" t="n"/>
      <c r="C621" s="19" t="n"/>
      <c r="D621" s="19" t="n"/>
      <c r="E621" s="19" t="n"/>
      <c r="F621" s="19" t="n"/>
      <c r="G621" s="19" t="n"/>
      <c r="H621" s="19" t="n"/>
      <c r="I621" s="19" t="n"/>
      <c r="J621" s="19" t="n"/>
    </row>
    <row r="622" ht="15.75" customHeight="1" s="545">
      <c r="A622" s="19" t="n"/>
      <c r="B622" s="19" t="n"/>
      <c r="C622" s="19" t="n"/>
      <c r="D622" s="19" t="n"/>
      <c r="E622" s="19" t="n"/>
      <c r="F622" s="19" t="n"/>
      <c r="G622" s="19" t="n"/>
      <c r="H622" s="19" t="n"/>
      <c r="I622" s="19" t="n"/>
      <c r="J622" s="19" t="n"/>
    </row>
    <row r="623" ht="15.75" customHeight="1" s="545">
      <c r="A623" s="19" t="n"/>
      <c r="B623" s="19" t="n"/>
      <c r="C623" s="19" t="n"/>
      <c r="D623" s="19" t="n"/>
      <c r="E623" s="19" t="n"/>
      <c r="F623" s="19" t="n"/>
      <c r="G623" s="19" t="n"/>
      <c r="H623" s="19" t="n"/>
      <c r="I623" s="19" t="n"/>
      <c r="J623" s="19" t="n"/>
    </row>
    <row r="624" ht="15.75" customHeight="1" s="545">
      <c r="A624" s="19" t="n"/>
      <c r="B624" s="19" t="n"/>
      <c r="C624" s="19" t="n"/>
      <c r="D624" s="19" t="n"/>
      <c r="E624" s="19" t="n"/>
      <c r="F624" s="19" t="n"/>
      <c r="G624" s="19" t="n"/>
      <c r="H624" s="19" t="n"/>
      <c r="I624" s="19" t="n"/>
      <c r="J624" s="19" t="n"/>
    </row>
    <row r="625" ht="15.75" customHeight="1" s="545">
      <c r="A625" s="19" t="n"/>
      <c r="B625" s="19" t="n"/>
      <c r="C625" s="19" t="n"/>
      <c r="D625" s="19" t="n"/>
      <c r="E625" s="19" t="n"/>
      <c r="F625" s="19" t="n"/>
      <c r="G625" s="19" t="n"/>
      <c r="H625" s="19" t="n"/>
      <c r="I625" s="19" t="n"/>
      <c r="J625" s="19" t="n"/>
    </row>
    <row r="626" ht="15.75" customHeight="1" s="545">
      <c r="A626" s="19" t="n"/>
      <c r="B626" s="19" t="n"/>
      <c r="C626" s="19" t="n"/>
      <c r="D626" s="19" t="n"/>
      <c r="E626" s="19" t="n"/>
      <c r="F626" s="19" t="n"/>
      <c r="G626" s="19" t="n"/>
      <c r="H626" s="19" t="n"/>
      <c r="I626" s="19" t="n"/>
      <c r="J626" s="19" t="n"/>
    </row>
    <row r="627" ht="15.75" customHeight="1" s="545">
      <c r="A627" s="19" t="n"/>
      <c r="B627" s="19" t="n"/>
      <c r="C627" s="19" t="n"/>
      <c r="D627" s="19" t="n"/>
      <c r="E627" s="19" t="n"/>
      <c r="F627" s="19" t="n"/>
      <c r="G627" s="19" t="n"/>
      <c r="H627" s="19" t="n"/>
      <c r="I627" s="19" t="n"/>
      <c r="J627" s="19" t="n"/>
    </row>
    <row r="628" ht="15.75" customHeight="1" s="545">
      <c r="A628" s="19" t="n"/>
      <c r="B628" s="19" t="n"/>
      <c r="C628" s="19" t="n"/>
      <c r="D628" s="19" t="n"/>
      <c r="E628" s="19" t="n"/>
      <c r="F628" s="19" t="n"/>
      <c r="G628" s="19" t="n"/>
      <c r="H628" s="19" t="n"/>
      <c r="I628" s="19" t="n"/>
      <c r="J628" s="19" t="n"/>
    </row>
    <row r="629" ht="15.75" customHeight="1" s="545">
      <c r="A629" s="19" t="n"/>
      <c r="B629" s="19" t="n"/>
      <c r="C629" s="19" t="n"/>
      <c r="D629" s="19" t="n"/>
      <c r="E629" s="19" t="n"/>
      <c r="F629" s="19" t="n"/>
      <c r="G629" s="19" t="n"/>
      <c r="H629" s="19" t="n"/>
      <c r="I629" s="19" t="n"/>
      <c r="J629" s="19" t="n"/>
    </row>
    <row r="630" ht="15.75" customHeight="1" s="545">
      <c r="A630" s="19" t="n"/>
      <c r="B630" s="19" t="n"/>
      <c r="C630" s="19" t="n"/>
      <c r="D630" s="19" t="n"/>
      <c r="E630" s="19" t="n"/>
      <c r="F630" s="19" t="n"/>
      <c r="G630" s="19" t="n"/>
      <c r="H630" s="19" t="n"/>
      <c r="I630" s="19" t="n"/>
      <c r="J630" s="19" t="n"/>
    </row>
    <row r="631" ht="15.75" customHeight="1" s="545">
      <c r="A631" s="19" t="n"/>
      <c r="B631" s="19" t="n"/>
      <c r="C631" s="19" t="n"/>
      <c r="D631" s="19" t="n"/>
      <c r="E631" s="19" t="n"/>
      <c r="F631" s="19" t="n"/>
      <c r="G631" s="19" t="n"/>
      <c r="H631" s="19" t="n"/>
      <c r="I631" s="19" t="n"/>
      <c r="J631" s="19" t="n"/>
    </row>
    <row r="632" ht="15.75" customHeight="1" s="545">
      <c r="A632" s="19" t="n"/>
      <c r="B632" s="19" t="n"/>
      <c r="C632" s="19" t="n"/>
      <c r="D632" s="19" t="n"/>
      <c r="E632" s="19" t="n"/>
      <c r="F632" s="19" t="n"/>
      <c r="G632" s="19" t="n"/>
      <c r="H632" s="19" t="n"/>
      <c r="I632" s="19" t="n"/>
      <c r="J632" s="19" t="n"/>
    </row>
    <row r="633" ht="15.75" customHeight="1" s="545">
      <c r="A633" s="19" t="n"/>
      <c r="B633" s="19" t="n"/>
      <c r="C633" s="19" t="n"/>
      <c r="D633" s="19" t="n"/>
      <c r="E633" s="19" t="n"/>
      <c r="F633" s="19" t="n"/>
      <c r="G633" s="19" t="n"/>
      <c r="H633" s="19" t="n"/>
      <c r="I633" s="19" t="n"/>
      <c r="J633" s="19" t="n"/>
    </row>
    <row r="634" ht="15.75" customHeight="1" s="545">
      <c r="A634" s="19" t="n"/>
      <c r="B634" s="19" t="n"/>
      <c r="C634" s="19" t="n"/>
      <c r="D634" s="19" t="n"/>
      <c r="E634" s="19" t="n"/>
      <c r="F634" s="19" t="n"/>
      <c r="G634" s="19" t="n"/>
      <c r="H634" s="19" t="n"/>
      <c r="I634" s="19" t="n"/>
      <c r="J634" s="19" t="n"/>
    </row>
    <row r="635" ht="15.75" customHeight="1" s="545">
      <c r="A635" s="19" t="n"/>
      <c r="B635" s="19" t="n"/>
      <c r="C635" s="19" t="n"/>
      <c r="D635" s="19" t="n"/>
      <c r="E635" s="19" t="n"/>
      <c r="F635" s="19" t="n"/>
      <c r="G635" s="19" t="n"/>
      <c r="H635" s="19" t="n"/>
      <c r="I635" s="19" t="n"/>
      <c r="J635" s="19" t="n"/>
    </row>
    <row r="636" ht="15.75" customHeight="1" s="545">
      <c r="A636" s="19" t="n"/>
      <c r="B636" s="19" t="n"/>
      <c r="C636" s="19" t="n"/>
      <c r="D636" s="19" t="n"/>
      <c r="E636" s="19" t="n"/>
      <c r="F636" s="19" t="n"/>
      <c r="G636" s="19" t="n"/>
      <c r="H636" s="19" t="n"/>
      <c r="I636" s="19" t="n"/>
      <c r="J636" s="19" t="n"/>
    </row>
    <row r="637" ht="15.75" customHeight="1" s="545">
      <c r="A637" s="19" t="n"/>
      <c r="B637" s="19" t="n"/>
      <c r="C637" s="19" t="n"/>
      <c r="D637" s="19" t="n"/>
      <c r="E637" s="19" t="n"/>
      <c r="F637" s="19" t="n"/>
      <c r="G637" s="19" t="n"/>
      <c r="H637" s="19" t="n"/>
      <c r="I637" s="19" t="n"/>
      <c r="J637" s="19" t="n"/>
    </row>
    <row r="638" ht="15.75" customHeight="1" s="545">
      <c r="A638" s="19" t="n"/>
      <c r="B638" s="19" t="n"/>
      <c r="C638" s="19" t="n"/>
      <c r="D638" s="19" t="n"/>
      <c r="E638" s="19" t="n"/>
      <c r="F638" s="19" t="n"/>
      <c r="G638" s="19" t="n"/>
      <c r="H638" s="19" t="n"/>
      <c r="I638" s="19" t="n"/>
      <c r="J638" s="19" t="n"/>
    </row>
    <row r="639" ht="15.75" customHeight="1" s="545">
      <c r="A639" s="19" t="n"/>
      <c r="B639" s="19" t="n"/>
      <c r="C639" s="19" t="n"/>
      <c r="D639" s="19" t="n"/>
      <c r="E639" s="19" t="n"/>
      <c r="F639" s="19" t="n"/>
      <c r="G639" s="19" t="n"/>
      <c r="H639" s="19" t="n"/>
      <c r="I639" s="19" t="n"/>
      <c r="J639" s="19" t="n"/>
    </row>
    <row r="640" ht="15.75" customHeight="1" s="545">
      <c r="A640" s="19" t="n"/>
      <c r="B640" s="19" t="n"/>
      <c r="C640" s="19" t="n"/>
      <c r="D640" s="19" t="n"/>
      <c r="E640" s="19" t="n"/>
      <c r="F640" s="19" t="n"/>
      <c r="G640" s="19" t="n"/>
      <c r="H640" s="19" t="n"/>
      <c r="I640" s="19" t="n"/>
      <c r="J640" s="19" t="n"/>
    </row>
    <row r="641" ht="15.75" customHeight="1" s="545">
      <c r="A641" s="19" t="n"/>
      <c r="B641" s="19" t="n"/>
      <c r="C641" s="19" t="n"/>
      <c r="D641" s="19" t="n"/>
      <c r="E641" s="19" t="n"/>
      <c r="F641" s="19" t="n"/>
      <c r="G641" s="19" t="n"/>
      <c r="H641" s="19" t="n"/>
      <c r="I641" s="19" t="n"/>
      <c r="J641" s="19" t="n"/>
    </row>
    <row r="642" ht="15.75" customHeight="1" s="545">
      <c r="A642" s="19" t="n"/>
      <c r="B642" s="19" t="n"/>
      <c r="C642" s="19" t="n"/>
      <c r="D642" s="19" t="n"/>
      <c r="E642" s="19" t="n"/>
      <c r="F642" s="19" t="n"/>
      <c r="G642" s="19" t="n"/>
      <c r="H642" s="19" t="n"/>
      <c r="I642" s="19" t="n"/>
      <c r="J642" s="19" t="n"/>
    </row>
    <row r="643" ht="15.75" customHeight="1" s="545">
      <c r="A643" s="19" t="n"/>
      <c r="B643" s="19" t="n"/>
      <c r="C643" s="19" t="n"/>
      <c r="D643" s="19" t="n"/>
      <c r="E643" s="19" t="n"/>
      <c r="F643" s="19" t="n"/>
      <c r="G643" s="19" t="n"/>
      <c r="H643" s="19" t="n"/>
      <c r="I643" s="19" t="n"/>
      <c r="J643" s="19" t="n"/>
    </row>
    <row r="644" ht="15.75" customHeight="1" s="545">
      <c r="A644" s="19" t="n"/>
      <c r="B644" s="19" t="n"/>
      <c r="C644" s="19" t="n"/>
      <c r="D644" s="19" t="n"/>
      <c r="E644" s="19" t="n"/>
      <c r="F644" s="19" t="n"/>
      <c r="G644" s="19" t="n"/>
      <c r="H644" s="19" t="n"/>
      <c r="I644" s="19" t="n"/>
      <c r="J644" s="19" t="n"/>
    </row>
    <row r="645" ht="15.75" customHeight="1" s="545">
      <c r="A645" s="19" t="n"/>
      <c r="B645" s="19" t="n"/>
      <c r="C645" s="19" t="n"/>
      <c r="D645" s="19" t="n"/>
      <c r="E645" s="19" t="n"/>
      <c r="F645" s="19" t="n"/>
      <c r="G645" s="19" t="n"/>
      <c r="H645" s="19" t="n"/>
      <c r="I645" s="19" t="n"/>
      <c r="J645" s="19" t="n"/>
    </row>
    <row r="646" ht="15.75" customHeight="1" s="545">
      <c r="A646" s="19" t="n"/>
      <c r="B646" s="19" t="n"/>
      <c r="C646" s="19" t="n"/>
      <c r="D646" s="19" t="n"/>
      <c r="E646" s="19" t="n"/>
      <c r="F646" s="19" t="n"/>
      <c r="G646" s="19" t="n"/>
      <c r="H646" s="19" t="n"/>
      <c r="I646" s="19" t="n"/>
      <c r="J646" s="19" t="n"/>
    </row>
    <row r="647" ht="15.75" customHeight="1" s="545">
      <c r="A647" s="19" t="n"/>
      <c r="B647" s="19" t="n"/>
      <c r="C647" s="19" t="n"/>
      <c r="D647" s="19" t="n"/>
      <c r="E647" s="19" t="n"/>
      <c r="F647" s="19" t="n"/>
      <c r="G647" s="19" t="n"/>
      <c r="H647" s="19" t="n"/>
      <c r="I647" s="19" t="n"/>
      <c r="J647" s="19" t="n"/>
    </row>
    <row r="648" ht="15.75" customHeight="1" s="545">
      <c r="A648" s="19" t="n"/>
      <c r="B648" s="19" t="n"/>
      <c r="C648" s="19" t="n"/>
      <c r="D648" s="19" t="n"/>
      <c r="E648" s="19" t="n"/>
      <c r="F648" s="19" t="n"/>
      <c r="G648" s="19" t="n"/>
      <c r="H648" s="19" t="n"/>
      <c r="I648" s="19" t="n"/>
      <c r="J648" s="19" t="n"/>
    </row>
    <row r="649" ht="15.75" customHeight="1" s="545">
      <c r="A649" s="19" t="n"/>
      <c r="B649" s="19" t="n"/>
      <c r="C649" s="19" t="n"/>
      <c r="D649" s="19" t="n"/>
      <c r="E649" s="19" t="n"/>
      <c r="F649" s="19" t="n"/>
      <c r="G649" s="19" t="n"/>
      <c r="H649" s="19" t="n"/>
      <c r="I649" s="19" t="n"/>
      <c r="J649" s="19" t="n"/>
    </row>
    <row r="650" ht="15.75" customHeight="1" s="545">
      <c r="A650" s="19" t="n"/>
      <c r="B650" s="19" t="n"/>
      <c r="C650" s="19" t="n"/>
      <c r="D650" s="19" t="n"/>
      <c r="E650" s="19" t="n"/>
      <c r="F650" s="19" t="n"/>
      <c r="G650" s="19" t="n"/>
      <c r="H650" s="19" t="n"/>
      <c r="I650" s="19" t="n"/>
      <c r="J650" s="19" t="n"/>
    </row>
    <row r="651" ht="15.75" customHeight="1" s="545">
      <c r="A651" s="19" t="n"/>
      <c r="B651" s="19" t="n"/>
      <c r="C651" s="19" t="n"/>
      <c r="D651" s="19" t="n"/>
      <c r="E651" s="19" t="n"/>
      <c r="F651" s="19" t="n"/>
      <c r="G651" s="19" t="n"/>
      <c r="H651" s="19" t="n"/>
      <c r="I651" s="19" t="n"/>
      <c r="J651" s="19" t="n"/>
    </row>
    <row r="652" ht="15.75" customHeight="1" s="545">
      <c r="A652" s="19" t="n"/>
      <c r="B652" s="19" t="n"/>
      <c r="C652" s="19" t="n"/>
      <c r="D652" s="19" t="n"/>
      <c r="E652" s="19" t="n"/>
      <c r="F652" s="19" t="n"/>
      <c r="G652" s="19" t="n"/>
      <c r="H652" s="19" t="n"/>
      <c r="I652" s="19" t="n"/>
      <c r="J652" s="19" t="n"/>
    </row>
    <row r="653" ht="15.75" customHeight="1" s="545">
      <c r="A653" s="19" t="n"/>
      <c r="B653" s="19" t="n"/>
      <c r="C653" s="19" t="n"/>
      <c r="D653" s="19" t="n"/>
      <c r="E653" s="19" t="n"/>
      <c r="F653" s="19" t="n"/>
      <c r="G653" s="19" t="n"/>
      <c r="H653" s="19" t="n"/>
      <c r="I653" s="19" t="n"/>
      <c r="J653" s="19" t="n"/>
    </row>
    <row r="654" ht="15.75" customHeight="1" s="545">
      <c r="A654" s="19" t="n"/>
      <c r="B654" s="19" t="n"/>
      <c r="C654" s="19" t="n"/>
      <c r="D654" s="19" t="n"/>
      <c r="E654" s="19" t="n"/>
      <c r="F654" s="19" t="n"/>
      <c r="G654" s="19" t="n"/>
      <c r="H654" s="19" t="n"/>
      <c r="I654" s="19" t="n"/>
      <c r="J654" s="19" t="n"/>
    </row>
    <row r="655" ht="15.75" customHeight="1" s="545">
      <c r="A655" s="19" t="n"/>
      <c r="B655" s="19" t="n"/>
      <c r="C655" s="19" t="n"/>
      <c r="D655" s="19" t="n"/>
      <c r="E655" s="19" t="n"/>
      <c r="F655" s="19" t="n"/>
      <c r="G655" s="19" t="n"/>
      <c r="H655" s="19" t="n"/>
      <c r="I655" s="19" t="n"/>
      <c r="J655" s="19" t="n"/>
    </row>
    <row r="656" ht="15.75" customHeight="1" s="545">
      <c r="A656" s="19" t="n"/>
      <c r="B656" s="19" t="n"/>
      <c r="C656" s="19" t="n"/>
      <c r="D656" s="19" t="n"/>
      <c r="E656" s="19" t="n"/>
      <c r="F656" s="19" t="n"/>
      <c r="G656" s="19" t="n"/>
      <c r="H656" s="19" t="n"/>
      <c r="I656" s="19" t="n"/>
      <c r="J656" s="19" t="n"/>
    </row>
    <row r="657" ht="15.75" customHeight="1" s="545">
      <c r="A657" s="19" t="n"/>
      <c r="B657" s="19" t="n"/>
      <c r="C657" s="19" t="n"/>
      <c r="D657" s="19" t="n"/>
      <c r="E657" s="19" t="n"/>
      <c r="F657" s="19" t="n"/>
      <c r="G657" s="19" t="n"/>
      <c r="H657" s="19" t="n"/>
      <c r="I657" s="19" t="n"/>
      <c r="J657" s="19" t="n"/>
    </row>
    <row r="658" ht="15.75" customHeight="1" s="545">
      <c r="A658" s="19" t="n"/>
      <c r="B658" s="19" t="n"/>
      <c r="C658" s="19" t="n"/>
      <c r="D658" s="19" t="n"/>
      <c r="E658" s="19" t="n"/>
      <c r="F658" s="19" t="n"/>
      <c r="G658" s="19" t="n"/>
      <c r="H658" s="19" t="n"/>
      <c r="I658" s="19" t="n"/>
      <c r="J658" s="19" t="n"/>
    </row>
    <row r="659" ht="15.75" customHeight="1" s="545">
      <c r="A659" s="19" t="n"/>
      <c r="B659" s="19" t="n"/>
      <c r="C659" s="19" t="n"/>
      <c r="D659" s="19" t="n"/>
      <c r="E659" s="19" t="n"/>
      <c r="F659" s="19" t="n"/>
      <c r="G659" s="19" t="n"/>
      <c r="H659" s="19" t="n"/>
      <c r="I659" s="19" t="n"/>
      <c r="J659" s="19" t="n"/>
    </row>
    <row r="660" ht="15.75" customHeight="1" s="545">
      <c r="A660" s="19" t="n"/>
      <c r="B660" s="19" t="n"/>
      <c r="C660" s="19" t="n"/>
      <c r="D660" s="19" t="n"/>
      <c r="E660" s="19" t="n"/>
      <c r="F660" s="19" t="n"/>
      <c r="G660" s="19" t="n"/>
      <c r="H660" s="19" t="n"/>
      <c r="I660" s="19" t="n"/>
      <c r="J660" s="19" t="n"/>
    </row>
    <row r="661" ht="15.75" customHeight="1" s="545">
      <c r="A661" s="19" t="n"/>
      <c r="B661" s="19" t="n"/>
      <c r="C661" s="19" t="n"/>
      <c r="D661" s="19" t="n"/>
      <c r="E661" s="19" t="n"/>
      <c r="F661" s="19" t="n"/>
      <c r="G661" s="19" t="n"/>
      <c r="H661" s="19" t="n"/>
      <c r="I661" s="19" t="n"/>
      <c r="J661" s="19" t="n"/>
    </row>
    <row r="662" ht="15.75" customHeight="1" s="545">
      <c r="A662" s="19" t="n"/>
      <c r="B662" s="19" t="n"/>
      <c r="C662" s="19" t="n"/>
      <c r="D662" s="19" t="n"/>
      <c r="E662" s="19" t="n"/>
      <c r="F662" s="19" t="n"/>
      <c r="G662" s="19" t="n"/>
      <c r="H662" s="19" t="n"/>
      <c r="I662" s="19" t="n"/>
      <c r="J662" s="19" t="n"/>
    </row>
    <row r="663" ht="15.75" customHeight="1" s="545">
      <c r="A663" s="19" t="n"/>
      <c r="B663" s="19" t="n"/>
      <c r="C663" s="19" t="n"/>
      <c r="D663" s="19" t="n"/>
      <c r="E663" s="19" t="n"/>
      <c r="F663" s="19" t="n"/>
      <c r="G663" s="19" t="n"/>
      <c r="H663" s="19" t="n"/>
      <c r="I663" s="19" t="n"/>
      <c r="J663" s="19" t="n"/>
    </row>
    <row r="664" ht="15.75" customHeight="1" s="545">
      <c r="A664" s="19" t="n"/>
      <c r="B664" s="19" t="n"/>
      <c r="C664" s="19" t="n"/>
      <c r="D664" s="19" t="n"/>
      <c r="E664" s="19" t="n"/>
      <c r="F664" s="19" t="n"/>
      <c r="G664" s="19" t="n"/>
      <c r="H664" s="19" t="n"/>
      <c r="I664" s="19" t="n"/>
      <c r="J664" s="19" t="n"/>
    </row>
    <row r="665" ht="15.75" customHeight="1" s="545">
      <c r="A665" s="19" t="n"/>
      <c r="B665" s="19" t="n"/>
      <c r="C665" s="19" t="n"/>
      <c r="D665" s="19" t="n"/>
      <c r="E665" s="19" t="n"/>
      <c r="F665" s="19" t="n"/>
      <c r="G665" s="19" t="n"/>
      <c r="H665" s="19" t="n"/>
      <c r="I665" s="19" t="n"/>
      <c r="J665" s="19" t="n"/>
    </row>
    <row r="666" ht="15.75" customHeight="1" s="545">
      <c r="A666" s="19" t="n"/>
      <c r="B666" s="19" t="n"/>
      <c r="C666" s="19" t="n"/>
      <c r="D666" s="19" t="n"/>
      <c r="E666" s="19" t="n"/>
      <c r="F666" s="19" t="n"/>
      <c r="G666" s="19" t="n"/>
      <c r="H666" s="19" t="n"/>
      <c r="I666" s="19" t="n"/>
      <c r="J666" s="19" t="n"/>
    </row>
    <row r="667" ht="15.75" customHeight="1" s="545">
      <c r="A667" s="19" t="n"/>
      <c r="B667" s="19" t="n"/>
      <c r="C667" s="19" t="n"/>
      <c r="D667" s="19" t="n"/>
      <c r="E667" s="19" t="n"/>
      <c r="F667" s="19" t="n"/>
      <c r="G667" s="19" t="n"/>
      <c r="H667" s="19" t="n"/>
      <c r="I667" s="19" t="n"/>
      <c r="J667" s="19" t="n"/>
    </row>
    <row r="668" ht="15.75" customHeight="1" s="545">
      <c r="A668" s="19" t="n"/>
      <c r="B668" s="19" t="n"/>
      <c r="C668" s="19" t="n"/>
      <c r="D668" s="19" t="n"/>
      <c r="E668" s="19" t="n"/>
      <c r="F668" s="19" t="n"/>
      <c r="G668" s="19" t="n"/>
      <c r="H668" s="19" t="n"/>
      <c r="I668" s="19" t="n"/>
      <c r="J668" s="19" t="n"/>
    </row>
    <row r="669" ht="15.75" customHeight="1" s="545">
      <c r="A669" s="19" t="n"/>
      <c r="B669" s="19" t="n"/>
      <c r="C669" s="19" t="n"/>
      <c r="D669" s="19" t="n"/>
      <c r="E669" s="19" t="n"/>
      <c r="F669" s="19" t="n"/>
      <c r="G669" s="19" t="n"/>
      <c r="H669" s="19" t="n"/>
      <c r="I669" s="19" t="n"/>
      <c r="J669" s="19" t="n"/>
    </row>
    <row r="670" ht="15.75" customHeight="1" s="545">
      <c r="A670" s="19" t="n"/>
      <c r="B670" s="19" t="n"/>
      <c r="C670" s="19" t="n"/>
      <c r="D670" s="19" t="n"/>
      <c r="E670" s="19" t="n"/>
      <c r="F670" s="19" t="n"/>
      <c r="G670" s="19" t="n"/>
      <c r="H670" s="19" t="n"/>
      <c r="I670" s="19" t="n"/>
      <c r="J670" s="19" t="n"/>
    </row>
    <row r="671" ht="15.75" customHeight="1" s="545">
      <c r="A671" s="19" t="n"/>
      <c r="B671" s="19" t="n"/>
      <c r="C671" s="19" t="n"/>
      <c r="D671" s="19" t="n"/>
      <c r="E671" s="19" t="n"/>
      <c r="F671" s="19" t="n"/>
      <c r="G671" s="19" t="n"/>
      <c r="H671" s="19" t="n"/>
      <c r="I671" s="19" t="n"/>
      <c r="J671" s="19" t="n"/>
    </row>
    <row r="672" ht="15.75" customHeight="1" s="545">
      <c r="A672" s="19" t="n"/>
      <c r="B672" s="19" t="n"/>
      <c r="C672" s="19" t="n"/>
      <c r="D672" s="19" t="n"/>
      <c r="E672" s="19" t="n"/>
      <c r="F672" s="19" t="n"/>
      <c r="G672" s="19" t="n"/>
      <c r="H672" s="19" t="n"/>
      <c r="I672" s="19" t="n"/>
      <c r="J672" s="19" t="n"/>
    </row>
    <row r="673" ht="15.75" customHeight="1" s="545">
      <c r="A673" s="19" t="n"/>
      <c r="B673" s="19" t="n"/>
      <c r="C673" s="19" t="n"/>
      <c r="D673" s="19" t="n"/>
      <c r="E673" s="19" t="n"/>
      <c r="F673" s="19" t="n"/>
      <c r="G673" s="19" t="n"/>
      <c r="H673" s="19" t="n"/>
      <c r="I673" s="19" t="n"/>
      <c r="J673" s="19" t="n"/>
    </row>
    <row r="674" ht="15.75" customHeight="1" s="545">
      <c r="A674" s="19" t="n"/>
      <c r="B674" s="19" t="n"/>
      <c r="C674" s="19" t="n"/>
      <c r="D674" s="19" t="n"/>
      <c r="E674" s="19" t="n"/>
      <c r="F674" s="19" t="n"/>
      <c r="G674" s="19" t="n"/>
      <c r="H674" s="19" t="n"/>
      <c r="I674" s="19" t="n"/>
      <c r="J674" s="19" t="n"/>
    </row>
    <row r="675" ht="15.75" customHeight="1" s="545">
      <c r="A675" s="19" t="n"/>
      <c r="B675" s="19" t="n"/>
      <c r="C675" s="19" t="n"/>
      <c r="D675" s="19" t="n"/>
      <c r="E675" s="19" t="n"/>
      <c r="F675" s="19" t="n"/>
      <c r="G675" s="19" t="n"/>
      <c r="H675" s="19" t="n"/>
      <c r="I675" s="19" t="n"/>
      <c r="J675" s="19" t="n"/>
    </row>
    <row r="676" ht="15.75" customHeight="1" s="545">
      <c r="A676" s="19" t="n"/>
      <c r="B676" s="19" t="n"/>
      <c r="C676" s="19" t="n"/>
      <c r="D676" s="19" t="n"/>
      <c r="E676" s="19" t="n"/>
      <c r="F676" s="19" t="n"/>
      <c r="G676" s="19" t="n"/>
      <c r="H676" s="19" t="n"/>
      <c r="I676" s="19" t="n"/>
      <c r="J676" s="19" t="n"/>
    </row>
    <row r="677" ht="15.75" customHeight="1" s="545">
      <c r="A677" s="19" t="n"/>
      <c r="B677" s="19" t="n"/>
      <c r="C677" s="19" t="n"/>
      <c r="D677" s="19" t="n"/>
      <c r="E677" s="19" t="n"/>
      <c r="F677" s="19" t="n"/>
      <c r="G677" s="19" t="n"/>
      <c r="H677" s="19" t="n"/>
      <c r="I677" s="19" t="n"/>
      <c r="J677" s="19" t="n"/>
    </row>
    <row r="678" ht="15.75" customHeight="1" s="545">
      <c r="A678" s="19" t="n"/>
      <c r="B678" s="19" t="n"/>
      <c r="C678" s="19" t="n"/>
      <c r="D678" s="19" t="n"/>
      <c r="E678" s="19" t="n"/>
      <c r="F678" s="19" t="n"/>
      <c r="G678" s="19" t="n"/>
      <c r="H678" s="19" t="n"/>
      <c r="I678" s="19" t="n"/>
      <c r="J678" s="19" t="n"/>
    </row>
    <row r="679" ht="15.75" customHeight="1" s="545">
      <c r="A679" s="19" t="n"/>
      <c r="B679" s="19" t="n"/>
      <c r="C679" s="19" t="n"/>
      <c r="D679" s="19" t="n"/>
      <c r="E679" s="19" t="n"/>
      <c r="F679" s="19" t="n"/>
      <c r="G679" s="19" t="n"/>
      <c r="H679" s="19" t="n"/>
      <c r="I679" s="19" t="n"/>
      <c r="J679" s="19" t="n"/>
    </row>
    <row r="680" ht="15.75" customHeight="1" s="545">
      <c r="A680" s="19" t="n"/>
      <c r="B680" s="19" t="n"/>
      <c r="C680" s="19" t="n"/>
      <c r="D680" s="19" t="n"/>
      <c r="E680" s="19" t="n"/>
      <c r="F680" s="19" t="n"/>
      <c r="G680" s="19" t="n"/>
      <c r="H680" s="19" t="n"/>
      <c r="I680" s="19" t="n"/>
      <c r="J680" s="19" t="n"/>
    </row>
    <row r="681" ht="15.75" customHeight="1" s="545">
      <c r="A681" s="19" t="n"/>
      <c r="B681" s="19" t="n"/>
      <c r="C681" s="19" t="n"/>
      <c r="D681" s="19" t="n"/>
      <c r="E681" s="19" t="n"/>
      <c r="F681" s="19" t="n"/>
      <c r="G681" s="19" t="n"/>
      <c r="H681" s="19" t="n"/>
      <c r="I681" s="19" t="n"/>
      <c r="J681" s="19" t="n"/>
    </row>
    <row r="682" ht="15.75" customHeight="1" s="545">
      <c r="A682" s="19" t="n"/>
      <c r="B682" s="19" t="n"/>
      <c r="C682" s="19" t="n"/>
      <c r="D682" s="19" t="n"/>
      <c r="E682" s="19" t="n"/>
      <c r="F682" s="19" t="n"/>
      <c r="G682" s="19" t="n"/>
      <c r="H682" s="19" t="n"/>
      <c r="I682" s="19" t="n"/>
      <c r="J682" s="19" t="n"/>
    </row>
    <row r="683" ht="15.75" customHeight="1" s="545">
      <c r="A683" s="19" t="n"/>
      <c r="B683" s="19" t="n"/>
      <c r="C683" s="19" t="n"/>
      <c r="D683" s="19" t="n"/>
      <c r="E683" s="19" t="n"/>
      <c r="F683" s="19" t="n"/>
      <c r="G683" s="19" t="n"/>
      <c r="H683" s="19" t="n"/>
      <c r="I683" s="19" t="n"/>
      <c r="J683" s="19" t="n"/>
    </row>
    <row r="684" ht="15.75" customHeight="1" s="545">
      <c r="A684" s="19" t="n"/>
      <c r="B684" s="19" t="n"/>
      <c r="C684" s="19" t="n"/>
      <c r="D684" s="19" t="n"/>
      <c r="E684" s="19" t="n"/>
      <c r="F684" s="19" t="n"/>
      <c r="G684" s="19" t="n"/>
      <c r="H684" s="19" t="n"/>
      <c r="I684" s="19" t="n"/>
      <c r="J684" s="19" t="n"/>
    </row>
    <row r="685" ht="15.75" customHeight="1" s="545">
      <c r="A685" s="19" t="n"/>
      <c r="B685" s="19" t="n"/>
      <c r="C685" s="19" t="n"/>
      <c r="D685" s="19" t="n"/>
      <c r="E685" s="19" t="n"/>
      <c r="F685" s="19" t="n"/>
      <c r="G685" s="19" t="n"/>
      <c r="H685" s="19" t="n"/>
      <c r="I685" s="19" t="n"/>
      <c r="J685" s="19" t="n"/>
    </row>
    <row r="686" ht="15.75" customHeight="1" s="545">
      <c r="A686" s="19" t="n"/>
      <c r="B686" s="19" t="n"/>
      <c r="C686" s="19" t="n"/>
      <c r="D686" s="19" t="n"/>
      <c r="E686" s="19" t="n"/>
      <c r="F686" s="19" t="n"/>
      <c r="G686" s="19" t="n"/>
      <c r="H686" s="19" t="n"/>
      <c r="I686" s="19" t="n"/>
      <c r="J686" s="19" t="n"/>
    </row>
    <row r="687" ht="15.75" customHeight="1" s="545">
      <c r="A687" s="19" t="n"/>
      <c r="B687" s="19" t="n"/>
      <c r="C687" s="19" t="n"/>
      <c r="D687" s="19" t="n"/>
      <c r="E687" s="19" t="n"/>
      <c r="F687" s="19" t="n"/>
      <c r="G687" s="19" t="n"/>
      <c r="H687" s="19" t="n"/>
      <c r="I687" s="19" t="n"/>
      <c r="J687" s="19" t="n"/>
    </row>
    <row r="688" ht="15.75" customHeight="1" s="545">
      <c r="A688" s="19" t="n"/>
      <c r="B688" s="19" t="n"/>
      <c r="C688" s="19" t="n"/>
      <c r="D688" s="19" t="n"/>
      <c r="E688" s="19" t="n"/>
      <c r="F688" s="19" t="n"/>
      <c r="G688" s="19" t="n"/>
      <c r="H688" s="19" t="n"/>
      <c r="I688" s="19" t="n"/>
      <c r="J688" s="19" t="n"/>
    </row>
    <row r="689" ht="15.75" customHeight="1" s="545">
      <c r="A689" s="19" t="n"/>
      <c r="B689" s="19" t="n"/>
      <c r="C689" s="19" t="n"/>
      <c r="D689" s="19" t="n"/>
      <c r="E689" s="19" t="n"/>
      <c r="F689" s="19" t="n"/>
      <c r="G689" s="19" t="n"/>
      <c r="H689" s="19" t="n"/>
      <c r="I689" s="19" t="n"/>
      <c r="J689" s="19" t="n"/>
    </row>
    <row r="690" ht="15.75" customHeight="1" s="545">
      <c r="A690" s="19" t="n"/>
      <c r="B690" s="19" t="n"/>
      <c r="C690" s="19" t="n"/>
      <c r="D690" s="19" t="n"/>
      <c r="E690" s="19" t="n"/>
      <c r="F690" s="19" t="n"/>
      <c r="G690" s="19" t="n"/>
      <c r="H690" s="19" t="n"/>
      <c r="I690" s="19" t="n"/>
      <c r="J690" s="19" t="n"/>
    </row>
    <row r="691" ht="15.75" customHeight="1" s="545">
      <c r="A691" s="19" t="n"/>
      <c r="B691" s="19" t="n"/>
      <c r="C691" s="19" t="n"/>
      <c r="D691" s="19" t="n"/>
      <c r="E691" s="19" t="n"/>
      <c r="F691" s="19" t="n"/>
      <c r="G691" s="19" t="n"/>
      <c r="H691" s="19" t="n"/>
      <c r="I691" s="19" t="n"/>
      <c r="J691" s="19" t="n"/>
    </row>
    <row r="692" ht="15.75" customHeight="1" s="545">
      <c r="A692" s="19" t="n"/>
      <c r="B692" s="19" t="n"/>
      <c r="C692" s="19" t="n"/>
      <c r="D692" s="19" t="n"/>
      <c r="E692" s="19" t="n"/>
      <c r="F692" s="19" t="n"/>
      <c r="G692" s="19" t="n"/>
      <c r="H692" s="19" t="n"/>
      <c r="I692" s="19" t="n"/>
      <c r="J692" s="19" t="n"/>
    </row>
    <row r="693" ht="15.75" customHeight="1" s="545">
      <c r="A693" s="19" t="n"/>
      <c r="B693" s="19" t="n"/>
      <c r="C693" s="19" t="n"/>
      <c r="D693" s="19" t="n"/>
      <c r="E693" s="19" t="n"/>
      <c r="F693" s="19" t="n"/>
      <c r="G693" s="19" t="n"/>
      <c r="H693" s="19" t="n"/>
      <c r="I693" s="19" t="n"/>
      <c r="J693" s="19" t="n"/>
    </row>
    <row r="694" ht="15.75" customHeight="1" s="545">
      <c r="A694" s="19" t="n"/>
      <c r="B694" s="19" t="n"/>
      <c r="C694" s="19" t="n"/>
      <c r="D694" s="19" t="n"/>
      <c r="E694" s="19" t="n"/>
      <c r="F694" s="19" t="n"/>
      <c r="G694" s="19" t="n"/>
      <c r="H694" s="19" t="n"/>
      <c r="I694" s="19" t="n"/>
      <c r="J694" s="19" t="n"/>
    </row>
    <row r="695" ht="15.75" customHeight="1" s="545">
      <c r="A695" s="19" t="n"/>
      <c r="B695" s="19" t="n"/>
      <c r="C695" s="19" t="n"/>
      <c r="D695" s="19" t="n"/>
      <c r="E695" s="19" t="n"/>
      <c r="F695" s="19" t="n"/>
      <c r="G695" s="19" t="n"/>
      <c r="H695" s="19" t="n"/>
      <c r="I695" s="19" t="n"/>
      <c r="J695" s="19" t="n"/>
    </row>
    <row r="696" ht="15.75" customHeight="1" s="545">
      <c r="A696" s="19" t="n"/>
      <c r="B696" s="19" t="n"/>
      <c r="C696" s="19" t="n"/>
      <c r="D696" s="19" t="n"/>
      <c r="E696" s="19" t="n"/>
      <c r="F696" s="19" t="n"/>
      <c r="G696" s="19" t="n"/>
      <c r="H696" s="19" t="n"/>
      <c r="I696" s="19" t="n"/>
      <c r="J696" s="19" t="n"/>
    </row>
    <row r="697" ht="15.75" customHeight="1" s="545">
      <c r="A697" s="19" t="n"/>
      <c r="B697" s="19" t="n"/>
      <c r="C697" s="19" t="n"/>
      <c r="D697" s="19" t="n"/>
      <c r="E697" s="19" t="n"/>
      <c r="F697" s="19" t="n"/>
      <c r="G697" s="19" t="n"/>
      <c r="H697" s="19" t="n"/>
      <c r="I697" s="19" t="n"/>
      <c r="J697" s="19" t="n"/>
    </row>
    <row r="698" ht="15.75" customHeight="1" s="545">
      <c r="A698" s="19" t="n"/>
      <c r="B698" s="19" t="n"/>
      <c r="C698" s="19" t="n"/>
      <c r="D698" s="19" t="n"/>
      <c r="E698" s="19" t="n"/>
      <c r="F698" s="19" t="n"/>
      <c r="G698" s="19" t="n"/>
      <c r="H698" s="19" t="n"/>
      <c r="I698" s="19" t="n"/>
      <c r="J698" s="19" t="n"/>
    </row>
    <row r="699" ht="15.75" customHeight="1" s="545">
      <c r="A699" s="19" t="n"/>
      <c r="B699" s="19" t="n"/>
      <c r="C699" s="19" t="n"/>
      <c r="D699" s="19" t="n"/>
      <c r="E699" s="19" t="n"/>
      <c r="F699" s="19" t="n"/>
      <c r="G699" s="19" t="n"/>
      <c r="H699" s="19" t="n"/>
      <c r="I699" s="19" t="n"/>
      <c r="J699" s="19" t="n"/>
    </row>
    <row r="700" ht="15.75" customHeight="1" s="545">
      <c r="A700" s="19" t="n"/>
      <c r="B700" s="19" t="n"/>
      <c r="C700" s="19" t="n"/>
      <c r="D700" s="19" t="n"/>
      <c r="E700" s="19" t="n"/>
      <c r="F700" s="19" t="n"/>
      <c r="G700" s="19" t="n"/>
      <c r="H700" s="19" t="n"/>
      <c r="I700" s="19" t="n"/>
      <c r="J700" s="19" t="n"/>
    </row>
    <row r="701" ht="15.75" customHeight="1" s="545">
      <c r="A701" s="19" t="n"/>
      <c r="B701" s="19" t="n"/>
      <c r="C701" s="19" t="n"/>
      <c r="D701" s="19" t="n"/>
      <c r="E701" s="19" t="n"/>
      <c r="F701" s="19" t="n"/>
      <c r="G701" s="19" t="n"/>
      <c r="H701" s="19" t="n"/>
      <c r="I701" s="19" t="n"/>
      <c r="J701" s="19" t="n"/>
    </row>
    <row r="702" ht="15.75" customHeight="1" s="545">
      <c r="A702" s="19" t="n"/>
      <c r="B702" s="19" t="n"/>
      <c r="C702" s="19" t="n"/>
      <c r="D702" s="19" t="n"/>
      <c r="E702" s="19" t="n"/>
      <c r="F702" s="19" t="n"/>
      <c r="G702" s="19" t="n"/>
      <c r="H702" s="19" t="n"/>
      <c r="I702" s="19" t="n"/>
      <c r="J702" s="19" t="n"/>
    </row>
    <row r="703" ht="15.75" customHeight="1" s="545">
      <c r="A703" s="19" t="n"/>
      <c r="B703" s="19" t="n"/>
      <c r="C703" s="19" t="n"/>
      <c r="D703" s="19" t="n"/>
      <c r="E703" s="19" t="n"/>
      <c r="F703" s="19" t="n"/>
      <c r="G703" s="19" t="n"/>
      <c r="H703" s="19" t="n"/>
      <c r="I703" s="19" t="n"/>
      <c r="J703" s="19" t="n"/>
    </row>
    <row r="704" ht="15.75" customHeight="1" s="545">
      <c r="A704" s="19" t="n"/>
      <c r="B704" s="19" t="n"/>
      <c r="C704" s="19" t="n"/>
      <c r="D704" s="19" t="n"/>
      <c r="E704" s="19" t="n"/>
      <c r="F704" s="19" t="n"/>
      <c r="G704" s="19" t="n"/>
      <c r="H704" s="19" t="n"/>
      <c r="I704" s="19" t="n"/>
      <c r="J704" s="19" t="n"/>
    </row>
    <row r="705" ht="15.75" customHeight="1" s="545">
      <c r="A705" s="19" t="n"/>
      <c r="B705" s="19" t="n"/>
      <c r="C705" s="19" t="n"/>
      <c r="D705" s="19" t="n"/>
      <c r="E705" s="19" t="n"/>
      <c r="F705" s="19" t="n"/>
      <c r="G705" s="19" t="n"/>
      <c r="H705" s="19" t="n"/>
      <c r="I705" s="19" t="n"/>
      <c r="J705" s="19" t="n"/>
    </row>
    <row r="706" ht="15.75" customHeight="1" s="545">
      <c r="A706" s="19" t="n"/>
      <c r="B706" s="19" t="n"/>
      <c r="C706" s="19" t="n"/>
      <c r="D706" s="19" t="n"/>
      <c r="E706" s="19" t="n"/>
      <c r="F706" s="19" t="n"/>
      <c r="G706" s="19" t="n"/>
      <c r="H706" s="19" t="n"/>
      <c r="I706" s="19" t="n"/>
      <c r="J706" s="19" t="n"/>
    </row>
    <row r="707" ht="15.75" customHeight="1" s="545">
      <c r="A707" s="19" t="n"/>
      <c r="B707" s="19" t="n"/>
      <c r="C707" s="19" t="n"/>
      <c r="D707" s="19" t="n"/>
      <c r="E707" s="19" t="n"/>
      <c r="F707" s="19" t="n"/>
      <c r="G707" s="19" t="n"/>
      <c r="H707" s="19" t="n"/>
      <c r="I707" s="19" t="n"/>
      <c r="J707" s="19" t="n"/>
    </row>
    <row r="708" ht="15.75" customHeight="1" s="545">
      <c r="A708" s="19" t="n"/>
      <c r="B708" s="19" t="n"/>
      <c r="C708" s="19" t="n"/>
      <c r="D708" s="19" t="n"/>
      <c r="E708" s="19" t="n"/>
      <c r="F708" s="19" t="n"/>
      <c r="G708" s="19" t="n"/>
      <c r="H708" s="19" t="n"/>
      <c r="I708" s="19" t="n"/>
      <c r="J708" s="19" t="n"/>
    </row>
    <row r="709" ht="15.75" customHeight="1" s="545">
      <c r="A709" s="19" t="n"/>
      <c r="B709" s="19" t="n"/>
      <c r="C709" s="19" t="n"/>
      <c r="D709" s="19" t="n"/>
      <c r="E709" s="19" t="n"/>
      <c r="F709" s="19" t="n"/>
      <c r="G709" s="19" t="n"/>
      <c r="H709" s="19" t="n"/>
      <c r="I709" s="19" t="n"/>
      <c r="J709" s="19" t="n"/>
    </row>
    <row r="710" ht="15.75" customHeight="1" s="545">
      <c r="A710" s="19" t="n"/>
      <c r="B710" s="19" t="n"/>
      <c r="C710" s="19" t="n"/>
      <c r="D710" s="19" t="n"/>
      <c r="E710" s="19" t="n"/>
      <c r="F710" s="19" t="n"/>
      <c r="G710" s="19" t="n"/>
      <c r="H710" s="19" t="n"/>
      <c r="I710" s="19" t="n"/>
      <c r="J710" s="19" t="n"/>
    </row>
    <row r="711" ht="15.75" customHeight="1" s="545">
      <c r="A711" s="19" t="n"/>
      <c r="B711" s="19" t="n"/>
      <c r="C711" s="19" t="n"/>
      <c r="D711" s="19" t="n"/>
      <c r="E711" s="19" t="n"/>
      <c r="F711" s="19" t="n"/>
      <c r="G711" s="19" t="n"/>
      <c r="H711" s="19" t="n"/>
      <c r="I711" s="19" t="n"/>
      <c r="J711" s="19" t="n"/>
    </row>
    <row r="712" ht="15.75" customHeight="1" s="545">
      <c r="A712" s="19" t="n"/>
      <c r="B712" s="19" t="n"/>
      <c r="C712" s="19" t="n"/>
      <c r="D712" s="19" t="n"/>
      <c r="E712" s="19" t="n"/>
      <c r="F712" s="19" t="n"/>
      <c r="G712" s="19" t="n"/>
      <c r="H712" s="19" t="n"/>
      <c r="I712" s="19" t="n"/>
      <c r="J712" s="19" t="n"/>
    </row>
    <row r="713" ht="15.75" customHeight="1" s="545">
      <c r="A713" s="19" t="n"/>
      <c r="B713" s="19" t="n"/>
      <c r="C713" s="19" t="n"/>
      <c r="D713" s="19" t="n"/>
      <c r="E713" s="19" t="n"/>
      <c r="F713" s="19" t="n"/>
      <c r="G713" s="19" t="n"/>
      <c r="H713" s="19" t="n"/>
      <c r="I713" s="19" t="n"/>
      <c r="J713" s="19" t="n"/>
    </row>
    <row r="714" ht="15.75" customHeight="1" s="545">
      <c r="A714" s="19" t="n"/>
      <c r="B714" s="19" t="n"/>
      <c r="C714" s="19" t="n"/>
      <c r="D714" s="19" t="n"/>
      <c r="E714" s="19" t="n"/>
      <c r="F714" s="19" t="n"/>
      <c r="G714" s="19" t="n"/>
      <c r="H714" s="19" t="n"/>
      <c r="I714" s="19" t="n"/>
      <c r="J714" s="19" t="n"/>
    </row>
    <row r="715" ht="15.75" customHeight="1" s="545">
      <c r="A715" s="19" t="n"/>
      <c r="B715" s="19" t="n"/>
      <c r="C715" s="19" t="n"/>
      <c r="D715" s="19" t="n"/>
      <c r="E715" s="19" t="n"/>
      <c r="F715" s="19" t="n"/>
      <c r="G715" s="19" t="n"/>
      <c r="H715" s="19" t="n"/>
      <c r="I715" s="19" t="n"/>
      <c r="J715" s="19" t="n"/>
    </row>
    <row r="716" ht="15.75" customHeight="1" s="545">
      <c r="A716" s="19" t="n"/>
      <c r="B716" s="19" t="n"/>
      <c r="C716" s="19" t="n"/>
      <c r="D716" s="19" t="n"/>
      <c r="E716" s="19" t="n"/>
      <c r="F716" s="19" t="n"/>
      <c r="G716" s="19" t="n"/>
      <c r="H716" s="19" t="n"/>
      <c r="I716" s="19" t="n"/>
      <c r="J716" s="19" t="n"/>
    </row>
    <row r="717" ht="15.75" customHeight="1" s="545">
      <c r="A717" s="19" t="n"/>
      <c r="B717" s="19" t="n"/>
      <c r="C717" s="19" t="n"/>
      <c r="D717" s="19" t="n"/>
      <c r="E717" s="19" t="n"/>
      <c r="F717" s="19" t="n"/>
      <c r="G717" s="19" t="n"/>
      <c r="H717" s="19" t="n"/>
      <c r="I717" s="19" t="n"/>
      <c r="J717" s="19" t="n"/>
    </row>
    <row r="718" ht="15.75" customHeight="1" s="545">
      <c r="A718" s="19" t="n"/>
      <c r="B718" s="19" t="n"/>
      <c r="C718" s="19" t="n"/>
      <c r="D718" s="19" t="n"/>
      <c r="E718" s="19" t="n"/>
      <c r="F718" s="19" t="n"/>
      <c r="G718" s="19" t="n"/>
      <c r="H718" s="19" t="n"/>
      <c r="I718" s="19" t="n"/>
      <c r="J718" s="19" t="n"/>
    </row>
    <row r="719" ht="15.75" customHeight="1" s="545">
      <c r="A719" s="19" t="n"/>
      <c r="B719" s="19" t="n"/>
      <c r="C719" s="19" t="n"/>
      <c r="D719" s="19" t="n"/>
      <c r="E719" s="19" t="n"/>
      <c r="F719" s="19" t="n"/>
      <c r="G719" s="19" t="n"/>
      <c r="H719" s="19" t="n"/>
      <c r="I719" s="19" t="n"/>
      <c r="J719" s="19" t="n"/>
    </row>
    <row r="720" ht="15.75" customHeight="1" s="545">
      <c r="A720" s="19" t="n"/>
      <c r="B720" s="19" t="n"/>
      <c r="C720" s="19" t="n"/>
      <c r="D720" s="19" t="n"/>
      <c r="E720" s="19" t="n"/>
      <c r="F720" s="19" t="n"/>
      <c r="G720" s="19" t="n"/>
      <c r="H720" s="19" t="n"/>
      <c r="I720" s="19" t="n"/>
      <c r="J720" s="19" t="n"/>
    </row>
    <row r="721" ht="15.75" customHeight="1" s="545">
      <c r="A721" s="19" t="n"/>
      <c r="B721" s="19" t="n"/>
      <c r="C721" s="19" t="n"/>
      <c r="D721" s="19" t="n"/>
      <c r="E721" s="19" t="n"/>
      <c r="F721" s="19" t="n"/>
      <c r="G721" s="19" t="n"/>
      <c r="H721" s="19" t="n"/>
      <c r="I721" s="19" t="n"/>
      <c r="J721" s="19" t="n"/>
    </row>
    <row r="722" ht="15.75" customHeight="1" s="545">
      <c r="A722" s="19" t="n"/>
      <c r="B722" s="19" t="n"/>
      <c r="C722" s="19" t="n"/>
      <c r="D722" s="19" t="n"/>
      <c r="E722" s="19" t="n"/>
      <c r="F722" s="19" t="n"/>
      <c r="G722" s="19" t="n"/>
      <c r="H722" s="19" t="n"/>
      <c r="I722" s="19" t="n"/>
      <c r="J722" s="19" t="n"/>
    </row>
    <row r="723" ht="15.75" customHeight="1" s="545">
      <c r="A723" s="19" t="n"/>
      <c r="B723" s="19" t="n"/>
      <c r="C723" s="19" t="n"/>
      <c r="D723" s="19" t="n"/>
      <c r="E723" s="19" t="n"/>
      <c r="F723" s="19" t="n"/>
      <c r="G723" s="19" t="n"/>
      <c r="H723" s="19" t="n"/>
      <c r="I723" s="19" t="n"/>
      <c r="J723" s="19" t="n"/>
    </row>
    <row r="724" ht="15.75" customHeight="1" s="545">
      <c r="A724" s="19" t="n"/>
      <c r="B724" s="19" t="n"/>
      <c r="C724" s="19" t="n"/>
      <c r="D724" s="19" t="n"/>
      <c r="E724" s="19" t="n"/>
      <c r="F724" s="19" t="n"/>
      <c r="G724" s="19" t="n"/>
      <c r="H724" s="19" t="n"/>
      <c r="I724" s="19" t="n"/>
      <c r="J724" s="19" t="n"/>
    </row>
    <row r="725" ht="15.75" customHeight="1" s="545">
      <c r="A725" s="19" t="n"/>
      <c r="B725" s="19" t="n"/>
      <c r="C725" s="19" t="n"/>
      <c r="D725" s="19" t="n"/>
      <c r="E725" s="19" t="n"/>
      <c r="F725" s="19" t="n"/>
      <c r="G725" s="19" t="n"/>
      <c r="H725" s="19" t="n"/>
      <c r="I725" s="19" t="n"/>
      <c r="J725" s="19" t="n"/>
    </row>
    <row r="726" ht="15.75" customHeight="1" s="545">
      <c r="A726" s="19" t="n"/>
      <c r="B726" s="19" t="n"/>
      <c r="C726" s="19" t="n"/>
      <c r="D726" s="19" t="n"/>
      <c r="E726" s="19" t="n"/>
      <c r="F726" s="19" t="n"/>
      <c r="G726" s="19" t="n"/>
      <c r="H726" s="19" t="n"/>
      <c r="I726" s="19" t="n"/>
      <c r="J726" s="19" t="n"/>
    </row>
    <row r="727" ht="15.75" customHeight="1" s="545">
      <c r="A727" s="19" t="n"/>
      <c r="B727" s="19" t="n"/>
      <c r="C727" s="19" t="n"/>
      <c r="D727" s="19" t="n"/>
      <c r="E727" s="19" t="n"/>
      <c r="F727" s="19" t="n"/>
      <c r="G727" s="19" t="n"/>
      <c r="H727" s="19" t="n"/>
      <c r="I727" s="19" t="n"/>
      <c r="J727" s="19" t="n"/>
    </row>
    <row r="728" ht="15.75" customHeight="1" s="545">
      <c r="A728" s="19" t="n"/>
      <c r="B728" s="19" t="n"/>
      <c r="C728" s="19" t="n"/>
      <c r="D728" s="19" t="n"/>
      <c r="E728" s="19" t="n"/>
      <c r="F728" s="19" t="n"/>
      <c r="G728" s="19" t="n"/>
      <c r="H728" s="19" t="n"/>
      <c r="I728" s="19" t="n"/>
      <c r="J728" s="19" t="n"/>
    </row>
    <row r="729" ht="15.75" customHeight="1" s="545">
      <c r="A729" s="19" t="n"/>
      <c r="B729" s="19" t="n"/>
      <c r="C729" s="19" t="n"/>
      <c r="D729" s="19" t="n"/>
      <c r="E729" s="19" t="n"/>
      <c r="F729" s="19" t="n"/>
      <c r="G729" s="19" t="n"/>
      <c r="H729" s="19" t="n"/>
      <c r="I729" s="19" t="n"/>
      <c r="J729" s="19" t="n"/>
    </row>
    <row r="730" ht="15.75" customHeight="1" s="545">
      <c r="A730" s="19" t="n"/>
      <c r="B730" s="19" t="n"/>
      <c r="C730" s="19" t="n"/>
      <c r="D730" s="19" t="n"/>
      <c r="E730" s="19" t="n"/>
      <c r="F730" s="19" t="n"/>
      <c r="G730" s="19" t="n"/>
      <c r="H730" s="19" t="n"/>
      <c r="I730" s="19" t="n"/>
      <c r="J730" s="19" t="n"/>
    </row>
    <row r="731" ht="15.75" customHeight="1" s="545">
      <c r="A731" s="19" t="n"/>
      <c r="B731" s="19" t="n"/>
      <c r="C731" s="19" t="n"/>
      <c r="D731" s="19" t="n"/>
      <c r="E731" s="19" t="n"/>
      <c r="F731" s="19" t="n"/>
      <c r="G731" s="19" t="n"/>
      <c r="H731" s="19" t="n"/>
      <c r="I731" s="19" t="n"/>
      <c r="J731" s="19" t="n"/>
    </row>
    <row r="732" ht="15.75" customHeight="1" s="545">
      <c r="A732" s="19" t="n"/>
      <c r="B732" s="19" t="n"/>
      <c r="C732" s="19" t="n"/>
      <c r="D732" s="19" t="n"/>
      <c r="E732" s="19" t="n"/>
      <c r="F732" s="19" t="n"/>
      <c r="G732" s="19" t="n"/>
      <c r="H732" s="19" t="n"/>
      <c r="I732" s="19" t="n"/>
      <c r="J732" s="19" t="n"/>
    </row>
    <row r="733" ht="15.75" customHeight="1" s="545">
      <c r="A733" s="19" t="n"/>
      <c r="B733" s="19" t="n"/>
      <c r="C733" s="19" t="n"/>
      <c r="D733" s="19" t="n"/>
      <c r="E733" s="19" t="n"/>
      <c r="F733" s="19" t="n"/>
      <c r="G733" s="19" t="n"/>
      <c r="H733" s="19" t="n"/>
      <c r="I733" s="19" t="n"/>
      <c r="J733" s="19" t="n"/>
    </row>
    <row r="734" ht="15.75" customHeight="1" s="545">
      <c r="A734" s="19" t="n"/>
      <c r="B734" s="19" t="n"/>
      <c r="C734" s="19" t="n"/>
      <c r="D734" s="19" t="n"/>
      <c r="E734" s="19" t="n"/>
      <c r="F734" s="19" t="n"/>
      <c r="G734" s="19" t="n"/>
      <c r="H734" s="19" t="n"/>
      <c r="I734" s="19" t="n"/>
      <c r="J734" s="19" t="n"/>
    </row>
    <row r="735" ht="15.75" customHeight="1" s="545">
      <c r="A735" s="19" t="n"/>
      <c r="B735" s="19" t="n"/>
      <c r="C735" s="19" t="n"/>
      <c r="D735" s="19" t="n"/>
      <c r="E735" s="19" t="n"/>
      <c r="F735" s="19" t="n"/>
      <c r="G735" s="19" t="n"/>
      <c r="H735" s="19" t="n"/>
      <c r="I735" s="19" t="n"/>
      <c r="J735" s="19" t="n"/>
    </row>
    <row r="736" ht="15.75" customHeight="1" s="545">
      <c r="A736" s="19" t="n"/>
      <c r="B736" s="19" t="n"/>
      <c r="C736" s="19" t="n"/>
      <c r="D736" s="19" t="n"/>
      <c r="E736" s="19" t="n"/>
      <c r="F736" s="19" t="n"/>
      <c r="G736" s="19" t="n"/>
      <c r="H736" s="19" t="n"/>
      <c r="I736" s="19" t="n"/>
      <c r="J736" s="19" t="n"/>
    </row>
    <row r="737" ht="15.75" customHeight="1" s="545">
      <c r="A737" s="19" t="n"/>
      <c r="B737" s="19" t="n"/>
      <c r="C737" s="19" t="n"/>
      <c r="D737" s="19" t="n"/>
      <c r="E737" s="19" t="n"/>
      <c r="F737" s="19" t="n"/>
      <c r="G737" s="19" t="n"/>
      <c r="H737" s="19" t="n"/>
      <c r="I737" s="19" t="n"/>
      <c r="J737" s="19" t="n"/>
    </row>
    <row r="738" ht="15.75" customHeight="1" s="545">
      <c r="A738" s="19" t="n"/>
      <c r="B738" s="19" t="n"/>
      <c r="C738" s="19" t="n"/>
      <c r="D738" s="19" t="n"/>
      <c r="E738" s="19" t="n"/>
      <c r="F738" s="19" t="n"/>
      <c r="G738" s="19" t="n"/>
      <c r="H738" s="19" t="n"/>
      <c r="I738" s="19" t="n"/>
      <c r="J738" s="19" t="n"/>
    </row>
    <row r="739" ht="15.75" customHeight="1" s="545">
      <c r="A739" s="19" t="n"/>
      <c r="B739" s="19" t="n"/>
      <c r="C739" s="19" t="n"/>
      <c r="D739" s="19" t="n"/>
      <c r="E739" s="19" t="n"/>
      <c r="F739" s="19" t="n"/>
      <c r="G739" s="19" t="n"/>
      <c r="H739" s="19" t="n"/>
      <c r="I739" s="19" t="n"/>
      <c r="J739" s="19" t="n"/>
    </row>
    <row r="740" ht="15.75" customHeight="1" s="545">
      <c r="A740" s="19" t="n"/>
      <c r="B740" s="19" t="n"/>
      <c r="C740" s="19" t="n"/>
      <c r="D740" s="19" t="n"/>
      <c r="E740" s="19" t="n"/>
      <c r="F740" s="19" t="n"/>
      <c r="G740" s="19" t="n"/>
      <c r="H740" s="19" t="n"/>
      <c r="I740" s="19" t="n"/>
      <c r="J740" s="19" t="n"/>
    </row>
    <row r="741" ht="15.75" customHeight="1" s="545">
      <c r="A741" s="19" t="n"/>
      <c r="B741" s="19" t="n"/>
      <c r="C741" s="19" t="n"/>
      <c r="D741" s="19" t="n"/>
      <c r="E741" s="19" t="n"/>
      <c r="F741" s="19" t="n"/>
      <c r="G741" s="19" t="n"/>
      <c r="H741" s="19" t="n"/>
      <c r="I741" s="19" t="n"/>
      <c r="J741" s="19" t="n"/>
    </row>
    <row r="742" ht="15.75" customHeight="1" s="545">
      <c r="A742" s="19" t="n"/>
      <c r="B742" s="19" t="n"/>
      <c r="C742" s="19" t="n"/>
      <c r="D742" s="19" t="n"/>
      <c r="E742" s="19" t="n"/>
      <c r="F742" s="19" t="n"/>
      <c r="G742" s="19" t="n"/>
      <c r="H742" s="19" t="n"/>
      <c r="I742" s="19" t="n"/>
      <c r="J742" s="19" t="n"/>
    </row>
    <row r="743" ht="15.75" customHeight="1" s="545">
      <c r="A743" s="19" t="n"/>
      <c r="B743" s="19" t="n"/>
      <c r="C743" s="19" t="n"/>
      <c r="D743" s="19" t="n"/>
      <c r="E743" s="19" t="n"/>
      <c r="F743" s="19" t="n"/>
      <c r="G743" s="19" t="n"/>
      <c r="H743" s="19" t="n"/>
      <c r="I743" s="19" t="n"/>
      <c r="J743" s="19" t="n"/>
    </row>
    <row r="744" ht="15.75" customHeight="1" s="545">
      <c r="A744" s="19" t="n"/>
      <c r="B744" s="19" t="n"/>
      <c r="C744" s="19" t="n"/>
      <c r="D744" s="19" t="n"/>
      <c r="E744" s="19" t="n"/>
      <c r="F744" s="19" t="n"/>
      <c r="G744" s="19" t="n"/>
      <c r="H744" s="19" t="n"/>
      <c r="I744" s="19" t="n"/>
      <c r="J744" s="19" t="n"/>
    </row>
    <row r="745" ht="15.75" customHeight="1" s="545">
      <c r="A745" s="19" t="n"/>
      <c r="B745" s="19" t="n"/>
      <c r="C745" s="19" t="n"/>
      <c r="D745" s="19" t="n"/>
      <c r="E745" s="19" t="n"/>
      <c r="F745" s="19" t="n"/>
      <c r="G745" s="19" t="n"/>
      <c r="H745" s="19" t="n"/>
      <c r="I745" s="19" t="n"/>
      <c r="J745" s="19" t="n"/>
    </row>
    <row r="746" ht="15.75" customHeight="1" s="545">
      <c r="A746" s="19" t="n"/>
      <c r="B746" s="19" t="n"/>
      <c r="C746" s="19" t="n"/>
      <c r="D746" s="19" t="n"/>
      <c r="E746" s="19" t="n"/>
      <c r="F746" s="19" t="n"/>
      <c r="G746" s="19" t="n"/>
      <c r="H746" s="19" t="n"/>
      <c r="I746" s="19" t="n"/>
      <c r="J746" s="19" t="n"/>
    </row>
    <row r="747" ht="15.75" customHeight="1" s="545">
      <c r="A747" s="19" t="n"/>
      <c r="B747" s="19" t="n"/>
      <c r="C747" s="19" t="n"/>
      <c r="D747" s="19" t="n"/>
      <c r="E747" s="19" t="n"/>
      <c r="F747" s="19" t="n"/>
      <c r="G747" s="19" t="n"/>
      <c r="H747" s="19" t="n"/>
      <c r="I747" s="19" t="n"/>
      <c r="J747" s="19" t="n"/>
    </row>
    <row r="748" ht="15.75" customHeight="1" s="545">
      <c r="A748" s="19" t="n"/>
      <c r="B748" s="19" t="n"/>
      <c r="C748" s="19" t="n"/>
      <c r="D748" s="19" t="n"/>
      <c r="E748" s="19" t="n"/>
      <c r="F748" s="19" t="n"/>
      <c r="G748" s="19" t="n"/>
      <c r="H748" s="19" t="n"/>
      <c r="I748" s="19" t="n"/>
      <c r="J748" s="19" t="n"/>
    </row>
    <row r="749" ht="15.75" customHeight="1" s="545">
      <c r="A749" s="19" t="n"/>
      <c r="B749" s="19" t="n"/>
      <c r="C749" s="19" t="n"/>
      <c r="D749" s="19" t="n"/>
      <c r="E749" s="19" t="n"/>
      <c r="F749" s="19" t="n"/>
      <c r="G749" s="19" t="n"/>
      <c r="H749" s="19" t="n"/>
      <c r="I749" s="19" t="n"/>
      <c r="J749" s="19" t="n"/>
    </row>
    <row r="750" ht="15.75" customHeight="1" s="545">
      <c r="A750" s="19" t="n"/>
      <c r="B750" s="19" t="n"/>
      <c r="C750" s="19" t="n"/>
      <c r="D750" s="19" t="n"/>
      <c r="E750" s="19" t="n"/>
      <c r="F750" s="19" t="n"/>
      <c r="G750" s="19" t="n"/>
      <c r="H750" s="19" t="n"/>
      <c r="I750" s="19" t="n"/>
      <c r="J750" s="19" t="n"/>
    </row>
    <row r="751" ht="15.75" customHeight="1" s="545">
      <c r="A751" s="19" t="n"/>
      <c r="B751" s="19" t="n"/>
      <c r="C751" s="19" t="n"/>
      <c r="D751" s="19" t="n"/>
      <c r="E751" s="19" t="n"/>
      <c r="F751" s="19" t="n"/>
      <c r="G751" s="19" t="n"/>
      <c r="H751" s="19" t="n"/>
      <c r="I751" s="19" t="n"/>
      <c r="J751" s="19" t="n"/>
    </row>
    <row r="752" ht="15.75" customHeight="1" s="545">
      <c r="A752" s="19" t="n"/>
      <c r="B752" s="19" t="n"/>
      <c r="C752" s="19" t="n"/>
      <c r="D752" s="19" t="n"/>
      <c r="E752" s="19" t="n"/>
      <c r="F752" s="19" t="n"/>
      <c r="G752" s="19" t="n"/>
      <c r="H752" s="19" t="n"/>
      <c r="I752" s="19" t="n"/>
      <c r="J752" s="19" t="n"/>
    </row>
    <row r="753" ht="15.75" customHeight="1" s="545">
      <c r="A753" s="19" t="n"/>
      <c r="B753" s="19" t="n"/>
      <c r="C753" s="19" t="n"/>
      <c r="D753" s="19" t="n"/>
      <c r="E753" s="19" t="n"/>
      <c r="F753" s="19" t="n"/>
      <c r="G753" s="19" t="n"/>
      <c r="H753" s="19" t="n"/>
      <c r="I753" s="19" t="n"/>
      <c r="J753" s="19" t="n"/>
    </row>
    <row r="754" ht="15.75" customHeight="1" s="545">
      <c r="A754" s="19" t="n"/>
      <c r="B754" s="19" t="n"/>
      <c r="C754" s="19" t="n"/>
      <c r="D754" s="19" t="n"/>
      <c r="E754" s="19" t="n"/>
      <c r="F754" s="19" t="n"/>
      <c r="G754" s="19" t="n"/>
      <c r="H754" s="19" t="n"/>
      <c r="I754" s="19" t="n"/>
      <c r="J754" s="19" t="n"/>
    </row>
    <row r="755" ht="15.75" customHeight="1" s="545">
      <c r="A755" s="19" t="n"/>
      <c r="B755" s="19" t="n"/>
      <c r="C755" s="19" t="n"/>
      <c r="D755" s="19" t="n"/>
      <c r="E755" s="19" t="n"/>
      <c r="F755" s="19" t="n"/>
      <c r="G755" s="19" t="n"/>
      <c r="H755" s="19" t="n"/>
      <c r="I755" s="19" t="n"/>
      <c r="J755" s="19" t="n"/>
    </row>
    <row r="756" ht="15.75" customHeight="1" s="545">
      <c r="A756" s="19" t="n"/>
      <c r="B756" s="19" t="n"/>
      <c r="C756" s="19" t="n"/>
      <c r="D756" s="19" t="n"/>
      <c r="E756" s="19" t="n"/>
      <c r="F756" s="19" t="n"/>
      <c r="G756" s="19" t="n"/>
      <c r="H756" s="19" t="n"/>
      <c r="I756" s="19" t="n"/>
      <c r="J756" s="19" t="n"/>
    </row>
    <row r="757" ht="15.75" customHeight="1" s="545">
      <c r="A757" s="19" t="n"/>
      <c r="B757" s="19" t="n"/>
      <c r="C757" s="19" t="n"/>
      <c r="D757" s="19" t="n"/>
      <c r="E757" s="19" t="n"/>
      <c r="F757" s="19" t="n"/>
      <c r="G757" s="19" t="n"/>
      <c r="H757" s="19" t="n"/>
      <c r="I757" s="19" t="n"/>
      <c r="J757" s="19" t="n"/>
    </row>
    <row r="758" ht="15.75" customHeight="1" s="545">
      <c r="A758" s="19" t="n"/>
      <c r="B758" s="19" t="n"/>
      <c r="C758" s="19" t="n"/>
      <c r="D758" s="19" t="n"/>
      <c r="E758" s="19" t="n"/>
      <c r="F758" s="19" t="n"/>
      <c r="G758" s="19" t="n"/>
      <c r="H758" s="19" t="n"/>
      <c r="I758" s="19" t="n"/>
      <c r="J758" s="19" t="n"/>
    </row>
    <row r="759" ht="15.75" customHeight="1" s="545">
      <c r="A759" s="19" t="n"/>
      <c r="B759" s="19" t="n"/>
      <c r="C759" s="19" t="n"/>
      <c r="D759" s="19" t="n"/>
      <c r="E759" s="19" t="n"/>
      <c r="F759" s="19" t="n"/>
      <c r="G759" s="19" t="n"/>
      <c r="H759" s="19" t="n"/>
      <c r="I759" s="19" t="n"/>
      <c r="J759" s="19" t="n"/>
    </row>
    <row r="760" ht="15.75" customHeight="1" s="545">
      <c r="A760" s="19" t="n"/>
      <c r="B760" s="19" t="n"/>
      <c r="C760" s="19" t="n"/>
      <c r="D760" s="19" t="n"/>
      <c r="E760" s="19" t="n"/>
      <c r="F760" s="19" t="n"/>
      <c r="G760" s="19" t="n"/>
      <c r="H760" s="19" t="n"/>
      <c r="I760" s="19" t="n"/>
      <c r="J760" s="19" t="n"/>
    </row>
    <row r="761" ht="15.75" customHeight="1" s="545">
      <c r="A761" s="19" t="n"/>
      <c r="B761" s="19" t="n"/>
      <c r="C761" s="19" t="n"/>
      <c r="D761" s="19" t="n"/>
      <c r="E761" s="19" t="n"/>
      <c r="F761" s="19" t="n"/>
      <c r="G761" s="19" t="n"/>
      <c r="H761" s="19" t="n"/>
      <c r="I761" s="19" t="n"/>
      <c r="J761" s="19" t="n"/>
    </row>
    <row r="762" ht="15.75" customHeight="1" s="545">
      <c r="A762" s="19" t="n"/>
      <c r="B762" s="19" t="n"/>
      <c r="C762" s="19" t="n"/>
      <c r="D762" s="19" t="n"/>
      <c r="E762" s="19" t="n"/>
      <c r="F762" s="19" t="n"/>
      <c r="G762" s="19" t="n"/>
      <c r="H762" s="19" t="n"/>
      <c r="I762" s="19" t="n"/>
      <c r="J762" s="19" t="n"/>
    </row>
    <row r="763" ht="15.75" customHeight="1" s="545">
      <c r="A763" s="19" t="n"/>
      <c r="B763" s="19" t="n"/>
      <c r="C763" s="19" t="n"/>
      <c r="D763" s="19" t="n"/>
      <c r="E763" s="19" t="n"/>
      <c r="F763" s="19" t="n"/>
      <c r="G763" s="19" t="n"/>
      <c r="H763" s="19" t="n"/>
      <c r="I763" s="19" t="n"/>
      <c r="J763" s="19" t="n"/>
    </row>
    <row r="764" ht="15.75" customHeight="1" s="545">
      <c r="A764" s="19" t="n"/>
      <c r="B764" s="19" t="n"/>
      <c r="C764" s="19" t="n"/>
      <c r="D764" s="19" t="n"/>
      <c r="E764" s="19" t="n"/>
      <c r="F764" s="19" t="n"/>
      <c r="G764" s="19" t="n"/>
      <c r="H764" s="19" t="n"/>
      <c r="I764" s="19" t="n"/>
      <c r="J764" s="19" t="n"/>
    </row>
    <row r="765" ht="15.75" customHeight="1" s="545">
      <c r="A765" s="19" t="n"/>
      <c r="B765" s="19" t="n"/>
      <c r="C765" s="19" t="n"/>
      <c r="D765" s="19" t="n"/>
      <c r="E765" s="19" t="n"/>
      <c r="F765" s="19" t="n"/>
      <c r="G765" s="19" t="n"/>
      <c r="H765" s="19" t="n"/>
      <c r="I765" s="19" t="n"/>
      <c r="J765" s="19" t="n"/>
    </row>
    <row r="766" ht="15.75" customHeight="1" s="545">
      <c r="A766" s="19" t="n"/>
      <c r="B766" s="19" t="n"/>
      <c r="C766" s="19" t="n"/>
      <c r="D766" s="19" t="n"/>
      <c r="E766" s="19" t="n"/>
      <c r="F766" s="19" t="n"/>
      <c r="G766" s="19" t="n"/>
      <c r="H766" s="19" t="n"/>
      <c r="I766" s="19" t="n"/>
      <c r="J766" s="19" t="n"/>
    </row>
    <row r="767" ht="15.75" customHeight="1" s="545">
      <c r="A767" s="19" t="n"/>
      <c r="B767" s="19" t="n"/>
      <c r="C767" s="19" t="n"/>
      <c r="D767" s="19" t="n"/>
      <c r="E767" s="19" t="n"/>
      <c r="F767" s="19" t="n"/>
      <c r="G767" s="19" t="n"/>
      <c r="H767" s="19" t="n"/>
      <c r="I767" s="19" t="n"/>
      <c r="J767" s="19" t="n"/>
    </row>
    <row r="768" ht="15.75" customHeight="1" s="545">
      <c r="A768" s="19" t="n"/>
      <c r="B768" s="19" t="n"/>
      <c r="C768" s="19" t="n"/>
      <c r="D768" s="19" t="n"/>
      <c r="E768" s="19" t="n"/>
      <c r="F768" s="19" t="n"/>
      <c r="G768" s="19" t="n"/>
      <c r="H768" s="19" t="n"/>
      <c r="I768" s="19" t="n"/>
      <c r="J768" s="19" t="n"/>
    </row>
    <row r="769" ht="15.75" customHeight="1" s="545">
      <c r="A769" s="19" t="n"/>
      <c r="B769" s="19" t="n"/>
      <c r="C769" s="19" t="n"/>
      <c r="D769" s="19" t="n"/>
      <c r="E769" s="19" t="n"/>
      <c r="F769" s="19" t="n"/>
      <c r="G769" s="19" t="n"/>
      <c r="H769" s="19" t="n"/>
      <c r="I769" s="19" t="n"/>
      <c r="J769" s="19" t="n"/>
    </row>
    <row r="770" ht="15.75" customHeight="1" s="545">
      <c r="A770" s="19" t="n"/>
      <c r="B770" s="19" t="n"/>
      <c r="C770" s="19" t="n"/>
      <c r="D770" s="19" t="n"/>
      <c r="E770" s="19" t="n"/>
      <c r="F770" s="19" t="n"/>
      <c r="G770" s="19" t="n"/>
      <c r="H770" s="19" t="n"/>
      <c r="I770" s="19" t="n"/>
      <c r="J770" s="19" t="n"/>
    </row>
    <row r="771" ht="15.75" customHeight="1" s="545">
      <c r="A771" s="19" t="n"/>
      <c r="B771" s="19" t="n"/>
      <c r="C771" s="19" t="n"/>
      <c r="D771" s="19" t="n"/>
      <c r="E771" s="19" t="n"/>
      <c r="F771" s="19" t="n"/>
      <c r="G771" s="19" t="n"/>
      <c r="H771" s="19" t="n"/>
      <c r="I771" s="19" t="n"/>
      <c r="J771" s="19" t="n"/>
    </row>
    <row r="772" ht="15.75" customHeight="1" s="545">
      <c r="A772" s="19" t="n"/>
      <c r="B772" s="19" t="n"/>
      <c r="C772" s="19" t="n"/>
      <c r="D772" s="19" t="n"/>
      <c r="E772" s="19" t="n"/>
      <c r="F772" s="19" t="n"/>
      <c r="G772" s="19" t="n"/>
      <c r="H772" s="19" t="n"/>
      <c r="I772" s="19" t="n"/>
      <c r="J772" s="19" t="n"/>
    </row>
    <row r="773" ht="15.75" customHeight="1" s="545">
      <c r="A773" s="19" t="n"/>
      <c r="B773" s="19" t="n"/>
      <c r="C773" s="19" t="n"/>
      <c r="D773" s="19" t="n"/>
      <c r="E773" s="19" t="n"/>
      <c r="F773" s="19" t="n"/>
      <c r="G773" s="19" t="n"/>
      <c r="H773" s="19" t="n"/>
      <c r="I773" s="19" t="n"/>
      <c r="J773" s="19" t="n"/>
    </row>
    <row r="774" ht="15.75" customHeight="1" s="545">
      <c r="A774" s="19" t="n"/>
      <c r="B774" s="19" t="n"/>
      <c r="C774" s="19" t="n"/>
      <c r="D774" s="19" t="n"/>
      <c r="E774" s="19" t="n"/>
      <c r="F774" s="19" t="n"/>
      <c r="G774" s="19" t="n"/>
      <c r="H774" s="19" t="n"/>
      <c r="I774" s="19" t="n"/>
      <c r="J774" s="19" t="n"/>
    </row>
    <row r="775" ht="15.75" customHeight="1" s="545">
      <c r="A775" s="19" t="n"/>
      <c r="B775" s="19" t="n"/>
      <c r="C775" s="19" t="n"/>
      <c r="D775" s="19" t="n"/>
      <c r="E775" s="19" t="n"/>
      <c r="F775" s="19" t="n"/>
      <c r="G775" s="19" t="n"/>
      <c r="H775" s="19" t="n"/>
      <c r="I775" s="19" t="n"/>
      <c r="J775" s="19" t="n"/>
    </row>
    <row r="776" ht="15.75" customHeight="1" s="545">
      <c r="A776" s="19" t="n"/>
      <c r="B776" s="19" t="n"/>
      <c r="C776" s="19" t="n"/>
      <c r="D776" s="19" t="n"/>
      <c r="E776" s="19" t="n"/>
      <c r="F776" s="19" t="n"/>
      <c r="G776" s="19" t="n"/>
      <c r="H776" s="19" t="n"/>
      <c r="I776" s="19" t="n"/>
      <c r="J776" s="19" t="n"/>
    </row>
    <row r="777" ht="15.75" customHeight="1" s="545">
      <c r="A777" s="19" t="n"/>
      <c r="B777" s="19" t="n"/>
      <c r="C777" s="19" t="n"/>
      <c r="D777" s="19" t="n"/>
      <c r="E777" s="19" t="n"/>
      <c r="F777" s="19" t="n"/>
      <c r="G777" s="19" t="n"/>
      <c r="H777" s="19" t="n"/>
      <c r="I777" s="19" t="n"/>
      <c r="J777" s="19" t="n"/>
    </row>
    <row r="778" ht="15.75" customHeight="1" s="545">
      <c r="A778" s="19" t="n"/>
      <c r="B778" s="19" t="n"/>
      <c r="C778" s="19" t="n"/>
      <c r="D778" s="19" t="n"/>
      <c r="E778" s="19" t="n"/>
      <c r="F778" s="19" t="n"/>
      <c r="G778" s="19" t="n"/>
      <c r="H778" s="19" t="n"/>
      <c r="I778" s="19" t="n"/>
      <c r="J778" s="19" t="n"/>
    </row>
    <row r="779" ht="15.75" customHeight="1" s="545">
      <c r="A779" s="19" t="n"/>
      <c r="B779" s="19" t="n"/>
      <c r="C779" s="19" t="n"/>
      <c r="D779" s="19" t="n"/>
      <c r="E779" s="19" t="n"/>
      <c r="F779" s="19" t="n"/>
      <c r="G779" s="19" t="n"/>
      <c r="H779" s="19" t="n"/>
      <c r="I779" s="19" t="n"/>
      <c r="J779" s="19" t="n"/>
    </row>
    <row r="780" ht="15.75" customHeight="1" s="545">
      <c r="A780" s="19" t="n"/>
      <c r="B780" s="19" t="n"/>
      <c r="C780" s="19" t="n"/>
      <c r="D780" s="19" t="n"/>
      <c r="E780" s="19" t="n"/>
      <c r="F780" s="19" t="n"/>
      <c r="G780" s="19" t="n"/>
      <c r="H780" s="19" t="n"/>
      <c r="I780" s="19" t="n"/>
      <c r="J780" s="19" t="n"/>
    </row>
    <row r="781" ht="15.75" customHeight="1" s="545">
      <c r="A781" s="19" t="n"/>
      <c r="B781" s="19" t="n"/>
      <c r="C781" s="19" t="n"/>
      <c r="D781" s="19" t="n"/>
      <c r="E781" s="19" t="n"/>
      <c r="F781" s="19" t="n"/>
      <c r="G781" s="19" t="n"/>
      <c r="H781" s="19" t="n"/>
      <c r="I781" s="19" t="n"/>
      <c r="J781" s="19" t="n"/>
    </row>
    <row r="782" ht="15.75" customHeight="1" s="545">
      <c r="A782" s="19" t="n"/>
      <c r="B782" s="19" t="n"/>
      <c r="C782" s="19" t="n"/>
      <c r="D782" s="19" t="n"/>
      <c r="E782" s="19" t="n"/>
      <c r="F782" s="19" t="n"/>
      <c r="G782" s="19" t="n"/>
      <c r="H782" s="19" t="n"/>
      <c r="I782" s="19" t="n"/>
      <c r="J782" s="19" t="n"/>
    </row>
    <row r="783" ht="15.75" customHeight="1" s="545">
      <c r="A783" s="19" t="n"/>
      <c r="B783" s="19" t="n"/>
      <c r="C783" s="19" t="n"/>
      <c r="D783" s="19" t="n"/>
      <c r="E783" s="19" t="n"/>
      <c r="F783" s="19" t="n"/>
      <c r="G783" s="19" t="n"/>
      <c r="H783" s="19" t="n"/>
      <c r="I783" s="19" t="n"/>
      <c r="J783" s="19" t="n"/>
    </row>
    <row r="784" ht="15.75" customHeight="1" s="545">
      <c r="A784" s="19" t="n"/>
      <c r="B784" s="19" t="n"/>
      <c r="C784" s="19" t="n"/>
      <c r="D784" s="19" t="n"/>
      <c r="E784" s="19" t="n"/>
      <c r="F784" s="19" t="n"/>
      <c r="G784" s="19" t="n"/>
      <c r="H784" s="19" t="n"/>
      <c r="I784" s="19" t="n"/>
      <c r="J784" s="19" t="n"/>
    </row>
    <row r="785" ht="15.75" customHeight="1" s="545">
      <c r="A785" s="19" t="n"/>
      <c r="B785" s="19" t="n"/>
      <c r="C785" s="19" t="n"/>
      <c r="D785" s="19" t="n"/>
      <c r="E785" s="19" t="n"/>
      <c r="F785" s="19" t="n"/>
      <c r="G785" s="19" t="n"/>
      <c r="H785" s="19" t="n"/>
      <c r="I785" s="19" t="n"/>
      <c r="J785" s="19" t="n"/>
    </row>
    <row r="786" ht="15.75" customHeight="1" s="545">
      <c r="A786" s="19" t="n"/>
      <c r="B786" s="19" t="n"/>
      <c r="C786" s="19" t="n"/>
      <c r="D786" s="19" t="n"/>
      <c r="E786" s="19" t="n"/>
      <c r="F786" s="19" t="n"/>
      <c r="G786" s="19" t="n"/>
      <c r="H786" s="19" t="n"/>
      <c r="I786" s="19" t="n"/>
      <c r="J786" s="19" t="n"/>
    </row>
    <row r="787" ht="15.75" customHeight="1" s="545">
      <c r="A787" s="19" t="n"/>
      <c r="B787" s="19" t="n"/>
      <c r="C787" s="19" t="n"/>
      <c r="D787" s="19" t="n"/>
      <c r="E787" s="19" t="n"/>
      <c r="F787" s="19" t="n"/>
      <c r="G787" s="19" t="n"/>
      <c r="H787" s="19" t="n"/>
      <c r="I787" s="19" t="n"/>
      <c r="J787" s="19" t="n"/>
    </row>
    <row r="788" ht="15.75" customHeight="1" s="545">
      <c r="A788" s="19" t="n"/>
      <c r="B788" s="19" t="n"/>
      <c r="C788" s="19" t="n"/>
      <c r="D788" s="19" t="n"/>
      <c r="E788" s="19" t="n"/>
      <c r="F788" s="19" t="n"/>
      <c r="G788" s="19" t="n"/>
      <c r="H788" s="19" t="n"/>
      <c r="I788" s="19" t="n"/>
      <c r="J788" s="19" t="n"/>
    </row>
    <row r="789" ht="15.75" customHeight="1" s="545">
      <c r="A789" s="19" t="n"/>
      <c r="B789" s="19" t="n"/>
      <c r="C789" s="19" t="n"/>
      <c r="D789" s="19" t="n"/>
      <c r="E789" s="19" t="n"/>
      <c r="F789" s="19" t="n"/>
      <c r="G789" s="19" t="n"/>
      <c r="H789" s="19" t="n"/>
      <c r="I789" s="19" t="n"/>
      <c r="J789" s="19" t="n"/>
    </row>
    <row r="790" ht="15.75" customHeight="1" s="545">
      <c r="A790" s="19" t="n"/>
      <c r="B790" s="19" t="n"/>
      <c r="C790" s="19" t="n"/>
      <c r="D790" s="19" t="n"/>
      <c r="E790" s="19" t="n"/>
      <c r="F790" s="19" t="n"/>
      <c r="G790" s="19" t="n"/>
      <c r="H790" s="19" t="n"/>
      <c r="I790" s="19" t="n"/>
      <c r="J790" s="19" t="n"/>
    </row>
    <row r="791" ht="15.75" customHeight="1" s="545">
      <c r="A791" s="19" t="n"/>
      <c r="B791" s="19" t="n"/>
      <c r="C791" s="19" t="n"/>
      <c r="D791" s="19" t="n"/>
      <c r="E791" s="19" t="n"/>
      <c r="F791" s="19" t="n"/>
      <c r="G791" s="19" t="n"/>
      <c r="H791" s="19" t="n"/>
      <c r="I791" s="19" t="n"/>
      <c r="J791" s="19" t="n"/>
    </row>
    <row r="792" ht="15.75" customHeight="1" s="545">
      <c r="A792" s="19" t="n"/>
      <c r="B792" s="19" t="n"/>
      <c r="C792" s="19" t="n"/>
      <c r="D792" s="19" t="n"/>
      <c r="E792" s="19" t="n"/>
      <c r="F792" s="19" t="n"/>
      <c r="G792" s="19" t="n"/>
      <c r="H792" s="19" t="n"/>
      <c r="I792" s="19" t="n"/>
      <c r="J792" s="19" t="n"/>
    </row>
    <row r="793" ht="15.75" customHeight="1" s="545">
      <c r="A793" s="19" t="n"/>
      <c r="B793" s="19" t="n"/>
      <c r="C793" s="19" t="n"/>
      <c r="D793" s="19" t="n"/>
      <c r="E793" s="19" t="n"/>
      <c r="F793" s="19" t="n"/>
      <c r="G793" s="19" t="n"/>
      <c r="H793" s="19" t="n"/>
      <c r="I793" s="19" t="n"/>
      <c r="J793" s="19" t="n"/>
    </row>
    <row r="794" ht="15.75" customHeight="1" s="545">
      <c r="A794" s="19" t="n"/>
      <c r="B794" s="19" t="n"/>
      <c r="C794" s="19" t="n"/>
      <c r="D794" s="19" t="n"/>
      <c r="E794" s="19" t="n"/>
      <c r="F794" s="19" t="n"/>
      <c r="G794" s="19" t="n"/>
      <c r="H794" s="19" t="n"/>
      <c r="I794" s="19" t="n"/>
      <c r="J794" s="19" t="n"/>
    </row>
    <row r="795" ht="15.75" customHeight="1" s="545">
      <c r="A795" s="19" t="n"/>
      <c r="B795" s="19" t="n"/>
      <c r="C795" s="19" t="n"/>
      <c r="D795" s="19" t="n"/>
      <c r="E795" s="19" t="n"/>
      <c r="F795" s="19" t="n"/>
      <c r="G795" s="19" t="n"/>
      <c r="H795" s="19" t="n"/>
      <c r="I795" s="19" t="n"/>
      <c r="J795" s="19" t="n"/>
    </row>
    <row r="796" ht="15.75" customHeight="1" s="545">
      <c r="A796" s="19" t="n"/>
      <c r="B796" s="19" t="n"/>
      <c r="C796" s="19" t="n"/>
      <c r="D796" s="19" t="n"/>
      <c r="E796" s="19" t="n"/>
      <c r="F796" s="19" t="n"/>
      <c r="G796" s="19" t="n"/>
      <c r="H796" s="19" t="n"/>
      <c r="I796" s="19" t="n"/>
      <c r="J796" s="19" t="n"/>
    </row>
    <row r="797" ht="15.75" customHeight="1" s="545">
      <c r="A797" s="19" t="n"/>
      <c r="B797" s="19" t="n"/>
      <c r="C797" s="19" t="n"/>
      <c r="D797" s="19" t="n"/>
      <c r="E797" s="19" t="n"/>
      <c r="F797" s="19" t="n"/>
      <c r="G797" s="19" t="n"/>
      <c r="H797" s="19" t="n"/>
      <c r="I797" s="19" t="n"/>
      <c r="J797" s="19" t="n"/>
    </row>
    <row r="798" ht="15.75" customHeight="1" s="545">
      <c r="A798" s="19" t="n"/>
      <c r="B798" s="19" t="n"/>
      <c r="C798" s="19" t="n"/>
      <c r="D798" s="19" t="n"/>
      <c r="E798" s="19" t="n"/>
      <c r="F798" s="19" t="n"/>
      <c r="G798" s="19" t="n"/>
      <c r="H798" s="19" t="n"/>
      <c r="I798" s="19" t="n"/>
      <c r="J798" s="19" t="n"/>
    </row>
    <row r="799" ht="15.75" customHeight="1" s="545">
      <c r="A799" s="19" t="n"/>
      <c r="B799" s="19" t="n"/>
      <c r="C799" s="19" t="n"/>
      <c r="D799" s="19" t="n"/>
      <c r="E799" s="19" t="n"/>
      <c r="F799" s="19" t="n"/>
      <c r="G799" s="19" t="n"/>
      <c r="H799" s="19" t="n"/>
      <c r="I799" s="19" t="n"/>
      <c r="J799" s="19" t="n"/>
    </row>
    <row r="800" ht="15.75" customHeight="1" s="545">
      <c r="A800" s="19" t="n"/>
      <c r="B800" s="19" t="n"/>
      <c r="C800" s="19" t="n"/>
      <c r="D800" s="19" t="n"/>
      <c r="E800" s="19" t="n"/>
      <c r="F800" s="19" t="n"/>
      <c r="G800" s="19" t="n"/>
      <c r="H800" s="19" t="n"/>
      <c r="I800" s="19" t="n"/>
      <c r="J800" s="19" t="n"/>
    </row>
    <row r="801" ht="15.75" customHeight="1" s="545">
      <c r="A801" s="19" t="n"/>
      <c r="B801" s="19" t="n"/>
      <c r="C801" s="19" t="n"/>
      <c r="D801" s="19" t="n"/>
      <c r="E801" s="19" t="n"/>
      <c r="F801" s="19" t="n"/>
      <c r="G801" s="19" t="n"/>
      <c r="H801" s="19" t="n"/>
      <c r="I801" s="19" t="n"/>
      <c r="J801" s="19" t="n"/>
    </row>
    <row r="802" ht="15.75" customHeight="1" s="545">
      <c r="A802" s="19" t="n"/>
      <c r="B802" s="19" t="n"/>
      <c r="C802" s="19" t="n"/>
      <c r="D802" s="19" t="n"/>
      <c r="E802" s="19" t="n"/>
      <c r="F802" s="19" t="n"/>
      <c r="G802" s="19" t="n"/>
      <c r="H802" s="19" t="n"/>
      <c r="I802" s="19" t="n"/>
      <c r="J802" s="19" t="n"/>
    </row>
    <row r="803" ht="15.75" customHeight="1" s="545">
      <c r="A803" s="19" t="n"/>
      <c r="B803" s="19" t="n"/>
      <c r="C803" s="19" t="n"/>
      <c r="D803" s="19" t="n"/>
      <c r="E803" s="19" t="n"/>
      <c r="F803" s="19" t="n"/>
      <c r="G803" s="19" t="n"/>
      <c r="H803" s="19" t="n"/>
      <c r="I803" s="19" t="n"/>
      <c r="J803" s="19" t="n"/>
    </row>
    <row r="804" ht="15.75" customHeight="1" s="545">
      <c r="A804" s="19" t="n"/>
      <c r="B804" s="19" t="n"/>
      <c r="C804" s="19" t="n"/>
      <c r="D804" s="19" t="n"/>
      <c r="E804" s="19" t="n"/>
      <c r="F804" s="19" t="n"/>
      <c r="G804" s="19" t="n"/>
      <c r="H804" s="19" t="n"/>
      <c r="I804" s="19" t="n"/>
      <c r="J804" s="19" t="n"/>
    </row>
    <row r="805" ht="15.75" customHeight="1" s="545">
      <c r="A805" s="19" t="n"/>
      <c r="B805" s="19" t="n"/>
      <c r="C805" s="19" t="n"/>
      <c r="D805" s="19" t="n"/>
      <c r="E805" s="19" t="n"/>
      <c r="F805" s="19" t="n"/>
      <c r="G805" s="19" t="n"/>
      <c r="H805" s="19" t="n"/>
      <c r="I805" s="19" t="n"/>
      <c r="J805" s="19" t="n"/>
    </row>
    <row r="806" ht="15.75" customHeight="1" s="545">
      <c r="A806" s="19" t="n"/>
      <c r="B806" s="19" t="n"/>
      <c r="C806" s="19" t="n"/>
      <c r="D806" s="19" t="n"/>
      <c r="E806" s="19" t="n"/>
      <c r="F806" s="19" t="n"/>
      <c r="G806" s="19" t="n"/>
      <c r="H806" s="19" t="n"/>
      <c r="I806" s="19" t="n"/>
      <c r="J806" s="19" t="n"/>
    </row>
    <row r="807" ht="15.75" customHeight="1" s="545">
      <c r="A807" s="19" t="n"/>
      <c r="B807" s="19" t="n"/>
      <c r="C807" s="19" t="n"/>
      <c r="D807" s="19" t="n"/>
      <c r="E807" s="19" t="n"/>
      <c r="F807" s="19" t="n"/>
      <c r="G807" s="19" t="n"/>
      <c r="H807" s="19" t="n"/>
      <c r="I807" s="19" t="n"/>
      <c r="J807" s="19" t="n"/>
    </row>
    <row r="808" ht="15.75" customHeight="1" s="545">
      <c r="A808" s="19" t="n"/>
      <c r="B808" s="19" t="n"/>
      <c r="C808" s="19" t="n"/>
      <c r="D808" s="19" t="n"/>
      <c r="E808" s="19" t="n"/>
      <c r="F808" s="19" t="n"/>
      <c r="G808" s="19" t="n"/>
      <c r="H808" s="19" t="n"/>
      <c r="I808" s="19" t="n"/>
      <c r="J808" s="19" t="n"/>
    </row>
    <row r="809" ht="15.75" customHeight="1" s="545">
      <c r="A809" s="19" t="n"/>
      <c r="B809" s="19" t="n"/>
      <c r="C809" s="19" t="n"/>
      <c r="D809" s="19" t="n"/>
      <c r="E809" s="19" t="n"/>
      <c r="F809" s="19" t="n"/>
      <c r="G809" s="19" t="n"/>
      <c r="H809" s="19" t="n"/>
      <c r="I809" s="19" t="n"/>
      <c r="J809" s="19" t="n"/>
    </row>
    <row r="810" ht="15.75" customHeight="1" s="545">
      <c r="A810" s="19" t="n"/>
      <c r="B810" s="19" t="n"/>
      <c r="C810" s="19" t="n"/>
      <c r="D810" s="19" t="n"/>
      <c r="E810" s="19" t="n"/>
      <c r="F810" s="19" t="n"/>
      <c r="G810" s="19" t="n"/>
      <c r="H810" s="19" t="n"/>
      <c r="I810" s="19" t="n"/>
      <c r="J810" s="19" t="n"/>
    </row>
    <row r="811" ht="15.75" customHeight="1" s="545">
      <c r="A811" s="19" t="n"/>
      <c r="B811" s="19" t="n"/>
      <c r="C811" s="19" t="n"/>
      <c r="D811" s="19" t="n"/>
      <c r="E811" s="19" t="n"/>
      <c r="F811" s="19" t="n"/>
      <c r="G811" s="19" t="n"/>
      <c r="H811" s="19" t="n"/>
      <c r="I811" s="19" t="n"/>
      <c r="J811" s="19" t="n"/>
    </row>
    <row r="812" ht="15.75" customHeight="1" s="545">
      <c r="A812" s="19" t="n"/>
      <c r="B812" s="19" t="n"/>
      <c r="C812" s="19" t="n"/>
      <c r="D812" s="19" t="n"/>
      <c r="E812" s="19" t="n"/>
      <c r="F812" s="19" t="n"/>
      <c r="G812" s="19" t="n"/>
      <c r="H812" s="19" t="n"/>
      <c r="I812" s="19" t="n"/>
      <c r="J812" s="19" t="n"/>
    </row>
    <row r="813" ht="15.75" customHeight="1" s="545">
      <c r="A813" s="19" t="n"/>
      <c r="B813" s="19" t="n"/>
      <c r="C813" s="19" t="n"/>
      <c r="D813" s="19" t="n"/>
      <c r="E813" s="19" t="n"/>
      <c r="F813" s="19" t="n"/>
      <c r="G813" s="19" t="n"/>
      <c r="H813" s="19" t="n"/>
      <c r="I813" s="19" t="n"/>
      <c r="J813" s="19" t="n"/>
    </row>
    <row r="814" ht="15.75" customHeight="1" s="545">
      <c r="A814" s="19" t="n"/>
      <c r="B814" s="19" t="n"/>
      <c r="C814" s="19" t="n"/>
      <c r="D814" s="19" t="n"/>
      <c r="E814" s="19" t="n"/>
      <c r="F814" s="19" t="n"/>
      <c r="G814" s="19" t="n"/>
      <c r="H814" s="19" t="n"/>
      <c r="I814" s="19" t="n"/>
      <c r="J814" s="19" t="n"/>
    </row>
    <row r="815" ht="15.75" customHeight="1" s="545">
      <c r="A815" s="19" t="n"/>
      <c r="B815" s="19" t="n"/>
      <c r="C815" s="19" t="n"/>
      <c r="D815" s="19" t="n"/>
      <c r="E815" s="19" t="n"/>
      <c r="F815" s="19" t="n"/>
      <c r="G815" s="19" t="n"/>
      <c r="H815" s="19" t="n"/>
      <c r="I815" s="19" t="n"/>
      <c r="J815" s="19" t="n"/>
    </row>
    <row r="816" ht="15.75" customHeight="1" s="545">
      <c r="A816" s="19" t="n"/>
      <c r="B816" s="19" t="n"/>
      <c r="C816" s="19" t="n"/>
      <c r="D816" s="19" t="n"/>
      <c r="E816" s="19" t="n"/>
      <c r="F816" s="19" t="n"/>
      <c r="G816" s="19" t="n"/>
      <c r="H816" s="19" t="n"/>
      <c r="I816" s="19" t="n"/>
      <c r="J816" s="19" t="n"/>
    </row>
    <row r="817" ht="15.75" customHeight="1" s="545">
      <c r="A817" s="19" t="n"/>
      <c r="B817" s="19" t="n"/>
      <c r="C817" s="19" t="n"/>
      <c r="D817" s="19" t="n"/>
      <c r="E817" s="19" t="n"/>
      <c r="F817" s="19" t="n"/>
      <c r="G817" s="19" t="n"/>
      <c r="H817" s="19" t="n"/>
      <c r="I817" s="19" t="n"/>
      <c r="J817" s="19" t="n"/>
    </row>
    <row r="818" ht="15.75" customHeight="1" s="545">
      <c r="A818" s="19" t="n"/>
      <c r="B818" s="19" t="n"/>
      <c r="C818" s="19" t="n"/>
      <c r="D818" s="19" t="n"/>
      <c r="E818" s="19" t="n"/>
      <c r="F818" s="19" t="n"/>
      <c r="G818" s="19" t="n"/>
      <c r="H818" s="19" t="n"/>
      <c r="I818" s="19" t="n"/>
      <c r="J818" s="19" t="n"/>
    </row>
    <row r="819" ht="15.75" customHeight="1" s="545">
      <c r="A819" s="19" t="n"/>
      <c r="B819" s="19" t="n"/>
      <c r="C819" s="19" t="n"/>
      <c r="D819" s="19" t="n"/>
      <c r="E819" s="19" t="n"/>
      <c r="F819" s="19" t="n"/>
      <c r="G819" s="19" t="n"/>
      <c r="H819" s="19" t="n"/>
      <c r="I819" s="19" t="n"/>
      <c r="J819" s="19" t="n"/>
    </row>
    <row r="820" ht="15.75" customHeight="1" s="545">
      <c r="A820" s="19" t="n"/>
      <c r="B820" s="19" t="n"/>
      <c r="C820" s="19" t="n"/>
      <c r="D820" s="19" t="n"/>
      <c r="E820" s="19" t="n"/>
      <c r="F820" s="19" t="n"/>
      <c r="G820" s="19" t="n"/>
      <c r="H820" s="19" t="n"/>
      <c r="I820" s="19" t="n"/>
      <c r="J820" s="19" t="n"/>
    </row>
    <row r="821" ht="15.75" customHeight="1" s="545">
      <c r="A821" s="19" t="n"/>
      <c r="B821" s="19" t="n"/>
      <c r="C821" s="19" t="n"/>
      <c r="D821" s="19" t="n"/>
      <c r="E821" s="19" t="n"/>
      <c r="F821" s="19" t="n"/>
      <c r="G821" s="19" t="n"/>
      <c r="H821" s="19" t="n"/>
      <c r="I821" s="19" t="n"/>
      <c r="J821" s="19" t="n"/>
    </row>
    <row r="822" ht="15.75" customHeight="1" s="545">
      <c r="A822" s="19" t="n"/>
      <c r="B822" s="19" t="n"/>
      <c r="C822" s="19" t="n"/>
      <c r="D822" s="19" t="n"/>
      <c r="E822" s="19" t="n"/>
      <c r="F822" s="19" t="n"/>
      <c r="G822" s="19" t="n"/>
      <c r="H822" s="19" t="n"/>
      <c r="I822" s="19" t="n"/>
      <c r="J822" s="19" t="n"/>
    </row>
    <row r="823" ht="15.75" customHeight="1" s="545">
      <c r="A823" s="19" t="n"/>
      <c r="B823" s="19" t="n"/>
      <c r="C823" s="19" t="n"/>
      <c r="D823" s="19" t="n"/>
      <c r="E823" s="19" t="n"/>
      <c r="F823" s="19" t="n"/>
      <c r="G823" s="19" t="n"/>
      <c r="H823" s="19" t="n"/>
      <c r="I823" s="19" t="n"/>
      <c r="J823" s="19" t="n"/>
    </row>
    <row r="824" ht="15.75" customHeight="1" s="545">
      <c r="A824" s="19" t="n"/>
      <c r="B824" s="19" t="n"/>
      <c r="C824" s="19" t="n"/>
      <c r="D824" s="19" t="n"/>
      <c r="E824" s="19" t="n"/>
      <c r="F824" s="19" t="n"/>
      <c r="G824" s="19" t="n"/>
      <c r="H824" s="19" t="n"/>
      <c r="I824" s="19" t="n"/>
      <c r="J824" s="19" t="n"/>
    </row>
    <row r="825" ht="15.75" customHeight="1" s="545">
      <c r="A825" s="19" t="n"/>
      <c r="B825" s="19" t="n"/>
      <c r="C825" s="19" t="n"/>
      <c r="D825" s="19" t="n"/>
      <c r="E825" s="19" t="n"/>
      <c r="F825" s="19" t="n"/>
      <c r="G825" s="19" t="n"/>
      <c r="H825" s="19" t="n"/>
      <c r="I825" s="19" t="n"/>
      <c r="J825" s="19" t="n"/>
    </row>
    <row r="826" ht="15.75" customHeight="1" s="545">
      <c r="A826" s="19" t="n"/>
      <c r="B826" s="19" t="n"/>
      <c r="C826" s="19" t="n"/>
      <c r="D826" s="19" t="n"/>
      <c r="E826" s="19" t="n"/>
      <c r="F826" s="19" t="n"/>
      <c r="G826" s="19" t="n"/>
      <c r="H826" s="19" t="n"/>
      <c r="I826" s="19" t="n"/>
      <c r="J826" s="19" t="n"/>
    </row>
    <row r="827" ht="15.75" customHeight="1" s="545">
      <c r="A827" s="19" t="n"/>
      <c r="B827" s="19" t="n"/>
      <c r="C827" s="19" t="n"/>
      <c r="D827" s="19" t="n"/>
      <c r="E827" s="19" t="n"/>
      <c r="F827" s="19" t="n"/>
      <c r="G827" s="19" t="n"/>
      <c r="H827" s="19" t="n"/>
      <c r="I827" s="19" t="n"/>
      <c r="J827" s="19" t="n"/>
    </row>
    <row r="828" ht="15.75" customHeight="1" s="545">
      <c r="A828" s="19" t="n"/>
      <c r="B828" s="19" t="n"/>
      <c r="C828" s="19" t="n"/>
      <c r="D828" s="19" t="n"/>
      <c r="E828" s="19" t="n"/>
      <c r="F828" s="19" t="n"/>
      <c r="G828" s="19" t="n"/>
      <c r="H828" s="19" t="n"/>
      <c r="I828" s="19" t="n"/>
      <c r="J828" s="19" t="n"/>
    </row>
    <row r="829" ht="15.75" customHeight="1" s="545">
      <c r="A829" s="19" t="n"/>
      <c r="B829" s="19" t="n"/>
      <c r="C829" s="19" t="n"/>
      <c r="D829" s="19" t="n"/>
      <c r="E829" s="19" t="n"/>
      <c r="F829" s="19" t="n"/>
      <c r="G829" s="19" t="n"/>
      <c r="H829" s="19" t="n"/>
      <c r="I829" s="19" t="n"/>
      <c r="J829" s="19" t="n"/>
    </row>
    <row r="830" ht="15.75" customHeight="1" s="545">
      <c r="A830" s="19" t="n"/>
      <c r="B830" s="19" t="n"/>
      <c r="C830" s="19" t="n"/>
      <c r="D830" s="19" t="n"/>
      <c r="E830" s="19" t="n"/>
      <c r="F830" s="19" t="n"/>
      <c r="G830" s="19" t="n"/>
      <c r="H830" s="19" t="n"/>
      <c r="I830" s="19" t="n"/>
      <c r="J830" s="19" t="n"/>
    </row>
    <row r="831" ht="15.75" customHeight="1" s="545">
      <c r="A831" s="19" t="n"/>
      <c r="B831" s="19" t="n"/>
      <c r="C831" s="19" t="n"/>
      <c r="D831" s="19" t="n"/>
      <c r="E831" s="19" t="n"/>
      <c r="F831" s="19" t="n"/>
      <c r="G831" s="19" t="n"/>
      <c r="H831" s="19" t="n"/>
      <c r="I831" s="19" t="n"/>
      <c r="J831" s="19" t="n"/>
    </row>
    <row r="832" ht="15.75" customHeight="1" s="545">
      <c r="A832" s="19" t="n"/>
      <c r="B832" s="19" t="n"/>
      <c r="C832" s="19" t="n"/>
      <c r="D832" s="19" t="n"/>
      <c r="E832" s="19" t="n"/>
      <c r="F832" s="19" t="n"/>
      <c r="G832" s="19" t="n"/>
      <c r="H832" s="19" t="n"/>
      <c r="I832" s="19" t="n"/>
      <c r="J832" s="19" t="n"/>
    </row>
    <row r="833" ht="15.75" customHeight="1" s="545">
      <c r="A833" s="19" t="n"/>
      <c r="B833" s="19" t="n"/>
      <c r="C833" s="19" t="n"/>
      <c r="D833" s="19" t="n"/>
      <c r="E833" s="19" t="n"/>
      <c r="F833" s="19" t="n"/>
      <c r="G833" s="19" t="n"/>
      <c r="H833" s="19" t="n"/>
      <c r="I833" s="19" t="n"/>
      <c r="J833" s="19" t="n"/>
    </row>
    <row r="834" ht="15.75" customHeight="1" s="545">
      <c r="A834" s="19" t="n"/>
      <c r="B834" s="19" t="n"/>
      <c r="C834" s="19" t="n"/>
      <c r="D834" s="19" t="n"/>
      <c r="E834" s="19" t="n"/>
      <c r="F834" s="19" t="n"/>
      <c r="G834" s="19" t="n"/>
      <c r="H834" s="19" t="n"/>
      <c r="I834" s="19" t="n"/>
      <c r="J834" s="19" t="n"/>
    </row>
    <row r="835" ht="15.75" customHeight="1" s="545">
      <c r="A835" s="19" t="n"/>
      <c r="B835" s="19" t="n"/>
      <c r="C835" s="19" t="n"/>
      <c r="D835" s="19" t="n"/>
      <c r="E835" s="19" t="n"/>
      <c r="F835" s="19" t="n"/>
      <c r="G835" s="19" t="n"/>
      <c r="H835" s="19" t="n"/>
      <c r="I835" s="19" t="n"/>
      <c r="J835" s="19" t="n"/>
    </row>
    <row r="836" ht="15.75" customHeight="1" s="545">
      <c r="A836" s="19" t="n"/>
      <c r="B836" s="19" t="n"/>
      <c r="C836" s="19" t="n"/>
      <c r="D836" s="19" t="n"/>
      <c r="E836" s="19" t="n"/>
      <c r="F836" s="19" t="n"/>
      <c r="G836" s="19" t="n"/>
      <c r="H836" s="19" t="n"/>
      <c r="I836" s="19" t="n"/>
      <c r="J836" s="19" t="n"/>
    </row>
    <row r="837" ht="15.75" customHeight="1" s="545">
      <c r="A837" s="19" t="n"/>
      <c r="B837" s="19" t="n"/>
      <c r="C837" s="19" t="n"/>
      <c r="D837" s="19" t="n"/>
      <c r="E837" s="19" t="n"/>
      <c r="F837" s="19" t="n"/>
      <c r="G837" s="19" t="n"/>
      <c r="H837" s="19" t="n"/>
      <c r="I837" s="19" t="n"/>
      <c r="J837" s="19" t="n"/>
    </row>
    <row r="838" ht="15.75" customHeight="1" s="545">
      <c r="A838" s="19" t="n"/>
      <c r="B838" s="19" t="n"/>
      <c r="C838" s="19" t="n"/>
      <c r="D838" s="19" t="n"/>
      <c r="E838" s="19" t="n"/>
      <c r="F838" s="19" t="n"/>
      <c r="G838" s="19" t="n"/>
      <c r="H838" s="19" t="n"/>
      <c r="I838" s="19" t="n"/>
      <c r="J838" s="19" t="n"/>
    </row>
    <row r="839" ht="15.75" customHeight="1" s="545">
      <c r="A839" s="19" t="n"/>
      <c r="B839" s="19" t="n"/>
      <c r="C839" s="19" t="n"/>
      <c r="D839" s="19" t="n"/>
      <c r="E839" s="19" t="n"/>
      <c r="F839" s="19" t="n"/>
      <c r="G839" s="19" t="n"/>
      <c r="H839" s="19" t="n"/>
      <c r="I839" s="19" t="n"/>
      <c r="J839" s="19" t="n"/>
    </row>
    <row r="840" ht="15.75" customHeight="1" s="545">
      <c r="A840" s="19" t="n"/>
      <c r="B840" s="19" t="n"/>
      <c r="C840" s="19" t="n"/>
      <c r="D840" s="19" t="n"/>
      <c r="E840" s="19" t="n"/>
      <c r="F840" s="19" t="n"/>
      <c r="G840" s="19" t="n"/>
      <c r="H840" s="19" t="n"/>
      <c r="I840" s="19" t="n"/>
      <c r="J840" s="19" t="n"/>
    </row>
    <row r="841" ht="15.75" customHeight="1" s="545">
      <c r="A841" s="19" t="n"/>
      <c r="B841" s="19" t="n"/>
      <c r="C841" s="19" t="n"/>
      <c r="D841" s="19" t="n"/>
      <c r="E841" s="19" t="n"/>
      <c r="F841" s="19" t="n"/>
      <c r="G841" s="19" t="n"/>
      <c r="H841" s="19" t="n"/>
      <c r="I841" s="19" t="n"/>
      <c r="J841" s="19" t="n"/>
    </row>
    <row r="842" ht="15.75" customHeight="1" s="545">
      <c r="A842" s="19" t="n"/>
      <c r="B842" s="19" t="n"/>
      <c r="C842" s="19" t="n"/>
      <c r="D842" s="19" t="n"/>
      <c r="E842" s="19" t="n"/>
      <c r="F842" s="19" t="n"/>
      <c r="G842" s="19" t="n"/>
      <c r="H842" s="19" t="n"/>
      <c r="I842" s="19" t="n"/>
      <c r="J842" s="19" t="n"/>
    </row>
    <row r="843" ht="15.75" customHeight="1" s="545">
      <c r="A843" s="19" t="n"/>
      <c r="B843" s="19" t="n"/>
      <c r="C843" s="19" t="n"/>
      <c r="D843" s="19" t="n"/>
      <c r="E843" s="19" t="n"/>
      <c r="F843" s="19" t="n"/>
      <c r="G843" s="19" t="n"/>
      <c r="H843" s="19" t="n"/>
      <c r="I843" s="19" t="n"/>
      <c r="J843" s="19" t="n"/>
    </row>
    <row r="844" ht="15.75" customHeight="1" s="545">
      <c r="A844" s="19" t="n"/>
      <c r="B844" s="19" t="n"/>
      <c r="C844" s="19" t="n"/>
      <c r="D844" s="19" t="n"/>
      <c r="E844" s="19" t="n"/>
      <c r="F844" s="19" t="n"/>
      <c r="G844" s="19" t="n"/>
      <c r="H844" s="19" t="n"/>
      <c r="I844" s="19" t="n"/>
      <c r="J844" s="19" t="n"/>
    </row>
    <row r="845" ht="15.75" customHeight="1" s="545">
      <c r="A845" s="19" t="n"/>
      <c r="B845" s="19" t="n"/>
      <c r="C845" s="19" t="n"/>
      <c r="D845" s="19" t="n"/>
      <c r="E845" s="19" t="n"/>
      <c r="F845" s="19" t="n"/>
      <c r="G845" s="19" t="n"/>
      <c r="H845" s="19" t="n"/>
      <c r="I845" s="19" t="n"/>
      <c r="J845" s="19" t="n"/>
    </row>
    <row r="846" ht="15.75" customHeight="1" s="545">
      <c r="A846" s="19" t="n"/>
      <c r="B846" s="19" t="n"/>
      <c r="C846" s="19" t="n"/>
      <c r="D846" s="19" t="n"/>
      <c r="E846" s="19" t="n"/>
      <c r="F846" s="19" t="n"/>
      <c r="G846" s="19" t="n"/>
      <c r="H846" s="19" t="n"/>
      <c r="I846" s="19" t="n"/>
      <c r="J846" s="19" t="n"/>
    </row>
    <row r="847" ht="15.75" customHeight="1" s="545">
      <c r="A847" s="19" t="n"/>
      <c r="B847" s="19" t="n"/>
      <c r="C847" s="19" t="n"/>
      <c r="D847" s="19" t="n"/>
      <c r="E847" s="19" t="n"/>
      <c r="F847" s="19" t="n"/>
      <c r="G847" s="19" t="n"/>
      <c r="H847" s="19" t="n"/>
      <c r="I847" s="19" t="n"/>
      <c r="J847" s="19" t="n"/>
    </row>
    <row r="848" ht="15.75" customHeight="1" s="545">
      <c r="A848" s="19" t="n"/>
      <c r="B848" s="19" t="n"/>
      <c r="C848" s="19" t="n"/>
      <c r="D848" s="19" t="n"/>
      <c r="E848" s="19" t="n"/>
      <c r="F848" s="19" t="n"/>
      <c r="G848" s="19" t="n"/>
      <c r="H848" s="19" t="n"/>
      <c r="I848" s="19" t="n"/>
      <c r="J848" s="19" t="n"/>
    </row>
    <row r="849" ht="15.75" customHeight="1" s="545">
      <c r="A849" s="19" t="n"/>
      <c r="B849" s="19" t="n"/>
      <c r="C849" s="19" t="n"/>
      <c r="D849" s="19" t="n"/>
      <c r="E849" s="19" t="n"/>
      <c r="F849" s="19" t="n"/>
      <c r="G849" s="19" t="n"/>
      <c r="H849" s="19" t="n"/>
      <c r="I849" s="19" t="n"/>
      <c r="J849" s="19" t="n"/>
    </row>
    <row r="850" ht="15.75" customHeight="1" s="545">
      <c r="A850" s="19" t="n"/>
      <c r="B850" s="19" t="n"/>
      <c r="C850" s="19" t="n"/>
      <c r="D850" s="19" t="n"/>
      <c r="E850" s="19" t="n"/>
      <c r="F850" s="19" t="n"/>
      <c r="G850" s="19" t="n"/>
      <c r="H850" s="19" t="n"/>
      <c r="I850" s="19" t="n"/>
      <c r="J850" s="19" t="n"/>
    </row>
    <row r="851" ht="15.75" customHeight="1" s="545">
      <c r="A851" s="19" t="n"/>
      <c r="B851" s="19" t="n"/>
      <c r="C851" s="19" t="n"/>
      <c r="D851" s="19" t="n"/>
      <c r="E851" s="19" t="n"/>
      <c r="F851" s="19" t="n"/>
      <c r="G851" s="19" t="n"/>
      <c r="H851" s="19" t="n"/>
      <c r="I851" s="19" t="n"/>
      <c r="J851" s="19" t="n"/>
    </row>
    <row r="852" ht="15.75" customHeight="1" s="545">
      <c r="A852" s="19" t="n"/>
      <c r="B852" s="19" t="n"/>
      <c r="C852" s="19" t="n"/>
      <c r="D852" s="19" t="n"/>
      <c r="E852" s="19" t="n"/>
      <c r="F852" s="19" t="n"/>
      <c r="G852" s="19" t="n"/>
      <c r="H852" s="19" t="n"/>
      <c r="I852" s="19" t="n"/>
      <c r="J852" s="19" t="n"/>
    </row>
    <row r="853" ht="15.75" customHeight="1" s="545">
      <c r="A853" s="19" t="n"/>
      <c r="B853" s="19" t="n"/>
      <c r="C853" s="19" t="n"/>
      <c r="D853" s="19" t="n"/>
      <c r="E853" s="19" t="n"/>
      <c r="F853" s="19" t="n"/>
      <c r="G853" s="19" t="n"/>
      <c r="H853" s="19" t="n"/>
      <c r="I853" s="19" t="n"/>
      <c r="J853" s="19" t="n"/>
    </row>
    <row r="854" ht="15.75" customHeight="1" s="545">
      <c r="A854" s="19" t="n"/>
      <c r="B854" s="19" t="n"/>
      <c r="C854" s="19" t="n"/>
      <c r="D854" s="19" t="n"/>
      <c r="E854" s="19" t="n"/>
      <c r="F854" s="19" t="n"/>
      <c r="G854" s="19" t="n"/>
      <c r="H854" s="19" t="n"/>
      <c r="I854" s="19" t="n"/>
      <c r="J854" s="19" t="n"/>
    </row>
    <row r="855" ht="15.75" customHeight="1" s="545">
      <c r="A855" s="19" t="n"/>
      <c r="B855" s="19" t="n"/>
      <c r="C855" s="19" t="n"/>
      <c r="D855" s="19" t="n"/>
      <c r="E855" s="19" t="n"/>
      <c r="F855" s="19" t="n"/>
      <c r="G855" s="19" t="n"/>
      <c r="H855" s="19" t="n"/>
      <c r="I855" s="19" t="n"/>
      <c r="J855" s="19" t="n"/>
    </row>
    <row r="856" ht="15.75" customHeight="1" s="545">
      <c r="A856" s="19" t="n"/>
      <c r="B856" s="19" t="n"/>
      <c r="C856" s="19" t="n"/>
      <c r="D856" s="19" t="n"/>
      <c r="E856" s="19" t="n"/>
      <c r="F856" s="19" t="n"/>
      <c r="G856" s="19" t="n"/>
      <c r="H856" s="19" t="n"/>
      <c r="I856" s="19" t="n"/>
      <c r="J856" s="19" t="n"/>
    </row>
    <row r="857" ht="15.75" customHeight="1" s="545">
      <c r="A857" s="19" t="n"/>
      <c r="B857" s="19" t="n"/>
      <c r="C857" s="19" t="n"/>
      <c r="D857" s="19" t="n"/>
      <c r="E857" s="19" t="n"/>
      <c r="F857" s="19" t="n"/>
      <c r="G857" s="19" t="n"/>
      <c r="H857" s="19" t="n"/>
      <c r="I857" s="19" t="n"/>
      <c r="J857" s="19" t="n"/>
    </row>
    <row r="858" ht="15.75" customHeight="1" s="545">
      <c r="A858" s="19" t="n"/>
      <c r="B858" s="19" t="n"/>
      <c r="C858" s="19" t="n"/>
      <c r="D858" s="19" t="n"/>
      <c r="E858" s="19" t="n"/>
      <c r="F858" s="19" t="n"/>
      <c r="G858" s="19" t="n"/>
      <c r="H858" s="19" t="n"/>
      <c r="I858" s="19" t="n"/>
      <c r="J858" s="19" t="n"/>
    </row>
    <row r="859" ht="15.75" customHeight="1" s="545">
      <c r="A859" s="19" t="n"/>
      <c r="B859" s="19" t="n"/>
      <c r="C859" s="19" t="n"/>
      <c r="D859" s="19" t="n"/>
      <c r="E859" s="19" t="n"/>
      <c r="F859" s="19" t="n"/>
      <c r="G859" s="19" t="n"/>
      <c r="H859" s="19" t="n"/>
      <c r="I859" s="19" t="n"/>
      <c r="J859" s="19" t="n"/>
    </row>
    <row r="860" ht="15.75" customHeight="1" s="545">
      <c r="A860" s="19" t="n"/>
      <c r="B860" s="19" t="n"/>
      <c r="C860" s="19" t="n"/>
      <c r="D860" s="19" t="n"/>
      <c r="E860" s="19" t="n"/>
      <c r="F860" s="19" t="n"/>
      <c r="G860" s="19" t="n"/>
      <c r="H860" s="19" t="n"/>
      <c r="I860" s="19" t="n"/>
      <c r="J860" s="19" t="n"/>
    </row>
    <row r="861" ht="15.75" customHeight="1" s="545">
      <c r="A861" s="19" t="n"/>
      <c r="B861" s="19" t="n"/>
      <c r="C861" s="19" t="n"/>
      <c r="D861" s="19" t="n"/>
      <c r="E861" s="19" t="n"/>
      <c r="F861" s="19" t="n"/>
      <c r="G861" s="19" t="n"/>
      <c r="H861" s="19" t="n"/>
      <c r="I861" s="19" t="n"/>
      <c r="J861" s="19" t="n"/>
    </row>
    <row r="862" ht="15.75" customHeight="1" s="545">
      <c r="A862" s="19" t="n"/>
      <c r="B862" s="19" t="n"/>
      <c r="C862" s="19" t="n"/>
      <c r="D862" s="19" t="n"/>
      <c r="E862" s="19" t="n"/>
      <c r="F862" s="19" t="n"/>
      <c r="G862" s="19" t="n"/>
      <c r="H862" s="19" t="n"/>
      <c r="I862" s="19" t="n"/>
      <c r="J862" s="19" t="n"/>
    </row>
    <row r="863" ht="15.75" customHeight="1" s="545">
      <c r="A863" s="19" t="n"/>
      <c r="B863" s="19" t="n"/>
      <c r="C863" s="19" t="n"/>
      <c r="D863" s="19" t="n"/>
      <c r="E863" s="19" t="n"/>
      <c r="F863" s="19" t="n"/>
      <c r="G863" s="19" t="n"/>
      <c r="H863" s="19" t="n"/>
      <c r="I863" s="19" t="n"/>
      <c r="J863" s="19" t="n"/>
    </row>
    <row r="864" ht="15.75" customHeight="1" s="545">
      <c r="A864" s="19" t="n"/>
      <c r="B864" s="19" t="n"/>
      <c r="C864" s="19" t="n"/>
      <c r="D864" s="19" t="n"/>
      <c r="E864" s="19" t="n"/>
      <c r="F864" s="19" t="n"/>
      <c r="G864" s="19" t="n"/>
      <c r="H864" s="19" t="n"/>
      <c r="I864" s="19" t="n"/>
      <c r="J864" s="19" t="n"/>
    </row>
    <row r="865" ht="15.75" customHeight="1" s="545">
      <c r="A865" s="19" t="n"/>
      <c r="B865" s="19" t="n"/>
      <c r="C865" s="19" t="n"/>
      <c r="D865" s="19" t="n"/>
      <c r="E865" s="19" t="n"/>
      <c r="F865" s="19" t="n"/>
      <c r="G865" s="19" t="n"/>
      <c r="H865" s="19" t="n"/>
      <c r="I865" s="19" t="n"/>
      <c r="J865" s="19" t="n"/>
    </row>
    <row r="866" ht="15.75" customHeight="1" s="545">
      <c r="A866" s="19" t="n"/>
      <c r="B866" s="19" t="n"/>
      <c r="C866" s="19" t="n"/>
      <c r="D866" s="19" t="n"/>
      <c r="E866" s="19" t="n"/>
      <c r="F866" s="19" t="n"/>
      <c r="G866" s="19" t="n"/>
      <c r="H866" s="19" t="n"/>
      <c r="I866" s="19" t="n"/>
      <c r="J866" s="19" t="n"/>
    </row>
    <row r="867" ht="15.75" customHeight="1" s="545">
      <c r="A867" s="19" t="n"/>
      <c r="B867" s="19" t="n"/>
      <c r="C867" s="19" t="n"/>
      <c r="D867" s="19" t="n"/>
      <c r="E867" s="19" t="n"/>
      <c r="F867" s="19" t="n"/>
      <c r="G867" s="19" t="n"/>
      <c r="H867" s="19" t="n"/>
      <c r="I867" s="19" t="n"/>
      <c r="J867" s="19" t="n"/>
    </row>
    <row r="868" ht="15.75" customHeight="1" s="545">
      <c r="A868" s="19" t="n"/>
      <c r="B868" s="19" t="n"/>
      <c r="C868" s="19" t="n"/>
      <c r="D868" s="19" t="n"/>
      <c r="E868" s="19" t="n"/>
      <c r="F868" s="19" t="n"/>
      <c r="G868" s="19" t="n"/>
      <c r="H868" s="19" t="n"/>
      <c r="I868" s="19" t="n"/>
      <c r="J868" s="19" t="n"/>
    </row>
    <row r="869" ht="15.75" customHeight="1" s="545">
      <c r="A869" s="19" t="n"/>
      <c r="B869" s="19" t="n"/>
      <c r="C869" s="19" t="n"/>
      <c r="D869" s="19" t="n"/>
      <c r="E869" s="19" t="n"/>
      <c r="F869" s="19" t="n"/>
      <c r="G869" s="19" t="n"/>
      <c r="H869" s="19" t="n"/>
      <c r="I869" s="19" t="n"/>
      <c r="J869" s="19" t="n"/>
    </row>
    <row r="870" ht="15.75" customHeight="1" s="545">
      <c r="A870" s="19" t="n"/>
      <c r="B870" s="19" t="n"/>
      <c r="C870" s="19" t="n"/>
      <c r="D870" s="19" t="n"/>
      <c r="E870" s="19" t="n"/>
      <c r="F870" s="19" t="n"/>
      <c r="G870" s="19" t="n"/>
      <c r="H870" s="19" t="n"/>
      <c r="I870" s="19" t="n"/>
      <c r="J870" s="19" t="n"/>
    </row>
    <row r="871" ht="15.75" customHeight="1" s="545">
      <c r="A871" s="19" t="n"/>
      <c r="B871" s="19" t="n"/>
      <c r="C871" s="19" t="n"/>
      <c r="D871" s="19" t="n"/>
      <c r="E871" s="19" t="n"/>
      <c r="F871" s="19" t="n"/>
      <c r="G871" s="19" t="n"/>
      <c r="H871" s="19" t="n"/>
      <c r="I871" s="19" t="n"/>
      <c r="J871" s="19" t="n"/>
    </row>
    <row r="872" ht="15.75" customHeight="1" s="545">
      <c r="A872" s="19" t="n"/>
      <c r="B872" s="19" t="n"/>
      <c r="C872" s="19" t="n"/>
      <c r="D872" s="19" t="n"/>
      <c r="E872" s="19" t="n"/>
      <c r="F872" s="19" t="n"/>
      <c r="G872" s="19" t="n"/>
      <c r="H872" s="19" t="n"/>
      <c r="I872" s="19" t="n"/>
      <c r="J872" s="19" t="n"/>
    </row>
    <row r="873" ht="15.75" customHeight="1" s="545">
      <c r="A873" s="19" t="n"/>
      <c r="B873" s="19" t="n"/>
      <c r="C873" s="19" t="n"/>
      <c r="D873" s="19" t="n"/>
      <c r="E873" s="19" t="n"/>
      <c r="F873" s="19" t="n"/>
      <c r="G873" s="19" t="n"/>
      <c r="H873" s="19" t="n"/>
      <c r="I873" s="19" t="n"/>
      <c r="J873" s="19" t="n"/>
    </row>
    <row r="874" ht="15.75" customHeight="1" s="545">
      <c r="A874" s="19" t="n"/>
      <c r="B874" s="19" t="n"/>
      <c r="C874" s="19" t="n"/>
      <c r="D874" s="19" t="n"/>
      <c r="E874" s="19" t="n"/>
      <c r="F874" s="19" t="n"/>
      <c r="G874" s="19" t="n"/>
      <c r="H874" s="19" t="n"/>
      <c r="I874" s="19" t="n"/>
      <c r="J874" s="19" t="n"/>
    </row>
    <row r="875" ht="15.75" customHeight="1" s="545">
      <c r="A875" s="19" t="n"/>
      <c r="B875" s="19" t="n"/>
      <c r="C875" s="19" t="n"/>
      <c r="D875" s="19" t="n"/>
      <c r="E875" s="19" t="n"/>
      <c r="F875" s="19" t="n"/>
      <c r="G875" s="19" t="n"/>
      <c r="H875" s="19" t="n"/>
      <c r="I875" s="19" t="n"/>
      <c r="J875" s="19" t="n"/>
    </row>
    <row r="876" ht="15.75" customHeight="1" s="545">
      <c r="A876" s="19" t="n"/>
      <c r="B876" s="19" t="n"/>
      <c r="C876" s="19" t="n"/>
      <c r="D876" s="19" t="n"/>
      <c r="E876" s="19" t="n"/>
      <c r="F876" s="19" t="n"/>
      <c r="G876" s="19" t="n"/>
      <c r="H876" s="19" t="n"/>
      <c r="I876" s="19" t="n"/>
      <c r="J876" s="19" t="n"/>
    </row>
    <row r="877" ht="15.75" customHeight="1" s="545">
      <c r="A877" s="19" t="n"/>
      <c r="B877" s="19" t="n"/>
      <c r="C877" s="19" t="n"/>
      <c r="D877" s="19" t="n"/>
      <c r="E877" s="19" t="n"/>
      <c r="F877" s="19" t="n"/>
      <c r="G877" s="19" t="n"/>
      <c r="H877" s="19" t="n"/>
      <c r="I877" s="19" t="n"/>
      <c r="J877" s="19" t="n"/>
    </row>
    <row r="878" ht="15.75" customHeight="1" s="545">
      <c r="A878" s="19" t="n"/>
      <c r="B878" s="19" t="n"/>
      <c r="C878" s="19" t="n"/>
      <c r="D878" s="19" t="n"/>
      <c r="E878" s="19" t="n"/>
      <c r="F878" s="19" t="n"/>
      <c r="G878" s="19" t="n"/>
      <c r="H878" s="19" t="n"/>
      <c r="I878" s="19" t="n"/>
      <c r="J878" s="19" t="n"/>
    </row>
    <row r="879" ht="15.75" customHeight="1" s="545">
      <c r="A879" s="19" t="n"/>
      <c r="B879" s="19" t="n"/>
      <c r="C879" s="19" t="n"/>
      <c r="D879" s="19" t="n"/>
      <c r="E879" s="19" t="n"/>
      <c r="F879" s="19" t="n"/>
      <c r="G879" s="19" t="n"/>
      <c r="H879" s="19" t="n"/>
      <c r="I879" s="19" t="n"/>
      <c r="J879" s="19" t="n"/>
    </row>
    <row r="880" ht="15.75" customHeight="1" s="545">
      <c r="A880" s="19" t="n"/>
      <c r="B880" s="19" t="n"/>
      <c r="C880" s="19" t="n"/>
      <c r="D880" s="19" t="n"/>
      <c r="E880" s="19" t="n"/>
      <c r="F880" s="19" t="n"/>
      <c r="G880" s="19" t="n"/>
      <c r="H880" s="19" t="n"/>
      <c r="I880" s="19" t="n"/>
      <c r="J880" s="19" t="n"/>
    </row>
    <row r="881" ht="15.75" customHeight="1" s="545">
      <c r="A881" s="19" t="n"/>
      <c r="B881" s="19" t="n"/>
      <c r="C881" s="19" t="n"/>
      <c r="D881" s="19" t="n"/>
      <c r="E881" s="19" t="n"/>
      <c r="F881" s="19" t="n"/>
      <c r="G881" s="19" t="n"/>
      <c r="H881" s="19" t="n"/>
      <c r="I881" s="19" t="n"/>
      <c r="J881" s="19" t="n"/>
    </row>
    <row r="882" ht="15.75" customHeight="1" s="545">
      <c r="A882" s="19" t="n"/>
      <c r="B882" s="19" t="n"/>
      <c r="C882" s="19" t="n"/>
      <c r="D882" s="19" t="n"/>
      <c r="E882" s="19" t="n"/>
      <c r="F882" s="19" t="n"/>
      <c r="G882" s="19" t="n"/>
      <c r="H882" s="19" t="n"/>
      <c r="I882" s="19" t="n"/>
      <c r="J882" s="19" t="n"/>
    </row>
    <row r="883" ht="15.75" customHeight="1" s="545">
      <c r="A883" s="19" t="n"/>
      <c r="B883" s="19" t="n"/>
      <c r="C883" s="19" t="n"/>
      <c r="D883" s="19" t="n"/>
      <c r="E883" s="19" t="n"/>
      <c r="F883" s="19" t="n"/>
      <c r="G883" s="19" t="n"/>
      <c r="H883" s="19" t="n"/>
      <c r="I883" s="19" t="n"/>
      <c r="J883" s="19" t="n"/>
    </row>
    <row r="884" ht="15.75" customHeight="1" s="545">
      <c r="A884" s="19" t="n"/>
      <c r="B884" s="19" t="n"/>
      <c r="C884" s="19" t="n"/>
      <c r="D884" s="19" t="n"/>
      <c r="E884" s="19" t="n"/>
      <c r="F884" s="19" t="n"/>
      <c r="G884" s="19" t="n"/>
      <c r="H884" s="19" t="n"/>
      <c r="I884" s="19" t="n"/>
      <c r="J884" s="19" t="n"/>
    </row>
    <row r="885" ht="15.75" customHeight="1" s="545">
      <c r="A885" s="19" t="n"/>
      <c r="B885" s="19" t="n"/>
      <c r="C885" s="19" t="n"/>
      <c r="D885" s="19" t="n"/>
      <c r="E885" s="19" t="n"/>
      <c r="F885" s="19" t="n"/>
      <c r="G885" s="19" t="n"/>
      <c r="H885" s="19" t="n"/>
      <c r="I885" s="19" t="n"/>
      <c r="J885" s="19" t="n"/>
    </row>
    <row r="886" ht="15.75" customHeight="1" s="545">
      <c r="A886" s="19" t="n"/>
      <c r="B886" s="19" t="n"/>
      <c r="C886" s="19" t="n"/>
      <c r="D886" s="19" t="n"/>
      <c r="E886" s="19" t="n"/>
      <c r="F886" s="19" t="n"/>
      <c r="G886" s="19" t="n"/>
      <c r="H886" s="19" t="n"/>
      <c r="I886" s="19" t="n"/>
      <c r="J886" s="19" t="n"/>
    </row>
    <row r="887" ht="15.75" customHeight="1" s="545">
      <c r="A887" s="19" t="n"/>
      <c r="B887" s="19" t="n"/>
      <c r="C887" s="19" t="n"/>
      <c r="D887" s="19" t="n"/>
      <c r="E887" s="19" t="n"/>
      <c r="F887" s="19" t="n"/>
      <c r="G887" s="19" t="n"/>
      <c r="H887" s="19" t="n"/>
      <c r="I887" s="19" t="n"/>
      <c r="J887" s="19" t="n"/>
    </row>
    <row r="888" ht="15.75" customHeight="1" s="545">
      <c r="A888" s="19" t="n"/>
      <c r="B888" s="19" t="n"/>
      <c r="C888" s="19" t="n"/>
      <c r="D888" s="19" t="n"/>
      <c r="E888" s="19" t="n"/>
      <c r="F888" s="19" t="n"/>
      <c r="G888" s="19" t="n"/>
      <c r="H888" s="19" t="n"/>
      <c r="I888" s="19" t="n"/>
      <c r="J888" s="19" t="n"/>
    </row>
    <row r="889" ht="15.75" customHeight="1" s="545">
      <c r="A889" s="19" t="n"/>
      <c r="B889" s="19" t="n"/>
      <c r="C889" s="19" t="n"/>
      <c r="D889" s="19" t="n"/>
      <c r="E889" s="19" t="n"/>
      <c r="F889" s="19" t="n"/>
      <c r="G889" s="19" t="n"/>
      <c r="H889" s="19" t="n"/>
      <c r="I889" s="19" t="n"/>
      <c r="J889" s="19" t="n"/>
    </row>
    <row r="890" ht="15.75" customHeight="1" s="545">
      <c r="A890" s="19" t="n"/>
      <c r="B890" s="19" t="n"/>
      <c r="C890" s="19" t="n"/>
      <c r="D890" s="19" t="n"/>
      <c r="E890" s="19" t="n"/>
      <c r="F890" s="19" t="n"/>
      <c r="G890" s="19" t="n"/>
      <c r="H890" s="19" t="n"/>
      <c r="I890" s="19" t="n"/>
      <c r="J890" s="19" t="n"/>
    </row>
    <row r="891" ht="15.75" customHeight="1" s="545">
      <c r="A891" s="19" t="n"/>
      <c r="B891" s="19" t="n"/>
      <c r="C891" s="19" t="n"/>
      <c r="D891" s="19" t="n"/>
      <c r="E891" s="19" t="n"/>
      <c r="F891" s="19" t="n"/>
      <c r="G891" s="19" t="n"/>
      <c r="H891" s="19" t="n"/>
      <c r="I891" s="19" t="n"/>
      <c r="J891" s="19" t="n"/>
    </row>
    <row r="892" ht="15.75" customHeight="1" s="545">
      <c r="A892" s="19" t="n"/>
      <c r="B892" s="19" t="n"/>
      <c r="C892" s="19" t="n"/>
      <c r="D892" s="19" t="n"/>
      <c r="E892" s="19" t="n"/>
      <c r="F892" s="19" t="n"/>
      <c r="G892" s="19" t="n"/>
      <c r="H892" s="19" t="n"/>
      <c r="I892" s="19" t="n"/>
      <c r="J892" s="19" t="n"/>
    </row>
    <row r="893" ht="15.75" customHeight="1" s="545">
      <c r="A893" s="19" t="n"/>
      <c r="B893" s="19" t="n"/>
      <c r="C893" s="19" t="n"/>
      <c r="D893" s="19" t="n"/>
      <c r="E893" s="19" t="n"/>
      <c r="F893" s="19" t="n"/>
      <c r="G893" s="19" t="n"/>
      <c r="H893" s="19" t="n"/>
      <c r="I893" s="19" t="n"/>
      <c r="J893" s="19" t="n"/>
    </row>
    <row r="894" ht="15.75" customHeight="1" s="545">
      <c r="A894" s="19" t="n"/>
      <c r="B894" s="19" t="n"/>
      <c r="C894" s="19" t="n"/>
      <c r="D894" s="19" t="n"/>
      <c r="E894" s="19" t="n"/>
      <c r="F894" s="19" t="n"/>
      <c r="G894" s="19" t="n"/>
      <c r="H894" s="19" t="n"/>
      <c r="I894" s="19" t="n"/>
      <c r="J894" s="19" t="n"/>
    </row>
    <row r="895" ht="15.75" customHeight="1" s="545">
      <c r="A895" s="19" t="n"/>
      <c r="B895" s="19" t="n"/>
      <c r="C895" s="19" t="n"/>
      <c r="D895" s="19" t="n"/>
      <c r="E895" s="19" t="n"/>
      <c r="F895" s="19" t="n"/>
      <c r="G895" s="19" t="n"/>
      <c r="H895" s="19" t="n"/>
      <c r="I895" s="19" t="n"/>
      <c r="J895" s="19" t="n"/>
    </row>
    <row r="896" ht="15.75" customHeight="1" s="545">
      <c r="A896" s="19" t="n"/>
      <c r="B896" s="19" t="n"/>
      <c r="C896" s="19" t="n"/>
      <c r="D896" s="19" t="n"/>
      <c r="E896" s="19" t="n"/>
      <c r="F896" s="19" t="n"/>
      <c r="G896" s="19" t="n"/>
      <c r="H896" s="19" t="n"/>
      <c r="I896" s="19" t="n"/>
      <c r="J896" s="19" t="n"/>
    </row>
    <row r="897" ht="15.75" customHeight="1" s="545">
      <c r="A897" s="19" t="n"/>
      <c r="B897" s="19" t="n"/>
      <c r="C897" s="19" t="n"/>
      <c r="D897" s="19" t="n"/>
      <c r="E897" s="19" t="n"/>
      <c r="F897" s="19" t="n"/>
      <c r="G897" s="19" t="n"/>
      <c r="H897" s="19" t="n"/>
      <c r="I897" s="19" t="n"/>
      <c r="J897" s="19" t="n"/>
    </row>
    <row r="898" ht="15.75" customHeight="1" s="545">
      <c r="A898" s="19" t="n"/>
      <c r="B898" s="19" t="n"/>
      <c r="C898" s="19" t="n"/>
      <c r="D898" s="19" t="n"/>
      <c r="E898" s="19" t="n"/>
      <c r="F898" s="19" t="n"/>
      <c r="G898" s="19" t="n"/>
      <c r="H898" s="19" t="n"/>
      <c r="I898" s="19" t="n"/>
      <c r="J898" s="19" t="n"/>
    </row>
    <row r="899" ht="15.75" customHeight="1" s="545">
      <c r="A899" s="19" t="n"/>
      <c r="B899" s="19" t="n"/>
      <c r="C899" s="19" t="n"/>
      <c r="D899" s="19" t="n"/>
      <c r="E899" s="19" t="n"/>
      <c r="F899" s="19" t="n"/>
      <c r="G899" s="19" t="n"/>
      <c r="H899" s="19" t="n"/>
      <c r="I899" s="19" t="n"/>
      <c r="J899" s="19" t="n"/>
    </row>
    <row r="900" ht="15.75" customHeight="1" s="545">
      <c r="A900" s="19" t="n"/>
      <c r="B900" s="19" t="n"/>
      <c r="C900" s="19" t="n"/>
      <c r="D900" s="19" t="n"/>
      <c r="E900" s="19" t="n"/>
      <c r="F900" s="19" t="n"/>
      <c r="G900" s="19" t="n"/>
      <c r="H900" s="19" t="n"/>
      <c r="I900" s="19" t="n"/>
      <c r="J900" s="19" t="n"/>
    </row>
    <row r="901" ht="15.75" customHeight="1" s="545">
      <c r="A901" s="19" t="n"/>
      <c r="B901" s="19" t="n"/>
      <c r="C901" s="19" t="n"/>
      <c r="D901" s="19" t="n"/>
      <c r="E901" s="19" t="n"/>
      <c r="F901" s="19" t="n"/>
      <c r="G901" s="19" t="n"/>
      <c r="H901" s="19" t="n"/>
      <c r="I901" s="19" t="n"/>
      <c r="J901" s="19" t="n"/>
    </row>
    <row r="902" ht="15.75" customHeight="1" s="545">
      <c r="A902" s="19" t="n"/>
      <c r="B902" s="19" t="n"/>
      <c r="C902" s="19" t="n"/>
      <c r="D902" s="19" t="n"/>
      <c r="E902" s="19" t="n"/>
      <c r="F902" s="19" t="n"/>
      <c r="G902" s="19" t="n"/>
      <c r="H902" s="19" t="n"/>
      <c r="I902" s="19" t="n"/>
      <c r="J902" s="19" t="n"/>
    </row>
    <row r="903" ht="15.75" customHeight="1" s="545">
      <c r="A903" s="19" t="n"/>
      <c r="B903" s="19" t="n"/>
      <c r="C903" s="19" t="n"/>
      <c r="D903" s="19" t="n"/>
      <c r="E903" s="19" t="n"/>
      <c r="F903" s="19" t="n"/>
      <c r="G903" s="19" t="n"/>
      <c r="H903" s="19" t="n"/>
      <c r="I903" s="19" t="n"/>
      <c r="J903" s="19" t="n"/>
    </row>
    <row r="904" ht="15.75" customHeight="1" s="545">
      <c r="A904" s="19" t="n"/>
      <c r="B904" s="19" t="n"/>
      <c r="C904" s="19" t="n"/>
      <c r="D904" s="19" t="n"/>
      <c r="E904" s="19" t="n"/>
      <c r="F904" s="19" t="n"/>
      <c r="G904" s="19" t="n"/>
      <c r="H904" s="19" t="n"/>
      <c r="I904" s="19" t="n"/>
      <c r="J904" s="19" t="n"/>
    </row>
    <row r="905" ht="15.75" customHeight="1" s="545">
      <c r="A905" s="19" t="n"/>
      <c r="B905" s="19" t="n"/>
      <c r="C905" s="19" t="n"/>
      <c r="D905" s="19" t="n"/>
      <c r="E905" s="19" t="n"/>
      <c r="F905" s="19" t="n"/>
      <c r="G905" s="19" t="n"/>
      <c r="H905" s="19" t="n"/>
      <c r="I905" s="19" t="n"/>
      <c r="J905" s="19" t="n"/>
    </row>
    <row r="906" ht="15.75" customHeight="1" s="545">
      <c r="A906" s="19" t="n"/>
      <c r="B906" s="19" t="n"/>
      <c r="C906" s="19" t="n"/>
      <c r="D906" s="19" t="n"/>
      <c r="E906" s="19" t="n"/>
      <c r="F906" s="19" t="n"/>
      <c r="G906" s="19" t="n"/>
      <c r="H906" s="19" t="n"/>
      <c r="I906" s="19" t="n"/>
      <c r="J906" s="19" t="n"/>
    </row>
    <row r="907" ht="15.75" customHeight="1" s="545">
      <c r="A907" s="19" t="n"/>
      <c r="B907" s="19" t="n"/>
      <c r="C907" s="19" t="n"/>
      <c r="D907" s="19" t="n"/>
      <c r="E907" s="19" t="n"/>
      <c r="F907" s="19" t="n"/>
      <c r="G907" s="19" t="n"/>
      <c r="H907" s="19" t="n"/>
      <c r="I907" s="19" t="n"/>
      <c r="J907" s="19" t="n"/>
    </row>
    <row r="908" ht="15.75" customHeight="1" s="545">
      <c r="A908" s="19" t="n"/>
      <c r="B908" s="19" t="n"/>
      <c r="C908" s="19" t="n"/>
      <c r="D908" s="19" t="n"/>
      <c r="E908" s="19" t="n"/>
      <c r="F908" s="19" t="n"/>
      <c r="G908" s="19" t="n"/>
      <c r="H908" s="19" t="n"/>
      <c r="I908" s="19" t="n"/>
      <c r="J908" s="19" t="n"/>
    </row>
    <row r="909" ht="15.75" customHeight="1" s="545">
      <c r="A909" s="19" t="n"/>
      <c r="B909" s="19" t="n"/>
      <c r="C909" s="19" t="n"/>
      <c r="D909" s="19" t="n"/>
      <c r="E909" s="19" t="n"/>
      <c r="F909" s="19" t="n"/>
      <c r="G909" s="19" t="n"/>
      <c r="H909" s="19" t="n"/>
      <c r="I909" s="19" t="n"/>
      <c r="J909" s="19" t="n"/>
    </row>
    <row r="910" ht="15.75" customHeight="1" s="545">
      <c r="A910" s="19" t="n"/>
      <c r="B910" s="19" t="n"/>
      <c r="C910" s="19" t="n"/>
      <c r="D910" s="19" t="n"/>
      <c r="E910" s="19" t="n"/>
      <c r="F910" s="19" t="n"/>
      <c r="G910" s="19" t="n"/>
      <c r="H910" s="19" t="n"/>
      <c r="I910" s="19" t="n"/>
      <c r="J910" s="19" t="n"/>
    </row>
    <row r="911" ht="15.75" customHeight="1" s="545">
      <c r="A911" s="19" t="n"/>
      <c r="B911" s="19" t="n"/>
      <c r="C911" s="19" t="n"/>
      <c r="D911" s="19" t="n"/>
      <c r="E911" s="19" t="n"/>
      <c r="F911" s="19" t="n"/>
      <c r="G911" s="19" t="n"/>
      <c r="H911" s="19" t="n"/>
      <c r="I911" s="19" t="n"/>
      <c r="J911" s="19" t="n"/>
    </row>
    <row r="912" ht="15.75" customHeight="1" s="545">
      <c r="A912" s="19" t="n"/>
      <c r="B912" s="19" t="n"/>
      <c r="C912" s="19" t="n"/>
      <c r="D912" s="19" t="n"/>
      <c r="E912" s="19" t="n"/>
      <c r="F912" s="19" t="n"/>
      <c r="G912" s="19" t="n"/>
      <c r="H912" s="19" t="n"/>
      <c r="I912" s="19" t="n"/>
      <c r="J912" s="19" t="n"/>
    </row>
    <row r="913" ht="15.75" customHeight="1" s="545">
      <c r="A913" s="19" t="n"/>
      <c r="B913" s="19" t="n"/>
      <c r="C913" s="19" t="n"/>
      <c r="D913" s="19" t="n"/>
      <c r="E913" s="19" t="n"/>
      <c r="F913" s="19" t="n"/>
      <c r="G913" s="19" t="n"/>
      <c r="H913" s="19" t="n"/>
      <c r="I913" s="19" t="n"/>
      <c r="J913" s="19" t="n"/>
    </row>
    <row r="914" ht="15.75" customHeight="1" s="545">
      <c r="A914" s="19" t="n"/>
      <c r="B914" s="19" t="n"/>
      <c r="C914" s="19" t="n"/>
      <c r="D914" s="19" t="n"/>
      <c r="E914" s="19" t="n"/>
      <c r="F914" s="19" t="n"/>
      <c r="G914" s="19" t="n"/>
      <c r="H914" s="19" t="n"/>
      <c r="I914" s="19" t="n"/>
      <c r="J914" s="19" t="n"/>
    </row>
    <row r="915" ht="15.75" customHeight="1" s="545">
      <c r="A915" s="19" t="n"/>
      <c r="B915" s="19" t="n"/>
      <c r="C915" s="19" t="n"/>
      <c r="D915" s="19" t="n"/>
      <c r="E915" s="19" t="n"/>
      <c r="F915" s="19" t="n"/>
      <c r="G915" s="19" t="n"/>
      <c r="H915" s="19" t="n"/>
      <c r="I915" s="19" t="n"/>
      <c r="J915" s="19" t="n"/>
    </row>
    <row r="916" ht="15.75" customHeight="1" s="545">
      <c r="A916" s="19" t="n"/>
      <c r="B916" s="19" t="n"/>
      <c r="C916" s="19" t="n"/>
      <c r="D916" s="19" t="n"/>
      <c r="E916" s="19" t="n"/>
      <c r="F916" s="19" t="n"/>
      <c r="G916" s="19" t="n"/>
      <c r="H916" s="19" t="n"/>
      <c r="I916" s="19" t="n"/>
      <c r="J916" s="19" t="n"/>
    </row>
    <row r="917" ht="15.75" customHeight="1" s="545">
      <c r="A917" s="19" t="n"/>
      <c r="B917" s="19" t="n"/>
      <c r="C917" s="19" t="n"/>
      <c r="D917" s="19" t="n"/>
      <c r="E917" s="19" t="n"/>
      <c r="F917" s="19" t="n"/>
      <c r="G917" s="19" t="n"/>
      <c r="H917" s="19" t="n"/>
      <c r="I917" s="19" t="n"/>
      <c r="J917" s="19" t="n"/>
    </row>
    <row r="918" ht="15.75" customHeight="1" s="545">
      <c r="A918" s="19" t="n"/>
      <c r="B918" s="19" t="n"/>
      <c r="C918" s="19" t="n"/>
      <c r="D918" s="19" t="n"/>
      <c r="E918" s="19" t="n"/>
      <c r="F918" s="19" t="n"/>
      <c r="G918" s="19" t="n"/>
      <c r="H918" s="19" t="n"/>
      <c r="I918" s="19" t="n"/>
      <c r="J918" s="19" t="n"/>
    </row>
    <row r="919" ht="15.75" customHeight="1" s="545">
      <c r="A919" s="19" t="n"/>
      <c r="B919" s="19" t="n"/>
      <c r="C919" s="19" t="n"/>
      <c r="D919" s="19" t="n"/>
      <c r="E919" s="19" t="n"/>
      <c r="F919" s="19" t="n"/>
      <c r="G919" s="19" t="n"/>
      <c r="H919" s="19" t="n"/>
      <c r="I919" s="19" t="n"/>
      <c r="J919" s="19" t="n"/>
    </row>
    <row r="920" ht="15.75" customHeight="1" s="545">
      <c r="A920" s="19" t="n"/>
      <c r="B920" s="19" t="n"/>
      <c r="C920" s="19" t="n"/>
      <c r="D920" s="19" t="n"/>
      <c r="E920" s="19" t="n"/>
      <c r="F920" s="19" t="n"/>
      <c r="G920" s="19" t="n"/>
      <c r="H920" s="19" t="n"/>
      <c r="I920" s="19" t="n"/>
      <c r="J920" s="19" t="n"/>
    </row>
    <row r="921" ht="15.75" customHeight="1" s="545">
      <c r="A921" s="19" t="n"/>
      <c r="B921" s="19" t="n"/>
      <c r="C921" s="19" t="n"/>
      <c r="D921" s="19" t="n"/>
      <c r="E921" s="19" t="n"/>
      <c r="F921" s="19" t="n"/>
      <c r="G921" s="19" t="n"/>
      <c r="H921" s="19" t="n"/>
      <c r="I921" s="19" t="n"/>
      <c r="J921" s="19" t="n"/>
    </row>
    <row r="922" ht="15.75" customHeight="1" s="545">
      <c r="A922" s="19" t="n"/>
      <c r="B922" s="19" t="n"/>
      <c r="C922" s="19" t="n"/>
      <c r="D922" s="19" t="n"/>
      <c r="E922" s="19" t="n"/>
      <c r="F922" s="19" t="n"/>
      <c r="G922" s="19" t="n"/>
      <c r="H922" s="19" t="n"/>
      <c r="I922" s="19" t="n"/>
      <c r="J922" s="19" t="n"/>
    </row>
    <row r="923" ht="15.75" customHeight="1" s="545">
      <c r="A923" s="19" t="n"/>
      <c r="B923" s="19" t="n"/>
      <c r="C923" s="19" t="n"/>
      <c r="D923" s="19" t="n"/>
      <c r="E923" s="19" t="n"/>
      <c r="F923" s="19" t="n"/>
      <c r="G923" s="19" t="n"/>
      <c r="H923" s="19" t="n"/>
      <c r="I923" s="19" t="n"/>
      <c r="J923" s="19" t="n"/>
    </row>
    <row r="924" ht="15.75" customHeight="1" s="545">
      <c r="A924" s="19" t="n"/>
      <c r="B924" s="19" t="n"/>
      <c r="C924" s="19" t="n"/>
      <c r="D924" s="19" t="n"/>
      <c r="E924" s="19" t="n"/>
      <c r="F924" s="19" t="n"/>
      <c r="G924" s="19" t="n"/>
      <c r="H924" s="19" t="n"/>
      <c r="I924" s="19" t="n"/>
      <c r="J924" s="19" t="n"/>
    </row>
    <row r="925" ht="15.75" customHeight="1" s="545">
      <c r="A925" s="19" t="n"/>
      <c r="B925" s="19" t="n"/>
      <c r="C925" s="19" t="n"/>
      <c r="D925" s="19" t="n"/>
      <c r="E925" s="19" t="n"/>
      <c r="F925" s="19" t="n"/>
      <c r="G925" s="19" t="n"/>
      <c r="H925" s="19" t="n"/>
      <c r="I925" s="19" t="n"/>
      <c r="J925" s="19" t="n"/>
    </row>
    <row r="926" ht="15.75" customHeight="1" s="545">
      <c r="A926" s="19" t="n"/>
      <c r="B926" s="19" t="n"/>
      <c r="C926" s="19" t="n"/>
      <c r="D926" s="19" t="n"/>
      <c r="E926" s="19" t="n"/>
      <c r="F926" s="19" t="n"/>
      <c r="G926" s="19" t="n"/>
      <c r="H926" s="19" t="n"/>
      <c r="I926" s="19" t="n"/>
      <c r="J926" s="19" t="n"/>
    </row>
    <row r="927" ht="15.75" customHeight="1" s="545">
      <c r="A927" s="19" t="n"/>
      <c r="B927" s="19" t="n"/>
      <c r="C927" s="19" t="n"/>
      <c r="D927" s="19" t="n"/>
      <c r="E927" s="19" t="n"/>
      <c r="F927" s="19" t="n"/>
      <c r="G927" s="19" t="n"/>
      <c r="H927" s="19" t="n"/>
      <c r="I927" s="19" t="n"/>
      <c r="J927" s="19" t="n"/>
    </row>
    <row r="928" ht="15.75" customHeight="1" s="545">
      <c r="A928" s="19" t="n"/>
      <c r="B928" s="19" t="n"/>
      <c r="C928" s="19" t="n"/>
      <c r="D928" s="19" t="n"/>
      <c r="E928" s="19" t="n"/>
      <c r="F928" s="19" t="n"/>
      <c r="G928" s="19" t="n"/>
      <c r="H928" s="19" t="n"/>
      <c r="I928" s="19" t="n"/>
      <c r="J928" s="19" t="n"/>
    </row>
    <row r="929" ht="15.75" customHeight="1" s="545">
      <c r="A929" s="19" t="n"/>
      <c r="B929" s="19" t="n"/>
      <c r="C929" s="19" t="n"/>
      <c r="D929" s="19" t="n"/>
      <c r="E929" s="19" t="n"/>
      <c r="F929" s="19" t="n"/>
      <c r="G929" s="19" t="n"/>
      <c r="H929" s="19" t="n"/>
      <c r="I929" s="19" t="n"/>
      <c r="J929" s="19" t="n"/>
    </row>
    <row r="930" ht="15.75" customHeight="1" s="545">
      <c r="A930" s="19" t="n"/>
      <c r="B930" s="19" t="n"/>
      <c r="C930" s="19" t="n"/>
      <c r="D930" s="19" t="n"/>
      <c r="E930" s="19" t="n"/>
      <c r="F930" s="19" t="n"/>
      <c r="G930" s="19" t="n"/>
      <c r="H930" s="19" t="n"/>
      <c r="I930" s="19" t="n"/>
      <c r="J930" s="19" t="n"/>
    </row>
    <row r="931" ht="15.75" customHeight="1" s="545">
      <c r="A931" s="19" t="n"/>
      <c r="B931" s="19" t="n"/>
      <c r="C931" s="19" t="n"/>
      <c r="D931" s="19" t="n"/>
      <c r="E931" s="19" t="n"/>
      <c r="F931" s="19" t="n"/>
      <c r="G931" s="19" t="n"/>
      <c r="H931" s="19" t="n"/>
      <c r="I931" s="19" t="n"/>
      <c r="J931" s="19" t="n"/>
    </row>
    <row r="932" ht="15.75" customHeight="1" s="545">
      <c r="A932" s="19" t="n"/>
      <c r="B932" s="19" t="n"/>
      <c r="C932" s="19" t="n"/>
      <c r="D932" s="19" t="n"/>
      <c r="E932" s="19" t="n"/>
      <c r="F932" s="19" t="n"/>
      <c r="G932" s="19" t="n"/>
      <c r="H932" s="19" t="n"/>
      <c r="I932" s="19" t="n"/>
      <c r="J932" s="19" t="n"/>
    </row>
    <row r="933" ht="15.75" customHeight="1" s="545">
      <c r="A933" s="19" t="n"/>
      <c r="B933" s="19" t="n"/>
      <c r="C933" s="19" t="n"/>
      <c r="D933" s="19" t="n"/>
      <c r="E933" s="19" t="n"/>
      <c r="F933" s="19" t="n"/>
      <c r="G933" s="19" t="n"/>
      <c r="H933" s="19" t="n"/>
      <c r="I933" s="19" t="n"/>
      <c r="J933" s="19" t="n"/>
    </row>
    <row r="934" ht="15.75" customHeight="1" s="545">
      <c r="A934" s="19" t="n"/>
      <c r="B934" s="19" t="n"/>
      <c r="C934" s="19" t="n"/>
      <c r="D934" s="19" t="n"/>
      <c r="E934" s="19" t="n"/>
      <c r="F934" s="19" t="n"/>
      <c r="G934" s="19" t="n"/>
      <c r="H934" s="19" t="n"/>
      <c r="I934" s="19" t="n"/>
      <c r="J934" s="19" t="n"/>
    </row>
    <row r="935" ht="15.75" customHeight="1" s="545">
      <c r="A935" s="19" t="n"/>
      <c r="B935" s="19" t="n"/>
      <c r="C935" s="19" t="n"/>
      <c r="D935" s="19" t="n"/>
      <c r="E935" s="19" t="n"/>
      <c r="F935" s="19" t="n"/>
      <c r="G935" s="19" t="n"/>
      <c r="H935" s="19" t="n"/>
      <c r="I935" s="19" t="n"/>
      <c r="J935" s="19" t="n"/>
    </row>
    <row r="936" ht="15.75" customHeight="1" s="545">
      <c r="A936" s="19" t="n"/>
      <c r="B936" s="19" t="n"/>
      <c r="C936" s="19" t="n"/>
      <c r="D936" s="19" t="n"/>
      <c r="E936" s="19" t="n"/>
      <c r="F936" s="19" t="n"/>
      <c r="G936" s="19" t="n"/>
      <c r="H936" s="19" t="n"/>
      <c r="I936" s="19" t="n"/>
      <c r="J936" s="19" t="n"/>
    </row>
    <row r="937" ht="15.75" customHeight="1" s="545">
      <c r="A937" s="19" t="n"/>
      <c r="B937" s="19" t="n"/>
      <c r="C937" s="19" t="n"/>
      <c r="D937" s="19" t="n"/>
      <c r="E937" s="19" t="n"/>
      <c r="F937" s="19" t="n"/>
      <c r="G937" s="19" t="n"/>
      <c r="H937" s="19" t="n"/>
      <c r="I937" s="19" t="n"/>
      <c r="J937" s="19" t="n"/>
    </row>
    <row r="938" ht="15.75" customHeight="1" s="545">
      <c r="A938" s="19" t="n"/>
      <c r="B938" s="19" t="n"/>
      <c r="C938" s="19" t="n"/>
      <c r="D938" s="19" t="n"/>
      <c r="E938" s="19" t="n"/>
      <c r="F938" s="19" t="n"/>
      <c r="G938" s="19" t="n"/>
      <c r="H938" s="19" t="n"/>
      <c r="I938" s="19" t="n"/>
      <c r="J938" s="19" t="n"/>
    </row>
    <row r="939" ht="15.75" customHeight="1" s="545">
      <c r="A939" s="19" t="n"/>
      <c r="B939" s="19" t="n"/>
      <c r="C939" s="19" t="n"/>
      <c r="D939" s="19" t="n"/>
      <c r="E939" s="19" t="n"/>
      <c r="F939" s="19" t="n"/>
      <c r="G939" s="19" t="n"/>
      <c r="H939" s="19" t="n"/>
      <c r="I939" s="19" t="n"/>
      <c r="J939" s="19" t="n"/>
    </row>
    <row r="940" ht="15.75" customHeight="1" s="545">
      <c r="A940" s="19" t="n"/>
      <c r="B940" s="19" t="n"/>
      <c r="C940" s="19" t="n"/>
      <c r="D940" s="19" t="n"/>
      <c r="E940" s="19" t="n"/>
      <c r="F940" s="19" t="n"/>
      <c r="G940" s="19" t="n"/>
      <c r="H940" s="19" t="n"/>
      <c r="I940" s="19" t="n"/>
      <c r="J940" s="19" t="n"/>
    </row>
    <row r="941" ht="15.75" customHeight="1" s="545">
      <c r="A941" s="19" t="n"/>
      <c r="B941" s="19" t="n"/>
      <c r="C941" s="19" t="n"/>
      <c r="D941" s="19" t="n"/>
      <c r="E941" s="19" t="n"/>
      <c r="F941" s="19" t="n"/>
      <c r="G941" s="19" t="n"/>
      <c r="H941" s="19" t="n"/>
      <c r="I941" s="19" t="n"/>
      <c r="J941" s="19" t="n"/>
    </row>
    <row r="942" ht="15.75" customHeight="1" s="545">
      <c r="A942" s="19" t="n"/>
      <c r="B942" s="19" t="n"/>
      <c r="C942" s="19" t="n"/>
      <c r="D942" s="19" t="n"/>
      <c r="E942" s="19" t="n"/>
      <c r="F942" s="19" t="n"/>
      <c r="G942" s="19" t="n"/>
      <c r="H942" s="19" t="n"/>
      <c r="I942" s="19" t="n"/>
      <c r="J942" s="19" t="n"/>
    </row>
    <row r="943" ht="15.75" customHeight="1" s="545">
      <c r="A943" s="19" t="n"/>
      <c r="B943" s="19" t="n"/>
      <c r="C943" s="19" t="n"/>
      <c r="D943" s="19" t="n"/>
      <c r="E943" s="19" t="n"/>
      <c r="F943" s="19" t="n"/>
      <c r="G943" s="19" t="n"/>
      <c r="H943" s="19" t="n"/>
      <c r="I943" s="19" t="n"/>
      <c r="J943" s="19" t="n"/>
    </row>
    <row r="944" ht="15.75" customHeight="1" s="545">
      <c r="A944" s="19" t="n"/>
      <c r="B944" s="19" t="n"/>
      <c r="C944" s="19" t="n"/>
      <c r="D944" s="19" t="n"/>
      <c r="E944" s="19" t="n"/>
      <c r="F944" s="19" t="n"/>
      <c r="G944" s="19" t="n"/>
      <c r="H944" s="19" t="n"/>
      <c r="I944" s="19" t="n"/>
      <c r="J944" s="19" t="n"/>
    </row>
    <row r="945" ht="15.75" customHeight="1" s="545">
      <c r="A945" s="19" t="n"/>
      <c r="B945" s="19" t="n"/>
      <c r="C945" s="19" t="n"/>
      <c r="D945" s="19" t="n"/>
      <c r="E945" s="19" t="n"/>
      <c r="F945" s="19" t="n"/>
      <c r="G945" s="19" t="n"/>
      <c r="H945" s="19" t="n"/>
      <c r="I945" s="19" t="n"/>
      <c r="J945" s="19" t="n"/>
    </row>
    <row r="946" ht="15.75" customHeight="1" s="545">
      <c r="A946" s="19" t="n"/>
      <c r="B946" s="19" t="n"/>
      <c r="C946" s="19" t="n"/>
      <c r="D946" s="19" t="n"/>
      <c r="E946" s="19" t="n"/>
      <c r="F946" s="19" t="n"/>
      <c r="G946" s="19" t="n"/>
      <c r="H946" s="19" t="n"/>
      <c r="I946" s="19" t="n"/>
      <c r="J946" s="19" t="n"/>
    </row>
    <row r="947" ht="15.75" customHeight="1" s="545">
      <c r="A947" s="19" t="n"/>
      <c r="B947" s="19" t="n"/>
      <c r="C947" s="19" t="n"/>
      <c r="D947" s="19" t="n"/>
      <c r="E947" s="19" t="n"/>
      <c r="F947" s="19" t="n"/>
      <c r="G947" s="19" t="n"/>
      <c r="H947" s="19" t="n"/>
      <c r="I947" s="19" t="n"/>
      <c r="J947" s="19" t="n"/>
    </row>
    <row r="948" ht="15.75" customHeight="1" s="545">
      <c r="A948" s="19" t="n"/>
      <c r="B948" s="19" t="n"/>
      <c r="C948" s="19" t="n"/>
      <c r="D948" s="19" t="n"/>
      <c r="E948" s="19" t="n"/>
      <c r="F948" s="19" t="n"/>
      <c r="G948" s="19" t="n"/>
      <c r="H948" s="19" t="n"/>
      <c r="I948" s="19" t="n"/>
      <c r="J948" s="19" t="n"/>
    </row>
    <row r="949" ht="15.75" customHeight="1" s="545">
      <c r="A949" s="19" t="n"/>
      <c r="B949" s="19" t="n"/>
      <c r="C949" s="19" t="n"/>
      <c r="D949" s="19" t="n"/>
      <c r="E949" s="19" t="n"/>
      <c r="F949" s="19" t="n"/>
      <c r="G949" s="19" t="n"/>
      <c r="H949" s="19" t="n"/>
      <c r="I949" s="19" t="n"/>
      <c r="J949" s="19" t="n"/>
    </row>
    <row r="950" ht="15.75" customHeight="1" s="545">
      <c r="A950" s="19" t="n"/>
      <c r="B950" s="19" t="n"/>
      <c r="C950" s="19" t="n"/>
      <c r="D950" s="19" t="n"/>
      <c r="E950" s="19" t="n"/>
      <c r="F950" s="19" t="n"/>
      <c r="G950" s="19" t="n"/>
      <c r="H950" s="19" t="n"/>
      <c r="I950" s="19" t="n"/>
      <c r="J950" s="19" t="n"/>
    </row>
    <row r="951" ht="15.75" customHeight="1" s="545">
      <c r="A951" s="19" t="n"/>
      <c r="B951" s="19" t="n"/>
      <c r="C951" s="19" t="n"/>
      <c r="D951" s="19" t="n"/>
      <c r="E951" s="19" t="n"/>
      <c r="F951" s="19" t="n"/>
      <c r="G951" s="19" t="n"/>
      <c r="H951" s="19" t="n"/>
      <c r="I951" s="19" t="n"/>
      <c r="J951" s="19" t="n"/>
    </row>
    <row r="952" ht="15.75" customHeight="1" s="545">
      <c r="A952" s="19" t="n"/>
      <c r="B952" s="19" t="n"/>
      <c r="C952" s="19" t="n"/>
      <c r="D952" s="19" t="n"/>
      <c r="E952" s="19" t="n"/>
      <c r="F952" s="19" t="n"/>
      <c r="G952" s="19" t="n"/>
      <c r="H952" s="19" t="n"/>
      <c r="I952" s="19" t="n"/>
      <c r="J952" s="19" t="n"/>
    </row>
    <row r="953" ht="15.75" customHeight="1" s="545">
      <c r="A953" s="19" t="n"/>
      <c r="B953" s="19" t="n"/>
      <c r="C953" s="19" t="n"/>
      <c r="D953" s="19" t="n"/>
      <c r="E953" s="19" t="n"/>
      <c r="F953" s="19" t="n"/>
      <c r="G953" s="19" t="n"/>
      <c r="H953" s="19" t="n"/>
      <c r="I953" s="19" t="n"/>
      <c r="J953" s="19" t="n"/>
    </row>
    <row r="954" ht="15.75" customHeight="1" s="545">
      <c r="A954" s="19" t="n"/>
      <c r="B954" s="19" t="n"/>
      <c r="C954" s="19" t="n"/>
      <c r="D954" s="19" t="n"/>
      <c r="E954" s="19" t="n"/>
      <c r="F954" s="19" t="n"/>
      <c r="G954" s="19" t="n"/>
      <c r="H954" s="19" t="n"/>
      <c r="I954" s="19" t="n"/>
      <c r="J954" s="19" t="n"/>
    </row>
    <row r="955" ht="15.75" customHeight="1" s="545">
      <c r="A955" s="19" t="n"/>
      <c r="B955" s="19" t="n"/>
      <c r="C955" s="19" t="n"/>
      <c r="D955" s="19" t="n"/>
      <c r="E955" s="19" t="n"/>
      <c r="F955" s="19" t="n"/>
      <c r="G955" s="19" t="n"/>
      <c r="H955" s="19" t="n"/>
      <c r="I955" s="19" t="n"/>
      <c r="J955" s="19" t="n"/>
    </row>
    <row r="956" ht="15.75" customHeight="1" s="545">
      <c r="A956" s="19" t="n"/>
      <c r="B956" s="19" t="n"/>
      <c r="C956" s="19" t="n"/>
      <c r="D956" s="19" t="n"/>
      <c r="E956" s="19" t="n"/>
      <c r="F956" s="19" t="n"/>
      <c r="G956" s="19" t="n"/>
      <c r="H956" s="19" t="n"/>
      <c r="I956" s="19" t="n"/>
      <c r="J956" s="19" t="n"/>
    </row>
    <row r="957" ht="15.75" customHeight="1" s="545">
      <c r="A957" s="19" t="n"/>
      <c r="B957" s="19" t="n"/>
      <c r="C957" s="19" t="n"/>
      <c r="D957" s="19" t="n"/>
      <c r="E957" s="19" t="n"/>
      <c r="F957" s="19" t="n"/>
      <c r="G957" s="19" t="n"/>
      <c r="H957" s="19" t="n"/>
      <c r="I957" s="19" t="n"/>
      <c r="J957" s="19" t="n"/>
    </row>
    <row r="958" ht="15.75" customHeight="1" s="545">
      <c r="A958" s="19" t="n"/>
      <c r="B958" s="19" t="n"/>
      <c r="C958" s="19" t="n"/>
      <c r="D958" s="19" t="n"/>
      <c r="E958" s="19" t="n"/>
      <c r="F958" s="19" t="n"/>
      <c r="G958" s="19" t="n"/>
      <c r="H958" s="19" t="n"/>
      <c r="I958" s="19" t="n"/>
      <c r="J958" s="19" t="n"/>
    </row>
    <row r="959" ht="15.75" customHeight="1" s="545">
      <c r="A959" s="19" t="n"/>
      <c r="B959" s="19" t="n"/>
      <c r="C959" s="19" t="n"/>
      <c r="D959" s="19" t="n"/>
      <c r="E959" s="19" t="n"/>
      <c r="F959" s="19" t="n"/>
      <c r="G959" s="19" t="n"/>
      <c r="H959" s="19" t="n"/>
      <c r="I959" s="19" t="n"/>
      <c r="J959" s="19" t="n"/>
    </row>
    <row r="960" ht="15.75" customHeight="1" s="545">
      <c r="A960" s="19" t="n"/>
      <c r="B960" s="19" t="n"/>
      <c r="C960" s="19" t="n"/>
      <c r="D960" s="19" t="n"/>
      <c r="E960" s="19" t="n"/>
      <c r="F960" s="19" t="n"/>
      <c r="G960" s="19" t="n"/>
      <c r="H960" s="19" t="n"/>
      <c r="I960" s="19" t="n"/>
      <c r="J960" s="19" t="n"/>
    </row>
    <row r="961" ht="15.75" customHeight="1" s="545">
      <c r="A961" s="19" t="n"/>
      <c r="B961" s="19" t="n"/>
      <c r="C961" s="19" t="n"/>
      <c r="D961" s="19" t="n"/>
      <c r="E961" s="19" t="n"/>
      <c r="F961" s="19" t="n"/>
      <c r="G961" s="19" t="n"/>
      <c r="H961" s="19" t="n"/>
      <c r="I961" s="19" t="n"/>
      <c r="J961" s="19" t="n"/>
    </row>
    <row r="962" ht="15.75" customHeight="1" s="545">
      <c r="A962" s="19" t="n"/>
      <c r="B962" s="19" t="n"/>
      <c r="C962" s="19" t="n"/>
      <c r="D962" s="19" t="n"/>
      <c r="E962" s="19" t="n"/>
      <c r="F962" s="19" t="n"/>
      <c r="G962" s="19" t="n"/>
      <c r="H962" s="19" t="n"/>
      <c r="I962" s="19" t="n"/>
      <c r="J962" s="19" t="n"/>
    </row>
    <row r="963" ht="15.75" customHeight="1" s="545">
      <c r="A963" s="19" t="n"/>
      <c r="B963" s="19" t="n"/>
      <c r="C963" s="19" t="n"/>
      <c r="D963" s="19" t="n"/>
      <c r="E963" s="19" t="n"/>
      <c r="F963" s="19" t="n"/>
      <c r="G963" s="19" t="n"/>
      <c r="H963" s="19" t="n"/>
      <c r="I963" s="19" t="n"/>
      <c r="J963" s="19" t="n"/>
    </row>
    <row r="964" ht="15.75" customHeight="1" s="545">
      <c r="A964" s="19" t="n"/>
      <c r="B964" s="19" t="n"/>
      <c r="C964" s="19" t="n"/>
      <c r="D964" s="19" t="n"/>
      <c r="E964" s="19" t="n"/>
      <c r="F964" s="19" t="n"/>
      <c r="G964" s="19" t="n"/>
      <c r="H964" s="19" t="n"/>
      <c r="I964" s="19" t="n"/>
      <c r="J964" s="19" t="n"/>
    </row>
    <row r="965" ht="15.75" customHeight="1" s="545">
      <c r="A965" s="19" t="n"/>
      <c r="B965" s="19" t="n"/>
      <c r="C965" s="19" t="n"/>
      <c r="D965" s="19" t="n"/>
      <c r="E965" s="19" t="n"/>
      <c r="F965" s="19" t="n"/>
      <c r="G965" s="19" t="n"/>
      <c r="H965" s="19" t="n"/>
      <c r="I965" s="19" t="n"/>
      <c r="J965" s="19" t="n"/>
    </row>
    <row r="966" ht="15.75" customHeight="1" s="545">
      <c r="A966" s="19" t="n"/>
      <c r="B966" s="19" t="n"/>
      <c r="C966" s="19" t="n"/>
      <c r="D966" s="19" t="n"/>
      <c r="E966" s="19" t="n"/>
      <c r="F966" s="19" t="n"/>
      <c r="G966" s="19" t="n"/>
      <c r="H966" s="19" t="n"/>
      <c r="I966" s="19" t="n"/>
      <c r="J966" s="19" t="n"/>
    </row>
    <row r="967" ht="15.75" customHeight="1" s="545">
      <c r="A967" s="19" t="n"/>
      <c r="B967" s="19" t="n"/>
      <c r="C967" s="19" t="n"/>
      <c r="D967" s="19" t="n"/>
      <c r="E967" s="19" t="n"/>
      <c r="F967" s="19" t="n"/>
      <c r="G967" s="19" t="n"/>
      <c r="H967" s="19" t="n"/>
      <c r="I967" s="19" t="n"/>
      <c r="J967" s="19" t="n"/>
    </row>
    <row r="968" ht="15.75" customHeight="1" s="545">
      <c r="A968" s="19" t="n"/>
      <c r="B968" s="19" t="n"/>
      <c r="C968" s="19" t="n"/>
      <c r="D968" s="19" t="n"/>
      <c r="E968" s="19" t="n"/>
      <c r="F968" s="19" t="n"/>
      <c r="G968" s="19" t="n"/>
      <c r="H968" s="19" t="n"/>
      <c r="I968" s="19" t="n"/>
      <c r="J968" s="19" t="n"/>
    </row>
    <row r="969" ht="15.75" customHeight="1" s="545">
      <c r="A969" s="19" t="n"/>
      <c r="B969" s="19" t="n"/>
      <c r="C969" s="19" t="n"/>
      <c r="D969" s="19" t="n"/>
      <c r="E969" s="19" t="n"/>
      <c r="F969" s="19" t="n"/>
      <c r="G969" s="19" t="n"/>
      <c r="H969" s="19" t="n"/>
      <c r="I969" s="19" t="n"/>
      <c r="J969" s="19" t="n"/>
    </row>
    <row r="970" ht="15.75" customHeight="1" s="545">
      <c r="A970" s="19" t="n"/>
      <c r="B970" s="19" t="n"/>
      <c r="C970" s="19" t="n"/>
      <c r="D970" s="19" t="n"/>
      <c r="E970" s="19" t="n"/>
      <c r="F970" s="19" t="n"/>
      <c r="G970" s="19" t="n"/>
      <c r="H970" s="19" t="n"/>
      <c r="I970" s="19" t="n"/>
      <c r="J970" s="19" t="n"/>
    </row>
    <row r="971" ht="15.75" customHeight="1" s="545">
      <c r="A971" s="19" t="n"/>
      <c r="B971" s="19" t="n"/>
      <c r="C971" s="19" t="n"/>
      <c r="D971" s="19" t="n"/>
      <c r="E971" s="19" t="n"/>
      <c r="F971" s="19" t="n"/>
      <c r="G971" s="19" t="n"/>
      <c r="H971" s="19" t="n"/>
      <c r="I971" s="19" t="n"/>
      <c r="J971" s="19" t="n"/>
    </row>
    <row r="972" ht="15.75" customHeight="1" s="545">
      <c r="A972" s="19" t="n"/>
      <c r="B972" s="19" t="n"/>
      <c r="C972" s="19" t="n"/>
      <c r="D972" s="19" t="n"/>
      <c r="E972" s="19" t="n"/>
      <c r="F972" s="19" t="n"/>
      <c r="G972" s="19" t="n"/>
      <c r="H972" s="19" t="n"/>
      <c r="I972" s="19" t="n"/>
      <c r="J972" s="19" t="n"/>
    </row>
    <row r="973" ht="15.75" customHeight="1" s="545">
      <c r="A973" s="19" t="n"/>
      <c r="B973" s="19" t="n"/>
      <c r="C973" s="19" t="n"/>
      <c r="D973" s="19" t="n"/>
      <c r="E973" s="19" t="n"/>
      <c r="F973" s="19" t="n"/>
      <c r="G973" s="19" t="n"/>
      <c r="H973" s="19" t="n"/>
      <c r="I973" s="19" t="n"/>
      <c r="J973" s="19" t="n"/>
    </row>
    <row r="974" ht="15.75" customHeight="1" s="545">
      <c r="A974" s="19" t="n"/>
      <c r="B974" s="19" t="n"/>
      <c r="C974" s="19" t="n"/>
      <c r="D974" s="19" t="n"/>
      <c r="E974" s="19" t="n"/>
      <c r="F974" s="19" t="n"/>
      <c r="G974" s="19" t="n"/>
      <c r="H974" s="19" t="n"/>
      <c r="I974" s="19" t="n"/>
      <c r="J974" s="19" t="n"/>
    </row>
    <row r="975" ht="15.75" customHeight="1" s="545">
      <c r="A975" s="19" t="n"/>
      <c r="B975" s="19" t="n"/>
      <c r="C975" s="19" t="n"/>
      <c r="D975" s="19" t="n"/>
      <c r="E975" s="19" t="n"/>
      <c r="F975" s="19" t="n"/>
      <c r="G975" s="19" t="n"/>
      <c r="H975" s="19" t="n"/>
      <c r="I975" s="19" t="n"/>
      <c r="J975" s="19" t="n"/>
    </row>
    <row r="976" ht="15.75" customHeight="1" s="545">
      <c r="A976" s="19" t="n"/>
      <c r="B976" s="19" t="n"/>
      <c r="C976" s="19" t="n"/>
      <c r="D976" s="19" t="n"/>
      <c r="E976" s="19" t="n"/>
      <c r="F976" s="19" t="n"/>
      <c r="G976" s="19" t="n"/>
      <c r="H976" s="19" t="n"/>
      <c r="I976" s="19" t="n"/>
      <c r="J976" s="19" t="n"/>
    </row>
    <row r="977" ht="15.75" customHeight="1" s="545">
      <c r="A977" s="19" t="n"/>
      <c r="B977" s="19" t="n"/>
      <c r="C977" s="19" t="n"/>
      <c r="D977" s="19" t="n"/>
      <c r="E977" s="19" t="n"/>
      <c r="F977" s="19" t="n"/>
      <c r="G977" s="19" t="n"/>
      <c r="H977" s="19" t="n"/>
      <c r="I977" s="19" t="n"/>
      <c r="J977" s="19" t="n"/>
    </row>
    <row r="978" ht="15.75" customHeight="1" s="545">
      <c r="A978" s="19" t="n"/>
      <c r="B978" s="19" t="n"/>
      <c r="C978" s="19" t="n"/>
      <c r="D978" s="19" t="n"/>
      <c r="E978" s="19" t="n"/>
      <c r="F978" s="19" t="n"/>
      <c r="G978" s="19" t="n"/>
      <c r="H978" s="19" t="n"/>
      <c r="I978" s="19" t="n"/>
      <c r="J978" s="19" t="n"/>
    </row>
    <row r="979" ht="15.75" customHeight="1" s="545">
      <c r="A979" s="19" t="n"/>
      <c r="B979" s="19" t="n"/>
      <c r="C979" s="19" t="n"/>
      <c r="D979" s="19" t="n"/>
      <c r="E979" s="19" t="n"/>
      <c r="F979" s="19" t="n"/>
      <c r="G979" s="19" t="n"/>
      <c r="H979" s="19" t="n"/>
      <c r="I979" s="19" t="n"/>
      <c r="J979" s="19" t="n"/>
    </row>
    <row r="980" ht="15.75" customHeight="1" s="545">
      <c r="A980" s="19" t="n"/>
      <c r="B980" s="19" t="n"/>
      <c r="C980" s="19" t="n"/>
      <c r="D980" s="19" t="n"/>
      <c r="E980" s="19" t="n"/>
      <c r="F980" s="19" t="n"/>
      <c r="G980" s="19" t="n"/>
      <c r="H980" s="19" t="n"/>
      <c r="I980" s="19" t="n"/>
      <c r="J980" s="19" t="n"/>
    </row>
    <row r="981" ht="15.75" customHeight="1" s="545">
      <c r="A981" s="19" t="n"/>
      <c r="B981" s="19" t="n"/>
      <c r="C981" s="19" t="n"/>
      <c r="D981" s="19" t="n"/>
      <c r="E981" s="19" t="n"/>
      <c r="F981" s="19" t="n"/>
      <c r="G981" s="19" t="n"/>
      <c r="H981" s="19" t="n"/>
      <c r="I981" s="19" t="n"/>
      <c r="J981" s="19" t="n"/>
    </row>
    <row r="982" ht="15.75" customHeight="1" s="545">
      <c r="A982" s="19" t="n"/>
      <c r="B982" s="19" t="n"/>
      <c r="C982" s="19" t="n"/>
      <c r="D982" s="19" t="n"/>
      <c r="E982" s="19" t="n"/>
      <c r="F982" s="19" t="n"/>
      <c r="G982" s="19" t="n"/>
      <c r="H982" s="19" t="n"/>
      <c r="I982" s="19" t="n"/>
      <c r="J982" s="19" t="n"/>
    </row>
    <row r="983" ht="15.75" customHeight="1" s="545">
      <c r="A983" s="19" t="n"/>
      <c r="B983" s="19" t="n"/>
      <c r="C983" s="19" t="n"/>
      <c r="D983" s="19" t="n"/>
      <c r="E983" s="19" t="n"/>
      <c r="F983" s="19" t="n"/>
      <c r="G983" s="19" t="n"/>
      <c r="H983" s="19" t="n"/>
      <c r="I983" s="19" t="n"/>
      <c r="J983" s="19" t="n"/>
    </row>
    <row r="984" ht="15.75" customHeight="1" s="545">
      <c r="A984" s="19" t="n"/>
      <c r="B984" s="19" t="n"/>
      <c r="C984" s="19" t="n"/>
      <c r="D984" s="19" t="n"/>
      <c r="E984" s="19" t="n"/>
      <c r="F984" s="19" t="n"/>
      <c r="G984" s="19" t="n"/>
      <c r="H984" s="19" t="n"/>
      <c r="I984" s="19" t="n"/>
      <c r="J984" s="19" t="n"/>
    </row>
    <row r="985" ht="15.75" customHeight="1" s="545">
      <c r="A985" s="19" t="n"/>
      <c r="B985" s="19" t="n"/>
      <c r="C985" s="19" t="n"/>
      <c r="D985" s="19" t="n"/>
      <c r="E985" s="19" t="n"/>
      <c r="F985" s="19" t="n"/>
      <c r="G985" s="19" t="n"/>
      <c r="H985" s="19" t="n"/>
      <c r="I985" s="19" t="n"/>
      <c r="J985" s="19" t="n"/>
    </row>
    <row r="986" ht="15.75" customHeight="1" s="545">
      <c r="A986" s="19" t="n"/>
      <c r="B986" s="19" t="n"/>
      <c r="C986" s="19" t="n"/>
      <c r="D986" s="19" t="n"/>
      <c r="E986" s="19" t="n"/>
      <c r="F986" s="19" t="n"/>
      <c r="G986" s="19" t="n"/>
      <c r="H986" s="19" t="n"/>
      <c r="I986" s="19" t="n"/>
      <c r="J986" s="19" t="n"/>
    </row>
    <row r="987" ht="15.75" customHeight="1" s="545">
      <c r="A987" s="19" t="n"/>
      <c r="B987" s="19" t="n"/>
      <c r="C987" s="19" t="n"/>
      <c r="D987" s="19" t="n"/>
      <c r="E987" s="19" t="n"/>
      <c r="F987" s="19" t="n"/>
      <c r="G987" s="19" t="n"/>
      <c r="H987" s="19" t="n"/>
      <c r="I987" s="19" t="n"/>
      <c r="J987" s="19" t="n"/>
    </row>
    <row r="988" ht="15.75" customHeight="1" s="545">
      <c r="A988" s="19" t="n"/>
      <c r="B988" s="19" t="n"/>
      <c r="C988" s="19" t="n"/>
      <c r="D988" s="19" t="n"/>
      <c r="E988" s="19" t="n"/>
      <c r="F988" s="19" t="n"/>
      <c r="G988" s="19" t="n"/>
      <c r="H988" s="19" t="n"/>
      <c r="I988" s="19" t="n"/>
      <c r="J988" s="19" t="n"/>
    </row>
    <row r="989" ht="15.75" customHeight="1" s="545">
      <c r="A989" s="19" t="n"/>
      <c r="B989" s="19" t="n"/>
      <c r="C989" s="19" t="n"/>
      <c r="D989" s="19" t="n"/>
      <c r="E989" s="19" t="n"/>
      <c r="F989" s="19" t="n"/>
      <c r="G989" s="19" t="n"/>
      <c r="H989" s="19" t="n"/>
      <c r="I989" s="19" t="n"/>
      <c r="J989" s="19" t="n"/>
    </row>
    <row r="990" ht="15.75" customHeight="1" s="545">
      <c r="A990" s="19" t="n"/>
      <c r="B990" s="19" t="n"/>
      <c r="C990" s="19" t="n"/>
      <c r="D990" s="19" t="n"/>
      <c r="E990" s="19" t="n"/>
      <c r="F990" s="19" t="n"/>
      <c r="G990" s="19" t="n"/>
      <c r="H990" s="19" t="n"/>
      <c r="I990" s="19" t="n"/>
      <c r="J990" s="19" t="n"/>
    </row>
    <row r="991" ht="15.75" customHeight="1" s="545">
      <c r="A991" s="19" t="n"/>
      <c r="B991" s="19" t="n"/>
      <c r="C991" s="19" t="n"/>
      <c r="D991" s="19" t="n"/>
      <c r="E991" s="19" t="n"/>
      <c r="F991" s="19" t="n"/>
      <c r="G991" s="19" t="n"/>
      <c r="H991" s="19" t="n"/>
      <c r="I991" s="19" t="n"/>
      <c r="J991" s="19" t="n"/>
    </row>
    <row r="992" ht="15.75" customHeight="1" s="545">
      <c r="A992" s="19" t="n"/>
      <c r="B992" s="19" t="n"/>
      <c r="C992" s="19" t="n"/>
      <c r="D992" s="19" t="n"/>
      <c r="E992" s="19" t="n"/>
      <c r="F992" s="19" t="n"/>
      <c r="G992" s="19" t="n"/>
      <c r="H992" s="19" t="n"/>
      <c r="I992" s="19" t="n"/>
      <c r="J992" s="19" t="n"/>
    </row>
    <row r="993" ht="15.75" customHeight="1" s="545">
      <c r="A993" s="19" t="n"/>
      <c r="B993" s="19" t="n"/>
      <c r="C993" s="19" t="n"/>
      <c r="D993" s="19" t="n"/>
      <c r="E993" s="19" t="n"/>
      <c r="F993" s="19" t="n"/>
      <c r="G993" s="19" t="n"/>
      <c r="H993" s="19" t="n"/>
      <c r="I993" s="19" t="n"/>
      <c r="J993" s="19" t="n"/>
    </row>
    <row r="994" ht="15.75" customHeight="1" s="545">
      <c r="A994" s="19" t="n"/>
      <c r="B994" s="19" t="n"/>
      <c r="C994" s="19" t="n"/>
      <c r="D994" s="19" t="n"/>
      <c r="E994" s="19" t="n"/>
      <c r="F994" s="19" t="n"/>
      <c r="G994" s="19" t="n"/>
      <c r="H994" s="19" t="n"/>
      <c r="I994" s="19" t="n"/>
      <c r="J994" s="19" t="n"/>
    </row>
    <row r="995" ht="15.75" customHeight="1" s="545">
      <c r="A995" s="19" t="n"/>
      <c r="B995" s="19" t="n"/>
      <c r="C995" s="19" t="n"/>
      <c r="D995" s="19" t="n"/>
      <c r="E995" s="19" t="n"/>
      <c r="F995" s="19" t="n"/>
      <c r="G995" s="19" t="n"/>
      <c r="H995" s="19" t="n"/>
      <c r="I995" s="19" t="n"/>
      <c r="J995" s="19" t="n"/>
    </row>
    <row r="996" ht="15.75" customHeight="1" s="545">
      <c r="A996" s="19" t="n"/>
      <c r="B996" s="19" t="n"/>
      <c r="C996" s="19" t="n"/>
      <c r="D996" s="19" t="n"/>
      <c r="E996" s="19" t="n"/>
      <c r="F996" s="19" t="n"/>
      <c r="G996" s="19" t="n"/>
      <c r="H996" s="19" t="n"/>
      <c r="I996" s="19" t="n"/>
      <c r="J996" s="19" t="n"/>
    </row>
    <row r="997" ht="15.75" customHeight="1" s="545">
      <c r="A997" s="19" t="n"/>
      <c r="B997" s="19" t="n"/>
      <c r="C997" s="19" t="n"/>
      <c r="D997" s="19" t="n"/>
      <c r="E997" s="19" t="n"/>
      <c r="F997" s="19" t="n"/>
      <c r="G997" s="19" t="n"/>
      <c r="H997" s="19" t="n"/>
      <c r="I997" s="19" t="n"/>
      <c r="J997" s="19" t="n"/>
    </row>
    <row r="998" ht="15.75" customHeight="1" s="545">
      <c r="A998" s="19" t="n"/>
      <c r="B998" s="19" t="n"/>
      <c r="C998" s="19" t="n"/>
      <c r="D998" s="19" t="n"/>
      <c r="E998" s="19" t="n"/>
      <c r="F998" s="19" t="n"/>
      <c r="G998" s="19" t="n"/>
      <c r="H998" s="19" t="n"/>
      <c r="I998" s="19" t="n"/>
      <c r="J998" s="19" t="n"/>
    </row>
    <row r="999" ht="15.75" customHeight="1" s="545">
      <c r="A999" s="19" t="n"/>
      <c r="B999" s="19" t="n"/>
      <c r="C999" s="19" t="n"/>
      <c r="D999" s="19" t="n"/>
      <c r="E999" s="19" t="n"/>
      <c r="F999" s="19" t="n"/>
      <c r="G999" s="19" t="n"/>
      <c r="H999" s="19" t="n"/>
      <c r="I999" s="19" t="n"/>
      <c r="J999" s="19" t="n"/>
    </row>
    <row r="1000" ht="15.75" customHeight="1" s="545">
      <c r="A1000" s="19" t="n"/>
      <c r="B1000" s="19" t="n"/>
      <c r="C1000" s="19" t="n"/>
      <c r="D1000" s="19" t="n"/>
      <c r="E1000" s="19" t="n"/>
      <c r="F1000" s="19" t="n"/>
      <c r="G1000" s="19" t="n"/>
      <c r="H1000" s="19" t="n"/>
      <c r="I1000" s="19" t="n"/>
      <c r="J1000" s="19" t="n"/>
    </row>
  </sheetData>
  <mergeCells count="143">
    <mergeCell ref="C62:D62"/>
    <mergeCell ref="C98:D98"/>
    <mergeCell ref="C107:D107"/>
    <mergeCell ref="C89:D89"/>
    <mergeCell ref="C116:D116"/>
    <mergeCell ref="C64:D64"/>
    <mergeCell ref="C79:D79"/>
    <mergeCell ref="C73:D73"/>
    <mergeCell ref="C54:D54"/>
    <mergeCell ref="C121:D121"/>
    <mergeCell ref="C63:D63"/>
    <mergeCell ref="C41:D41"/>
    <mergeCell ref="C134:D134"/>
    <mergeCell ref="C146:D146"/>
    <mergeCell ref="C93:D93"/>
    <mergeCell ref="C50:D50"/>
    <mergeCell ref="C56:D56"/>
    <mergeCell ref="C148:D148"/>
    <mergeCell ref="C105:D105"/>
    <mergeCell ref="C43:D43"/>
    <mergeCell ref="C138:D138"/>
    <mergeCell ref="C120:D120"/>
    <mergeCell ref="C76:D76"/>
    <mergeCell ref="C119:D119"/>
    <mergeCell ref="H13:I13"/>
    <mergeCell ref="G2:I2"/>
    <mergeCell ref="C149:D149"/>
    <mergeCell ref="C158:D158"/>
    <mergeCell ref="C67:D67"/>
    <mergeCell ref="H15:I15"/>
    <mergeCell ref="C111:D111"/>
    <mergeCell ref="C69:D69"/>
    <mergeCell ref="C83:D83"/>
    <mergeCell ref="C92:D92"/>
    <mergeCell ref="C45:D45"/>
    <mergeCell ref="C97:D97"/>
    <mergeCell ref="G3:I5"/>
    <mergeCell ref="C147:D147"/>
    <mergeCell ref="C109:D109"/>
    <mergeCell ref="C47:D47"/>
    <mergeCell ref="C137:D137"/>
    <mergeCell ref="C40:D40"/>
    <mergeCell ref="C124:D124"/>
    <mergeCell ref="H11:I11"/>
    <mergeCell ref="C139:D139"/>
    <mergeCell ref="C90:D90"/>
    <mergeCell ref="C60:D60"/>
    <mergeCell ref="C71:D71"/>
    <mergeCell ref="C123:D123"/>
    <mergeCell ref="C132:D132"/>
    <mergeCell ref="H28:I28"/>
    <mergeCell ref="C110:D110"/>
    <mergeCell ref="C91:D91"/>
    <mergeCell ref="H12:I12"/>
    <mergeCell ref="C82:D82"/>
    <mergeCell ref="C57:D57"/>
    <mergeCell ref="D38:E38"/>
    <mergeCell ref="G8:I8"/>
    <mergeCell ref="C155:D155"/>
    <mergeCell ref="C66:D66"/>
    <mergeCell ref="H14:I14"/>
    <mergeCell ref="C102:D102"/>
    <mergeCell ref="C53:D53"/>
    <mergeCell ref="C77:D77"/>
    <mergeCell ref="C86:D86"/>
    <mergeCell ref="G10:I10"/>
    <mergeCell ref="C157:D157"/>
    <mergeCell ref="C68:D68"/>
    <mergeCell ref="C151:D151"/>
    <mergeCell ref="C108:D108"/>
    <mergeCell ref="C160:D160"/>
    <mergeCell ref="C58:D58"/>
    <mergeCell ref="C141:D141"/>
    <mergeCell ref="C128:D128"/>
    <mergeCell ref="C113:D113"/>
    <mergeCell ref="C78:D78"/>
    <mergeCell ref="C143:D143"/>
    <mergeCell ref="C85:D85"/>
    <mergeCell ref="C100:D100"/>
    <mergeCell ref="C112:D112"/>
    <mergeCell ref="C152:D152"/>
    <mergeCell ref="C65:D65"/>
    <mergeCell ref="C94:D94"/>
    <mergeCell ref="C133:D133"/>
    <mergeCell ref="C75:D75"/>
    <mergeCell ref="C84:D84"/>
    <mergeCell ref="C127:D127"/>
    <mergeCell ref="C142:D142"/>
    <mergeCell ref="C44:D44"/>
    <mergeCell ref="C80:D80"/>
    <mergeCell ref="C114:D114"/>
    <mergeCell ref="C129:D129"/>
    <mergeCell ref="C59:D59"/>
    <mergeCell ref="C46:D46"/>
    <mergeCell ref="C145:D145"/>
    <mergeCell ref="G22:I22"/>
    <mergeCell ref="C95:D95"/>
    <mergeCell ref="C51:D51"/>
    <mergeCell ref="C61:D61"/>
    <mergeCell ref="B2:E2"/>
    <mergeCell ref="C70:D70"/>
    <mergeCell ref="C48:D48"/>
    <mergeCell ref="C106:D106"/>
    <mergeCell ref="B30:C30"/>
    <mergeCell ref="C125:D125"/>
    <mergeCell ref="D30:E30"/>
    <mergeCell ref="G30:I31"/>
    <mergeCell ref="C131:D131"/>
    <mergeCell ref="C140:D140"/>
    <mergeCell ref="G7:I7"/>
    <mergeCell ref="C154:D154"/>
    <mergeCell ref="C49:D49"/>
    <mergeCell ref="C101:D101"/>
    <mergeCell ref="H29:I29"/>
    <mergeCell ref="C104:D104"/>
    <mergeCell ref="C42:D42"/>
    <mergeCell ref="C156:D156"/>
    <mergeCell ref="C74:D74"/>
    <mergeCell ref="C126:D126"/>
    <mergeCell ref="C88:D88"/>
    <mergeCell ref="C103:D103"/>
    <mergeCell ref="C117:D117"/>
    <mergeCell ref="C55:D55"/>
    <mergeCell ref="C99:D99"/>
    <mergeCell ref="D31:E35"/>
    <mergeCell ref="C118:D118"/>
    <mergeCell ref="B24:D24"/>
    <mergeCell ref="C115:D115"/>
    <mergeCell ref="C130:D130"/>
    <mergeCell ref="B37:I37"/>
    <mergeCell ref="C52:D52"/>
    <mergeCell ref="C135:D135"/>
    <mergeCell ref="C150:D150"/>
    <mergeCell ref="H27:I27"/>
    <mergeCell ref="C144:D144"/>
    <mergeCell ref="C159:D159"/>
    <mergeCell ref="C122:D122"/>
    <mergeCell ref="C153:D153"/>
    <mergeCell ref="C72:D72"/>
    <mergeCell ref="C81:D81"/>
    <mergeCell ref="C96:D96"/>
    <mergeCell ref="C136:D136"/>
    <mergeCell ref="C87:D87"/>
  </mergeCells>
  <conditionalFormatting sqref="B41:I160">
    <cfRule type="expression" priority="3" dxfId="2">
      <formula>ISNUMBER($A41)</formula>
    </cfRule>
  </conditionalFormatting>
  <conditionalFormatting sqref="C8:D8 C16:D16">
    <cfRule type="containsText" priority="1" operator="containsText" dxfId="1" text="nicht">
      <formula>NOT(ISERROR(SEARCH(("nicht"),(C8))))</formula>
    </cfRule>
    <cfRule type="notContainsText" priority="2" operator="notContains" dxfId="0" text="nicht">
      <formula>ISERROR(SEARCH(("nicht"),(C8)))</formula>
    </cfRule>
  </conditionalFormatting>
  <dataValidations count="1">
    <dataValidation sqref="C4:D7 C11:D15 C19:D21 C38 H27:H29" showDropDown="0" showInputMessage="0" showErrorMessage="1" allowBlank="1" type="list">
      <formula1>"Ja,Nein"</formula1>
    </dataValidation>
  </dataValidations>
  <printOptions horizontalCentered="1"/>
  <pageMargins left="0.236111111111111" right="0.236111111111111" top="0.511805555555556" bottom="0.39375" header="0" footer="0"/>
  <pageSetup orientation="landscape" paperSize="9" fitToHeight="0"/>
  <headerFooter>
    <oddHeader/>
    <oddFooter>&amp;L&amp;F | &amp;A&amp;RSeite &amp;P von</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Z1000"/>
  <sheetViews>
    <sheetView workbookViewId="0">
      <selection activeCell="A1" sqref="A1"/>
    </sheetView>
  </sheetViews>
  <sheetFormatPr baseColWidth="10" defaultColWidth="14.4609375" defaultRowHeight="15" customHeight="1"/>
  <cols>
    <col width="33.84375" customWidth="1" style="545" min="1" max="1"/>
    <col width="24.15234375" customWidth="1" style="545" min="2" max="2"/>
    <col width="23.69140625" customWidth="1" style="545" min="3" max="3"/>
    <col width="14.4609375" customWidth="1" style="545" min="4" max="6"/>
  </cols>
  <sheetData>
    <row r="1" ht="15" customHeight="1" s="545">
      <c r="A1" s="538" t="inlineStr">
        <is>
          <t>Bundesland</t>
        </is>
      </c>
      <c r="B1" s="538" t="inlineStr">
        <is>
          <t>Notar- und Grundbuchkosten</t>
        </is>
      </c>
      <c r="C1" s="538" t="inlineStr">
        <is>
          <t>Grunderwerbsteuer</t>
        </is>
      </c>
      <c r="D1" s="21" t="n"/>
      <c r="E1" s="21" t="n"/>
      <c r="F1" s="21" t="n"/>
      <c r="G1" s="21" t="n"/>
      <c r="H1" s="21" t="n"/>
      <c r="I1" s="21" t="n"/>
      <c r="J1" s="21" t="n"/>
      <c r="K1" s="21" t="n"/>
      <c r="L1" s="21" t="n"/>
      <c r="M1" s="21" t="n"/>
      <c r="N1" s="21" t="n"/>
      <c r="O1" s="21" t="n"/>
      <c r="P1" s="21" t="n"/>
      <c r="Q1" s="21" t="n"/>
      <c r="R1" s="21" t="n"/>
      <c r="S1" s="21" t="n"/>
      <c r="T1" s="21" t="n"/>
      <c r="U1" s="21" t="n"/>
      <c r="V1" s="21" t="n"/>
      <c r="W1" s="21" t="n"/>
      <c r="X1" s="21" t="n"/>
      <c r="Y1" s="21" t="n"/>
      <c r="Z1" s="21" t="n"/>
    </row>
    <row r="2" ht="15" customHeight="1" s="545">
      <c r="A2" s="106" t="inlineStr">
        <is>
          <t>Baden-Württemberg</t>
        </is>
      </c>
      <c r="B2" s="539" t="n">
        <v>0.02</v>
      </c>
      <c r="C2" s="539" t="n">
        <v>0.05</v>
      </c>
      <c r="D2" s="21" t="n"/>
      <c r="E2" s="21" t="n"/>
      <c r="F2" s="21" t="n"/>
      <c r="G2" s="21" t="n"/>
      <c r="H2" s="21" t="n"/>
      <c r="I2" s="21" t="n"/>
      <c r="J2" s="21" t="n"/>
      <c r="K2" s="21" t="n"/>
      <c r="L2" s="21" t="n"/>
      <c r="M2" s="21" t="n"/>
      <c r="N2" s="21" t="n"/>
      <c r="O2" s="21" t="n"/>
      <c r="P2" s="21" t="n"/>
      <c r="Q2" s="21" t="n"/>
      <c r="R2" s="21" t="n"/>
      <c r="S2" s="21" t="n"/>
      <c r="T2" s="21" t="n"/>
      <c r="U2" s="21" t="n"/>
      <c r="V2" s="21" t="n"/>
      <c r="W2" s="21" t="n"/>
      <c r="X2" s="21" t="n"/>
      <c r="Y2" s="21" t="n"/>
      <c r="Z2" s="21" t="n"/>
    </row>
    <row r="3" ht="15" customHeight="1" s="545">
      <c r="A3" s="106" t="inlineStr">
        <is>
          <t>Bayern</t>
        </is>
      </c>
      <c r="B3" s="539" t="n">
        <v>0.02</v>
      </c>
      <c r="C3" s="539" t="n">
        <v>0.035</v>
      </c>
      <c r="D3" s="21" t="n"/>
      <c r="E3" s="21" t="n"/>
      <c r="F3" s="21" t="n"/>
      <c r="G3" s="21" t="n"/>
      <c r="H3" s="21" t="n"/>
      <c r="I3" s="21" t="n"/>
      <c r="J3" s="21" t="n"/>
      <c r="K3" s="21" t="n"/>
      <c r="L3" s="21" t="n"/>
      <c r="M3" s="21" t="n"/>
      <c r="N3" s="21" t="n"/>
      <c r="O3" s="21" t="n"/>
      <c r="P3" s="21" t="n"/>
      <c r="Q3" s="21" t="n"/>
      <c r="R3" s="21" t="n"/>
      <c r="S3" s="21" t="n"/>
      <c r="T3" s="21" t="n"/>
      <c r="U3" s="21" t="n"/>
      <c r="V3" s="21" t="n"/>
      <c r="W3" s="21" t="n"/>
      <c r="X3" s="21" t="n"/>
      <c r="Y3" s="21" t="n"/>
      <c r="Z3" s="21" t="n"/>
    </row>
    <row r="4" ht="15" customHeight="1" s="545">
      <c r="A4" s="106" t="inlineStr">
        <is>
          <t>Berlin</t>
        </is>
      </c>
      <c r="B4" s="539" t="n">
        <v>0.02</v>
      </c>
      <c r="C4" s="539" t="n">
        <v>0.06</v>
      </c>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row>
    <row r="5" ht="15" customHeight="1" s="545">
      <c r="A5" s="106" t="inlineStr">
        <is>
          <t>Brandenburg</t>
        </is>
      </c>
      <c r="B5" s="539" t="n">
        <v>0.02</v>
      </c>
      <c r="C5" s="539" t="n">
        <v>0.065</v>
      </c>
      <c r="D5" s="21" t="n"/>
      <c r="E5" s="21" t="n"/>
      <c r="F5" s="21" t="n"/>
      <c r="G5" s="21" t="n"/>
      <c r="H5" s="21" t="n"/>
      <c r="I5" s="21" t="n"/>
      <c r="J5" s="21" t="n"/>
      <c r="K5" s="21" t="n"/>
      <c r="L5" s="21" t="n"/>
      <c r="M5" s="21" t="n"/>
      <c r="N5" s="21" t="n"/>
      <c r="O5" s="21" t="n"/>
      <c r="P5" s="21" t="n"/>
      <c r="Q5" s="21" t="n"/>
      <c r="R5" s="21" t="n"/>
      <c r="S5" s="21" t="n"/>
      <c r="T5" s="21" t="n"/>
      <c r="U5" s="21" t="n"/>
      <c r="V5" s="21" t="n"/>
      <c r="W5" s="21" t="n"/>
      <c r="X5" s="21" t="n"/>
      <c r="Y5" s="21" t="n"/>
      <c r="Z5" s="21" t="n"/>
    </row>
    <row r="6" ht="15" customHeight="1" s="545">
      <c r="A6" s="106" t="inlineStr">
        <is>
          <t>Bremen</t>
        </is>
      </c>
      <c r="B6" s="539" t="n">
        <v>0.02</v>
      </c>
      <c r="C6" s="539" t="n">
        <v>0.05</v>
      </c>
      <c r="D6" s="21" t="n"/>
      <c r="E6" s="21" t="n"/>
      <c r="F6" s="21" t="n"/>
      <c r="G6" s="21" t="n"/>
      <c r="H6" s="21" t="n"/>
      <c r="I6" s="21" t="n"/>
      <c r="J6" s="21" t="n"/>
      <c r="K6" s="21" t="n"/>
      <c r="L6" s="21" t="n"/>
      <c r="M6" s="21" t="n"/>
      <c r="N6" s="21" t="n"/>
      <c r="O6" s="21" t="n"/>
      <c r="P6" s="21" t="n"/>
      <c r="Q6" s="21" t="n"/>
      <c r="R6" s="21" t="n"/>
      <c r="S6" s="21" t="n"/>
      <c r="T6" s="21" t="n"/>
      <c r="U6" s="21" t="n"/>
      <c r="V6" s="21" t="n"/>
      <c r="W6" s="21" t="n"/>
      <c r="X6" s="21" t="n"/>
      <c r="Y6" s="21" t="n"/>
      <c r="Z6" s="21" t="n"/>
    </row>
    <row r="7" ht="15" customHeight="1" s="545">
      <c r="A7" s="106" t="inlineStr">
        <is>
          <t>Hamburg</t>
        </is>
      </c>
      <c r="B7" s="539" t="n">
        <v>0.02</v>
      </c>
      <c r="C7" s="539" t="n">
        <v>0.045</v>
      </c>
      <c r="D7" s="21" t="n"/>
      <c r="E7" s="21" t="n"/>
      <c r="F7" s="21" t="n"/>
      <c r="G7" s="21" t="n"/>
      <c r="H7" s="21" t="n"/>
      <c r="I7" s="21" t="n"/>
      <c r="J7" s="21" t="n"/>
      <c r="K7" s="21" t="n"/>
      <c r="L7" s="21" t="n"/>
      <c r="M7" s="21" t="n"/>
      <c r="N7" s="21" t="n"/>
      <c r="O7" s="21" t="n"/>
      <c r="P7" s="21" t="n"/>
      <c r="Q7" s="21" t="n"/>
      <c r="R7" s="21" t="n"/>
      <c r="S7" s="21" t="n"/>
      <c r="T7" s="21" t="n"/>
      <c r="U7" s="21" t="n"/>
      <c r="V7" s="21" t="n"/>
      <c r="W7" s="21" t="n"/>
      <c r="X7" s="21" t="n"/>
      <c r="Y7" s="21" t="n"/>
      <c r="Z7" s="21" t="n"/>
    </row>
    <row r="8" ht="15" customHeight="1" s="545">
      <c r="A8" s="106" t="inlineStr">
        <is>
          <t>Hessen</t>
        </is>
      </c>
      <c r="B8" s="539" t="n">
        <v>0.02</v>
      </c>
      <c r="C8" s="539" t="n">
        <v>0.06</v>
      </c>
      <c r="D8" s="21" t="n"/>
      <c r="E8" s="21" t="n"/>
      <c r="F8" s="21" t="n"/>
      <c r="G8" s="21" t="n"/>
      <c r="H8" s="21" t="n"/>
      <c r="I8" s="21" t="n"/>
      <c r="J8" s="21" t="n"/>
      <c r="K8" s="21" t="n"/>
      <c r="L8" s="21" t="n"/>
      <c r="M8" s="21" t="n"/>
      <c r="N8" s="21" t="n"/>
      <c r="O8" s="21" t="n"/>
      <c r="P8" s="21" t="n"/>
      <c r="Q8" s="21" t="n"/>
      <c r="R8" s="21" t="n"/>
      <c r="S8" s="21" t="n"/>
      <c r="T8" s="21" t="n"/>
      <c r="U8" s="21" t="n"/>
      <c r="V8" s="21" t="n"/>
      <c r="W8" s="21" t="n"/>
      <c r="X8" s="21" t="n"/>
      <c r="Y8" s="21" t="n"/>
      <c r="Z8" s="21" t="n"/>
    </row>
    <row r="9" ht="15" customHeight="1" s="545">
      <c r="A9" s="106" t="inlineStr">
        <is>
          <t>Mecklenburg-Vorpommern</t>
        </is>
      </c>
      <c r="B9" s="539" t="n">
        <v>0.02</v>
      </c>
      <c r="C9" s="539" t="n">
        <v>0.06</v>
      </c>
      <c r="D9" s="21" t="n"/>
      <c r="E9" s="21" t="n"/>
      <c r="F9" s="21" t="n"/>
      <c r="G9" s="21" t="n"/>
      <c r="H9" s="21" t="n"/>
      <c r="I9" s="21" t="n"/>
      <c r="J9" s="21" t="n"/>
      <c r="K9" s="21" t="n"/>
      <c r="L9" s="21" t="n"/>
      <c r="M9" s="21" t="n"/>
      <c r="N9" s="21" t="n"/>
      <c r="O9" s="21" t="n"/>
      <c r="P9" s="21" t="n"/>
      <c r="Q9" s="21" t="n"/>
      <c r="R9" s="21" t="n"/>
      <c r="S9" s="21" t="n"/>
      <c r="T9" s="21" t="n"/>
      <c r="U9" s="21" t="n"/>
      <c r="V9" s="21" t="n"/>
      <c r="W9" s="21" t="n"/>
      <c r="X9" s="21" t="n"/>
      <c r="Y9" s="21" t="n"/>
      <c r="Z9" s="21" t="n"/>
    </row>
    <row r="10" ht="15" customHeight="1" s="545">
      <c r="A10" s="106" t="inlineStr">
        <is>
          <t>Niedersachsen</t>
        </is>
      </c>
      <c r="B10" s="539" t="n">
        <v>0.02</v>
      </c>
      <c r="C10" s="539" t="n">
        <v>0.05</v>
      </c>
      <c r="D10" s="21" t="n"/>
      <c r="E10" s="21" t="n"/>
      <c r="F10" s="21" t="n"/>
      <c r="G10" s="21" t="n"/>
      <c r="H10" s="21" t="n"/>
      <c r="I10" s="21" t="n"/>
      <c r="J10" s="21" t="n"/>
      <c r="K10" s="21" t="n"/>
      <c r="L10" s="21" t="n"/>
      <c r="M10" s="21" t="n"/>
      <c r="N10" s="21" t="n"/>
      <c r="O10" s="21" t="n"/>
      <c r="P10" s="21" t="n"/>
      <c r="Q10" s="21" t="n"/>
      <c r="R10" s="21" t="n"/>
      <c r="S10" s="21" t="n"/>
      <c r="T10" s="21" t="n"/>
      <c r="U10" s="21" t="n"/>
      <c r="V10" s="21" t="n"/>
      <c r="W10" s="21" t="n"/>
      <c r="X10" s="21" t="n"/>
      <c r="Y10" s="21" t="n"/>
      <c r="Z10" s="21" t="n"/>
    </row>
    <row r="11" ht="15" customHeight="1" s="545">
      <c r="A11" s="106" t="inlineStr">
        <is>
          <t>Nordrhein-Westfalen</t>
        </is>
      </c>
      <c r="B11" s="539" t="n">
        <v>0.02</v>
      </c>
      <c r="C11" s="539" t="n">
        <v>0.065</v>
      </c>
      <c r="D11" s="21" t="n"/>
      <c r="E11" s="21" t="n"/>
      <c r="F11" s="21" t="n"/>
      <c r="G11" s="21" t="n"/>
      <c r="H11" s="21" t="n"/>
      <c r="I11" s="21" t="n"/>
      <c r="J11" s="21" t="n"/>
      <c r="K11" s="21" t="n"/>
      <c r="L11" s="21" t="n"/>
      <c r="M11" s="21" t="n"/>
      <c r="N11" s="21" t="n"/>
      <c r="O11" s="21" t="n"/>
      <c r="P11" s="21" t="n"/>
      <c r="Q11" s="21" t="n"/>
      <c r="R11" s="21" t="n"/>
      <c r="S11" s="21" t="n"/>
      <c r="T11" s="21" t="n"/>
      <c r="U11" s="21" t="n"/>
      <c r="V11" s="21" t="n"/>
      <c r="W11" s="21" t="n"/>
      <c r="X11" s="21" t="n"/>
      <c r="Y11" s="21" t="n"/>
      <c r="Z11" s="21" t="n"/>
    </row>
    <row r="12" ht="15" customHeight="1" s="545">
      <c r="A12" s="106" t="inlineStr">
        <is>
          <t>Rheinland-Pfalz</t>
        </is>
      </c>
      <c r="B12" s="539" t="n">
        <v>0.02</v>
      </c>
      <c r="C12" s="539" t="n">
        <v>0.05</v>
      </c>
      <c r="D12" s="21" t="n"/>
      <c r="E12" s="21" t="n"/>
      <c r="F12" s="21" t="n"/>
      <c r="G12" s="21" t="n"/>
      <c r="H12" s="21" t="n"/>
      <c r="I12" s="21" t="n"/>
      <c r="J12" s="21" t="n"/>
      <c r="K12" s="21" t="n"/>
      <c r="L12" s="21" t="n"/>
      <c r="M12" s="21" t="n"/>
      <c r="N12" s="21" t="n"/>
      <c r="O12" s="21" t="n"/>
      <c r="P12" s="21" t="n"/>
      <c r="Q12" s="21" t="n"/>
      <c r="R12" s="21" t="n"/>
      <c r="S12" s="21" t="n"/>
      <c r="T12" s="21" t="n"/>
      <c r="U12" s="21" t="n"/>
      <c r="V12" s="21" t="n"/>
      <c r="W12" s="21" t="n"/>
      <c r="X12" s="21" t="n"/>
      <c r="Y12" s="21" t="n"/>
      <c r="Z12" s="21" t="n"/>
    </row>
    <row r="13" ht="15" customHeight="1" s="545">
      <c r="A13" s="106" t="inlineStr">
        <is>
          <t>Saarland</t>
        </is>
      </c>
      <c r="B13" s="539" t="n">
        <v>0.02</v>
      </c>
      <c r="C13" s="539" t="n">
        <v>0.065</v>
      </c>
      <c r="D13" s="21" t="n"/>
      <c r="E13" s="21" t="n"/>
      <c r="F13" s="21" t="n"/>
      <c r="G13" s="21" t="n"/>
      <c r="H13" s="21" t="n"/>
      <c r="I13" s="21" t="n"/>
      <c r="J13" s="21" t="n"/>
      <c r="K13" s="21" t="n"/>
      <c r="L13" s="21" t="n"/>
      <c r="M13" s="21" t="n"/>
      <c r="N13" s="21" t="n"/>
      <c r="O13" s="21" t="n"/>
      <c r="P13" s="21" t="n"/>
      <c r="Q13" s="21" t="n"/>
      <c r="R13" s="21" t="n"/>
      <c r="S13" s="21" t="n"/>
      <c r="T13" s="21" t="n"/>
      <c r="U13" s="21" t="n"/>
      <c r="V13" s="21" t="n"/>
      <c r="W13" s="21" t="n"/>
      <c r="X13" s="21" t="n"/>
      <c r="Y13" s="21" t="n"/>
      <c r="Z13" s="21" t="n"/>
    </row>
    <row r="14" ht="15" customHeight="1" s="545">
      <c r="A14" s="106" t="inlineStr">
        <is>
          <t>Sachsen</t>
        </is>
      </c>
      <c r="B14" s="539" t="n">
        <v>0.02</v>
      </c>
      <c r="C14" s="539" t="n">
        <v>0.055</v>
      </c>
      <c r="D14" s="21" t="n"/>
      <c r="E14" s="21" t="n"/>
      <c r="F14" s="21" t="n"/>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row>
    <row r="15" ht="15" customHeight="1" s="545">
      <c r="A15" s="106" t="inlineStr">
        <is>
          <t>Sachsen-Anhalt</t>
        </is>
      </c>
      <c r="B15" s="539" t="n">
        <v>0.02</v>
      </c>
      <c r="C15" s="539" t="n">
        <v>0.05</v>
      </c>
      <c r="D15" s="21" t="n"/>
      <c r="E15" s="21" t="n"/>
      <c r="F15" s="21" t="n"/>
      <c r="G15" s="21" t="n"/>
      <c r="H15" s="21" t="n"/>
      <c r="I15" s="21" t="n"/>
      <c r="J15" s="21" t="n"/>
      <c r="K15" s="21" t="n"/>
      <c r="L15" s="21" t="n"/>
      <c r="M15" s="21" t="n"/>
      <c r="N15" s="21" t="n"/>
      <c r="O15" s="21" t="n"/>
      <c r="P15" s="21" t="n"/>
      <c r="Q15" s="21" t="n"/>
      <c r="R15" s="21" t="n"/>
      <c r="S15" s="21" t="n"/>
      <c r="T15" s="21" t="n"/>
      <c r="U15" s="21" t="n"/>
      <c r="V15" s="21" t="n"/>
      <c r="W15" s="21" t="n"/>
      <c r="X15" s="21" t="n"/>
      <c r="Y15" s="21" t="n"/>
      <c r="Z15" s="21" t="n"/>
    </row>
    <row r="16" ht="15" customHeight="1" s="545">
      <c r="A16" s="106" t="inlineStr">
        <is>
          <t>Schleswig-Holstein</t>
        </is>
      </c>
      <c r="B16" s="539" t="n">
        <v>0.02</v>
      </c>
      <c r="C16" s="539" t="n">
        <v>0.065</v>
      </c>
      <c r="D16" s="21" t="n"/>
      <c r="E16" s="21" t="n"/>
      <c r="F16" s="21" t="n"/>
      <c r="G16" s="21" t="n"/>
      <c r="H16" s="21" t="n"/>
      <c r="I16" s="21" t="n"/>
      <c r="J16" s="21" t="n"/>
      <c r="K16" s="21" t="n"/>
      <c r="L16" s="21" t="n"/>
      <c r="M16" s="21" t="n"/>
      <c r="N16" s="21" t="n"/>
      <c r="O16" s="21" t="n"/>
      <c r="P16" s="21" t="n"/>
      <c r="Q16" s="21" t="n"/>
      <c r="R16" s="21" t="n"/>
      <c r="S16" s="21" t="n"/>
      <c r="T16" s="21" t="n"/>
      <c r="U16" s="21" t="n"/>
      <c r="V16" s="21" t="n"/>
      <c r="W16" s="21" t="n"/>
      <c r="X16" s="21" t="n"/>
      <c r="Y16" s="21" t="n"/>
      <c r="Z16" s="21" t="n"/>
    </row>
    <row r="17" ht="15" customHeight="1" s="545">
      <c r="A17" s="106" t="inlineStr">
        <is>
          <t>Thüringen</t>
        </is>
      </c>
      <c r="B17" s="539" t="n">
        <v>0.02</v>
      </c>
      <c r="C17" s="539" t="n">
        <v>0.05</v>
      </c>
      <c r="D17" s="21" t="n"/>
      <c r="E17" s="21" t="n"/>
      <c r="F17" s="21" t="n"/>
      <c r="G17" s="21" t="n"/>
      <c r="H17" s="21" t="n"/>
      <c r="I17" s="21" t="n"/>
      <c r="J17" s="21" t="n"/>
      <c r="K17" s="21" t="n"/>
      <c r="L17" s="21" t="n"/>
      <c r="M17" s="21" t="n"/>
      <c r="N17" s="21" t="n"/>
      <c r="O17" s="21" t="n"/>
      <c r="P17" s="21" t="n"/>
      <c r="Q17" s="21" t="n"/>
      <c r="R17" s="21" t="n"/>
      <c r="S17" s="21" t="n"/>
      <c r="T17" s="21" t="n"/>
      <c r="U17" s="21" t="n"/>
      <c r="V17" s="21" t="n"/>
      <c r="W17" s="21" t="n"/>
      <c r="X17" s="21" t="n"/>
      <c r="Y17" s="21" t="n"/>
      <c r="Z17" s="21" t="n"/>
    </row>
    <row r="18" ht="15" customHeight="1" s="545">
      <c r="A18" s="21" t="n"/>
      <c r="B18" s="539" t="n"/>
      <c r="C18" s="539" t="n"/>
      <c r="D18" s="21" t="n"/>
      <c r="E18" s="21" t="n"/>
      <c r="F18" s="21" t="n"/>
      <c r="G18" s="21" t="n"/>
      <c r="H18" s="21" t="n"/>
      <c r="I18" s="21" t="n"/>
      <c r="J18" s="21" t="n"/>
      <c r="K18" s="21" t="n"/>
      <c r="L18" s="21" t="n"/>
      <c r="M18" s="21" t="n"/>
      <c r="N18" s="21" t="n"/>
      <c r="O18" s="21" t="n"/>
      <c r="P18" s="21" t="n"/>
      <c r="Q18" s="21" t="n"/>
      <c r="R18" s="21" t="n"/>
      <c r="S18" s="21" t="n"/>
      <c r="T18" s="21" t="n"/>
      <c r="U18" s="21" t="n"/>
      <c r="V18" s="21" t="n"/>
      <c r="W18" s="21" t="n"/>
      <c r="X18" s="21" t="n"/>
      <c r="Y18" s="21" t="n"/>
      <c r="Z18" s="21" t="n"/>
    </row>
    <row r="19" ht="15" customHeight="1" s="545">
      <c r="A19" s="21" t="n"/>
      <c r="B19" s="539" t="n"/>
      <c r="C19" s="539" t="n"/>
      <c r="D19" s="21" t="n"/>
      <c r="E19" s="21" t="n"/>
      <c r="F19" s="21" t="n"/>
      <c r="G19" s="21" t="n"/>
      <c r="H19" s="21" t="n"/>
      <c r="I19" s="21" t="n"/>
      <c r="J19" s="21" t="n"/>
      <c r="K19" s="21" t="n"/>
      <c r="L19" s="21" t="n"/>
      <c r="M19" s="21" t="n"/>
      <c r="N19" s="21" t="n"/>
      <c r="O19" s="21" t="n"/>
      <c r="P19" s="21" t="n"/>
      <c r="Q19" s="21" t="n"/>
      <c r="R19" s="21" t="n"/>
      <c r="S19" s="21" t="n"/>
      <c r="T19" s="21" t="n"/>
      <c r="U19" s="21" t="n"/>
      <c r="V19" s="21" t="n"/>
      <c r="W19" s="21" t="n"/>
      <c r="X19" s="21" t="n"/>
      <c r="Y19" s="21" t="n"/>
      <c r="Z19" s="21" t="n"/>
    </row>
    <row r="20" ht="15" customHeight="1" s="545">
      <c r="A20" s="21" t="n"/>
      <c r="B20" s="539" t="n"/>
      <c r="C20" s="539" t="n"/>
      <c r="D20" s="21" t="n"/>
      <c r="E20" s="21" t="n"/>
      <c r="F20" s="21" t="n"/>
      <c r="G20" s="21" t="n"/>
      <c r="H20" s="21" t="n"/>
      <c r="I20" s="21" t="n"/>
      <c r="J20" s="21" t="n"/>
      <c r="K20" s="21" t="n"/>
      <c r="L20" s="21" t="n"/>
      <c r="M20" s="21" t="n"/>
      <c r="N20" s="21" t="n"/>
      <c r="O20" s="21" t="n"/>
      <c r="P20" s="21" t="n"/>
      <c r="Q20" s="21" t="n"/>
      <c r="R20" s="21" t="n"/>
      <c r="S20" s="21" t="n"/>
      <c r="T20" s="21" t="n"/>
      <c r="U20" s="21" t="n"/>
      <c r="V20" s="21" t="n"/>
      <c r="W20" s="21" t="n"/>
      <c r="X20" s="21" t="n"/>
      <c r="Y20" s="21" t="n"/>
      <c r="Z20" s="21" t="n"/>
    </row>
    <row r="21" ht="15.75" customHeight="1" s="545">
      <c r="A21" s="21" t="n"/>
      <c r="B21" s="539" t="n"/>
      <c r="C21" s="539" t="n"/>
      <c r="D21" s="21" t="n"/>
      <c r="E21" s="21" t="n"/>
      <c r="F21" s="21" t="n"/>
      <c r="G21" s="21" t="n"/>
      <c r="H21" s="21" t="n"/>
      <c r="I21" s="21" t="n"/>
      <c r="J21" s="21" t="n"/>
      <c r="K21" s="21" t="n"/>
      <c r="L21" s="21" t="n"/>
      <c r="M21" s="21" t="n"/>
      <c r="N21" s="21" t="n"/>
      <c r="O21" s="21" t="n"/>
      <c r="P21" s="21" t="n"/>
      <c r="Q21" s="21" t="n"/>
      <c r="R21" s="21" t="n"/>
      <c r="S21" s="21" t="n"/>
      <c r="T21" s="21" t="n"/>
      <c r="U21" s="21" t="n"/>
      <c r="V21" s="21" t="n"/>
      <c r="W21" s="21" t="n"/>
      <c r="X21" s="21" t="n"/>
      <c r="Y21" s="21" t="n"/>
      <c r="Z21" s="21" t="n"/>
    </row>
    <row r="22" ht="15.75" customHeight="1" s="545">
      <c r="A22" s="21" t="n"/>
      <c r="B22" s="539" t="n"/>
      <c r="C22" s="539" t="n"/>
      <c r="D22" s="21" t="n"/>
      <c r="E22" s="21" t="n"/>
      <c r="F22" s="21" t="n"/>
      <c r="G22" s="21" t="n"/>
      <c r="H22" s="21" t="n"/>
      <c r="I22" s="21" t="n"/>
      <c r="J22" s="21" t="n"/>
      <c r="K22" s="21" t="n"/>
      <c r="L22" s="21" t="n"/>
      <c r="M22" s="21" t="n"/>
      <c r="N22" s="21" t="n"/>
      <c r="O22" s="21" t="n"/>
      <c r="P22" s="21" t="n"/>
      <c r="Q22" s="21" t="n"/>
      <c r="R22" s="21" t="n"/>
      <c r="S22" s="21" t="n"/>
      <c r="T22" s="21" t="n"/>
      <c r="U22" s="21" t="n"/>
      <c r="V22" s="21" t="n"/>
      <c r="W22" s="21" t="n"/>
      <c r="X22" s="21" t="n"/>
      <c r="Y22" s="21" t="n"/>
      <c r="Z22" s="21" t="n"/>
    </row>
    <row r="23" ht="15.75" customHeight="1" s="545">
      <c r="A23" s="21" t="n"/>
      <c r="B23" s="539" t="n"/>
      <c r="C23" s="539" t="n"/>
      <c r="D23" s="21" t="n"/>
      <c r="E23" s="21" t="n"/>
      <c r="F23" s="21" t="n"/>
      <c r="G23" s="21" t="n"/>
      <c r="H23" s="21" t="n"/>
      <c r="I23" s="21" t="n"/>
      <c r="J23" s="21" t="n"/>
      <c r="K23" s="21" t="n"/>
      <c r="L23" s="21" t="n"/>
      <c r="M23" s="21" t="n"/>
      <c r="N23" s="21" t="n"/>
      <c r="O23" s="21" t="n"/>
      <c r="P23" s="21" t="n"/>
      <c r="Q23" s="21" t="n"/>
      <c r="R23" s="21" t="n"/>
      <c r="S23" s="21" t="n"/>
      <c r="T23" s="21" t="n"/>
      <c r="U23" s="21" t="n"/>
      <c r="V23" s="21" t="n"/>
      <c r="W23" s="21" t="n"/>
      <c r="X23" s="21" t="n"/>
      <c r="Y23" s="21" t="n"/>
      <c r="Z23" s="21" t="n"/>
    </row>
    <row r="24" ht="15.75" customHeight="1" s="545">
      <c r="A24" s="21" t="n"/>
      <c r="B24" s="539" t="n"/>
      <c r="C24" s="539" t="n"/>
      <c r="D24" s="21" t="n"/>
      <c r="E24" s="21" t="n"/>
      <c r="F24" s="21" t="n"/>
      <c r="G24" s="21" t="n"/>
      <c r="H24" s="21" t="n"/>
      <c r="I24" s="21" t="n"/>
      <c r="J24" s="21" t="n"/>
      <c r="K24" s="21" t="n"/>
      <c r="L24" s="21" t="n"/>
      <c r="M24" s="21" t="n"/>
      <c r="N24" s="21" t="n"/>
      <c r="O24" s="21" t="n"/>
      <c r="P24" s="21" t="n"/>
      <c r="Q24" s="21" t="n"/>
      <c r="R24" s="21" t="n"/>
      <c r="S24" s="21" t="n"/>
      <c r="T24" s="21" t="n"/>
      <c r="U24" s="21" t="n"/>
      <c r="V24" s="21" t="n"/>
      <c r="W24" s="21" t="n"/>
      <c r="X24" s="21" t="n"/>
      <c r="Y24" s="21" t="n"/>
      <c r="Z24" s="21" t="n"/>
    </row>
    <row r="25" ht="22.5" customHeight="1" s="545">
      <c r="A25" s="21" t="n"/>
      <c r="B25" s="539" t="n"/>
      <c r="C25" s="539" t="n"/>
      <c r="D25" s="21" t="n"/>
      <c r="E25" s="21" t="n"/>
      <c r="F25" s="21" t="n"/>
      <c r="G25" s="21" t="n"/>
      <c r="H25" s="21" t="n"/>
      <c r="I25" s="21" t="n"/>
      <c r="J25" s="21" t="n"/>
      <c r="K25" s="21" t="n"/>
      <c r="L25" s="21" t="n"/>
      <c r="M25" s="21" t="n"/>
      <c r="N25" s="21" t="n"/>
      <c r="O25" s="21" t="n"/>
      <c r="P25" s="21" t="n"/>
      <c r="Q25" s="21" t="n"/>
      <c r="R25" s="21" t="n"/>
      <c r="S25" s="21" t="n"/>
      <c r="T25" s="21" t="n"/>
      <c r="U25" s="21" t="n"/>
      <c r="V25" s="21" t="n"/>
      <c r="W25" s="21" t="n"/>
      <c r="X25" s="21" t="n"/>
      <c r="Y25" s="21" t="n"/>
      <c r="Z25" s="21" t="n"/>
    </row>
    <row r="26" ht="22.5" customHeight="1" s="545">
      <c r="A26" s="21" t="n"/>
      <c r="B26" s="539" t="n"/>
      <c r="C26" s="539" t="n"/>
      <c r="D26" s="106" t="n"/>
      <c r="E26" s="21" t="n"/>
      <c r="F26" s="21" t="n"/>
      <c r="G26" s="21" t="n"/>
      <c r="H26" s="21" t="n"/>
      <c r="I26" s="21" t="n"/>
      <c r="J26" s="21" t="n"/>
      <c r="K26" s="21" t="n"/>
      <c r="L26" s="21" t="n"/>
      <c r="M26" s="21" t="n"/>
      <c r="N26" s="21" t="n"/>
      <c r="O26" s="21" t="n"/>
      <c r="P26" s="21" t="n"/>
      <c r="Q26" s="21" t="n"/>
      <c r="R26" s="21" t="n"/>
      <c r="S26" s="21" t="n"/>
      <c r="T26" s="21" t="n"/>
      <c r="U26" s="21" t="n"/>
      <c r="V26" s="21" t="n"/>
      <c r="W26" s="21" t="n"/>
      <c r="X26" s="21" t="n"/>
      <c r="Y26" s="21" t="n"/>
      <c r="Z26" s="21" t="n"/>
    </row>
    <row r="27" ht="22.5" customHeight="1" s="545">
      <c r="A27" s="21" t="n"/>
      <c r="B27" s="539" t="n"/>
      <c r="C27" s="21" t="n"/>
      <c r="D27" s="106" t="n"/>
      <c r="E27" s="21" t="n"/>
      <c r="F27" s="21" t="n"/>
      <c r="G27" s="21" t="n"/>
      <c r="H27" s="21" t="n"/>
      <c r="I27" s="21" t="n"/>
      <c r="J27" s="21" t="n"/>
      <c r="K27" s="21" t="n"/>
      <c r="L27" s="21" t="n"/>
      <c r="M27" s="21" t="n"/>
      <c r="N27" s="21" t="n"/>
      <c r="O27" s="21" t="n"/>
      <c r="P27" s="21" t="n"/>
      <c r="Q27" s="21" t="n"/>
      <c r="R27" s="21" t="n"/>
      <c r="S27" s="21" t="n"/>
      <c r="T27" s="21" t="n"/>
      <c r="U27" s="21" t="n"/>
      <c r="V27" s="21" t="n"/>
      <c r="W27" s="21" t="n"/>
      <c r="X27" s="21" t="n"/>
      <c r="Y27" s="21" t="n"/>
      <c r="Z27" s="21" t="n"/>
    </row>
    <row r="28" ht="22.5" customHeight="1" s="545">
      <c r="A28" s="21" t="n"/>
      <c r="B28" s="539" t="n"/>
      <c r="C28" s="21" t="n"/>
      <c r="D28" s="106" t="n"/>
      <c r="E28" s="21" t="n"/>
      <c r="F28" s="21" t="n"/>
      <c r="G28" s="21" t="n"/>
      <c r="H28" s="21" t="n"/>
      <c r="I28" s="21" t="n"/>
      <c r="J28" s="21" t="n"/>
      <c r="K28" s="21" t="n"/>
      <c r="L28" s="21" t="n"/>
      <c r="M28" s="21" t="n"/>
      <c r="N28" s="21" t="n"/>
      <c r="O28" s="21" t="n"/>
      <c r="P28" s="21" t="n"/>
      <c r="Q28" s="21" t="n"/>
      <c r="R28" s="21" t="n"/>
      <c r="S28" s="21" t="n"/>
      <c r="T28" s="21" t="n"/>
      <c r="U28" s="21" t="n"/>
      <c r="V28" s="21" t="n"/>
      <c r="W28" s="21" t="n"/>
      <c r="X28" s="21" t="n"/>
      <c r="Y28" s="21" t="n"/>
      <c r="Z28" s="21" t="n"/>
    </row>
    <row r="29" ht="22.5" customHeight="1" s="545">
      <c r="A29" s="21" t="n"/>
      <c r="B29" s="539" t="n"/>
      <c r="C29" s="21" t="n"/>
      <c r="D29" s="106" t="n"/>
      <c r="E29" s="21" t="n"/>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row>
    <row r="30" ht="22.5" customHeight="1" s="545">
      <c r="A30" s="21" t="n"/>
      <c r="B30" s="539" t="n"/>
      <c r="C30" s="21" t="n"/>
      <c r="D30" s="106" t="n"/>
      <c r="E30" s="21" t="n"/>
      <c r="F30" s="21" t="n"/>
      <c r="G30" s="21" t="n"/>
      <c r="H30" s="21" t="n"/>
      <c r="I30" s="21" t="n"/>
      <c r="J30" s="21" t="n"/>
      <c r="K30" s="21" t="n"/>
      <c r="L30" s="21" t="n"/>
      <c r="M30" s="21" t="n"/>
      <c r="N30" s="21" t="n"/>
      <c r="O30" s="21" t="n"/>
      <c r="P30" s="21" t="n"/>
      <c r="Q30" s="21" t="n"/>
      <c r="R30" s="21" t="n"/>
      <c r="S30" s="21" t="n"/>
      <c r="T30" s="21" t="n"/>
      <c r="U30" s="21" t="n"/>
      <c r="V30" s="21" t="n"/>
      <c r="W30" s="21" t="n"/>
      <c r="X30" s="21" t="n"/>
      <c r="Y30" s="21" t="n"/>
      <c r="Z30" s="21" t="n"/>
    </row>
    <row r="31" ht="22.5" customHeight="1" s="545">
      <c r="A31" s="21" t="n"/>
      <c r="B31" s="539" t="n"/>
      <c r="C31" s="21" t="n"/>
      <c r="D31" s="106"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row>
    <row r="32" ht="15.75" customHeight="1" s="545">
      <c r="A32" s="21" t="n"/>
      <c r="B32" s="21" t="n"/>
      <c r="C32" s="21" t="n"/>
      <c r="D32" s="21" t="n"/>
      <c r="E32" s="21" t="n"/>
      <c r="F32" s="21" t="n"/>
      <c r="G32" s="21" t="n"/>
      <c r="H32" s="21" t="n"/>
      <c r="I32" s="21" t="n"/>
      <c r="J32" s="21" t="n"/>
      <c r="K32" s="21" t="n"/>
      <c r="L32" s="21" t="n"/>
      <c r="M32" s="21" t="n"/>
      <c r="N32" s="21" t="n"/>
      <c r="O32" s="21" t="n"/>
      <c r="P32" s="21" t="n"/>
      <c r="Q32" s="21" t="n"/>
      <c r="R32" s="21" t="n"/>
      <c r="S32" s="21" t="n"/>
      <c r="T32" s="21" t="n"/>
      <c r="U32" s="21" t="n"/>
      <c r="V32" s="21" t="n"/>
      <c r="W32" s="21" t="n"/>
      <c r="X32" s="21" t="n"/>
      <c r="Y32" s="21" t="n"/>
      <c r="Z32" s="21" t="n"/>
    </row>
    <row r="33" ht="15.75" customHeight="1" s="545">
      <c r="A33" s="21" t="n"/>
      <c r="B33" s="21" t="n"/>
      <c r="C33" s="21" t="n"/>
      <c r="D33" s="21" t="n"/>
      <c r="E33" s="21" t="n"/>
      <c r="F33" s="21" t="n"/>
      <c r="G33" s="21" t="n"/>
      <c r="H33" s="21" t="n"/>
      <c r="I33" s="21" t="n"/>
      <c r="J33" s="21" t="n"/>
      <c r="K33" s="21" t="n"/>
      <c r="L33" s="21" t="n"/>
      <c r="M33" s="21" t="n"/>
      <c r="N33" s="21" t="n"/>
      <c r="O33" s="21" t="n"/>
      <c r="P33" s="21" t="n"/>
      <c r="Q33" s="21" t="n"/>
      <c r="R33" s="21" t="n"/>
      <c r="S33" s="21" t="n"/>
      <c r="T33" s="21" t="n"/>
      <c r="U33" s="21" t="n"/>
      <c r="V33" s="21" t="n"/>
      <c r="W33" s="21" t="n"/>
      <c r="X33" s="21" t="n"/>
      <c r="Y33" s="21" t="n"/>
      <c r="Z33" s="21" t="n"/>
    </row>
    <row r="34" ht="15.75" customHeight="1" s="545">
      <c r="A34" s="21" t="n"/>
      <c r="B34" s="21" t="n"/>
      <c r="C34" s="21" t="n"/>
      <c r="D34" s="21" t="n"/>
      <c r="E34" s="21" t="n"/>
      <c r="F34" s="21" t="n"/>
      <c r="G34" s="21" t="n"/>
      <c r="H34" s="21" t="n"/>
      <c r="I34" s="21" t="n"/>
      <c r="J34" s="21" t="n"/>
      <c r="K34" s="21" t="n"/>
      <c r="L34" s="21" t="n"/>
      <c r="M34" s="21" t="n"/>
      <c r="N34" s="21" t="n"/>
      <c r="O34" s="21" t="n"/>
      <c r="P34" s="21" t="n"/>
      <c r="Q34" s="21" t="n"/>
      <c r="R34" s="21" t="n"/>
      <c r="S34" s="21" t="n"/>
      <c r="T34" s="21" t="n"/>
      <c r="U34" s="21" t="n"/>
      <c r="V34" s="21" t="n"/>
      <c r="W34" s="21" t="n"/>
      <c r="X34" s="21" t="n"/>
      <c r="Y34" s="21" t="n"/>
      <c r="Z34" s="21" t="n"/>
    </row>
    <row r="35" ht="15.75" customHeight="1" s="545">
      <c r="A35" s="21" t="n"/>
      <c r="B35" s="21" t="n"/>
      <c r="C35" s="21" t="n"/>
      <c r="D35" s="21" t="n"/>
      <c r="E35" s="21" t="n"/>
      <c r="F35" s="21" t="n"/>
      <c r="G35" s="21" t="n"/>
      <c r="H35" s="21" t="n"/>
      <c r="I35" s="21" t="n"/>
      <c r="J35" s="21" t="n"/>
      <c r="K35" s="21" t="n"/>
      <c r="L35" s="21" t="n"/>
      <c r="M35" s="21" t="n"/>
      <c r="N35" s="21" t="n"/>
      <c r="O35" s="21" t="n"/>
      <c r="P35" s="21" t="n"/>
      <c r="Q35" s="21" t="n"/>
      <c r="R35" s="21" t="n"/>
      <c r="S35" s="21" t="n"/>
      <c r="T35" s="21" t="n"/>
      <c r="U35" s="21" t="n"/>
      <c r="V35" s="21" t="n"/>
      <c r="W35" s="21" t="n"/>
      <c r="X35" s="21" t="n"/>
      <c r="Y35" s="21" t="n"/>
      <c r="Z35" s="21" t="n"/>
    </row>
    <row r="36" ht="15" customHeight="1" s="545">
      <c r="A36" s="685" t="inlineStr">
        <is>
          <t>DIAGRAMM-Daten für KALKU</t>
        </is>
      </c>
      <c r="B36" s="690" t="n"/>
      <c r="C36" s="689" t="n"/>
      <c r="D36" s="21" t="n"/>
      <c r="E36" s="21" t="n"/>
      <c r="F36" s="21" t="n"/>
      <c r="G36" s="21" t="n"/>
      <c r="H36" s="21" t="n"/>
      <c r="I36" s="21" t="n"/>
      <c r="J36" s="21" t="n"/>
      <c r="K36" s="21" t="n"/>
      <c r="L36" s="21" t="n"/>
      <c r="M36" s="21" t="n"/>
      <c r="N36" s="21" t="n"/>
      <c r="O36" s="21" t="n"/>
      <c r="P36" s="21" t="n"/>
      <c r="Q36" s="21" t="n"/>
      <c r="R36" s="21" t="n"/>
      <c r="S36" s="21" t="n"/>
      <c r="T36" s="21" t="n"/>
      <c r="U36" s="21" t="n"/>
      <c r="V36" s="21" t="n"/>
      <c r="W36" s="21" t="n"/>
      <c r="X36" s="21" t="n"/>
      <c r="Y36" s="21" t="n"/>
      <c r="Z36" s="21" t="n"/>
    </row>
    <row r="37" ht="15.75" customHeight="1" s="545">
      <c r="A37" s="540" t="inlineStr">
        <is>
          <t>ANGEBOT</t>
        </is>
      </c>
      <c r="B37" s="541" t="n"/>
      <c r="C37" s="541">
        <f>(KALKU!P37)</f>
        <v/>
      </c>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row>
    <row r="38" ht="15.75" customHeight="1" s="545">
      <c r="A38" s="542" t="inlineStr">
        <is>
          <t>NK</t>
        </is>
      </c>
      <c r="B38" s="541">
        <f>(+C37+B37)</f>
        <v/>
      </c>
      <c r="C38" s="541">
        <f>(KALKU!J30)</f>
        <v/>
      </c>
      <c r="D38" s="21" t="n"/>
      <c r="E38" s="21" t="n"/>
      <c r="F38" s="21" t="n"/>
      <c r="G38" s="21" t="n"/>
      <c r="H38" s="21" t="n"/>
      <c r="I38" s="21" t="n"/>
      <c r="J38" s="21" t="n"/>
      <c r="K38" s="21" t="n"/>
      <c r="L38" s="21" t="n"/>
      <c r="M38" s="21" t="n"/>
      <c r="N38" s="21" t="n"/>
      <c r="O38" s="21" t="n"/>
      <c r="P38" s="21" t="n"/>
      <c r="Q38" s="21" t="n"/>
      <c r="R38" s="21" t="n"/>
      <c r="S38" s="21" t="n"/>
      <c r="T38" s="21" t="n"/>
      <c r="U38" s="21" t="n"/>
      <c r="V38" s="21" t="n"/>
      <c r="W38" s="21" t="n"/>
      <c r="X38" s="21" t="n"/>
      <c r="Y38" s="21" t="n"/>
      <c r="Z38" s="21" t="n"/>
    </row>
    <row r="39" ht="15.75" customHeight="1" s="545">
      <c r="A39" s="540" t="inlineStr">
        <is>
          <t>RENO</t>
        </is>
      </c>
      <c r="B39" s="541">
        <f>(+C38+B38)</f>
        <v/>
      </c>
      <c r="C39" s="541">
        <f>(KALKU!J29+KALKU!J28)</f>
        <v/>
      </c>
      <c r="D39" s="21" t="n"/>
      <c r="E39" s="21" t="n"/>
      <c r="F39" s="21" t="n"/>
      <c r="G39" s="21" t="n"/>
      <c r="H39" s="21" t="n"/>
      <c r="I39" s="21" t="n"/>
      <c r="J39" s="21" t="n"/>
      <c r="K39" s="21" t="n"/>
      <c r="L39" s="21" t="n"/>
      <c r="M39" s="21" t="n"/>
      <c r="N39" s="21" t="n"/>
      <c r="O39" s="21" t="n"/>
      <c r="P39" s="21" t="n"/>
      <c r="Q39" s="21" t="n"/>
      <c r="R39" s="21" t="n"/>
      <c r="S39" s="21" t="n"/>
      <c r="T39" s="21" t="n"/>
      <c r="U39" s="21" t="n"/>
      <c r="V39" s="21" t="n"/>
      <c r="W39" s="21" t="n"/>
      <c r="X39" s="21" t="n"/>
      <c r="Y39" s="21" t="n"/>
      <c r="Z39" s="21" t="n"/>
    </row>
    <row r="40" ht="15.75" customHeight="1" s="545">
      <c r="A40" s="542" t="inlineStr">
        <is>
          <t>ZINS</t>
        </is>
      </c>
      <c r="B40" s="541">
        <f>(+C39+B39)</f>
        <v/>
      </c>
      <c r="C40" s="541">
        <f>(KALKU!J27)</f>
        <v/>
      </c>
      <c r="E40" s="21" t="n"/>
      <c r="F40" s="21" t="n"/>
      <c r="G40" s="21" t="n"/>
      <c r="H40" s="21" t="n"/>
      <c r="I40" s="21" t="n"/>
      <c r="J40" s="21" t="n"/>
      <c r="K40" s="21" t="n"/>
      <c r="L40" s="21" t="n"/>
      <c r="M40" s="21" t="n"/>
      <c r="N40" s="21" t="n"/>
      <c r="O40" s="21" t="n"/>
      <c r="P40" s="21" t="n"/>
      <c r="Q40" s="21" t="n"/>
      <c r="R40" s="21" t="n"/>
      <c r="S40" s="21" t="n"/>
      <c r="T40" s="21" t="n"/>
      <c r="U40" s="21" t="n"/>
      <c r="V40" s="21" t="n"/>
      <c r="W40" s="21" t="n"/>
      <c r="X40" s="21" t="n"/>
      <c r="Y40" s="21" t="n"/>
      <c r="Z40" s="21" t="n"/>
    </row>
    <row r="41" ht="15.75" customHeight="1" s="545">
      <c r="A41" s="540" t="inlineStr">
        <is>
          <t>GIK</t>
        </is>
      </c>
      <c r="B41" s="541" t="n"/>
      <c r="C41" s="541">
        <f>(+B42)</f>
        <v/>
      </c>
      <c r="E41" s="21" t="n"/>
      <c r="F41" s="21" t="n"/>
      <c r="G41" s="21" t="n"/>
      <c r="H41" s="21" t="n"/>
      <c r="I41" s="21" t="n"/>
      <c r="J41" s="21" t="n"/>
      <c r="K41" s="21" t="n"/>
      <c r="L41" s="21" t="n"/>
      <c r="M41" s="21" t="n"/>
      <c r="N41" s="21" t="n"/>
      <c r="O41" s="21" t="n"/>
      <c r="P41" s="21" t="n"/>
      <c r="Q41" s="21" t="n"/>
      <c r="R41" s="21" t="n"/>
      <c r="S41" s="21" t="n"/>
      <c r="T41" s="21" t="n"/>
      <c r="U41" s="21" t="n"/>
      <c r="V41" s="21" t="n"/>
      <c r="W41" s="21" t="n"/>
      <c r="X41" s="21" t="n"/>
      <c r="Y41" s="21" t="n"/>
      <c r="Z41" s="21" t="n"/>
    </row>
    <row r="42" ht="15.75" customHeight="1" s="545">
      <c r="A42" s="540" t="inlineStr">
        <is>
          <t>GEWINN</t>
        </is>
      </c>
      <c r="B42" s="541">
        <f>(C40+B40)</f>
        <v/>
      </c>
      <c r="C42" s="541">
        <f>(KALKU!J40)</f>
        <v/>
      </c>
      <c r="E42" s="21" t="n"/>
      <c r="F42" s="21" t="n"/>
      <c r="G42" s="21" t="n"/>
      <c r="H42" s="21" t="n"/>
      <c r="I42" s="21" t="n"/>
      <c r="J42" s="21" t="n"/>
      <c r="K42" s="21" t="n"/>
      <c r="L42" s="21" t="n"/>
      <c r="M42" s="21" t="n"/>
      <c r="N42" s="21" t="n"/>
      <c r="O42" s="21" t="n"/>
      <c r="P42" s="21" t="n"/>
      <c r="Q42" s="21" t="n"/>
      <c r="R42" s="21" t="n"/>
      <c r="S42" s="21" t="n"/>
      <c r="T42" s="21" t="n"/>
      <c r="U42" s="21" t="n"/>
      <c r="V42" s="21" t="n"/>
      <c r="W42" s="21" t="n"/>
      <c r="X42" s="21" t="n"/>
      <c r="Y42" s="21" t="n"/>
      <c r="Z42" s="21" t="n"/>
    </row>
    <row r="43" ht="15.75" customHeight="1" s="545">
      <c r="A43" s="540" t="inlineStr">
        <is>
          <t>VK</t>
        </is>
      </c>
      <c r="B43" s="541" t="n"/>
      <c r="C43" s="541">
        <f>(KALKU!J37)</f>
        <v/>
      </c>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row>
    <row r="44" ht="15.75" customHeight="1" s="545">
      <c r="A44" s="21" t="n"/>
      <c r="B44" s="21" t="n"/>
      <c r="C44" s="21" t="n"/>
      <c r="D44" s="21" t="n"/>
      <c r="E44" s="21" t="n"/>
      <c r="F44" s="21" t="n"/>
      <c r="G44" s="21" t="n"/>
      <c r="H44" s="21" t="n"/>
      <c r="I44" s="21" t="n"/>
      <c r="J44" s="21" t="n"/>
      <c r="K44" s="21" t="n"/>
      <c r="L44" s="21" t="n"/>
      <c r="M44" s="21" t="n"/>
      <c r="N44" s="21" t="n"/>
      <c r="O44" s="21" t="n"/>
      <c r="P44" s="21" t="n"/>
      <c r="Q44" s="21" t="n"/>
      <c r="R44" s="21" t="n"/>
      <c r="S44" s="21" t="n"/>
      <c r="T44" s="21" t="n"/>
      <c r="U44" s="21" t="n"/>
      <c r="V44" s="21" t="n"/>
      <c r="W44" s="21" t="n"/>
      <c r="X44" s="21" t="n"/>
      <c r="Y44" s="21" t="n"/>
      <c r="Z44" s="21" t="n"/>
    </row>
    <row r="45" ht="15.75" customHeight="1" s="545">
      <c r="A45" s="21" t="n"/>
      <c r="B45" s="21" t="n"/>
      <c r="C45" s="21" t="n"/>
      <c r="D45" s="21" t="n"/>
      <c r="E45" s="21" t="n"/>
      <c r="F45" s="21" t="n"/>
      <c r="G45" s="21" t="n"/>
      <c r="H45" s="21" t="n"/>
      <c r="I45" s="21" t="n"/>
      <c r="J45" s="21" t="n"/>
      <c r="K45" s="21" t="n"/>
      <c r="L45" s="21" t="n"/>
      <c r="M45" s="21" t="n"/>
      <c r="N45" s="21" t="n"/>
      <c r="O45" s="21" t="n"/>
      <c r="P45" s="21" t="n"/>
      <c r="Q45" s="21" t="n"/>
      <c r="R45" s="21" t="n"/>
      <c r="S45" s="21" t="n"/>
      <c r="T45" s="21" t="n"/>
      <c r="U45" s="21" t="n"/>
      <c r="V45" s="21" t="n"/>
      <c r="W45" s="21" t="n"/>
      <c r="X45" s="21" t="n"/>
      <c r="Y45" s="21" t="n"/>
      <c r="Z45" s="21" t="n"/>
    </row>
    <row r="46" ht="15.75" customHeight="1" s="545">
      <c r="A46" s="21" t="n"/>
      <c r="B46" s="21" t="n"/>
      <c r="C46" s="21" t="n"/>
      <c r="D46" s="21" t="n"/>
      <c r="E46" s="21" t="n"/>
      <c r="F46" s="21" t="n"/>
      <c r="G46" s="21" t="n"/>
      <c r="H46" s="21" t="n"/>
      <c r="I46" s="21" t="n"/>
      <c r="J46" s="21" t="n"/>
      <c r="K46" s="21" t="n"/>
      <c r="L46" s="21" t="n"/>
      <c r="M46" s="21" t="n"/>
      <c r="N46" s="21" t="n"/>
      <c r="O46" s="21" t="n"/>
      <c r="P46" s="21" t="n"/>
      <c r="Q46" s="21" t="n"/>
      <c r="R46" s="21" t="n"/>
      <c r="S46" s="21" t="n"/>
      <c r="T46" s="21" t="n"/>
      <c r="U46" s="21" t="n"/>
      <c r="V46" s="21" t="n"/>
      <c r="W46" s="21" t="n"/>
      <c r="X46" s="21" t="n"/>
      <c r="Y46" s="21" t="n"/>
      <c r="Z46" s="21" t="n"/>
    </row>
    <row r="47" ht="15.75" customHeight="1" s="545">
      <c r="A47" s="21" t="n"/>
      <c r="B47" s="21" t="n"/>
      <c r="C47" s="21" t="n"/>
      <c r="D47" s="21" t="n"/>
      <c r="E47" s="21" t="n"/>
      <c r="F47" s="21" t="n"/>
      <c r="G47" s="21" t="n"/>
      <c r="H47" s="21" t="n"/>
      <c r="I47" s="21" t="n"/>
      <c r="J47" s="21" t="n"/>
      <c r="K47" s="21" t="n"/>
      <c r="L47" s="21" t="n"/>
      <c r="M47" s="21" t="n"/>
      <c r="N47" s="21" t="n"/>
      <c r="O47" s="21" t="n"/>
      <c r="P47" s="21" t="n"/>
      <c r="Q47" s="21" t="n"/>
      <c r="R47" s="21" t="n"/>
      <c r="S47" s="21" t="n"/>
      <c r="T47" s="21" t="n"/>
      <c r="U47" s="21" t="n"/>
      <c r="V47" s="21" t="n"/>
      <c r="W47" s="21" t="n"/>
      <c r="X47" s="21" t="n"/>
      <c r="Y47" s="21" t="n"/>
      <c r="Z47" s="21" t="n"/>
    </row>
    <row r="48" ht="15.75" customHeight="1" s="545">
      <c r="A48" s="21" t="n"/>
      <c r="B48" s="21" t="n"/>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row>
    <row r="49" ht="15.75" customHeight="1" s="545">
      <c r="A49" s="21" t="n"/>
      <c r="B49" s="21" t="n"/>
      <c r="C49" s="21" t="n"/>
      <c r="D49" s="21" t="n"/>
      <c r="E49" s="21" t="n"/>
      <c r="F49" s="21" t="n"/>
      <c r="G49" s="21" t="n"/>
      <c r="H49" s="21" t="n"/>
      <c r="I49" s="21" t="n"/>
      <c r="J49" s="21" t="n"/>
      <c r="K49" s="21" t="n"/>
      <c r="L49" s="21" t="n"/>
      <c r="M49" s="21" t="n"/>
      <c r="N49" s="21" t="n"/>
      <c r="O49" s="21" t="n"/>
      <c r="P49" s="21" t="n"/>
      <c r="Q49" s="21" t="n"/>
      <c r="R49" s="21" t="n"/>
      <c r="S49" s="21" t="n"/>
      <c r="T49" s="21" t="n"/>
      <c r="U49" s="21" t="n"/>
      <c r="V49" s="21" t="n"/>
      <c r="W49" s="21" t="n"/>
      <c r="X49" s="21" t="n"/>
      <c r="Y49" s="21" t="n"/>
      <c r="Z49" s="21" t="n"/>
    </row>
    <row r="50" ht="15.75" customHeight="1" s="545">
      <c r="A50" s="21" t="n"/>
      <c r="B50" s="21" t="n"/>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row>
    <row r="51" ht="15.75" customHeight="1" s="545">
      <c r="A51" s="21" t="n"/>
      <c r="B51" s="21" t="n"/>
      <c r="C51" s="21" t="n"/>
      <c r="D51" s="21" t="n"/>
      <c r="E51" s="21" t="n"/>
      <c r="F51" s="21" t="n"/>
      <c r="G51" s="21" t="n"/>
      <c r="H51" s="21" t="n"/>
      <c r="I51" s="21" t="n"/>
      <c r="J51" s="21" t="n"/>
      <c r="K51" s="21" t="n"/>
      <c r="L51" s="21" t="n"/>
      <c r="M51" s="21" t="n"/>
      <c r="N51" s="21" t="n"/>
      <c r="O51" s="21" t="n"/>
      <c r="P51" s="21" t="n"/>
      <c r="Q51" s="21" t="n"/>
      <c r="R51" s="21" t="n"/>
      <c r="S51" s="21" t="n"/>
      <c r="T51" s="21" t="n"/>
      <c r="U51" s="21" t="n"/>
      <c r="V51" s="21" t="n"/>
      <c r="W51" s="21" t="n"/>
      <c r="X51" s="21" t="n"/>
      <c r="Y51" s="21" t="n"/>
      <c r="Z51" s="21" t="n"/>
    </row>
    <row r="52" ht="15.75" customHeight="1" s="545">
      <c r="A52" s="21" t="n"/>
      <c r="B52" s="21" t="n"/>
      <c r="C52" s="21" t="n"/>
      <c r="D52" s="21" t="n"/>
      <c r="E52" s="21" t="n"/>
      <c r="F52" s="21" t="n"/>
      <c r="G52" s="21" t="n"/>
      <c r="H52" s="21" t="n"/>
      <c r="I52" s="21" t="n"/>
      <c r="J52" s="21" t="n"/>
      <c r="K52" s="21" t="n"/>
      <c r="L52" s="21" t="n"/>
      <c r="M52" s="21" t="n"/>
      <c r="N52" s="21" t="n"/>
      <c r="O52" s="21" t="n"/>
      <c r="P52" s="21" t="n"/>
      <c r="Q52" s="21" t="n"/>
      <c r="R52" s="21" t="n"/>
      <c r="S52" s="21" t="n"/>
      <c r="T52" s="21" t="n"/>
      <c r="U52" s="21" t="n"/>
      <c r="V52" s="21" t="n"/>
      <c r="W52" s="21" t="n"/>
      <c r="X52" s="21" t="n"/>
      <c r="Y52" s="21" t="n"/>
      <c r="Z52" s="21" t="n"/>
    </row>
    <row r="53" ht="15.75" customHeight="1" s="545">
      <c r="A53" s="21" t="n"/>
      <c r="B53" s="21" t="n"/>
      <c r="C53" s="21" t="n"/>
      <c r="D53" s="21" t="n"/>
      <c r="E53" s="21" t="n"/>
      <c r="F53" s="21" t="n"/>
      <c r="G53" s="21" t="n"/>
      <c r="H53" s="21" t="n"/>
      <c r="I53" s="21" t="n"/>
      <c r="J53" s="21" t="n"/>
      <c r="K53" s="21" t="n"/>
      <c r="L53" s="21" t="n"/>
      <c r="M53" s="21" t="n"/>
      <c r="N53" s="21" t="n"/>
      <c r="O53" s="21" t="n"/>
      <c r="P53" s="21" t="n"/>
      <c r="Q53" s="21" t="n"/>
      <c r="R53" s="21" t="n"/>
      <c r="S53" s="21" t="n"/>
      <c r="T53" s="21" t="n"/>
      <c r="U53" s="21" t="n"/>
      <c r="V53" s="21" t="n"/>
      <c r="W53" s="21" t="n"/>
      <c r="X53" s="21" t="n"/>
      <c r="Y53" s="21" t="n"/>
      <c r="Z53" s="21" t="n"/>
    </row>
    <row r="54" ht="15.75" customHeight="1" s="545">
      <c r="A54" s="21" t="n"/>
      <c r="B54" s="21" t="n"/>
      <c r="C54" s="21" t="n"/>
      <c r="D54" s="21" t="n"/>
      <c r="E54" s="21" t="n"/>
      <c r="F54" s="21" t="n"/>
      <c r="G54" s="21" t="n"/>
      <c r="H54" s="21" t="n"/>
      <c r="I54" s="21" t="n"/>
      <c r="J54" s="21" t="n"/>
      <c r="K54" s="21" t="n"/>
      <c r="L54" s="21" t="n"/>
      <c r="M54" s="21" t="n"/>
      <c r="N54" s="21" t="n"/>
      <c r="O54" s="21" t="n"/>
      <c r="P54" s="21" t="n"/>
      <c r="Q54" s="21" t="n"/>
      <c r="R54" s="21" t="n"/>
      <c r="S54" s="21" t="n"/>
      <c r="T54" s="21" t="n"/>
      <c r="U54" s="21" t="n"/>
      <c r="V54" s="21" t="n"/>
      <c r="W54" s="21" t="n"/>
      <c r="X54" s="21" t="n"/>
      <c r="Y54" s="21" t="n"/>
      <c r="Z54" s="21" t="n"/>
    </row>
    <row r="55" ht="15.75" customHeight="1" s="545">
      <c r="A55" s="21" t="n"/>
      <c r="B55" s="21" t="n"/>
      <c r="C55" s="21" t="n"/>
      <c r="D55" s="21" t="n"/>
      <c r="E55" s="21" t="n"/>
      <c r="F55" s="21" t="n"/>
      <c r="G55" s="21" t="n"/>
      <c r="H55" s="21" t="n"/>
      <c r="I55" s="21" t="n"/>
      <c r="J55" s="21" t="n"/>
      <c r="K55" s="21" t="n"/>
      <c r="L55" s="21" t="n"/>
      <c r="M55" s="21" t="n"/>
      <c r="N55" s="21" t="n"/>
      <c r="O55" s="21" t="n"/>
      <c r="P55" s="21" t="n"/>
      <c r="Q55" s="21" t="n"/>
      <c r="R55" s="21" t="n"/>
      <c r="S55" s="21" t="n"/>
      <c r="T55" s="21" t="n"/>
      <c r="U55" s="21" t="n"/>
      <c r="V55" s="21" t="n"/>
      <c r="W55" s="21" t="n"/>
      <c r="X55" s="21" t="n"/>
      <c r="Y55" s="21" t="n"/>
      <c r="Z55" s="21" t="n"/>
    </row>
    <row r="56" ht="15.75" customHeight="1" s="545">
      <c r="A56" s="21" t="n"/>
      <c r="B56" s="21" t="n"/>
      <c r="C56" s="21" t="n"/>
      <c r="D56" s="21" t="n"/>
      <c r="E56" s="21" t="n"/>
      <c r="F56" s="21" t="n"/>
      <c r="G56" s="21" t="n"/>
      <c r="H56" s="21" t="n"/>
      <c r="I56" s="21" t="n"/>
      <c r="J56" s="21" t="n"/>
      <c r="K56" s="21" t="n"/>
      <c r="L56" s="21" t="n"/>
      <c r="M56" s="21" t="n"/>
      <c r="N56" s="21" t="n"/>
      <c r="O56" s="21" t="n"/>
      <c r="P56" s="21" t="n"/>
      <c r="Q56" s="21" t="n"/>
      <c r="R56" s="21" t="n"/>
      <c r="S56" s="21" t="n"/>
      <c r="T56" s="21" t="n"/>
      <c r="U56" s="21" t="n"/>
      <c r="V56" s="21" t="n"/>
      <c r="W56" s="21" t="n"/>
      <c r="X56" s="21" t="n"/>
      <c r="Y56" s="21" t="n"/>
      <c r="Z56" s="21" t="n"/>
    </row>
    <row r="57" ht="15.75" customHeight="1" s="545">
      <c r="A57" s="21" t="n"/>
      <c r="B57" s="21" t="n"/>
      <c r="C57" s="21" t="n"/>
      <c r="D57" s="21" t="n"/>
      <c r="E57" s="21" t="n"/>
      <c r="F57" s="21" t="n"/>
      <c r="G57" s="21" t="n"/>
      <c r="H57" s="21" t="n"/>
      <c r="I57" s="21" t="n"/>
      <c r="J57" s="21" t="n"/>
      <c r="K57" s="21" t="n"/>
      <c r="L57" s="21" t="n"/>
      <c r="M57" s="21" t="n"/>
      <c r="N57" s="21" t="n"/>
      <c r="O57" s="21" t="n"/>
      <c r="P57" s="21" t="n"/>
      <c r="Q57" s="21" t="n"/>
      <c r="R57" s="21" t="n"/>
      <c r="S57" s="21" t="n"/>
      <c r="T57" s="21" t="n"/>
      <c r="U57" s="21" t="n"/>
      <c r="V57" s="21" t="n"/>
      <c r="W57" s="21" t="n"/>
      <c r="X57" s="21" t="n"/>
      <c r="Y57" s="21" t="n"/>
      <c r="Z57" s="21" t="n"/>
    </row>
    <row r="58" ht="15.75" customHeight="1" s="545">
      <c r="A58" s="21" t="n"/>
      <c r="B58" s="21" t="n"/>
      <c r="C58" s="21" t="n"/>
      <c r="D58" s="21" t="n"/>
      <c r="E58" s="21" t="n"/>
      <c r="F58" s="21" t="n"/>
      <c r="G58" s="21" t="n"/>
      <c r="H58" s="21" t="n"/>
      <c r="I58" s="21" t="n"/>
      <c r="J58" s="21" t="n"/>
      <c r="K58" s="21" t="n"/>
      <c r="L58" s="21" t="n"/>
      <c r="M58" s="21" t="n"/>
      <c r="N58" s="21" t="n"/>
      <c r="O58" s="21" t="n"/>
      <c r="P58" s="21" t="n"/>
      <c r="Q58" s="21" t="n"/>
      <c r="R58" s="21" t="n"/>
      <c r="S58" s="21" t="n"/>
      <c r="T58" s="21" t="n"/>
      <c r="U58" s="21" t="n"/>
      <c r="V58" s="21" t="n"/>
      <c r="W58" s="21" t="n"/>
      <c r="X58" s="21" t="n"/>
      <c r="Y58" s="21" t="n"/>
      <c r="Z58" s="21" t="n"/>
    </row>
    <row r="59" ht="15.75" customHeight="1" s="545">
      <c r="A59" s="21" t="n"/>
      <c r="B59" s="21" t="n"/>
      <c r="C59" s="21" t="n"/>
      <c r="D59" s="21" t="n"/>
      <c r="E59" s="21" t="n"/>
      <c r="F59" s="21" t="n"/>
      <c r="G59" s="21" t="n"/>
      <c r="H59" s="21" t="n"/>
      <c r="I59" s="21" t="n"/>
      <c r="J59" s="21" t="n"/>
      <c r="K59" s="21" t="n"/>
      <c r="L59" s="21" t="n"/>
      <c r="M59" s="21" t="n"/>
      <c r="N59" s="21" t="n"/>
      <c r="O59" s="21" t="n"/>
      <c r="P59" s="21" t="n"/>
      <c r="Q59" s="21" t="n"/>
      <c r="R59" s="21" t="n"/>
      <c r="S59" s="21" t="n"/>
      <c r="T59" s="21" t="n"/>
      <c r="U59" s="21" t="n"/>
      <c r="V59" s="21" t="n"/>
      <c r="W59" s="21" t="n"/>
      <c r="X59" s="21" t="n"/>
      <c r="Y59" s="21" t="n"/>
      <c r="Z59" s="21" t="n"/>
    </row>
    <row r="60" ht="15.75" customHeight="1" s="545">
      <c r="A60" s="21" t="n"/>
      <c r="B60" s="21" t="n"/>
      <c r="C60" s="21" t="n"/>
      <c r="D60" s="21" t="n"/>
      <c r="E60" s="21" t="n"/>
      <c r="F60" s="21" t="n"/>
      <c r="G60" s="21" t="n"/>
      <c r="H60" s="21" t="n"/>
      <c r="I60" s="21" t="n"/>
      <c r="J60" s="21" t="n"/>
      <c r="K60" s="21" t="n"/>
      <c r="L60" s="21" t="n"/>
      <c r="M60" s="21" t="n"/>
      <c r="N60" s="21" t="n"/>
      <c r="O60" s="21" t="n"/>
      <c r="P60" s="21" t="n"/>
      <c r="Q60" s="21" t="n"/>
      <c r="R60" s="21" t="n"/>
      <c r="S60" s="21" t="n"/>
      <c r="T60" s="21" t="n"/>
      <c r="U60" s="21" t="n"/>
      <c r="V60" s="21" t="n"/>
      <c r="W60" s="21" t="n"/>
      <c r="X60" s="21" t="n"/>
      <c r="Y60" s="21" t="n"/>
      <c r="Z60" s="21" t="n"/>
    </row>
    <row r="61" ht="15.75" customHeight="1" s="545">
      <c r="A61" s="21" t="n"/>
      <c r="B61" s="21" t="n"/>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row>
    <row r="62" ht="15.75" customHeight="1" s="545">
      <c r="A62" s="21" t="n"/>
      <c r="B62" s="21" t="n"/>
      <c r="C62" s="21" t="n"/>
      <c r="D62" s="21" t="n"/>
      <c r="E62" s="21" t="n"/>
      <c r="F62" s="21" t="n"/>
      <c r="G62" s="21" t="n"/>
      <c r="H62" s="21" t="n"/>
      <c r="I62" s="21" t="n"/>
      <c r="J62" s="21" t="n"/>
      <c r="K62" s="21" t="n"/>
      <c r="L62" s="21" t="n"/>
      <c r="M62" s="21" t="n"/>
      <c r="N62" s="21" t="n"/>
      <c r="O62" s="21" t="n"/>
      <c r="P62" s="21" t="n"/>
      <c r="Q62" s="21" t="n"/>
      <c r="R62" s="21" t="n"/>
      <c r="S62" s="21" t="n"/>
      <c r="T62" s="21" t="n"/>
      <c r="U62" s="21" t="n"/>
      <c r="V62" s="21" t="n"/>
      <c r="W62" s="21" t="n"/>
      <c r="X62" s="21" t="n"/>
      <c r="Y62" s="21" t="n"/>
      <c r="Z62" s="21" t="n"/>
    </row>
    <row r="63" ht="15.75" customHeight="1" s="545">
      <c r="A63" s="21" t="n"/>
      <c r="B63" s="21" t="n"/>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row>
    <row r="64" ht="15.75" customHeight="1" s="545">
      <c r="A64" s="21" t="n"/>
      <c r="B64" s="21" t="n"/>
      <c r="C64" s="21" t="n"/>
      <c r="D64" s="21" t="n"/>
      <c r="E64" s="21" t="n"/>
      <c r="F64" s="21" t="n"/>
      <c r="G64" s="21" t="n"/>
      <c r="H64" s="21" t="n"/>
      <c r="I64" s="21" t="n"/>
      <c r="J64" s="21" t="n"/>
      <c r="K64" s="21" t="n"/>
      <c r="L64" s="21" t="n"/>
      <c r="M64" s="21" t="n"/>
      <c r="N64" s="21" t="n"/>
      <c r="O64" s="21" t="n"/>
      <c r="P64" s="21" t="n"/>
      <c r="Q64" s="21" t="n"/>
      <c r="R64" s="21" t="n"/>
      <c r="S64" s="21" t="n"/>
      <c r="T64" s="21" t="n"/>
      <c r="U64" s="21" t="n"/>
      <c r="V64" s="21" t="n"/>
      <c r="W64" s="21" t="n"/>
      <c r="X64" s="21" t="n"/>
      <c r="Y64" s="21" t="n"/>
      <c r="Z64" s="21" t="n"/>
    </row>
    <row r="65" ht="15.75" customHeight="1" s="545">
      <c r="A65" s="21" t="n"/>
      <c r="B65" s="21" t="n"/>
      <c r="C65" s="21" t="n"/>
      <c r="D65" s="21" t="n"/>
      <c r="E65" s="21" t="n"/>
      <c r="F65" s="21" t="n"/>
      <c r="G65" s="21" t="n"/>
      <c r="H65" s="21" t="n"/>
      <c r="I65" s="21" t="n"/>
      <c r="J65" s="21" t="n"/>
      <c r="K65" s="21" t="n"/>
      <c r="L65" s="21" t="n"/>
      <c r="M65" s="21" t="n"/>
      <c r="N65" s="21" t="n"/>
      <c r="O65" s="21" t="n"/>
      <c r="P65" s="21" t="n"/>
      <c r="Q65" s="21" t="n"/>
      <c r="R65" s="21" t="n"/>
      <c r="S65" s="21" t="n"/>
      <c r="T65" s="21" t="n"/>
      <c r="U65" s="21" t="n"/>
      <c r="V65" s="21" t="n"/>
      <c r="W65" s="21" t="n"/>
      <c r="X65" s="21" t="n"/>
      <c r="Y65" s="21" t="n"/>
      <c r="Z65" s="21" t="n"/>
    </row>
    <row r="66" ht="15.75" customHeight="1" s="545">
      <c r="A66" s="21" t="n"/>
      <c r="B66" s="21" t="n"/>
      <c r="C66" s="21" t="n"/>
      <c r="D66" s="21" t="n"/>
      <c r="E66" s="21" t="n"/>
      <c r="F66" s="21" t="n"/>
      <c r="G66" s="21" t="n"/>
      <c r="H66" s="21" t="n"/>
      <c r="I66" s="21" t="n"/>
      <c r="J66" s="21" t="n"/>
      <c r="K66" s="21" t="n"/>
      <c r="L66" s="21" t="n"/>
      <c r="M66" s="21" t="n"/>
      <c r="N66" s="21" t="n"/>
      <c r="O66" s="21" t="n"/>
      <c r="P66" s="21" t="n"/>
      <c r="Q66" s="21" t="n"/>
      <c r="R66" s="21" t="n"/>
      <c r="S66" s="21" t="n"/>
      <c r="T66" s="21" t="n"/>
      <c r="U66" s="21" t="n"/>
      <c r="V66" s="21" t="n"/>
      <c r="W66" s="21" t="n"/>
      <c r="X66" s="21" t="n"/>
      <c r="Y66" s="21" t="n"/>
      <c r="Z66" s="21" t="n"/>
    </row>
    <row r="67" ht="15.75" customHeight="1" s="545">
      <c r="A67" s="21" t="n"/>
      <c r="B67" s="21" t="n"/>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row>
    <row r="68" ht="15.75" customHeight="1" s="545">
      <c r="A68" s="21" t="n"/>
      <c r="B68" s="21" t="n"/>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row>
    <row r="69" ht="15.75" customHeight="1" s="545">
      <c r="A69" s="21" t="n"/>
      <c r="B69" s="21" t="n"/>
      <c r="C69" s="21" t="n"/>
      <c r="D69" s="21" t="n"/>
      <c r="E69" s="21" t="n"/>
      <c r="F69" s="21" t="n"/>
      <c r="G69" s="21" t="n"/>
      <c r="H69" s="21" t="n"/>
      <c r="I69" s="21" t="n"/>
      <c r="J69" s="21" t="n"/>
      <c r="K69" s="21" t="n"/>
      <c r="L69" s="21" t="n"/>
      <c r="M69" s="21" t="n"/>
      <c r="N69" s="21" t="n"/>
      <c r="O69" s="21" t="n"/>
      <c r="P69" s="21" t="n"/>
      <c r="Q69" s="21" t="n"/>
      <c r="R69" s="21" t="n"/>
      <c r="S69" s="21" t="n"/>
      <c r="T69" s="21" t="n"/>
      <c r="U69" s="21" t="n"/>
      <c r="V69" s="21" t="n"/>
      <c r="W69" s="21" t="n"/>
      <c r="X69" s="21" t="n"/>
      <c r="Y69" s="21" t="n"/>
      <c r="Z69" s="21" t="n"/>
    </row>
    <row r="70" ht="15.75" customHeight="1" s="545">
      <c r="A70" s="21" t="n"/>
      <c r="B70" s="21" t="n"/>
      <c r="C70" s="21" t="n"/>
      <c r="D70" s="21" t="n"/>
      <c r="E70" s="21" t="n"/>
      <c r="F70" s="21" t="n"/>
      <c r="G70" s="21" t="n"/>
      <c r="H70" s="21" t="n"/>
      <c r="I70" s="21" t="n"/>
      <c r="J70" s="21" t="n"/>
      <c r="K70" s="21" t="n"/>
      <c r="L70" s="21" t="n"/>
      <c r="M70" s="21" t="n"/>
      <c r="N70" s="21" t="n"/>
      <c r="O70" s="21" t="n"/>
      <c r="P70" s="21" t="n"/>
      <c r="Q70" s="21" t="n"/>
      <c r="R70" s="21" t="n"/>
      <c r="S70" s="21" t="n"/>
      <c r="T70" s="21" t="n"/>
      <c r="U70" s="21" t="n"/>
      <c r="V70" s="21" t="n"/>
      <c r="W70" s="21" t="n"/>
      <c r="X70" s="21" t="n"/>
      <c r="Y70" s="21" t="n"/>
      <c r="Z70" s="21" t="n"/>
    </row>
    <row r="71" ht="15.75" customHeight="1" s="545">
      <c r="A71" s="21" t="n"/>
      <c r="B71" s="21" t="n"/>
      <c r="C71" s="21" t="n"/>
      <c r="D71" s="21" t="n"/>
      <c r="E71" s="21" t="n"/>
      <c r="F71" s="21" t="n"/>
      <c r="G71" s="21" t="n"/>
      <c r="H71" s="21" t="n"/>
      <c r="I71" s="21" t="n"/>
      <c r="J71" s="21" t="n"/>
      <c r="K71" s="21" t="n"/>
      <c r="L71" s="21" t="n"/>
      <c r="M71" s="21" t="n"/>
      <c r="N71" s="21" t="n"/>
      <c r="O71" s="21" t="n"/>
      <c r="P71" s="21" t="n"/>
      <c r="Q71" s="21" t="n"/>
      <c r="R71" s="21" t="n"/>
      <c r="S71" s="21" t="n"/>
      <c r="T71" s="21" t="n"/>
      <c r="U71" s="21" t="n"/>
      <c r="V71" s="21" t="n"/>
      <c r="W71" s="21" t="n"/>
      <c r="X71" s="21" t="n"/>
      <c r="Y71" s="21" t="n"/>
      <c r="Z71" s="21" t="n"/>
    </row>
    <row r="72" ht="15.75" customHeight="1" s="545">
      <c r="A72" s="21" t="n"/>
      <c r="B72" s="21" t="n"/>
      <c r="C72" s="21" t="n"/>
      <c r="D72" s="21" t="n"/>
      <c r="E72" s="21" t="n"/>
      <c r="F72" s="21" t="n"/>
      <c r="G72" s="21" t="n"/>
      <c r="H72" s="21" t="n"/>
      <c r="I72" s="21" t="n"/>
      <c r="J72" s="21" t="n"/>
      <c r="K72" s="21" t="n"/>
      <c r="L72" s="21" t="n"/>
      <c r="M72" s="21" t="n"/>
      <c r="N72" s="21" t="n"/>
      <c r="O72" s="21" t="n"/>
      <c r="P72" s="21" t="n"/>
      <c r="Q72" s="21" t="n"/>
      <c r="R72" s="21" t="n"/>
      <c r="S72" s="21" t="n"/>
      <c r="T72" s="21" t="n"/>
      <c r="U72" s="21" t="n"/>
      <c r="V72" s="21" t="n"/>
      <c r="W72" s="21" t="n"/>
      <c r="X72" s="21" t="n"/>
      <c r="Y72" s="21" t="n"/>
      <c r="Z72" s="21" t="n"/>
    </row>
    <row r="73" ht="15.75" customHeight="1" s="545">
      <c r="A73" s="21" t="n"/>
      <c r="B73" s="21" t="n"/>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row>
    <row r="74" ht="15.75" customHeight="1" s="545">
      <c r="A74" s="21" t="n"/>
      <c r="B74" s="21" t="n"/>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row>
    <row r="75" ht="15.75" customHeight="1" s="545">
      <c r="A75" s="21" t="n"/>
      <c r="B75" s="21" t="n"/>
      <c r="C75" s="21" t="n"/>
      <c r="D75" s="21" t="n"/>
      <c r="E75" s="21" t="n"/>
      <c r="F75" s="21" t="n"/>
      <c r="G75" s="21" t="n"/>
      <c r="H75" s="21" t="n"/>
      <c r="I75" s="21" t="n"/>
      <c r="J75" s="21" t="n"/>
      <c r="K75" s="21" t="n"/>
      <c r="L75" s="21" t="n"/>
      <c r="M75" s="21" t="n"/>
      <c r="N75" s="21" t="n"/>
      <c r="O75" s="21" t="n"/>
      <c r="P75" s="21" t="n"/>
      <c r="Q75" s="21" t="n"/>
      <c r="R75" s="21" t="n"/>
      <c r="S75" s="21" t="n"/>
      <c r="T75" s="21" t="n"/>
      <c r="U75" s="21" t="n"/>
      <c r="V75" s="21" t="n"/>
      <c r="W75" s="21" t="n"/>
      <c r="X75" s="21" t="n"/>
      <c r="Y75" s="21" t="n"/>
      <c r="Z75" s="21" t="n"/>
    </row>
    <row r="76" ht="15.75" customHeight="1" s="545">
      <c r="A76" s="21" t="n"/>
      <c r="B76" s="21" t="n"/>
      <c r="C76" s="21" t="n"/>
      <c r="D76" s="21" t="n"/>
      <c r="E76" s="21" t="n"/>
      <c r="F76" s="21" t="n"/>
      <c r="G76" s="21" t="n"/>
      <c r="H76" s="21" t="n"/>
      <c r="I76" s="21" t="n"/>
      <c r="J76" s="21" t="n"/>
      <c r="K76" s="21" t="n"/>
      <c r="L76" s="21" t="n"/>
      <c r="M76" s="21" t="n"/>
      <c r="N76" s="21" t="n"/>
      <c r="O76" s="21" t="n"/>
      <c r="P76" s="21" t="n"/>
      <c r="Q76" s="21" t="n"/>
      <c r="R76" s="21" t="n"/>
      <c r="S76" s="21" t="n"/>
      <c r="T76" s="21" t="n"/>
      <c r="U76" s="21" t="n"/>
      <c r="V76" s="21" t="n"/>
      <c r="W76" s="21" t="n"/>
      <c r="X76" s="21" t="n"/>
      <c r="Y76" s="21" t="n"/>
      <c r="Z76" s="21" t="n"/>
    </row>
    <row r="77" ht="15.75" customHeight="1" s="545">
      <c r="A77" s="21" t="n"/>
      <c r="B77" s="21" t="n"/>
      <c r="C77" s="21" t="n"/>
      <c r="D77" s="21" t="n"/>
      <c r="E77" s="21" t="n"/>
      <c r="F77" s="21" t="n"/>
      <c r="G77" s="21" t="n"/>
      <c r="H77" s="21" t="n"/>
      <c r="I77" s="21" t="n"/>
      <c r="J77" s="21" t="n"/>
      <c r="K77" s="21" t="n"/>
      <c r="L77" s="21" t="n"/>
      <c r="M77" s="21" t="n"/>
      <c r="N77" s="21" t="n"/>
      <c r="O77" s="21" t="n"/>
      <c r="P77" s="21" t="n"/>
      <c r="Q77" s="21" t="n"/>
      <c r="R77" s="21" t="n"/>
      <c r="S77" s="21" t="n"/>
      <c r="T77" s="21" t="n"/>
      <c r="U77" s="21" t="n"/>
      <c r="V77" s="21" t="n"/>
      <c r="W77" s="21" t="n"/>
      <c r="X77" s="21" t="n"/>
      <c r="Y77" s="21" t="n"/>
      <c r="Z77" s="21" t="n"/>
    </row>
    <row r="78" ht="15.75" customHeight="1" s="545">
      <c r="A78" s="21" t="n"/>
      <c r="B78" s="21" t="n"/>
      <c r="C78" s="21" t="n"/>
      <c r="D78" s="21" t="n"/>
      <c r="E78" s="21" t="n"/>
      <c r="F78" s="21" t="n"/>
      <c r="G78" s="21" t="n"/>
      <c r="H78" s="21" t="n"/>
      <c r="I78" s="21" t="n"/>
      <c r="J78" s="21" t="n"/>
      <c r="K78" s="21" t="n"/>
      <c r="L78" s="21" t="n"/>
      <c r="M78" s="21" t="n"/>
      <c r="N78" s="21" t="n"/>
      <c r="O78" s="21" t="n"/>
      <c r="P78" s="21" t="n"/>
      <c r="Q78" s="21" t="n"/>
      <c r="R78" s="21" t="n"/>
      <c r="S78" s="21" t="n"/>
      <c r="T78" s="21" t="n"/>
      <c r="U78" s="21" t="n"/>
      <c r="V78" s="21" t="n"/>
      <c r="W78" s="21" t="n"/>
      <c r="X78" s="21" t="n"/>
      <c r="Y78" s="21" t="n"/>
      <c r="Z78" s="21" t="n"/>
    </row>
    <row r="79" ht="15.75" customHeight="1" s="545">
      <c r="A79" s="21" t="n"/>
      <c r="B79" s="21" t="n"/>
      <c r="C79" s="21" t="n"/>
      <c r="D79" s="21" t="n"/>
      <c r="E79" s="21" t="n"/>
      <c r="F79" s="21" t="n"/>
      <c r="G79" s="21" t="n"/>
      <c r="H79" s="21" t="n"/>
      <c r="I79" s="21" t="n"/>
      <c r="J79" s="21" t="n"/>
      <c r="K79" s="21" t="n"/>
      <c r="L79" s="21" t="n"/>
      <c r="M79" s="21" t="n"/>
      <c r="N79" s="21" t="n"/>
      <c r="O79" s="21" t="n"/>
      <c r="P79" s="21" t="n"/>
      <c r="Q79" s="21" t="n"/>
      <c r="R79" s="21" t="n"/>
      <c r="S79" s="21" t="n"/>
      <c r="T79" s="21" t="n"/>
      <c r="U79" s="21" t="n"/>
      <c r="V79" s="21" t="n"/>
      <c r="W79" s="21" t="n"/>
      <c r="X79" s="21" t="n"/>
      <c r="Y79" s="21" t="n"/>
      <c r="Z79" s="21" t="n"/>
    </row>
    <row r="80" ht="15.75" customHeight="1" s="545">
      <c r="A80" s="21" t="n"/>
      <c r="B80" s="21" t="n"/>
      <c r="C80" s="21" t="n"/>
      <c r="D80" s="21" t="n"/>
      <c r="E80" s="21" t="n"/>
      <c r="F80" s="21" t="n"/>
      <c r="G80" s="21" t="n"/>
      <c r="H80" s="21" t="n"/>
      <c r="I80" s="21" t="n"/>
      <c r="J80" s="21" t="n"/>
      <c r="K80" s="21" t="n"/>
      <c r="L80" s="21" t="n"/>
      <c r="M80" s="21" t="n"/>
      <c r="N80" s="21" t="n"/>
      <c r="O80" s="21" t="n"/>
      <c r="P80" s="21" t="n"/>
      <c r="Q80" s="21" t="n"/>
      <c r="R80" s="21" t="n"/>
      <c r="S80" s="21" t="n"/>
      <c r="T80" s="21" t="n"/>
      <c r="U80" s="21" t="n"/>
      <c r="V80" s="21" t="n"/>
      <c r="W80" s="21" t="n"/>
      <c r="X80" s="21" t="n"/>
      <c r="Y80" s="21" t="n"/>
      <c r="Z80" s="21" t="n"/>
    </row>
    <row r="81" ht="15.75" customHeight="1" s="545">
      <c r="A81" s="21" t="n"/>
      <c r="B81" s="21" t="n"/>
      <c r="C81" s="21" t="n"/>
      <c r="D81" s="21" t="n"/>
      <c r="E81" s="21" t="n"/>
      <c r="F81" s="21" t="n"/>
      <c r="G81" s="21" t="n"/>
      <c r="H81" s="21" t="n"/>
      <c r="I81" s="21" t="n"/>
      <c r="J81" s="21" t="n"/>
      <c r="K81" s="21" t="n"/>
      <c r="L81" s="21" t="n"/>
      <c r="M81" s="21" t="n"/>
      <c r="N81" s="21" t="n"/>
      <c r="O81" s="21" t="n"/>
      <c r="P81" s="21" t="n"/>
      <c r="Q81" s="21" t="n"/>
      <c r="R81" s="21" t="n"/>
      <c r="S81" s="21" t="n"/>
      <c r="T81" s="21" t="n"/>
      <c r="U81" s="21" t="n"/>
      <c r="V81" s="21" t="n"/>
      <c r="W81" s="21" t="n"/>
      <c r="X81" s="21" t="n"/>
      <c r="Y81" s="21" t="n"/>
      <c r="Z81" s="21" t="n"/>
    </row>
    <row r="82" ht="15.75" customHeight="1" s="545">
      <c r="A82" s="21" t="n"/>
      <c r="B82" s="21" t="n"/>
      <c r="C82" s="21" t="n"/>
      <c r="D82" s="21" t="n"/>
      <c r="E82" s="21" t="n"/>
      <c r="F82" s="21" t="n"/>
      <c r="G82" s="21" t="n"/>
      <c r="H82" s="21" t="n"/>
      <c r="I82" s="21" t="n"/>
      <c r="J82" s="21" t="n"/>
      <c r="K82" s="21" t="n"/>
      <c r="L82" s="21" t="n"/>
      <c r="M82" s="21" t="n"/>
      <c r="N82" s="21" t="n"/>
      <c r="O82" s="21" t="n"/>
      <c r="P82" s="21" t="n"/>
      <c r="Q82" s="21" t="n"/>
      <c r="R82" s="21" t="n"/>
      <c r="S82" s="21" t="n"/>
      <c r="T82" s="21" t="n"/>
      <c r="U82" s="21" t="n"/>
      <c r="V82" s="21" t="n"/>
      <c r="W82" s="21" t="n"/>
      <c r="X82" s="21" t="n"/>
      <c r="Y82" s="21" t="n"/>
      <c r="Z82" s="21" t="n"/>
    </row>
    <row r="83" ht="15.75" customHeight="1" s="545">
      <c r="A83" s="21" t="n"/>
      <c r="B83" s="21" t="n"/>
      <c r="C83" s="21" t="n"/>
      <c r="D83" s="21" t="n"/>
      <c r="E83" s="21" t="n"/>
      <c r="F83" s="21" t="n"/>
      <c r="G83" s="21" t="n"/>
      <c r="H83" s="21" t="n"/>
      <c r="I83" s="21" t="n"/>
      <c r="J83" s="21" t="n"/>
      <c r="K83" s="21" t="n"/>
      <c r="L83" s="21" t="n"/>
      <c r="M83" s="21" t="n"/>
      <c r="N83" s="21" t="n"/>
      <c r="O83" s="21" t="n"/>
      <c r="P83" s="21" t="n"/>
      <c r="Q83" s="21" t="n"/>
      <c r="R83" s="21" t="n"/>
      <c r="S83" s="21" t="n"/>
      <c r="T83" s="21" t="n"/>
      <c r="U83" s="21" t="n"/>
      <c r="V83" s="21" t="n"/>
      <c r="W83" s="21" t="n"/>
      <c r="X83" s="21" t="n"/>
      <c r="Y83" s="21" t="n"/>
      <c r="Z83" s="21" t="n"/>
    </row>
    <row r="84" ht="15.75" customHeight="1" s="545">
      <c r="A84" s="21" t="n"/>
      <c r="B84" s="21" t="n"/>
      <c r="C84" s="21" t="n"/>
      <c r="D84" s="21" t="n"/>
      <c r="E84" s="21" t="n"/>
      <c r="F84" s="21" t="n"/>
      <c r="G84" s="21" t="n"/>
      <c r="H84" s="21" t="n"/>
      <c r="I84" s="21" t="n"/>
      <c r="J84" s="21" t="n"/>
      <c r="K84" s="21" t="n"/>
      <c r="L84" s="21" t="n"/>
      <c r="M84" s="21" t="n"/>
      <c r="N84" s="21" t="n"/>
      <c r="O84" s="21" t="n"/>
      <c r="P84" s="21" t="n"/>
      <c r="Q84" s="21" t="n"/>
      <c r="R84" s="21" t="n"/>
      <c r="S84" s="21" t="n"/>
      <c r="T84" s="21" t="n"/>
      <c r="U84" s="21" t="n"/>
      <c r="V84" s="21" t="n"/>
      <c r="W84" s="21" t="n"/>
      <c r="X84" s="21" t="n"/>
      <c r="Y84" s="21" t="n"/>
      <c r="Z84" s="21" t="n"/>
    </row>
    <row r="85" ht="15.75" customHeight="1" s="545">
      <c r="A85" s="21" t="n"/>
      <c r="B85" s="21" t="n"/>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row>
    <row r="86" ht="15.75" customHeight="1" s="545">
      <c r="A86" s="21" t="n"/>
      <c r="B86" s="21" t="n"/>
      <c r="C86" s="21" t="n"/>
      <c r="D86" s="21" t="n"/>
      <c r="E86" s="21" t="n"/>
      <c r="F86" s="21" t="n"/>
      <c r="G86" s="21" t="n"/>
      <c r="H86" s="21" t="n"/>
      <c r="I86" s="21" t="n"/>
      <c r="J86" s="21" t="n"/>
      <c r="K86" s="21" t="n"/>
      <c r="L86" s="21" t="n"/>
      <c r="M86" s="21" t="n"/>
      <c r="N86" s="21" t="n"/>
      <c r="O86" s="21" t="n"/>
      <c r="P86" s="21" t="n"/>
      <c r="Q86" s="21" t="n"/>
      <c r="R86" s="21" t="n"/>
      <c r="S86" s="21" t="n"/>
      <c r="T86" s="21" t="n"/>
      <c r="U86" s="21" t="n"/>
      <c r="V86" s="21" t="n"/>
      <c r="W86" s="21" t="n"/>
      <c r="X86" s="21" t="n"/>
      <c r="Y86" s="21" t="n"/>
      <c r="Z86" s="21" t="n"/>
    </row>
    <row r="87" ht="15.75" customHeight="1" s="545">
      <c r="A87" s="21" t="n"/>
      <c r="B87" s="21" t="n"/>
      <c r="C87" s="21" t="n"/>
      <c r="D87" s="21" t="n"/>
      <c r="E87" s="21" t="n"/>
      <c r="F87" s="21" t="n"/>
      <c r="G87" s="21" t="n"/>
      <c r="H87" s="21" t="n"/>
      <c r="I87" s="21" t="n"/>
      <c r="J87" s="21" t="n"/>
      <c r="K87" s="21" t="n"/>
      <c r="L87" s="21" t="n"/>
      <c r="M87" s="21" t="n"/>
      <c r="N87" s="21" t="n"/>
      <c r="O87" s="21" t="n"/>
      <c r="P87" s="21" t="n"/>
      <c r="Q87" s="21" t="n"/>
      <c r="R87" s="21" t="n"/>
      <c r="S87" s="21" t="n"/>
      <c r="T87" s="21" t="n"/>
      <c r="U87" s="21" t="n"/>
      <c r="V87" s="21" t="n"/>
      <c r="W87" s="21" t="n"/>
      <c r="X87" s="21" t="n"/>
      <c r="Y87" s="21" t="n"/>
      <c r="Z87" s="21" t="n"/>
    </row>
    <row r="88" ht="15.75" customHeight="1" s="545">
      <c r="A88" s="21" t="n"/>
      <c r="B88" s="21" t="n"/>
      <c r="C88" s="21" t="n"/>
      <c r="D88" s="21" t="n"/>
      <c r="E88" s="21" t="n"/>
      <c r="F88" s="21" t="n"/>
      <c r="G88" s="21" t="n"/>
      <c r="H88" s="21" t="n"/>
      <c r="I88" s="21" t="n"/>
      <c r="J88" s="21" t="n"/>
      <c r="K88" s="21" t="n"/>
      <c r="L88" s="21" t="n"/>
      <c r="M88" s="21" t="n"/>
      <c r="N88" s="21" t="n"/>
      <c r="O88" s="21" t="n"/>
      <c r="P88" s="21" t="n"/>
      <c r="Q88" s="21" t="n"/>
      <c r="R88" s="21" t="n"/>
      <c r="S88" s="21" t="n"/>
      <c r="T88" s="21" t="n"/>
      <c r="U88" s="21" t="n"/>
      <c r="V88" s="21" t="n"/>
      <c r="W88" s="21" t="n"/>
      <c r="X88" s="21" t="n"/>
      <c r="Y88" s="21" t="n"/>
      <c r="Z88" s="21" t="n"/>
    </row>
    <row r="89" ht="15.75" customHeight="1" s="545">
      <c r="A89" s="21" t="n"/>
      <c r="B89" s="21" t="n"/>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row>
    <row r="90" ht="15.75" customHeight="1" s="545">
      <c r="A90" s="21" t="n"/>
      <c r="B90" s="21" t="n"/>
      <c r="C90" s="21" t="n"/>
      <c r="D90" s="21" t="n"/>
      <c r="E90" s="21" t="n"/>
      <c r="F90" s="21" t="n"/>
      <c r="G90" s="21" t="n"/>
      <c r="H90" s="21" t="n"/>
      <c r="I90" s="21" t="n"/>
      <c r="J90" s="21" t="n"/>
      <c r="K90" s="21" t="n"/>
      <c r="L90" s="21" t="n"/>
      <c r="M90" s="21" t="n"/>
      <c r="N90" s="21" t="n"/>
      <c r="O90" s="21" t="n"/>
      <c r="P90" s="21" t="n"/>
      <c r="Q90" s="21" t="n"/>
      <c r="R90" s="21" t="n"/>
      <c r="S90" s="21" t="n"/>
      <c r="T90" s="21" t="n"/>
      <c r="U90" s="21" t="n"/>
      <c r="V90" s="21" t="n"/>
      <c r="W90" s="21" t="n"/>
      <c r="X90" s="21" t="n"/>
      <c r="Y90" s="21" t="n"/>
      <c r="Z90" s="21" t="n"/>
    </row>
    <row r="91" ht="15.75" customHeight="1" s="545">
      <c r="A91" s="21" t="n"/>
      <c r="B91" s="21" t="n"/>
      <c r="C91" s="21" t="n"/>
      <c r="D91" s="21" t="n"/>
      <c r="E91" s="21" t="n"/>
      <c r="F91" s="21" t="n"/>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row>
    <row r="92" ht="15.75" customHeight="1" s="545">
      <c r="A92" s="21" t="n"/>
      <c r="B92" s="21" t="n"/>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row>
    <row r="93" ht="15.75" customHeight="1" s="545">
      <c r="A93" s="21" t="n"/>
      <c r="B93" s="21" t="n"/>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row>
    <row r="94" ht="15.75" customHeight="1" s="545">
      <c r="A94" s="21" t="n"/>
      <c r="B94" s="21" t="n"/>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row>
    <row r="95" ht="15.75" customHeight="1" s="545">
      <c r="A95" s="21" t="n"/>
      <c r="B95" s="21" t="n"/>
      <c r="C95" s="21" t="n"/>
      <c r="D95" s="21" t="n"/>
      <c r="E95" s="21" t="n"/>
      <c r="F95" s="21" t="n"/>
      <c r="G95" s="21" t="n"/>
      <c r="H95" s="21" t="n"/>
      <c r="I95" s="21" t="n"/>
      <c r="J95" s="21" t="n"/>
      <c r="K95" s="21" t="n"/>
      <c r="L95" s="21" t="n"/>
      <c r="M95" s="21" t="n"/>
      <c r="N95" s="21" t="n"/>
      <c r="O95" s="21" t="n"/>
      <c r="P95" s="21" t="n"/>
      <c r="Q95" s="21" t="n"/>
      <c r="R95" s="21" t="n"/>
      <c r="S95" s="21" t="n"/>
      <c r="T95" s="21" t="n"/>
      <c r="U95" s="21" t="n"/>
      <c r="V95" s="21" t="n"/>
      <c r="W95" s="21" t="n"/>
      <c r="X95" s="21" t="n"/>
      <c r="Y95" s="21" t="n"/>
      <c r="Z95" s="21" t="n"/>
    </row>
    <row r="96" ht="15.75" customHeight="1" s="545">
      <c r="A96" s="21" t="n"/>
      <c r="B96" s="21" t="n"/>
      <c r="C96" s="21" t="n"/>
      <c r="D96" s="21" t="n"/>
      <c r="E96" s="21" t="n"/>
      <c r="F96" s="21" t="n"/>
      <c r="G96" s="21" t="n"/>
      <c r="H96" s="21" t="n"/>
      <c r="I96" s="21" t="n"/>
      <c r="J96" s="21" t="n"/>
      <c r="K96" s="21" t="n"/>
      <c r="L96" s="21" t="n"/>
      <c r="M96" s="21" t="n"/>
      <c r="N96" s="21" t="n"/>
      <c r="O96" s="21" t="n"/>
      <c r="P96" s="21" t="n"/>
      <c r="Q96" s="21" t="n"/>
      <c r="R96" s="21" t="n"/>
      <c r="S96" s="21" t="n"/>
      <c r="T96" s="21" t="n"/>
      <c r="U96" s="21" t="n"/>
      <c r="V96" s="21" t="n"/>
      <c r="W96" s="21" t="n"/>
      <c r="X96" s="21" t="n"/>
      <c r="Y96" s="21" t="n"/>
      <c r="Z96" s="21" t="n"/>
    </row>
    <row r="97" ht="15.75" customHeight="1" s="545">
      <c r="A97" s="21" t="n"/>
      <c r="B97" s="21" t="n"/>
      <c r="C97" s="21" t="n"/>
      <c r="D97" s="21" t="n"/>
      <c r="E97" s="21" t="n"/>
      <c r="F97" s="21" t="n"/>
      <c r="G97" s="21" t="n"/>
      <c r="H97" s="21" t="n"/>
      <c r="I97" s="21" t="n"/>
      <c r="J97" s="21" t="n"/>
      <c r="K97" s="21" t="n"/>
      <c r="L97" s="21" t="n"/>
      <c r="M97" s="21" t="n"/>
      <c r="N97" s="21" t="n"/>
      <c r="O97" s="21" t="n"/>
      <c r="P97" s="21" t="n"/>
      <c r="Q97" s="21" t="n"/>
      <c r="R97" s="21" t="n"/>
      <c r="S97" s="21" t="n"/>
      <c r="T97" s="21" t="n"/>
      <c r="U97" s="21" t="n"/>
      <c r="V97" s="21" t="n"/>
      <c r="W97" s="21" t="n"/>
      <c r="X97" s="21" t="n"/>
      <c r="Y97" s="21" t="n"/>
      <c r="Z97" s="21" t="n"/>
    </row>
    <row r="98" ht="15.75" customHeight="1" s="545">
      <c r="A98" s="21" t="n"/>
      <c r="B98" s="21" t="n"/>
      <c r="C98" s="21" t="n"/>
      <c r="D98" s="21" t="n"/>
      <c r="E98" s="21" t="n"/>
      <c r="F98" s="21" t="n"/>
      <c r="G98" s="21" t="n"/>
      <c r="H98" s="21" t="n"/>
      <c r="I98" s="21" t="n"/>
      <c r="J98" s="21" t="n"/>
      <c r="K98" s="21" t="n"/>
      <c r="L98" s="21" t="n"/>
      <c r="M98" s="21" t="n"/>
      <c r="N98" s="21" t="n"/>
      <c r="O98" s="21" t="n"/>
      <c r="P98" s="21" t="n"/>
      <c r="Q98" s="21" t="n"/>
      <c r="R98" s="21" t="n"/>
      <c r="S98" s="21" t="n"/>
      <c r="T98" s="21" t="n"/>
      <c r="U98" s="21" t="n"/>
      <c r="V98" s="21" t="n"/>
      <c r="W98" s="21" t="n"/>
      <c r="X98" s="21" t="n"/>
      <c r="Y98" s="21" t="n"/>
      <c r="Z98" s="21" t="n"/>
    </row>
    <row r="99" ht="15.75" customHeight="1" s="545">
      <c r="A99" s="21" t="n"/>
      <c r="B99" s="21" t="n"/>
      <c r="C99" s="21" t="n"/>
      <c r="D99" s="21" t="n"/>
      <c r="E99" s="21" t="n"/>
      <c r="F99" s="21" t="n"/>
      <c r="G99" s="21" t="n"/>
      <c r="H99" s="21" t="n"/>
      <c r="I99" s="21" t="n"/>
      <c r="J99" s="21" t="n"/>
      <c r="K99" s="21" t="n"/>
      <c r="L99" s="21" t="n"/>
      <c r="M99" s="21" t="n"/>
      <c r="N99" s="21" t="n"/>
      <c r="O99" s="21" t="n"/>
      <c r="P99" s="21" t="n"/>
      <c r="Q99" s="21" t="n"/>
      <c r="R99" s="21" t="n"/>
      <c r="S99" s="21" t="n"/>
      <c r="T99" s="21" t="n"/>
      <c r="U99" s="21" t="n"/>
      <c r="V99" s="21" t="n"/>
      <c r="W99" s="21" t="n"/>
      <c r="X99" s="21" t="n"/>
      <c r="Y99" s="21" t="n"/>
      <c r="Z99" s="21" t="n"/>
    </row>
    <row r="100" ht="15.75" customHeight="1" s="545">
      <c r="A100" s="21" t="n"/>
      <c r="B100" s="21" t="n"/>
      <c r="C100" s="21" t="n"/>
      <c r="D100" s="21" t="n"/>
      <c r="E100" s="21" t="n"/>
      <c r="F100" s="21" t="n"/>
      <c r="G100" s="21" t="n"/>
      <c r="H100" s="21" t="n"/>
      <c r="I100" s="21" t="n"/>
      <c r="J100" s="21" t="n"/>
      <c r="K100" s="21" t="n"/>
      <c r="L100" s="21" t="n"/>
      <c r="M100" s="21" t="n"/>
      <c r="N100" s="21" t="n"/>
      <c r="O100" s="21" t="n"/>
      <c r="P100" s="21" t="n"/>
      <c r="Q100" s="21" t="n"/>
      <c r="R100" s="21" t="n"/>
      <c r="S100" s="21" t="n"/>
      <c r="T100" s="21" t="n"/>
      <c r="U100" s="21" t="n"/>
      <c r="V100" s="21" t="n"/>
      <c r="W100" s="21" t="n"/>
      <c r="X100" s="21" t="n"/>
      <c r="Y100" s="21" t="n"/>
      <c r="Z100" s="21" t="n"/>
    </row>
    <row r="101" ht="15.75" customHeight="1" s="545">
      <c r="A101" s="21" t="n"/>
      <c r="B101" s="21" t="n"/>
      <c r="C101" s="21" t="n"/>
      <c r="D101" s="21" t="n"/>
      <c r="E101" s="21" t="n"/>
      <c r="F101" s="21" t="n"/>
      <c r="G101" s="21" t="n"/>
      <c r="H101" s="21" t="n"/>
      <c r="I101" s="21" t="n"/>
      <c r="J101" s="21" t="n"/>
      <c r="K101" s="21" t="n"/>
      <c r="L101" s="21" t="n"/>
      <c r="M101" s="21" t="n"/>
      <c r="N101" s="21" t="n"/>
      <c r="O101" s="21" t="n"/>
      <c r="P101" s="21" t="n"/>
      <c r="Q101" s="21" t="n"/>
      <c r="R101" s="21" t="n"/>
      <c r="S101" s="21" t="n"/>
      <c r="T101" s="21" t="n"/>
      <c r="U101" s="21" t="n"/>
      <c r="V101" s="21" t="n"/>
      <c r="W101" s="21" t="n"/>
      <c r="X101" s="21" t="n"/>
      <c r="Y101" s="21" t="n"/>
      <c r="Z101" s="21" t="n"/>
    </row>
    <row r="102" ht="15.75" customHeight="1" s="545">
      <c r="A102" s="21" t="n"/>
      <c r="B102" s="21" t="n"/>
      <c r="C102" s="21" t="n"/>
      <c r="D102" s="21" t="n"/>
      <c r="E102" s="21" t="n"/>
      <c r="F102" s="21" t="n"/>
      <c r="G102" s="21" t="n"/>
      <c r="H102" s="21" t="n"/>
      <c r="I102" s="21" t="n"/>
      <c r="J102" s="21" t="n"/>
      <c r="K102" s="21" t="n"/>
      <c r="L102" s="21" t="n"/>
      <c r="M102" s="21" t="n"/>
      <c r="N102" s="21" t="n"/>
      <c r="O102" s="21" t="n"/>
      <c r="P102" s="21" t="n"/>
      <c r="Q102" s="21" t="n"/>
      <c r="R102" s="21" t="n"/>
      <c r="S102" s="21" t="n"/>
      <c r="T102" s="21" t="n"/>
      <c r="U102" s="21" t="n"/>
      <c r="V102" s="21" t="n"/>
      <c r="W102" s="21" t="n"/>
      <c r="X102" s="21" t="n"/>
      <c r="Y102" s="21" t="n"/>
      <c r="Z102" s="21" t="n"/>
    </row>
    <row r="103" ht="15.75" customHeight="1" s="545">
      <c r="A103" s="21" t="n"/>
      <c r="B103" s="21" t="n"/>
      <c r="C103" s="21" t="n"/>
      <c r="D103" s="21" t="n"/>
      <c r="E103" s="21" t="n"/>
      <c r="F103" s="21" t="n"/>
      <c r="G103" s="21" t="n"/>
      <c r="H103" s="21" t="n"/>
      <c r="I103" s="21" t="n"/>
      <c r="J103" s="21" t="n"/>
      <c r="K103" s="21" t="n"/>
      <c r="L103" s="21" t="n"/>
      <c r="M103" s="21" t="n"/>
      <c r="N103" s="21" t="n"/>
      <c r="O103" s="21" t="n"/>
      <c r="P103" s="21" t="n"/>
      <c r="Q103" s="21" t="n"/>
      <c r="R103" s="21" t="n"/>
      <c r="S103" s="21" t="n"/>
      <c r="T103" s="21" t="n"/>
      <c r="U103" s="21" t="n"/>
      <c r="V103" s="21" t="n"/>
      <c r="W103" s="21" t="n"/>
      <c r="X103" s="21" t="n"/>
      <c r="Y103" s="21" t="n"/>
      <c r="Z103" s="21" t="n"/>
    </row>
    <row r="104" ht="15.75" customHeight="1" s="545">
      <c r="A104" s="21" t="n"/>
      <c r="B104" s="21" t="n"/>
      <c r="C104" s="21" t="n"/>
      <c r="D104" s="21" t="n"/>
      <c r="E104" s="21" t="n"/>
      <c r="F104" s="21" t="n"/>
      <c r="G104" s="21" t="n"/>
      <c r="H104" s="21" t="n"/>
      <c r="I104" s="21" t="n"/>
      <c r="J104" s="21" t="n"/>
      <c r="K104" s="21" t="n"/>
      <c r="L104" s="21" t="n"/>
      <c r="M104" s="21" t="n"/>
      <c r="N104" s="21" t="n"/>
      <c r="O104" s="21" t="n"/>
      <c r="P104" s="21" t="n"/>
      <c r="Q104" s="21" t="n"/>
      <c r="R104" s="21" t="n"/>
      <c r="S104" s="21" t="n"/>
      <c r="T104" s="21" t="n"/>
      <c r="U104" s="21" t="n"/>
      <c r="V104" s="21" t="n"/>
      <c r="W104" s="21" t="n"/>
      <c r="X104" s="21" t="n"/>
      <c r="Y104" s="21" t="n"/>
      <c r="Z104" s="21" t="n"/>
    </row>
    <row r="105" ht="15.75" customHeight="1" s="545">
      <c r="A105" s="21" t="n"/>
      <c r="B105" s="21" t="n"/>
      <c r="C105" s="21" t="n"/>
      <c r="D105" s="21" t="n"/>
      <c r="E105" s="21" t="n"/>
      <c r="F105" s="21" t="n"/>
      <c r="G105" s="21" t="n"/>
      <c r="H105" s="21" t="n"/>
      <c r="I105" s="21" t="n"/>
      <c r="J105" s="21" t="n"/>
      <c r="K105" s="21" t="n"/>
      <c r="L105" s="21" t="n"/>
      <c r="M105" s="21" t="n"/>
      <c r="N105" s="21" t="n"/>
      <c r="O105" s="21" t="n"/>
      <c r="P105" s="21" t="n"/>
      <c r="Q105" s="21" t="n"/>
      <c r="R105" s="21" t="n"/>
      <c r="S105" s="21" t="n"/>
      <c r="T105" s="21" t="n"/>
      <c r="U105" s="21" t="n"/>
      <c r="V105" s="21" t="n"/>
      <c r="W105" s="21" t="n"/>
      <c r="X105" s="21" t="n"/>
      <c r="Y105" s="21" t="n"/>
      <c r="Z105" s="21" t="n"/>
    </row>
    <row r="106" ht="15.75" customHeight="1" s="545">
      <c r="A106" s="21" t="n"/>
      <c r="B106" s="21" t="n"/>
      <c r="C106" s="21" t="n"/>
      <c r="D106" s="21" t="n"/>
      <c r="E106" s="21" t="n"/>
      <c r="F106" s="21" t="n"/>
      <c r="G106" s="21" t="n"/>
      <c r="H106" s="21" t="n"/>
      <c r="I106" s="21" t="n"/>
      <c r="J106" s="21" t="n"/>
      <c r="K106" s="21" t="n"/>
      <c r="L106" s="21" t="n"/>
      <c r="M106" s="21" t="n"/>
      <c r="N106" s="21" t="n"/>
      <c r="O106" s="21" t="n"/>
      <c r="P106" s="21" t="n"/>
      <c r="Q106" s="21" t="n"/>
      <c r="R106" s="21" t="n"/>
      <c r="S106" s="21" t="n"/>
      <c r="T106" s="21" t="n"/>
      <c r="U106" s="21" t="n"/>
      <c r="V106" s="21" t="n"/>
      <c r="W106" s="21" t="n"/>
      <c r="X106" s="21" t="n"/>
      <c r="Y106" s="21" t="n"/>
      <c r="Z106" s="21" t="n"/>
    </row>
    <row r="107" ht="15.75" customHeight="1" s="545">
      <c r="A107" s="21" t="n"/>
      <c r="B107" s="21" t="n"/>
      <c r="C107" s="21" t="n"/>
      <c r="D107" s="21" t="n"/>
      <c r="E107" s="21" t="n"/>
      <c r="F107" s="21" t="n"/>
      <c r="G107" s="21" t="n"/>
      <c r="H107" s="21" t="n"/>
      <c r="I107" s="21" t="n"/>
      <c r="J107" s="21" t="n"/>
      <c r="K107" s="21" t="n"/>
      <c r="L107" s="21" t="n"/>
      <c r="M107" s="21" t="n"/>
      <c r="N107" s="21" t="n"/>
      <c r="O107" s="21" t="n"/>
      <c r="P107" s="21" t="n"/>
      <c r="Q107" s="21" t="n"/>
      <c r="R107" s="21" t="n"/>
      <c r="S107" s="21" t="n"/>
      <c r="T107" s="21" t="n"/>
      <c r="U107" s="21" t="n"/>
      <c r="V107" s="21" t="n"/>
      <c r="W107" s="21" t="n"/>
      <c r="X107" s="21" t="n"/>
      <c r="Y107" s="21" t="n"/>
      <c r="Z107" s="21" t="n"/>
    </row>
    <row r="108" ht="15.75" customHeight="1" s="545">
      <c r="A108" s="21" t="n"/>
      <c r="B108" s="21" t="n"/>
      <c r="C108" s="21" t="n"/>
      <c r="D108" s="21" t="n"/>
      <c r="E108" s="21" t="n"/>
      <c r="F108" s="21" t="n"/>
      <c r="G108" s="21" t="n"/>
      <c r="H108" s="21" t="n"/>
      <c r="I108" s="21" t="n"/>
      <c r="J108" s="21" t="n"/>
      <c r="K108" s="21" t="n"/>
      <c r="L108" s="21" t="n"/>
      <c r="M108" s="21" t="n"/>
      <c r="N108" s="21" t="n"/>
      <c r="O108" s="21" t="n"/>
      <c r="P108" s="21" t="n"/>
      <c r="Q108" s="21" t="n"/>
      <c r="R108" s="21" t="n"/>
      <c r="S108" s="21" t="n"/>
      <c r="T108" s="21" t="n"/>
      <c r="U108" s="21" t="n"/>
      <c r="V108" s="21" t="n"/>
      <c r="W108" s="21" t="n"/>
      <c r="X108" s="21" t="n"/>
      <c r="Y108" s="21" t="n"/>
      <c r="Z108" s="21" t="n"/>
    </row>
    <row r="109" ht="15.75" customHeight="1" s="545">
      <c r="A109" s="21" t="n"/>
      <c r="B109" s="21" t="n"/>
      <c r="C109" s="21" t="n"/>
      <c r="D109" s="21" t="n"/>
      <c r="E109" s="21" t="n"/>
      <c r="F109" s="21" t="n"/>
      <c r="G109" s="21" t="n"/>
      <c r="H109" s="21" t="n"/>
      <c r="I109" s="21" t="n"/>
      <c r="J109" s="21" t="n"/>
      <c r="K109" s="21" t="n"/>
      <c r="L109" s="21" t="n"/>
      <c r="M109" s="21" t="n"/>
      <c r="N109" s="21" t="n"/>
      <c r="O109" s="21" t="n"/>
      <c r="P109" s="21" t="n"/>
      <c r="Q109" s="21" t="n"/>
      <c r="R109" s="21" t="n"/>
      <c r="S109" s="21" t="n"/>
      <c r="T109" s="21" t="n"/>
      <c r="U109" s="21" t="n"/>
      <c r="V109" s="21" t="n"/>
      <c r="W109" s="21" t="n"/>
      <c r="X109" s="21" t="n"/>
      <c r="Y109" s="21" t="n"/>
      <c r="Z109" s="21" t="n"/>
    </row>
    <row r="110" ht="15.75" customHeight="1" s="545">
      <c r="A110" s="21" t="n"/>
      <c r="B110" s="21" t="n"/>
      <c r="C110" s="21" t="n"/>
      <c r="D110" s="21" t="n"/>
      <c r="E110" s="21" t="n"/>
      <c r="F110" s="21" t="n"/>
      <c r="G110" s="21" t="n"/>
      <c r="H110" s="21" t="n"/>
      <c r="I110" s="21" t="n"/>
      <c r="J110" s="21" t="n"/>
      <c r="K110" s="21" t="n"/>
      <c r="L110" s="21" t="n"/>
      <c r="M110" s="21" t="n"/>
      <c r="N110" s="21" t="n"/>
      <c r="O110" s="21" t="n"/>
      <c r="P110" s="21" t="n"/>
      <c r="Q110" s="21" t="n"/>
      <c r="R110" s="21" t="n"/>
      <c r="S110" s="21" t="n"/>
      <c r="T110" s="21" t="n"/>
      <c r="U110" s="21" t="n"/>
      <c r="V110" s="21" t="n"/>
      <c r="W110" s="21" t="n"/>
      <c r="X110" s="21" t="n"/>
      <c r="Y110" s="21" t="n"/>
      <c r="Z110" s="21" t="n"/>
    </row>
    <row r="111" ht="15.75" customHeight="1" s="545">
      <c r="A111" s="21" t="n"/>
      <c r="B111" s="21" t="n"/>
      <c r="C111" s="21" t="n"/>
      <c r="D111" s="21" t="n"/>
      <c r="E111" s="21" t="n"/>
      <c r="F111" s="21" t="n"/>
      <c r="G111" s="21" t="n"/>
      <c r="H111" s="21" t="n"/>
      <c r="I111" s="21" t="n"/>
      <c r="J111" s="21" t="n"/>
      <c r="K111" s="21" t="n"/>
      <c r="L111" s="21" t="n"/>
      <c r="M111" s="21" t="n"/>
      <c r="N111" s="21" t="n"/>
      <c r="O111" s="21" t="n"/>
      <c r="P111" s="21" t="n"/>
      <c r="Q111" s="21" t="n"/>
      <c r="R111" s="21" t="n"/>
      <c r="S111" s="21" t="n"/>
      <c r="T111" s="21" t="n"/>
      <c r="U111" s="21" t="n"/>
      <c r="V111" s="21" t="n"/>
      <c r="W111" s="21" t="n"/>
      <c r="X111" s="21" t="n"/>
      <c r="Y111" s="21" t="n"/>
      <c r="Z111" s="21" t="n"/>
    </row>
    <row r="112" ht="15.75" customHeight="1" s="545">
      <c r="A112" s="21" t="n"/>
      <c r="B112" s="21" t="n"/>
      <c r="C112" s="21" t="n"/>
      <c r="D112" s="21" t="n"/>
      <c r="E112" s="21" t="n"/>
      <c r="F112" s="21" t="n"/>
      <c r="G112" s="21" t="n"/>
      <c r="H112" s="21" t="n"/>
      <c r="I112" s="21" t="n"/>
      <c r="J112" s="21" t="n"/>
      <c r="K112" s="21" t="n"/>
      <c r="L112" s="21" t="n"/>
      <c r="M112" s="21" t="n"/>
      <c r="N112" s="21" t="n"/>
      <c r="O112" s="21" t="n"/>
      <c r="P112" s="21" t="n"/>
      <c r="Q112" s="21" t="n"/>
      <c r="R112" s="21" t="n"/>
      <c r="S112" s="21" t="n"/>
      <c r="T112" s="21" t="n"/>
      <c r="U112" s="21" t="n"/>
      <c r="V112" s="21" t="n"/>
      <c r="W112" s="21" t="n"/>
      <c r="X112" s="21" t="n"/>
      <c r="Y112" s="21" t="n"/>
      <c r="Z112" s="21" t="n"/>
    </row>
    <row r="113" ht="15.75" customHeight="1" s="545">
      <c r="A113" s="21" t="n"/>
      <c r="B113" s="21" t="n"/>
      <c r="C113" s="21" t="n"/>
      <c r="D113" s="21" t="n"/>
      <c r="E113" s="21" t="n"/>
      <c r="F113" s="21" t="n"/>
      <c r="G113" s="21" t="n"/>
      <c r="H113" s="21" t="n"/>
      <c r="I113" s="21" t="n"/>
      <c r="J113" s="21" t="n"/>
      <c r="K113" s="21" t="n"/>
      <c r="L113" s="21" t="n"/>
      <c r="M113" s="21" t="n"/>
      <c r="N113" s="21" t="n"/>
      <c r="O113" s="21" t="n"/>
      <c r="P113" s="21" t="n"/>
      <c r="Q113" s="21" t="n"/>
      <c r="R113" s="21" t="n"/>
      <c r="S113" s="21" t="n"/>
      <c r="T113" s="21" t="n"/>
      <c r="U113" s="21" t="n"/>
      <c r="V113" s="21" t="n"/>
      <c r="W113" s="21" t="n"/>
      <c r="X113" s="21" t="n"/>
      <c r="Y113" s="21" t="n"/>
      <c r="Z113" s="21" t="n"/>
    </row>
    <row r="114" ht="15.75" customHeight="1" s="545">
      <c r="A114" s="21" t="n"/>
      <c r="B114" s="21" t="n"/>
      <c r="C114" s="21" t="n"/>
      <c r="D114" s="21" t="n"/>
      <c r="E114" s="21" t="n"/>
      <c r="F114" s="21" t="n"/>
      <c r="G114" s="21" t="n"/>
      <c r="H114" s="21" t="n"/>
      <c r="I114" s="21" t="n"/>
      <c r="J114" s="21" t="n"/>
      <c r="K114" s="21" t="n"/>
      <c r="L114" s="21" t="n"/>
      <c r="M114" s="21" t="n"/>
      <c r="N114" s="21" t="n"/>
      <c r="O114" s="21" t="n"/>
      <c r="P114" s="21" t="n"/>
      <c r="Q114" s="21" t="n"/>
      <c r="R114" s="21" t="n"/>
      <c r="S114" s="21" t="n"/>
      <c r="T114" s="21" t="n"/>
      <c r="U114" s="21" t="n"/>
      <c r="V114" s="21" t="n"/>
      <c r="W114" s="21" t="n"/>
      <c r="X114" s="21" t="n"/>
      <c r="Y114" s="21" t="n"/>
      <c r="Z114" s="21" t="n"/>
    </row>
    <row r="115" ht="15.75" customHeight="1" s="545">
      <c r="A115" s="21" t="n"/>
      <c r="B115" s="21" t="n"/>
      <c r="C115" s="21" t="n"/>
      <c r="D115" s="21" t="n"/>
      <c r="E115" s="21" t="n"/>
      <c r="F115" s="21" t="n"/>
      <c r="G115" s="21" t="n"/>
      <c r="H115" s="21" t="n"/>
      <c r="I115" s="21" t="n"/>
      <c r="J115" s="21" t="n"/>
      <c r="K115" s="21" t="n"/>
      <c r="L115" s="21" t="n"/>
      <c r="M115" s="21" t="n"/>
      <c r="N115" s="21" t="n"/>
      <c r="O115" s="21" t="n"/>
      <c r="P115" s="21" t="n"/>
      <c r="Q115" s="21" t="n"/>
      <c r="R115" s="21" t="n"/>
      <c r="S115" s="21" t="n"/>
      <c r="T115" s="21" t="n"/>
      <c r="U115" s="21" t="n"/>
      <c r="V115" s="21" t="n"/>
      <c r="W115" s="21" t="n"/>
      <c r="X115" s="21" t="n"/>
      <c r="Y115" s="21" t="n"/>
      <c r="Z115" s="21" t="n"/>
    </row>
    <row r="116" ht="15.75" customHeight="1" s="545">
      <c r="A116" s="21" t="n"/>
      <c r="B116" s="21" t="n"/>
      <c r="C116" s="21" t="n"/>
      <c r="D116" s="21" t="n"/>
      <c r="E116" s="21" t="n"/>
      <c r="F116" s="21" t="n"/>
      <c r="G116" s="21" t="n"/>
      <c r="H116" s="21" t="n"/>
      <c r="I116" s="21" t="n"/>
      <c r="J116" s="21" t="n"/>
      <c r="K116" s="21" t="n"/>
      <c r="L116" s="21" t="n"/>
      <c r="M116" s="21" t="n"/>
      <c r="N116" s="21" t="n"/>
      <c r="O116" s="21" t="n"/>
      <c r="P116" s="21" t="n"/>
      <c r="Q116" s="21" t="n"/>
      <c r="R116" s="21" t="n"/>
      <c r="S116" s="21" t="n"/>
      <c r="T116" s="21" t="n"/>
      <c r="U116" s="21" t="n"/>
      <c r="V116" s="21" t="n"/>
      <c r="W116" s="21" t="n"/>
      <c r="X116" s="21" t="n"/>
      <c r="Y116" s="21" t="n"/>
      <c r="Z116" s="21" t="n"/>
    </row>
    <row r="117" ht="15.75" customHeight="1" s="545">
      <c r="A117" s="21" t="n"/>
      <c r="B117" s="21" t="n"/>
      <c r="C117" s="21" t="n"/>
      <c r="D117" s="21" t="n"/>
      <c r="E117" s="21" t="n"/>
      <c r="F117" s="21" t="n"/>
      <c r="G117" s="21" t="n"/>
      <c r="H117" s="21" t="n"/>
      <c r="I117" s="21" t="n"/>
      <c r="J117" s="21" t="n"/>
      <c r="K117" s="21" t="n"/>
      <c r="L117" s="21" t="n"/>
      <c r="M117" s="21" t="n"/>
      <c r="N117" s="21" t="n"/>
      <c r="O117" s="21" t="n"/>
      <c r="P117" s="21" t="n"/>
      <c r="Q117" s="21" t="n"/>
      <c r="R117" s="21" t="n"/>
      <c r="S117" s="21" t="n"/>
      <c r="T117" s="21" t="n"/>
      <c r="U117" s="21" t="n"/>
      <c r="V117" s="21" t="n"/>
      <c r="W117" s="21" t="n"/>
      <c r="X117" s="21" t="n"/>
      <c r="Y117" s="21" t="n"/>
      <c r="Z117" s="21" t="n"/>
    </row>
    <row r="118" ht="15.75" customHeight="1" s="545">
      <c r="A118" s="21" t="n"/>
      <c r="B118" s="21" t="n"/>
      <c r="C118" s="21" t="n"/>
      <c r="D118" s="21" t="n"/>
      <c r="E118" s="21" t="n"/>
      <c r="F118" s="21" t="n"/>
      <c r="G118" s="21" t="n"/>
      <c r="H118" s="21" t="n"/>
      <c r="I118" s="21" t="n"/>
      <c r="J118" s="21" t="n"/>
      <c r="K118" s="21" t="n"/>
      <c r="L118" s="21" t="n"/>
      <c r="M118" s="21" t="n"/>
      <c r="N118" s="21" t="n"/>
      <c r="O118" s="21" t="n"/>
      <c r="P118" s="21" t="n"/>
      <c r="Q118" s="21" t="n"/>
      <c r="R118" s="21" t="n"/>
      <c r="S118" s="21" t="n"/>
      <c r="T118" s="21" t="n"/>
      <c r="U118" s="21" t="n"/>
      <c r="V118" s="21" t="n"/>
      <c r="W118" s="21" t="n"/>
      <c r="X118" s="21" t="n"/>
      <c r="Y118" s="21" t="n"/>
      <c r="Z118" s="21" t="n"/>
    </row>
    <row r="119" ht="15.75" customHeight="1" s="545">
      <c r="A119" s="21" t="n"/>
      <c r="B119" s="21" t="n"/>
      <c r="C119" s="21" t="n"/>
      <c r="D119" s="21" t="n"/>
      <c r="E119" s="21" t="n"/>
      <c r="F119" s="21" t="n"/>
      <c r="G119" s="21" t="n"/>
      <c r="H119" s="21" t="n"/>
      <c r="I119" s="21" t="n"/>
      <c r="J119" s="21" t="n"/>
      <c r="K119" s="21" t="n"/>
      <c r="L119" s="21" t="n"/>
      <c r="M119" s="21" t="n"/>
      <c r="N119" s="21" t="n"/>
      <c r="O119" s="21" t="n"/>
      <c r="P119" s="21" t="n"/>
      <c r="Q119" s="21" t="n"/>
      <c r="R119" s="21" t="n"/>
      <c r="S119" s="21" t="n"/>
      <c r="T119" s="21" t="n"/>
      <c r="U119" s="21" t="n"/>
      <c r="V119" s="21" t="n"/>
      <c r="W119" s="21" t="n"/>
      <c r="X119" s="21" t="n"/>
      <c r="Y119" s="21" t="n"/>
      <c r="Z119" s="21" t="n"/>
    </row>
    <row r="120" ht="15.75" customHeight="1" s="545">
      <c r="A120" s="21" t="n"/>
      <c r="B120" s="21" t="n"/>
      <c r="C120" s="21" t="n"/>
      <c r="D120" s="21" t="n"/>
      <c r="E120" s="21" t="n"/>
      <c r="F120" s="21" t="n"/>
      <c r="G120" s="21" t="n"/>
      <c r="H120" s="21" t="n"/>
      <c r="I120" s="21" t="n"/>
      <c r="J120" s="21" t="n"/>
      <c r="K120" s="21" t="n"/>
      <c r="L120" s="21" t="n"/>
      <c r="M120" s="21" t="n"/>
      <c r="N120" s="21" t="n"/>
      <c r="O120" s="21" t="n"/>
      <c r="P120" s="21" t="n"/>
      <c r="Q120" s="21" t="n"/>
      <c r="R120" s="21" t="n"/>
      <c r="S120" s="21" t="n"/>
      <c r="T120" s="21" t="n"/>
      <c r="U120" s="21" t="n"/>
      <c r="V120" s="21" t="n"/>
      <c r="W120" s="21" t="n"/>
      <c r="X120" s="21" t="n"/>
      <c r="Y120" s="21" t="n"/>
      <c r="Z120" s="21" t="n"/>
    </row>
    <row r="121" ht="15.75" customHeight="1" s="545">
      <c r="A121" s="21" t="n"/>
      <c r="B121" s="21" t="n"/>
      <c r="C121" s="21" t="n"/>
      <c r="D121" s="21" t="n"/>
      <c r="E121" s="21" t="n"/>
      <c r="F121" s="21" t="n"/>
      <c r="G121" s="21" t="n"/>
      <c r="H121" s="21" t="n"/>
      <c r="I121" s="21" t="n"/>
      <c r="J121" s="21" t="n"/>
      <c r="K121" s="21" t="n"/>
      <c r="L121" s="21" t="n"/>
      <c r="M121" s="21" t="n"/>
      <c r="N121" s="21" t="n"/>
      <c r="O121" s="21" t="n"/>
      <c r="P121" s="21" t="n"/>
      <c r="Q121" s="21" t="n"/>
      <c r="R121" s="21" t="n"/>
      <c r="S121" s="21" t="n"/>
      <c r="T121" s="21" t="n"/>
      <c r="U121" s="21" t="n"/>
      <c r="V121" s="21" t="n"/>
      <c r="W121" s="21" t="n"/>
      <c r="X121" s="21" t="n"/>
      <c r="Y121" s="21" t="n"/>
      <c r="Z121" s="21" t="n"/>
    </row>
    <row r="122" ht="15.75" customHeight="1" s="545">
      <c r="A122" s="21" t="n"/>
      <c r="B122" s="21" t="n"/>
      <c r="C122" s="21" t="n"/>
      <c r="D122" s="21" t="n"/>
      <c r="E122" s="21" t="n"/>
      <c r="F122" s="21" t="n"/>
      <c r="G122" s="21" t="n"/>
      <c r="H122" s="21" t="n"/>
      <c r="I122" s="21" t="n"/>
      <c r="J122" s="21" t="n"/>
      <c r="K122" s="21" t="n"/>
      <c r="L122" s="21" t="n"/>
      <c r="M122" s="21" t="n"/>
      <c r="N122" s="21" t="n"/>
      <c r="O122" s="21" t="n"/>
      <c r="P122" s="21" t="n"/>
      <c r="Q122" s="21" t="n"/>
      <c r="R122" s="21" t="n"/>
      <c r="S122" s="21" t="n"/>
      <c r="T122" s="21" t="n"/>
      <c r="U122" s="21" t="n"/>
      <c r="V122" s="21" t="n"/>
      <c r="W122" s="21" t="n"/>
      <c r="X122" s="21" t="n"/>
      <c r="Y122" s="21" t="n"/>
      <c r="Z122" s="21" t="n"/>
    </row>
    <row r="123" ht="15.75" customHeight="1" s="545">
      <c r="A123" s="21" t="n"/>
      <c r="B123" s="21" t="n"/>
      <c r="C123" s="21" t="n"/>
      <c r="D123" s="21" t="n"/>
      <c r="E123" s="21" t="n"/>
      <c r="F123" s="21" t="n"/>
      <c r="G123" s="21" t="n"/>
      <c r="H123" s="21" t="n"/>
      <c r="I123" s="21" t="n"/>
      <c r="J123" s="21" t="n"/>
      <c r="K123" s="21" t="n"/>
      <c r="L123" s="21" t="n"/>
      <c r="M123" s="21" t="n"/>
      <c r="N123" s="21" t="n"/>
      <c r="O123" s="21" t="n"/>
      <c r="P123" s="21" t="n"/>
      <c r="Q123" s="21" t="n"/>
      <c r="R123" s="21" t="n"/>
      <c r="S123" s="21" t="n"/>
      <c r="T123" s="21" t="n"/>
      <c r="U123" s="21" t="n"/>
      <c r="V123" s="21" t="n"/>
      <c r="W123" s="21" t="n"/>
      <c r="X123" s="21" t="n"/>
      <c r="Y123" s="21" t="n"/>
      <c r="Z123" s="21" t="n"/>
    </row>
    <row r="124" ht="15.75" customHeight="1" s="545">
      <c r="A124" s="21" t="n"/>
      <c r="B124" s="21" t="n"/>
      <c r="C124" s="21" t="n"/>
      <c r="D124" s="21" t="n"/>
      <c r="E124" s="21" t="n"/>
      <c r="F124" s="21" t="n"/>
      <c r="G124" s="21" t="n"/>
      <c r="H124" s="21" t="n"/>
      <c r="I124" s="21" t="n"/>
      <c r="J124" s="21" t="n"/>
      <c r="K124" s="21" t="n"/>
      <c r="L124" s="21" t="n"/>
      <c r="M124" s="21" t="n"/>
      <c r="N124" s="21" t="n"/>
      <c r="O124" s="21" t="n"/>
      <c r="P124" s="21" t="n"/>
      <c r="Q124" s="21" t="n"/>
      <c r="R124" s="21" t="n"/>
      <c r="S124" s="21" t="n"/>
      <c r="T124" s="21" t="n"/>
      <c r="U124" s="21" t="n"/>
      <c r="V124" s="21" t="n"/>
      <c r="W124" s="21" t="n"/>
      <c r="X124" s="21" t="n"/>
      <c r="Y124" s="21" t="n"/>
      <c r="Z124" s="21" t="n"/>
    </row>
    <row r="125" ht="15.75" customHeight="1" s="545">
      <c r="A125" s="21" t="n"/>
      <c r="B125" s="21" t="n"/>
      <c r="C125" s="21" t="n"/>
      <c r="D125" s="21" t="n"/>
      <c r="E125" s="21" t="n"/>
      <c r="F125" s="21" t="n"/>
      <c r="G125" s="21" t="n"/>
      <c r="H125" s="21" t="n"/>
      <c r="I125" s="21" t="n"/>
      <c r="J125" s="21" t="n"/>
      <c r="K125" s="21" t="n"/>
      <c r="L125" s="21" t="n"/>
      <c r="M125" s="21" t="n"/>
      <c r="N125" s="21" t="n"/>
      <c r="O125" s="21" t="n"/>
      <c r="P125" s="21" t="n"/>
      <c r="Q125" s="21" t="n"/>
      <c r="R125" s="21" t="n"/>
      <c r="S125" s="21" t="n"/>
      <c r="T125" s="21" t="n"/>
      <c r="U125" s="21" t="n"/>
      <c r="V125" s="21" t="n"/>
      <c r="W125" s="21" t="n"/>
      <c r="X125" s="21" t="n"/>
      <c r="Y125" s="21" t="n"/>
      <c r="Z125" s="21" t="n"/>
    </row>
    <row r="126" ht="15.75" customHeight="1" s="545">
      <c r="A126" s="21" t="n"/>
      <c r="B126" s="21" t="n"/>
      <c r="C126" s="21" t="n"/>
      <c r="D126" s="21" t="n"/>
      <c r="E126" s="21" t="n"/>
      <c r="F126" s="21" t="n"/>
      <c r="G126" s="21" t="n"/>
      <c r="H126" s="21" t="n"/>
      <c r="I126" s="21" t="n"/>
      <c r="J126" s="21" t="n"/>
      <c r="K126" s="21" t="n"/>
      <c r="L126" s="21" t="n"/>
      <c r="M126" s="21" t="n"/>
      <c r="N126" s="21" t="n"/>
      <c r="O126" s="21" t="n"/>
      <c r="P126" s="21" t="n"/>
      <c r="Q126" s="21" t="n"/>
      <c r="R126" s="21" t="n"/>
      <c r="S126" s="21" t="n"/>
      <c r="T126" s="21" t="n"/>
      <c r="U126" s="21" t="n"/>
      <c r="V126" s="21" t="n"/>
      <c r="W126" s="21" t="n"/>
      <c r="X126" s="21" t="n"/>
      <c r="Y126" s="21" t="n"/>
      <c r="Z126" s="21" t="n"/>
    </row>
    <row r="127" ht="15.75" customHeight="1" s="545">
      <c r="A127" s="21" t="n"/>
      <c r="B127" s="21" t="n"/>
      <c r="C127" s="21" t="n"/>
      <c r="D127" s="21" t="n"/>
      <c r="E127" s="21" t="n"/>
      <c r="F127" s="21" t="n"/>
      <c r="G127" s="21" t="n"/>
      <c r="H127" s="21" t="n"/>
      <c r="I127" s="21" t="n"/>
      <c r="J127" s="21" t="n"/>
      <c r="K127" s="21" t="n"/>
      <c r="L127" s="21" t="n"/>
      <c r="M127" s="21" t="n"/>
      <c r="N127" s="21" t="n"/>
      <c r="O127" s="21" t="n"/>
      <c r="P127" s="21" t="n"/>
      <c r="Q127" s="21" t="n"/>
      <c r="R127" s="21" t="n"/>
      <c r="S127" s="21" t="n"/>
      <c r="T127" s="21" t="n"/>
      <c r="U127" s="21" t="n"/>
      <c r="V127" s="21" t="n"/>
      <c r="W127" s="21" t="n"/>
      <c r="X127" s="21" t="n"/>
      <c r="Y127" s="21" t="n"/>
      <c r="Z127" s="21" t="n"/>
    </row>
    <row r="128" ht="15.75" customHeight="1" s="545">
      <c r="A128" s="21" t="n"/>
      <c r="B128" s="21" t="n"/>
      <c r="C128" s="21" t="n"/>
      <c r="D128" s="21" t="n"/>
      <c r="E128" s="21" t="n"/>
      <c r="F128" s="21" t="n"/>
      <c r="G128" s="21" t="n"/>
      <c r="H128" s="21" t="n"/>
      <c r="I128" s="21" t="n"/>
      <c r="J128" s="21" t="n"/>
      <c r="K128" s="21" t="n"/>
      <c r="L128" s="21" t="n"/>
      <c r="M128" s="21" t="n"/>
      <c r="N128" s="21" t="n"/>
      <c r="O128" s="21" t="n"/>
      <c r="P128" s="21" t="n"/>
      <c r="Q128" s="21" t="n"/>
      <c r="R128" s="21" t="n"/>
      <c r="S128" s="21" t="n"/>
      <c r="T128" s="21" t="n"/>
      <c r="U128" s="21" t="n"/>
      <c r="V128" s="21" t="n"/>
      <c r="W128" s="21" t="n"/>
      <c r="X128" s="21" t="n"/>
      <c r="Y128" s="21" t="n"/>
      <c r="Z128" s="21" t="n"/>
    </row>
    <row r="129" ht="15.75" customHeight="1" s="545">
      <c r="A129" s="21" t="n"/>
      <c r="B129" s="21" t="n"/>
      <c r="C129" s="21" t="n"/>
      <c r="D129" s="21" t="n"/>
      <c r="E129" s="21" t="n"/>
      <c r="F129" s="21" t="n"/>
      <c r="G129" s="21" t="n"/>
      <c r="H129" s="21" t="n"/>
      <c r="I129" s="21" t="n"/>
      <c r="J129" s="21" t="n"/>
      <c r="K129" s="21" t="n"/>
      <c r="L129" s="21" t="n"/>
      <c r="M129" s="21" t="n"/>
      <c r="N129" s="21" t="n"/>
      <c r="O129" s="21" t="n"/>
      <c r="P129" s="21" t="n"/>
      <c r="Q129" s="21" t="n"/>
      <c r="R129" s="21" t="n"/>
      <c r="S129" s="21" t="n"/>
      <c r="T129" s="21" t="n"/>
      <c r="U129" s="21" t="n"/>
      <c r="V129" s="21" t="n"/>
      <c r="W129" s="21" t="n"/>
      <c r="X129" s="21" t="n"/>
      <c r="Y129" s="21" t="n"/>
      <c r="Z129" s="21" t="n"/>
    </row>
    <row r="130" ht="15.75" customHeight="1" s="545">
      <c r="A130" s="21" t="n"/>
      <c r="B130" s="21" t="n"/>
      <c r="C130" s="21" t="n"/>
      <c r="D130" s="21" t="n"/>
      <c r="E130" s="21" t="n"/>
      <c r="F130" s="21" t="n"/>
      <c r="G130" s="21" t="n"/>
      <c r="H130" s="21" t="n"/>
      <c r="I130" s="21" t="n"/>
      <c r="J130" s="21" t="n"/>
      <c r="K130" s="21" t="n"/>
      <c r="L130" s="21" t="n"/>
      <c r="M130" s="21" t="n"/>
      <c r="N130" s="21" t="n"/>
      <c r="O130" s="21" t="n"/>
      <c r="P130" s="21" t="n"/>
      <c r="Q130" s="21" t="n"/>
      <c r="R130" s="21" t="n"/>
      <c r="S130" s="21" t="n"/>
      <c r="T130" s="21" t="n"/>
      <c r="U130" s="21" t="n"/>
      <c r="V130" s="21" t="n"/>
      <c r="W130" s="21" t="n"/>
      <c r="X130" s="21" t="n"/>
      <c r="Y130" s="21" t="n"/>
      <c r="Z130" s="21" t="n"/>
    </row>
    <row r="131" ht="15.75" customHeight="1" s="545">
      <c r="A131" s="21" t="n"/>
      <c r="B131" s="21" t="n"/>
      <c r="C131" s="21" t="n"/>
      <c r="D131" s="21" t="n"/>
      <c r="E131" s="21" t="n"/>
      <c r="F131" s="21" t="n"/>
      <c r="G131" s="21" t="n"/>
      <c r="H131" s="21" t="n"/>
      <c r="I131" s="21" t="n"/>
      <c r="J131" s="21" t="n"/>
      <c r="K131" s="21" t="n"/>
      <c r="L131" s="21" t="n"/>
      <c r="M131" s="21" t="n"/>
      <c r="N131" s="21" t="n"/>
      <c r="O131" s="21" t="n"/>
      <c r="P131" s="21" t="n"/>
      <c r="Q131" s="21" t="n"/>
      <c r="R131" s="21" t="n"/>
      <c r="S131" s="21" t="n"/>
      <c r="T131" s="21" t="n"/>
      <c r="U131" s="21" t="n"/>
      <c r="V131" s="21" t="n"/>
      <c r="W131" s="21" t="n"/>
      <c r="X131" s="21" t="n"/>
      <c r="Y131" s="21" t="n"/>
      <c r="Z131" s="21" t="n"/>
    </row>
    <row r="132" ht="15.75" customHeight="1" s="545">
      <c r="A132" s="21" t="n"/>
      <c r="B132" s="21" t="n"/>
      <c r="C132" s="21" t="n"/>
      <c r="D132" s="21" t="n"/>
      <c r="E132" s="21" t="n"/>
      <c r="F132" s="21" t="n"/>
      <c r="G132" s="21" t="n"/>
      <c r="H132" s="21" t="n"/>
      <c r="I132" s="21" t="n"/>
      <c r="J132" s="21" t="n"/>
      <c r="K132" s="21" t="n"/>
      <c r="L132" s="21" t="n"/>
      <c r="M132" s="21" t="n"/>
      <c r="N132" s="21" t="n"/>
      <c r="O132" s="21" t="n"/>
      <c r="P132" s="21" t="n"/>
      <c r="Q132" s="21" t="n"/>
      <c r="R132" s="21" t="n"/>
      <c r="S132" s="21" t="n"/>
      <c r="T132" s="21" t="n"/>
      <c r="U132" s="21" t="n"/>
      <c r="V132" s="21" t="n"/>
      <c r="W132" s="21" t="n"/>
      <c r="X132" s="21" t="n"/>
      <c r="Y132" s="21" t="n"/>
      <c r="Z132" s="21" t="n"/>
    </row>
    <row r="133" ht="15.75" customHeight="1" s="545">
      <c r="A133" s="21" t="n"/>
      <c r="B133" s="21" t="n"/>
      <c r="C133" s="21" t="n"/>
      <c r="D133" s="21" t="n"/>
      <c r="E133" s="21" t="n"/>
      <c r="F133" s="21" t="n"/>
      <c r="G133" s="21" t="n"/>
      <c r="H133" s="21" t="n"/>
      <c r="I133" s="21" t="n"/>
      <c r="J133" s="21" t="n"/>
      <c r="K133" s="21" t="n"/>
      <c r="L133" s="21" t="n"/>
      <c r="M133" s="21" t="n"/>
      <c r="N133" s="21" t="n"/>
      <c r="O133" s="21" t="n"/>
      <c r="P133" s="21" t="n"/>
      <c r="Q133" s="21" t="n"/>
      <c r="R133" s="21" t="n"/>
      <c r="S133" s="21" t="n"/>
      <c r="T133" s="21" t="n"/>
      <c r="U133" s="21" t="n"/>
      <c r="V133" s="21" t="n"/>
      <c r="W133" s="21" t="n"/>
      <c r="X133" s="21" t="n"/>
      <c r="Y133" s="21" t="n"/>
      <c r="Z133" s="21" t="n"/>
    </row>
    <row r="134" ht="15.75" customHeight="1" s="545">
      <c r="A134" s="21" t="n"/>
      <c r="B134" s="21" t="n"/>
      <c r="C134" s="21" t="n"/>
      <c r="D134" s="21" t="n"/>
      <c r="E134" s="21" t="n"/>
      <c r="F134" s="21" t="n"/>
      <c r="G134" s="21" t="n"/>
      <c r="H134" s="21" t="n"/>
      <c r="I134" s="21" t="n"/>
      <c r="J134" s="21" t="n"/>
      <c r="K134" s="21" t="n"/>
      <c r="L134" s="21" t="n"/>
      <c r="M134" s="21" t="n"/>
      <c r="N134" s="21" t="n"/>
      <c r="O134" s="21" t="n"/>
      <c r="P134" s="21" t="n"/>
      <c r="Q134" s="21" t="n"/>
      <c r="R134" s="21" t="n"/>
      <c r="S134" s="21" t="n"/>
      <c r="T134" s="21" t="n"/>
      <c r="U134" s="21" t="n"/>
      <c r="V134" s="21" t="n"/>
      <c r="W134" s="21" t="n"/>
      <c r="X134" s="21" t="n"/>
      <c r="Y134" s="21" t="n"/>
      <c r="Z134" s="21" t="n"/>
    </row>
    <row r="135" ht="15.75" customHeight="1" s="545">
      <c r="A135" s="21" t="n"/>
      <c r="B135" s="21" t="n"/>
      <c r="C135" s="21" t="n"/>
      <c r="D135" s="21" t="n"/>
      <c r="E135" s="21" t="n"/>
      <c r="F135" s="21" t="n"/>
      <c r="G135" s="21" t="n"/>
      <c r="H135" s="21" t="n"/>
      <c r="I135" s="21" t="n"/>
      <c r="J135" s="21" t="n"/>
      <c r="K135" s="21" t="n"/>
      <c r="L135" s="21" t="n"/>
      <c r="M135" s="21" t="n"/>
      <c r="N135" s="21" t="n"/>
      <c r="O135" s="21" t="n"/>
      <c r="P135" s="21" t="n"/>
      <c r="Q135" s="21" t="n"/>
      <c r="R135" s="21" t="n"/>
      <c r="S135" s="21" t="n"/>
      <c r="T135" s="21" t="n"/>
      <c r="U135" s="21" t="n"/>
      <c r="V135" s="21" t="n"/>
      <c r="W135" s="21" t="n"/>
      <c r="X135" s="21" t="n"/>
      <c r="Y135" s="21" t="n"/>
      <c r="Z135" s="21" t="n"/>
    </row>
    <row r="136" ht="15.75" customHeight="1" s="545">
      <c r="A136" s="21" t="n"/>
      <c r="B136" s="21" t="n"/>
      <c r="C136" s="21" t="n"/>
      <c r="D136" s="21" t="n"/>
      <c r="E136" s="21" t="n"/>
      <c r="F136" s="21" t="n"/>
      <c r="G136" s="21" t="n"/>
      <c r="H136" s="21" t="n"/>
      <c r="I136" s="21" t="n"/>
      <c r="J136" s="21" t="n"/>
      <c r="K136" s="21" t="n"/>
      <c r="L136" s="21" t="n"/>
      <c r="M136" s="21" t="n"/>
      <c r="N136" s="21" t="n"/>
      <c r="O136" s="21" t="n"/>
      <c r="P136" s="21" t="n"/>
      <c r="Q136" s="21" t="n"/>
      <c r="R136" s="21" t="n"/>
      <c r="S136" s="21" t="n"/>
      <c r="T136" s="21" t="n"/>
      <c r="U136" s="21" t="n"/>
      <c r="V136" s="21" t="n"/>
      <c r="W136" s="21" t="n"/>
      <c r="X136" s="21" t="n"/>
      <c r="Y136" s="21" t="n"/>
      <c r="Z136" s="21" t="n"/>
    </row>
    <row r="137" ht="15.75" customHeight="1" s="545">
      <c r="A137" s="21" t="n"/>
      <c r="B137" s="21" t="n"/>
      <c r="C137" s="21" t="n"/>
      <c r="D137" s="21" t="n"/>
      <c r="E137" s="21" t="n"/>
      <c r="F137" s="21" t="n"/>
      <c r="G137" s="21" t="n"/>
      <c r="H137" s="21" t="n"/>
      <c r="I137" s="21" t="n"/>
      <c r="J137" s="21" t="n"/>
      <c r="K137" s="21" t="n"/>
      <c r="L137" s="21" t="n"/>
      <c r="M137" s="21" t="n"/>
      <c r="N137" s="21" t="n"/>
      <c r="O137" s="21" t="n"/>
      <c r="P137" s="21" t="n"/>
      <c r="Q137" s="21" t="n"/>
      <c r="R137" s="21" t="n"/>
      <c r="S137" s="21" t="n"/>
      <c r="T137" s="21" t="n"/>
      <c r="U137" s="21" t="n"/>
      <c r="V137" s="21" t="n"/>
      <c r="W137" s="21" t="n"/>
      <c r="X137" s="21" t="n"/>
      <c r="Y137" s="21" t="n"/>
      <c r="Z137" s="21" t="n"/>
    </row>
    <row r="138" ht="15.75" customHeight="1" s="545">
      <c r="A138" s="21" t="n"/>
      <c r="B138" s="21" t="n"/>
      <c r="C138" s="21" t="n"/>
      <c r="D138" s="21" t="n"/>
      <c r="E138" s="21" t="n"/>
      <c r="F138" s="21" t="n"/>
      <c r="G138" s="21" t="n"/>
      <c r="H138" s="21" t="n"/>
      <c r="I138" s="21" t="n"/>
      <c r="J138" s="21" t="n"/>
      <c r="K138" s="21" t="n"/>
      <c r="L138" s="21" t="n"/>
      <c r="M138" s="21" t="n"/>
      <c r="N138" s="21" t="n"/>
      <c r="O138" s="21" t="n"/>
      <c r="P138" s="21" t="n"/>
      <c r="Q138" s="21" t="n"/>
      <c r="R138" s="21" t="n"/>
      <c r="S138" s="21" t="n"/>
      <c r="T138" s="21" t="n"/>
      <c r="U138" s="21" t="n"/>
      <c r="V138" s="21" t="n"/>
      <c r="W138" s="21" t="n"/>
      <c r="X138" s="21" t="n"/>
      <c r="Y138" s="21" t="n"/>
      <c r="Z138" s="21" t="n"/>
    </row>
    <row r="139" ht="15.75" customHeight="1" s="545">
      <c r="A139" s="21" t="n"/>
      <c r="B139" s="21" t="n"/>
      <c r="C139" s="21" t="n"/>
      <c r="D139" s="21" t="n"/>
      <c r="E139" s="21" t="n"/>
      <c r="F139" s="21" t="n"/>
      <c r="G139" s="21" t="n"/>
      <c r="H139" s="21" t="n"/>
      <c r="I139" s="21" t="n"/>
      <c r="J139" s="21" t="n"/>
      <c r="K139" s="21" t="n"/>
      <c r="L139" s="21" t="n"/>
      <c r="M139" s="21" t="n"/>
      <c r="N139" s="21" t="n"/>
      <c r="O139" s="21" t="n"/>
      <c r="P139" s="21" t="n"/>
      <c r="Q139" s="21" t="n"/>
      <c r="R139" s="21" t="n"/>
      <c r="S139" s="21" t="n"/>
      <c r="T139" s="21" t="n"/>
      <c r="U139" s="21" t="n"/>
      <c r="V139" s="21" t="n"/>
      <c r="W139" s="21" t="n"/>
      <c r="X139" s="21" t="n"/>
      <c r="Y139" s="21" t="n"/>
      <c r="Z139" s="21" t="n"/>
    </row>
    <row r="140" ht="15.75" customHeight="1" s="545">
      <c r="A140" s="21" t="n"/>
      <c r="B140" s="21" t="n"/>
      <c r="C140" s="21" t="n"/>
      <c r="D140" s="21" t="n"/>
      <c r="E140" s="21" t="n"/>
      <c r="F140" s="21" t="n"/>
      <c r="G140" s="21" t="n"/>
      <c r="H140" s="21" t="n"/>
      <c r="I140" s="21" t="n"/>
      <c r="J140" s="21" t="n"/>
      <c r="K140" s="21" t="n"/>
      <c r="L140" s="21" t="n"/>
      <c r="M140" s="21" t="n"/>
      <c r="N140" s="21" t="n"/>
      <c r="O140" s="21" t="n"/>
      <c r="P140" s="21" t="n"/>
      <c r="Q140" s="21" t="n"/>
      <c r="R140" s="21" t="n"/>
      <c r="S140" s="21" t="n"/>
      <c r="T140" s="21" t="n"/>
      <c r="U140" s="21" t="n"/>
      <c r="V140" s="21" t="n"/>
      <c r="W140" s="21" t="n"/>
      <c r="X140" s="21" t="n"/>
      <c r="Y140" s="21" t="n"/>
      <c r="Z140" s="21" t="n"/>
    </row>
    <row r="141" ht="15.75" customHeight="1" s="545">
      <c r="A141" s="21" t="n"/>
      <c r="B141" s="21" t="n"/>
      <c r="C141" s="21" t="n"/>
      <c r="D141" s="21" t="n"/>
      <c r="E141" s="21" t="n"/>
      <c r="F141" s="21" t="n"/>
      <c r="G141" s="21" t="n"/>
      <c r="H141" s="21" t="n"/>
      <c r="I141" s="21" t="n"/>
      <c r="J141" s="21" t="n"/>
      <c r="K141" s="21" t="n"/>
      <c r="L141" s="21" t="n"/>
      <c r="M141" s="21" t="n"/>
      <c r="N141" s="21" t="n"/>
      <c r="O141" s="21" t="n"/>
      <c r="P141" s="21" t="n"/>
      <c r="Q141" s="21" t="n"/>
      <c r="R141" s="21" t="n"/>
      <c r="S141" s="21" t="n"/>
      <c r="T141" s="21" t="n"/>
      <c r="U141" s="21" t="n"/>
      <c r="V141" s="21" t="n"/>
      <c r="W141" s="21" t="n"/>
      <c r="X141" s="21" t="n"/>
      <c r="Y141" s="21" t="n"/>
      <c r="Z141" s="21" t="n"/>
    </row>
    <row r="142" ht="15.75" customHeight="1" s="545">
      <c r="A142" s="21" t="n"/>
      <c r="B142" s="21" t="n"/>
      <c r="C142" s="21" t="n"/>
      <c r="D142" s="21" t="n"/>
      <c r="E142" s="21" t="n"/>
      <c r="F142" s="21" t="n"/>
      <c r="G142" s="21" t="n"/>
      <c r="H142" s="21" t="n"/>
      <c r="I142" s="21" t="n"/>
      <c r="J142" s="21" t="n"/>
      <c r="K142" s="21" t="n"/>
      <c r="L142" s="21" t="n"/>
      <c r="M142" s="21" t="n"/>
      <c r="N142" s="21" t="n"/>
      <c r="O142" s="21" t="n"/>
      <c r="P142" s="21" t="n"/>
      <c r="Q142" s="21" t="n"/>
      <c r="R142" s="21" t="n"/>
      <c r="S142" s="21" t="n"/>
      <c r="T142" s="21" t="n"/>
      <c r="U142" s="21" t="n"/>
      <c r="V142" s="21" t="n"/>
      <c r="W142" s="21" t="n"/>
      <c r="X142" s="21" t="n"/>
      <c r="Y142" s="21" t="n"/>
      <c r="Z142" s="21" t="n"/>
    </row>
    <row r="143" ht="15.75" customHeight="1" s="545">
      <c r="A143" s="21" t="n"/>
      <c r="B143" s="21" t="n"/>
      <c r="C143" s="21" t="n"/>
      <c r="D143" s="21" t="n"/>
      <c r="E143" s="21" t="n"/>
      <c r="F143" s="21" t="n"/>
      <c r="G143" s="21" t="n"/>
      <c r="H143" s="21" t="n"/>
      <c r="I143" s="21" t="n"/>
      <c r="J143" s="21" t="n"/>
      <c r="K143" s="21" t="n"/>
      <c r="L143" s="21" t="n"/>
      <c r="M143" s="21" t="n"/>
      <c r="N143" s="21" t="n"/>
      <c r="O143" s="21" t="n"/>
      <c r="P143" s="21" t="n"/>
      <c r="Q143" s="21" t="n"/>
      <c r="R143" s="21" t="n"/>
      <c r="S143" s="21" t="n"/>
      <c r="T143" s="21" t="n"/>
      <c r="U143" s="21" t="n"/>
      <c r="V143" s="21" t="n"/>
      <c r="W143" s="21" t="n"/>
      <c r="X143" s="21" t="n"/>
      <c r="Y143" s="21" t="n"/>
      <c r="Z143" s="21" t="n"/>
    </row>
    <row r="144" ht="15.75" customHeight="1" s="545">
      <c r="A144" s="21" t="n"/>
      <c r="B144" s="21" t="n"/>
      <c r="C144" s="21" t="n"/>
      <c r="D144" s="21" t="n"/>
      <c r="E144" s="21" t="n"/>
      <c r="F144" s="21" t="n"/>
      <c r="G144" s="21" t="n"/>
      <c r="H144" s="21" t="n"/>
      <c r="I144" s="21" t="n"/>
      <c r="J144" s="21" t="n"/>
      <c r="K144" s="21" t="n"/>
      <c r="L144" s="21" t="n"/>
      <c r="M144" s="21" t="n"/>
      <c r="N144" s="21" t="n"/>
      <c r="O144" s="21" t="n"/>
      <c r="P144" s="21" t="n"/>
      <c r="Q144" s="21" t="n"/>
      <c r="R144" s="21" t="n"/>
      <c r="S144" s="21" t="n"/>
      <c r="T144" s="21" t="n"/>
      <c r="U144" s="21" t="n"/>
      <c r="V144" s="21" t="n"/>
      <c r="W144" s="21" t="n"/>
      <c r="X144" s="21" t="n"/>
      <c r="Y144" s="21" t="n"/>
      <c r="Z144" s="21" t="n"/>
    </row>
    <row r="145" ht="15.75" customHeight="1" s="545">
      <c r="A145" s="21" t="n"/>
      <c r="B145" s="21" t="n"/>
      <c r="C145" s="21" t="n"/>
      <c r="D145" s="21" t="n"/>
      <c r="E145" s="21" t="n"/>
      <c r="F145" s="21" t="n"/>
      <c r="G145" s="21" t="n"/>
      <c r="H145" s="21" t="n"/>
      <c r="I145" s="21" t="n"/>
      <c r="J145" s="21" t="n"/>
      <c r="K145" s="21" t="n"/>
      <c r="L145" s="21" t="n"/>
      <c r="M145" s="21" t="n"/>
      <c r="N145" s="21" t="n"/>
      <c r="O145" s="21" t="n"/>
      <c r="P145" s="21" t="n"/>
      <c r="Q145" s="21" t="n"/>
      <c r="R145" s="21" t="n"/>
      <c r="S145" s="21" t="n"/>
      <c r="T145" s="21" t="n"/>
      <c r="U145" s="21" t="n"/>
      <c r="V145" s="21" t="n"/>
      <c r="W145" s="21" t="n"/>
      <c r="X145" s="21" t="n"/>
      <c r="Y145" s="21" t="n"/>
      <c r="Z145" s="21" t="n"/>
    </row>
    <row r="146" ht="15.75" customHeight="1" s="545">
      <c r="A146" s="21" t="n"/>
      <c r="B146" s="21" t="n"/>
      <c r="C146" s="21" t="n"/>
      <c r="D146" s="21" t="n"/>
      <c r="E146" s="21" t="n"/>
      <c r="F146" s="21" t="n"/>
      <c r="G146" s="21" t="n"/>
      <c r="H146" s="21" t="n"/>
      <c r="I146" s="21" t="n"/>
      <c r="J146" s="21" t="n"/>
      <c r="K146" s="21" t="n"/>
      <c r="L146" s="21" t="n"/>
      <c r="M146" s="21" t="n"/>
      <c r="N146" s="21" t="n"/>
      <c r="O146" s="21" t="n"/>
      <c r="P146" s="21" t="n"/>
      <c r="Q146" s="21" t="n"/>
      <c r="R146" s="21" t="n"/>
      <c r="S146" s="21" t="n"/>
      <c r="T146" s="21" t="n"/>
      <c r="U146" s="21" t="n"/>
      <c r="V146" s="21" t="n"/>
      <c r="W146" s="21" t="n"/>
      <c r="X146" s="21" t="n"/>
      <c r="Y146" s="21" t="n"/>
      <c r="Z146" s="21" t="n"/>
    </row>
    <row r="147" ht="15.75" customHeight="1" s="545">
      <c r="A147" s="21" t="n"/>
      <c r="B147" s="21" t="n"/>
      <c r="C147" s="21" t="n"/>
      <c r="D147" s="21" t="n"/>
      <c r="E147" s="21" t="n"/>
      <c r="F147" s="21" t="n"/>
      <c r="G147" s="21" t="n"/>
      <c r="H147" s="21" t="n"/>
      <c r="I147" s="21" t="n"/>
      <c r="J147" s="21" t="n"/>
      <c r="K147" s="21" t="n"/>
      <c r="L147" s="21" t="n"/>
      <c r="M147" s="21" t="n"/>
      <c r="N147" s="21" t="n"/>
      <c r="O147" s="21" t="n"/>
      <c r="P147" s="21" t="n"/>
      <c r="Q147" s="21" t="n"/>
      <c r="R147" s="21" t="n"/>
      <c r="S147" s="21" t="n"/>
      <c r="T147" s="21" t="n"/>
      <c r="U147" s="21" t="n"/>
      <c r="V147" s="21" t="n"/>
      <c r="W147" s="21" t="n"/>
      <c r="X147" s="21" t="n"/>
      <c r="Y147" s="21" t="n"/>
      <c r="Z147" s="21" t="n"/>
    </row>
    <row r="148" ht="15.75" customHeight="1" s="545">
      <c r="A148" s="21" t="n"/>
      <c r="B148" s="21" t="n"/>
      <c r="C148" s="21" t="n"/>
      <c r="D148" s="21" t="n"/>
      <c r="E148" s="21" t="n"/>
      <c r="F148" s="21" t="n"/>
      <c r="G148" s="21" t="n"/>
      <c r="H148" s="21" t="n"/>
      <c r="I148" s="21" t="n"/>
      <c r="J148" s="21" t="n"/>
      <c r="K148" s="21" t="n"/>
      <c r="L148" s="21" t="n"/>
      <c r="M148" s="21" t="n"/>
      <c r="N148" s="21" t="n"/>
      <c r="O148" s="21" t="n"/>
      <c r="P148" s="21" t="n"/>
      <c r="Q148" s="21" t="n"/>
      <c r="R148" s="21" t="n"/>
      <c r="S148" s="21" t="n"/>
      <c r="T148" s="21" t="n"/>
      <c r="U148" s="21" t="n"/>
      <c r="V148" s="21" t="n"/>
      <c r="W148" s="21" t="n"/>
      <c r="X148" s="21" t="n"/>
      <c r="Y148" s="21" t="n"/>
      <c r="Z148" s="21" t="n"/>
    </row>
    <row r="149" ht="15.75" customHeight="1" s="545">
      <c r="A149" s="21" t="n"/>
      <c r="B149" s="21" t="n"/>
      <c r="C149" s="21" t="n"/>
      <c r="D149" s="21" t="n"/>
      <c r="E149" s="21" t="n"/>
      <c r="F149" s="21" t="n"/>
      <c r="G149" s="21" t="n"/>
      <c r="H149" s="21" t="n"/>
      <c r="I149" s="21" t="n"/>
      <c r="J149" s="21" t="n"/>
      <c r="K149" s="21" t="n"/>
      <c r="L149" s="21" t="n"/>
      <c r="M149" s="21" t="n"/>
      <c r="N149" s="21" t="n"/>
      <c r="O149" s="21" t="n"/>
      <c r="P149" s="21" t="n"/>
      <c r="Q149" s="21" t="n"/>
      <c r="R149" s="21" t="n"/>
      <c r="S149" s="21" t="n"/>
      <c r="T149" s="21" t="n"/>
      <c r="U149" s="21" t="n"/>
      <c r="V149" s="21" t="n"/>
      <c r="W149" s="21" t="n"/>
      <c r="X149" s="21" t="n"/>
      <c r="Y149" s="21" t="n"/>
      <c r="Z149" s="21" t="n"/>
    </row>
    <row r="150" ht="15.75" customHeight="1" s="545">
      <c r="A150" s="21" t="n"/>
      <c r="B150" s="21" t="n"/>
      <c r="C150" s="21" t="n"/>
      <c r="D150" s="21" t="n"/>
      <c r="E150" s="21" t="n"/>
      <c r="F150" s="21" t="n"/>
      <c r="G150" s="21" t="n"/>
      <c r="H150" s="21" t="n"/>
      <c r="I150" s="21" t="n"/>
      <c r="J150" s="21" t="n"/>
      <c r="K150" s="21" t="n"/>
      <c r="L150" s="21" t="n"/>
      <c r="M150" s="21" t="n"/>
      <c r="N150" s="21" t="n"/>
      <c r="O150" s="21" t="n"/>
      <c r="P150" s="21" t="n"/>
      <c r="Q150" s="21" t="n"/>
      <c r="R150" s="21" t="n"/>
      <c r="S150" s="21" t="n"/>
      <c r="T150" s="21" t="n"/>
      <c r="U150" s="21" t="n"/>
      <c r="V150" s="21" t="n"/>
      <c r="W150" s="21" t="n"/>
      <c r="X150" s="21" t="n"/>
      <c r="Y150" s="21" t="n"/>
      <c r="Z150" s="21" t="n"/>
    </row>
    <row r="151" ht="15.75" customHeight="1" s="545">
      <c r="A151" s="21" t="n"/>
      <c r="B151" s="21" t="n"/>
      <c r="C151" s="21" t="n"/>
      <c r="D151" s="21" t="n"/>
      <c r="E151" s="21" t="n"/>
      <c r="F151" s="21" t="n"/>
      <c r="G151" s="21" t="n"/>
      <c r="H151" s="21" t="n"/>
      <c r="I151" s="21" t="n"/>
      <c r="J151" s="21" t="n"/>
      <c r="K151" s="21" t="n"/>
      <c r="L151" s="21" t="n"/>
      <c r="M151" s="21" t="n"/>
      <c r="N151" s="21" t="n"/>
      <c r="O151" s="21" t="n"/>
      <c r="P151" s="21" t="n"/>
      <c r="Q151" s="21" t="n"/>
      <c r="R151" s="21" t="n"/>
      <c r="S151" s="21" t="n"/>
      <c r="T151" s="21" t="n"/>
      <c r="U151" s="21" t="n"/>
      <c r="V151" s="21" t="n"/>
      <c r="W151" s="21" t="n"/>
      <c r="X151" s="21" t="n"/>
      <c r="Y151" s="21" t="n"/>
      <c r="Z151" s="21" t="n"/>
    </row>
    <row r="152" ht="15.75" customHeight="1" s="545">
      <c r="A152" s="21" t="n"/>
      <c r="B152" s="21" t="n"/>
      <c r="C152" s="21" t="n"/>
      <c r="D152" s="21" t="n"/>
      <c r="E152" s="21" t="n"/>
      <c r="F152" s="21" t="n"/>
      <c r="G152" s="21" t="n"/>
      <c r="H152" s="21" t="n"/>
      <c r="I152" s="21" t="n"/>
      <c r="J152" s="21" t="n"/>
      <c r="K152" s="21" t="n"/>
      <c r="L152" s="21" t="n"/>
      <c r="M152" s="21" t="n"/>
      <c r="N152" s="21" t="n"/>
      <c r="O152" s="21" t="n"/>
      <c r="P152" s="21" t="n"/>
      <c r="Q152" s="21" t="n"/>
      <c r="R152" s="21" t="n"/>
      <c r="S152" s="21" t="n"/>
      <c r="T152" s="21" t="n"/>
      <c r="U152" s="21" t="n"/>
      <c r="V152" s="21" t="n"/>
      <c r="W152" s="21" t="n"/>
      <c r="X152" s="21" t="n"/>
      <c r="Y152" s="21" t="n"/>
      <c r="Z152" s="21" t="n"/>
    </row>
    <row r="153" ht="15.75" customHeight="1" s="545">
      <c r="A153" s="21" t="n"/>
      <c r="B153" s="21" t="n"/>
      <c r="C153" s="21" t="n"/>
      <c r="D153" s="21" t="n"/>
      <c r="E153" s="21" t="n"/>
      <c r="F153" s="21" t="n"/>
      <c r="G153" s="21" t="n"/>
      <c r="H153" s="21" t="n"/>
      <c r="I153" s="21" t="n"/>
      <c r="J153" s="21" t="n"/>
      <c r="K153" s="21" t="n"/>
      <c r="L153" s="21" t="n"/>
      <c r="M153" s="21" t="n"/>
      <c r="N153" s="21" t="n"/>
      <c r="O153" s="21" t="n"/>
      <c r="P153" s="21" t="n"/>
      <c r="Q153" s="21" t="n"/>
      <c r="R153" s="21" t="n"/>
      <c r="S153" s="21" t="n"/>
      <c r="T153" s="21" t="n"/>
      <c r="U153" s="21" t="n"/>
      <c r="V153" s="21" t="n"/>
      <c r="W153" s="21" t="n"/>
      <c r="X153" s="21" t="n"/>
      <c r="Y153" s="21" t="n"/>
      <c r="Z153" s="21" t="n"/>
    </row>
    <row r="154" ht="15.75" customHeight="1" s="545">
      <c r="A154" s="21" t="n"/>
      <c r="B154" s="21" t="n"/>
      <c r="C154" s="21" t="n"/>
      <c r="D154" s="21" t="n"/>
      <c r="E154" s="21" t="n"/>
      <c r="F154" s="21" t="n"/>
      <c r="G154" s="21" t="n"/>
      <c r="H154" s="21" t="n"/>
      <c r="I154" s="21" t="n"/>
      <c r="J154" s="21" t="n"/>
      <c r="K154" s="21" t="n"/>
      <c r="L154" s="21" t="n"/>
      <c r="M154" s="21" t="n"/>
      <c r="N154" s="21" t="n"/>
      <c r="O154" s="21" t="n"/>
      <c r="P154" s="21" t="n"/>
      <c r="Q154" s="21" t="n"/>
      <c r="R154" s="21" t="n"/>
      <c r="S154" s="21" t="n"/>
      <c r="T154" s="21" t="n"/>
      <c r="U154" s="21" t="n"/>
      <c r="V154" s="21" t="n"/>
      <c r="W154" s="21" t="n"/>
      <c r="X154" s="21" t="n"/>
      <c r="Y154" s="21" t="n"/>
      <c r="Z154" s="21" t="n"/>
    </row>
    <row r="155" ht="15.75" customHeight="1" s="545">
      <c r="A155" s="21" t="n"/>
      <c r="B155" s="21" t="n"/>
      <c r="C155" s="21" t="n"/>
      <c r="D155" s="21" t="n"/>
      <c r="E155" s="21" t="n"/>
      <c r="F155" s="21" t="n"/>
      <c r="G155" s="21" t="n"/>
      <c r="H155" s="21" t="n"/>
      <c r="I155" s="21" t="n"/>
      <c r="J155" s="21" t="n"/>
      <c r="K155" s="21" t="n"/>
      <c r="L155" s="21" t="n"/>
      <c r="M155" s="21" t="n"/>
      <c r="N155" s="21" t="n"/>
      <c r="O155" s="21" t="n"/>
      <c r="P155" s="21" t="n"/>
      <c r="Q155" s="21" t="n"/>
      <c r="R155" s="21" t="n"/>
      <c r="S155" s="21" t="n"/>
      <c r="T155" s="21" t="n"/>
      <c r="U155" s="21" t="n"/>
      <c r="V155" s="21" t="n"/>
      <c r="W155" s="21" t="n"/>
      <c r="X155" s="21" t="n"/>
      <c r="Y155" s="21" t="n"/>
      <c r="Z155" s="21" t="n"/>
    </row>
    <row r="156" ht="15.75" customHeight="1" s="545">
      <c r="A156" s="21" t="n"/>
      <c r="B156" s="21" t="n"/>
      <c r="C156" s="21" t="n"/>
      <c r="D156" s="21" t="n"/>
      <c r="E156" s="21" t="n"/>
      <c r="F156" s="21" t="n"/>
      <c r="G156" s="21" t="n"/>
      <c r="H156" s="21" t="n"/>
      <c r="I156" s="21" t="n"/>
      <c r="J156" s="21" t="n"/>
      <c r="K156" s="21" t="n"/>
      <c r="L156" s="21" t="n"/>
      <c r="M156" s="21" t="n"/>
      <c r="N156" s="21" t="n"/>
      <c r="O156" s="21" t="n"/>
      <c r="P156" s="21" t="n"/>
      <c r="Q156" s="21" t="n"/>
      <c r="R156" s="21" t="n"/>
      <c r="S156" s="21" t="n"/>
      <c r="T156" s="21" t="n"/>
      <c r="U156" s="21" t="n"/>
      <c r="V156" s="21" t="n"/>
      <c r="W156" s="21" t="n"/>
      <c r="X156" s="21" t="n"/>
      <c r="Y156" s="21" t="n"/>
      <c r="Z156" s="21" t="n"/>
    </row>
    <row r="157" ht="15.75" customHeight="1" s="545">
      <c r="A157" s="21" t="n"/>
      <c r="B157" s="21" t="n"/>
      <c r="C157" s="21" t="n"/>
      <c r="D157" s="21" t="n"/>
      <c r="E157" s="21" t="n"/>
      <c r="F157" s="21" t="n"/>
      <c r="G157" s="21" t="n"/>
      <c r="H157" s="21" t="n"/>
      <c r="I157" s="21" t="n"/>
      <c r="J157" s="21" t="n"/>
      <c r="K157" s="21" t="n"/>
      <c r="L157" s="21" t="n"/>
      <c r="M157" s="21" t="n"/>
      <c r="N157" s="21" t="n"/>
      <c r="O157" s="21" t="n"/>
      <c r="P157" s="21" t="n"/>
      <c r="Q157" s="21" t="n"/>
      <c r="R157" s="21" t="n"/>
      <c r="S157" s="21" t="n"/>
      <c r="T157" s="21" t="n"/>
      <c r="U157" s="21" t="n"/>
      <c r="V157" s="21" t="n"/>
      <c r="W157" s="21" t="n"/>
      <c r="X157" s="21" t="n"/>
      <c r="Y157" s="21" t="n"/>
      <c r="Z157" s="21" t="n"/>
    </row>
    <row r="158" ht="15.75" customHeight="1" s="545">
      <c r="A158" s="21" t="n"/>
      <c r="B158" s="21" t="n"/>
      <c r="C158" s="21" t="n"/>
      <c r="D158" s="21" t="n"/>
      <c r="E158" s="21" t="n"/>
      <c r="F158" s="21" t="n"/>
      <c r="G158" s="21" t="n"/>
      <c r="H158" s="21" t="n"/>
      <c r="I158" s="21" t="n"/>
      <c r="J158" s="21" t="n"/>
      <c r="K158" s="21" t="n"/>
      <c r="L158" s="21" t="n"/>
      <c r="M158" s="21" t="n"/>
      <c r="N158" s="21" t="n"/>
      <c r="O158" s="21" t="n"/>
      <c r="P158" s="21" t="n"/>
      <c r="Q158" s="21" t="n"/>
      <c r="R158" s="21" t="n"/>
      <c r="S158" s="21" t="n"/>
      <c r="T158" s="21" t="n"/>
      <c r="U158" s="21" t="n"/>
      <c r="V158" s="21" t="n"/>
      <c r="W158" s="21" t="n"/>
      <c r="X158" s="21" t="n"/>
      <c r="Y158" s="21" t="n"/>
      <c r="Z158" s="21" t="n"/>
    </row>
    <row r="159" ht="15.75" customHeight="1" s="545">
      <c r="A159" s="21" t="n"/>
      <c r="B159" s="21" t="n"/>
      <c r="C159" s="21" t="n"/>
      <c r="D159" s="21" t="n"/>
      <c r="E159" s="21" t="n"/>
      <c r="F159" s="21" t="n"/>
      <c r="G159" s="21" t="n"/>
      <c r="H159" s="21" t="n"/>
      <c r="I159" s="21" t="n"/>
      <c r="J159" s="21" t="n"/>
      <c r="K159" s="21" t="n"/>
      <c r="L159" s="21" t="n"/>
      <c r="M159" s="21" t="n"/>
      <c r="N159" s="21" t="n"/>
      <c r="O159" s="21" t="n"/>
      <c r="P159" s="21" t="n"/>
      <c r="Q159" s="21" t="n"/>
      <c r="R159" s="21" t="n"/>
      <c r="S159" s="21" t="n"/>
      <c r="T159" s="21" t="n"/>
      <c r="U159" s="21" t="n"/>
      <c r="V159" s="21" t="n"/>
      <c r="W159" s="21" t="n"/>
      <c r="X159" s="21" t="n"/>
      <c r="Y159" s="21" t="n"/>
      <c r="Z159" s="21" t="n"/>
    </row>
    <row r="160" ht="15.75" customHeight="1" s="545">
      <c r="A160" s="21" t="n"/>
      <c r="B160" s="21" t="n"/>
      <c r="C160" s="21" t="n"/>
      <c r="D160" s="21" t="n"/>
      <c r="E160" s="21" t="n"/>
      <c r="F160" s="21" t="n"/>
      <c r="G160" s="21" t="n"/>
      <c r="H160" s="21" t="n"/>
      <c r="I160" s="21" t="n"/>
      <c r="J160" s="21" t="n"/>
      <c r="K160" s="21" t="n"/>
      <c r="L160" s="21" t="n"/>
      <c r="M160" s="21" t="n"/>
      <c r="N160" s="21" t="n"/>
      <c r="O160" s="21" t="n"/>
      <c r="P160" s="21" t="n"/>
      <c r="Q160" s="21" t="n"/>
      <c r="R160" s="21" t="n"/>
      <c r="S160" s="21" t="n"/>
      <c r="T160" s="21" t="n"/>
      <c r="U160" s="21" t="n"/>
      <c r="V160" s="21" t="n"/>
      <c r="W160" s="21" t="n"/>
      <c r="X160" s="21" t="n"/>
      <c r="Y160" s="21" t="n"/>
      <c r="Z160" s="21" t="n"/>
    </row>
    <row r="161" ht="15.75" customHeight="1" s="545">
      <c r="A161" s="21" t="n"/>
      <c r="B161" s="21" t="n"/>
      <c r="C161" s="21" t="n"/>
      <c r="D161" s="21" t="n"/>
      <c r="E161" s="21" t="n"/>
      <c r="F161" s="21" t="n"/>
      <c r="G161" s="21" t="n"/>
      <c r="H161" s="21" t="n"/>
      <c r="I161" s="21" t="n"/>
      <c r="J161" s="21" t="n"/>
      <c r="K161" s="21" t="n"/>
      <c r="L161" s="21" t="n"/>
      <c r="M161" s="21" t="n"/>
      <c r="N161" s="21" t="n"/>
      <c r="O161" s="21" t="n"/>
      <c r="P161" s="21" t="n"/>
      <c r="Q161" s="21" t="n"/>
      <c r="R161" s="21" t="n"/>
      <c r="S161" s="21" t="n"/>
      <c r="T161" s="21" t="n"/>
      <c r="U161" s="21" t="n"/>
      <c r="V161" s="21" t="n"/>
      <c r="W161" s="21" t="n"/>
      <c r="X161" s="21" t="n"/>
      <c r="Y161" s="21" t="n"/>
      <c r="Z161" s="21" t="n"/>
    </row>
    <row r="162" ht="15.75" customHeight="1" s="545">
      <c r="A162" s="21" t="n"/>
      <c r="B162" s="21" t="n"/>
      <c r="C162" s="21" t="n"/>
      <c r="D162" s="21" t="n"/>
      <c r="E162" s="21" t="n"/>
      <c r="F162" s="21" t="n"/>
      <c r="G162" s="21" t="n"/>
      <c r="H162" s="21" t="n"/>
      <c r="I162" s="21" t="n"/>
      <c r="J162" s="21" t="n"/>
      <c r="K162" s="21" t="n"/>
      <c r="L162" s="21" t="n"/>
      <c r="M162" s="21" t="n"/>
      <c r="N162" s="21" t="n"/>
      <c r="O162" s="21" t="n"/>
      <c r="P162" s="21" t="n"/>
      <c r="Q162" s="21" t="n"/>
      <c r="R162" s="21" t="n"/>
      <c r="S162" s="21" t="n"/>
      <c r="T162" s="21" t="n"/>
      <c r="U162" s="21" t="n"/>
      <c r="V162" s="21" t="n"/>
      <c r="W162" s="21" t="n"/>
      <c r="X162" s="21" t="n"/>
      <c r="Y162" s="21" t="n"/>
      <c r="Z162" s="21" t="n"/>
    </row>
    <row r="163" ht="15.75" customHeight="1" s="545">
      <c r="A163" s="21" t="n"/>
      <c r="B163" s="21" t="n"/>
      <c r="C163" s="21" t="n"/>
      <c r="D163" s="21" t="n"/>
      <c r="E163" s="21" t="n"/>
      <c r="F163" s="21" t="n"/>
      <c r="G163" s="21" t="n"/>
      <c r="H163" s="21" t="n"/>
      <c r="I163" s="21" t="n"/>
      <c r="J163" s="21" t="n"/>
      <c r="K163" s="21" t="n"/>
      <c r="L163" s="21" t="n"/>
      <c r="M163" s="21" t="n"/>
      <c r="N163" s="21" t="n"/>
      <c r="O163" s="21" t="n"/>
      <c r="P163" s="21" t="n"/>
      <c r="Q163" s="21" t="n"/>
      <c r="R163" s="21" t="n"/>
      <c r="S163" s="21" t="n"/>
      <c r="T163" s="21" t="n"/>
      <c r="U163" s="21" t="n"/>
      <c r="V163" s="21" t="n"/>
      <c r="W163" s="21" t="n"/>
      <c r="X163" s="21" t="n"/>
      <c r="Y163" s="21" t="n"/>
      <c r="Z163" s="21" t="n"/>
    </row>
    <row r="164" ht="15.75" customHeight="1" s="545">
      <c r="A164" s="21" t="n"/>
      <c r="B164" s="21" t="n"/>
      <c r="C164" s="21" t="n"/>
      <c r="D164" s="21" t="n"/>
      <c r="E164" s="21" t="n"/>
      <c r="F164" s="21" t="n"/>
      <c r="G164" s="21" t="n"/>
      <c r="H164" s="21" t="n"/>
      <c r="I164" s="21" t="n"/>
      <c r="J164" s="21" t="n"/>
      <c r="K164" s="21" t="n"/>
      <c r="L164" s="21" t="n"/>
      <c r="M164" s="21" t="n"/>
      <c r="N164" s="21" t="n"/>
      <c r="O164" s="21" t="n"/>
      <c r="P164" s="21" t="n"/>
      <c r="Q164" s="21" t="n"/>
      <c r="R164" s="21" t="n"/>
      <c r="S164" s="21" t="n"/>
      <c r="T164" s="21" t="n"/>
      <c r="U164" s="21" t="n"/>
      <c r="V164" s="21" t="n"/>
      <c r="W164" s="21" t="n"/>
      <c r="X164" s="21" t="n"/>
      <c r="Y164" s="21" t="n"/>
      <c r="Z164" s="21" t="n"/>
    </row>
    <row r="165" ht="15.75" customHeight="1" s="545">
      <c r="A165" s="21" t="n"/>
      <c r="B165" s="21" t="n"/>
      <c r="C165" s="21" t="n"/>
      <c r="D165" s="21" t="n"/>
      <c r="E165" s="21" t="n"/>
      <c r="F165" s="21" t="n"/>
      <c r="G165" s="21" t="n"/>
      <c r="H165" s="21" t="n"/>
      <c r="I165" s="21" t="n"/>
      <c r="J165" s="21" t="n"/>
      <c r="K165" s="21" t="n"/>
      <c r="L165" s="21" t="n"/>
      <c r="M165" s="21" t="n"/>
      <c r="N165" s="21" t="n"/>
      <c r="O165" s="21" t="n"/>
      <c r="P165" s="21" t="n"/>
      <c r="Q165" s="21" t="n"/>
      <c r="R165" s="21" t="n"/>
      <c r="S165" s="21" t="n"/>
      <c r="T165" s="21" t="n"/>
      <c r="U165" s="21" t="n"/>
      <c r="V165" s="21" t="n"/>
      <c r="W165" s="21" t="n"/>
      <c r="X165" s="21" t="n"/>
      <c r="Y165" s="21" t="n"/>
      <c r="Z165" s="21" t="n"/>
    </row>
    <row r="166" ht="15.75" customHeight="1" s="545">
      <c r="A166" s="21" t="n"/>
      <c r="B166" s="21" t="n"/>
      <c r="C166" s="21" t="n"/>
      <c r="D166" s="21" t="n"/>
      <c r="E166" s="21" t="n"/>
      <c r="F166" s="21" t="n"/>
      <c r="G166" s="21" t="n"/>
      <c r="H166" s="21" t="n"/>
      <c r="I166" s="21" t="n"/>
      <c r="J166" s="21" t="n"/>
      <c r="K166" s="21" t="n"/>
      <c r="L166" s="21" t="n"/>
      <c r="M166" s="21" t="n"/>
      <c r="N166" s="21" t="n"/>
      <c r="O166" s="21" t="n"/>
      <c r="P166" s="21" t="n"/>
      <c r="Q166" s="21" t="n"/>
      <c r="R166" s="21" t="n"/>
      <c r="S166" s="21" t="n"/>
      <c r="T166" s="21" t="n"/>
      <c r="U166" s="21" t="n"/>
      <c r="V166" s="21" t="n"/>
      <c r="W166" s="21" t="n"/>
      <c r="X166" s="21" t="n"/>
      <c r="Y166" s="21" t="n"/>
      <c r="Z166" s="21" t="n"/>
    </row>
    <row r="167" ht="15.75" customHeight="1" s="545">
      <c r="A167" s="21" t="n"/>
      <c r="B167" s="21" t="n"/>
      <c r="C167" s="21" t="n"/>
      <c r="D167" s="21" t="n"/>
      <c r="E167" s="21" t="n"/>
      <c r="F167" s="21" t="n"/>
      <c r="G167" s="21" t="n"/>
      <c r="H167" s="21" t="n"/>
      <c r="I167" s="21" t="n"/>
      <c r="J167" s="21" t="n"/>
      <c r="K167" s="21" t="n"/>
      <c r="L167" s="21" t="n"/>
      <c r="M167" s="21" t="n"/>
      <c r="N167" s="21" t="n"/>
      <c r="O167" s="21" t="n"/>
      <c r="P167" s="21" t="n"/>
      <c r="Q167" s="21" t="n"/>
      <c r="R167" s="21" t="n"/>
      <c r="S167" s="21" t="n"/>
      <c r="T167" s="21" t="n"/>
      <c r="U167" s="21" t="n"/>
      <c r="V167" s="21" t="n"/>
      <c r="W167" s="21" t="n"/>
      <c r="X167" s="21" t="n"/>
      <c r="Y167" s="21" t="n"/>
      <c r="Z167" s="21" t="n"/>
    </row>
    <row r="168" ht="15.75" customHeight="1" s="545">
      <c r="A168" s="21" t="n"/>
      <c r="B168" s="21" t="n"/>
      <c r="C168" s="21" t="n"/>
      <c r="D168" s="21" t="n"/>
      <c r="E168" s="21" t="n"/>
      <c r="F168" s="21" t="n"/>
      <c r="G168" s="21" t="n"/>
      <c r="H168" s="21" t="n"/>
      <c r="I168" s="21" t="n"/>
      <c r="J168" s="21" t="n"/>
      <c r="K168" s="21" t="n"/>
      <c r="L168" s="21" t="n"/>
      <c r="M168" s="21" t="n"/>
      <c r="N168" s="21" t="n"/>
      <c r="O168" s="21" t="n"/>
      <c r="P168" s="21" t="n"/>
      <c r="Q168" s="21" t="n"/>
      <c r="R168" s="21" t="n"/>
      <c r="S168" s="21" t="n"/>
      <c r="T168" s="21" t="n"/>
      <c r="U168" s="21" t="n"/>
      <c r="V168" s="21" t="n"/>
      <c r="W168" s="21" t="n"/>
      <c r="X168" s="21" t="n"/>
      <c r="Y168" s="21" t="n"/>
      <c r="Z168" s="21" t="n"/>
    </row>
    <row r="169" ht="15.75" customHeight="1" s="545">
      <c r="A169" s="21" t="n"/>
      <c r="B169" s="21" t="n"/>
      <c r="C169" s="21" t="n"/>
      <c r="D169" s="21" t="n"/>
      <c r="E169" s="21" t="n"/>
      <c r="F169" s="21" t="n"/>
      <c r="G169" s="21" t="n"/>
      <c r="H169" s="21" t="n"/>
      <c r="I169" s="21" t="n"/>
      <c r="J169" s="21" t="n"/>
      <c r="K169" s="21" t="n"/>
      <c r="L169" s="21" t="n"/>
      <c r="M169" s="21" t="n"/>
      <c r="N169" s="21" t="n"/>
      <c r="O169" s="21" t="n"/>
      <c r="P169" s="21" t="n"/>
      <c r="Q169" s="21" t="n"/>
      <c r="R169" s="21" t="n"/>
      <c r="S169" s="21" t="n"/>
      <c r="T169" s="21" t="n"/>
      <c r="U169" s="21" t="n"/>
      <c r="V169" s="21" t="n"/>
      <c r="W169" s="21" t="n"/>
      <c r="X169" s="21" t="n"/>
      <c r="Y169" s="21" t="n"/>
      <c r="Z169" s="21" t="n"/>
    </row>
    <row r="170" ht="15.75" customHeight="1" s="545">
      <c r="A170" s="21" t="n"/>
      <c r="B170" s="21" t="n"/>
      <c r="C170" s="21" t="n"/>
      <c r="D170" s="21" t="n"/>
      <c r="E170" s="21" t="n"/>
      <c r="F170" s="21" t="n"/>
      <c r="G170" s="21" t="n"/>
      <c r="H170" s="21" t="n"/>
      <c r="I170" s="21" t="n"/>
      <c r="J170" s="21" t="n"/>
      <c r="K170" s="21" t="n"/>
      <c r="L170" s="21" t="n"/>
      <c r="M170" s="21" t="n"/>
      <c r="N170" s="21" t="n"/>
      <c r="O170" s="21" t="n"/>
      <c r="P170" s="21" t="n"/>
      <c r="Q170" s="21" t="n"/>
      <c r="R170" s="21" t="n"/>
      <c r="S170" s="21" t="n"/>
      <c r="T170" s="21" t="n"/>
      <c r="U170" s="21" t="n"/>
      <c r="V170" s="21" t="n"/>
      <c r="W170" s="21" t="n"/>
      <c r="X170" s="21" t="n"/>
      <c r="Y170" s="21" t="n"/>
      <c r="Z170" s="21" t="n"/>
    </row>
    <row r="171" ht="15.75" customHeight="1" s="545">
      <c r="A171" s="21" t="n"/>
      <c r="B171" s="21" t="n"/>
      <c r="C171" s="21" t="n"/>
      <c r="D171" s="21" t="n"/>
      <c r="E171" s="21" t="n"/>
      <c r="F171" s="21" t="n"/>
      <c r="G171" s="21" t="n"/>
      <c r="H171" s="21" t="n"/>
      <c r="I171" s="21" t="n"/>
      <c r="J171" s="21" t="n"/>
      <c r="K171" s="21" t="n"/>
      <c r="L171" s="21" t="n"/>
      <c r="M171" s="21" t="n"/>
      <c r="N171" s="21" t="n"/>
      <c r="O171" s="21" t="n"/>
      <c r="P171" s="21" t="n"/>
      <c r="Q171" s="21" t="n"/>
      <c r="R171" s="21" t="n"/>
      <c r="S171" s="21" t="n"/>
      <c r="T171" s="21" t="n"/>
      <c r="U171" s="21" t="n"/>
      <c r="V171" s="21" t="n"/>
      <c r="W171" s="21" t="n"/>
      <c r="X171" s="21" t="n"/>
      <c r="Y171" s="21" t="n"/>
      <c r="Z171" s="21" t="n"/>
    </row>
    <row r="172" ht="15.75" customHeight="1" s="545">
      <c r="A172" s="21" t="n"/>
      <c r="B172" s="21" t="n"/>
      <c r="C172" s="21" t="n"/>
      <c r="D172" s="21" t="n"/>
      <c r="E172" s="21" t="n"/>
      <c r="F172" s="21" t="n"/>
      <c r="G172" s="21" t="n"/>
      <c r="H172" s="21" t="n"/>
      <c r="I172" s="21" t="n"/>
      <c r="J172" s="21" t="n"/>
      <c r="K172" s="21" t="n"/>
      <c r="L172" s="21" t="n"/>
      <c r="M172" s="21" t="n"/>
      <c r="N172" s="21" t="n"/>
      <c r="O172" s="21" t="n"/>
      <c r="P172" s="21" t="n"/>
      <c r="Q172" s="21" t="n"/>
      <c r="R172" s="21" t="n"/>
      <c r="S172" s="21" t="n"/>
      <c r="T172" s="21" t="n"/>
      <c r="U172" s="21" t="n"/>
      <c r="V172" s="21" t="n"/>
      <c r="W172" s="21" t="n"/>
      <c r="X172" s="21" t="n"/>
      <c r="Y172" s="21" t="n"/>
      <c r="Z172" s="21" t="n"/>
    </row>
    <row r="173" ht="15.75" customHeight="1" s="545">
      <c r="A173" s="21" t="n"/>
      <c r="B173" s="21" t="n"/>
      <c r="C173" s="21" t="n"/>
      <c r="D173" s="21" t="n"/>
      <c r="E173" s="21" t="n"/>
      <c r="F173" s="21" t="n"/>
      <c r="G173" s="21" t="n"/>
      <c r="H173" s="21" t="n"/>
      <c r="I173" s="21" t="n"/>
      <c r="J173" s="21" t="n"/>
      <c r="K173" s="21" t="n"/>
      <c r="L173" s="21" t="n"/>
      <c r="M173" s="21" t="n"/>
      <c r="N173" s="21" t="n"/>
      <c r="O173" s="21" t="n"/>
      <c r="P173" s="21" t="n"/>
      <c r="Q173" s="21" t="n"/>
      <c r="R173" s="21" t="n"/>
      <c r="S173" s="21" t="n"/>
      <c r="T173" s="21" t="n"/>
      <c r="U173" s="21" t="n"/>
      <c r="V173" s="21" t="n"/>
      <c r="W173" s="21" t="n"/>
      <c r="X173" s="21" t="n"/>
      <c r="Y173" s="21" t="n"/>
      <c r="Z173" s="21" t="n"/>
    </row>
    <row r="174" ht="15.75" customHeight="1" s="545">
      <c r="A174" s="21" t="n"/>
      <c r="B174" s="21" t="n"/>
      <c r="C174" s="21" t="n"/>
      <c r="D174" s="21" t="n"/>
      <c r="E174" s="21" t="n"/>
      <c r="F174" s="21" t="n"/>
      <c r="G174" s="21" t="n"/>
      <c r="H174" s="21" t="n"/>
      <c r="I174" s="21" t="n"/>
      <c r="J174" s="21" t="n"/>
      <c r="K174" s="21" t="n"/>
      <c r="L174" s="21" t="n"/>
      <c r="M174" s="21" t="n"/>
      <c r="N174" s="21" t="n"/>
      <c r="O174" s="21" t="n"/>
      <c r="P174" s="21" t="n"/>
      <c r="Q174" s="21" t="n"/>
      <c r="R174" s="21" t="n"/>
      <c r="S174" s="21" t="n"/>
      <c r="T174" s="21" t="n"/>
      <c r="U174" s="21" t="n"/>
      <c r="V174" s="21" t="n"/>
      <c r="W174" s="21" t="n"/>
      <c r="X174" s="21" t="n"/>
      <c r="Y174" s="21" t="n"/>
      <c r="Z174" s="21" t="n"/>
    </row>
    <row r="175" ht="15.75" customHeight="1" s="545">
      <c r="A175" s="21" t="n"/>
      <c r="B175" s="21" t="n"/>
      <c r="C175" s="21" t="n"/>
      <c r="D175" s="21" t="n"/>
      <c r="E175" s="21" t="n"/>
      <c r="F175" s="21" t="n"/>
      <c r="G175" s="21" t="n"/>
      <c r="H175" s="21" t="n"/>
      <c r="I175" s="21" t="n"/>
      <c r="J175" s="21" t="n"/>
      <c r="K175" s="21" t="n"/>
      <c r="L175" s="21" t="n"/>
      <c r="M175" s="21" t="n"/>
      <c r="N175" s="21" t="n"/>
      <c r="O175" s="21" t="n"/>
      <c r="P175" s="21" t="n"/>
      <c r="Q175" s="21" t="n"/>
      <c r="R175" s="21" t="n"/>
      <c r="S175" s="21" t="n"/>
      <c r="T175" s="21" t="n"/>
      <c r="U175" s="21" t="n"/>
      <c r="V175" s="21" t="n"/>
      <c r="W175" s="21" t="n"/>
      <c r="X175" s="21" t="n"/>
      <c r="Y175" s="21" t="n"/>
      <c r="Z175" s="21" t="n"/>
    </row>
    <row r="176" ht="15.75" customHeight="1" s="545">
      <c r="A176" s="21" t="n"/>
      <c r="B176" s="21" t="n"/>
      <c r="C176" s="21" t="n"/>
      <c r="D176" s="21" t="n"/>
      <c r="E176" s="21" t="n"/>
      <c r="F176" s="21" t="n"/>
      <c r="G176" s="21" t="n"/>
      <c r="H176" s="21" t="n"/>
      <c r="I176" s="21" t="n"/>
      <c r="J176" s="21" t="n"/>
      <c r="K176" s="21" t="n"/>
      <c r="L176" s="21" t="n"/>
      <c r="M176" s="21" t="n"/>
      <c r="N176" s="21" t="n"/>
      <c r="O176" s="21" t="n"/>
      <c r="P176" s="21" t="n"/>
      <c r="Q176" s="21" t="n"/>
      <c r="R176" s="21" t="n"/>
      <c r="S176" s="21" t="n"/>
      <c r="T176" s="21" t="n"/>
      <c r="U176" s="21" t="n"/>
      <c r="V176" s="21" t="n"/>
      <c r="W176" s="21" t="n"/>
      <c r="X176" s="21" t="n"/>
      <c r="Y176" s="21" t="n"/>
      <c r="Z176" s="21" t="n"/>
    </row>
    <row r="177" ht="15.75" customHeight="1" s="545">
      <c r="A177" s="21" t="n"/>
      <c r="B177" s="21" t="n"/>
      <c r="C177" s="21" t="n"/>
      <c r="D177" s="21" t="n"/>
      <c r="E177" s="21" t="n"/>
      <c r="F177" s="21" t="n"/>
      <c r="G177" s="21" t="n"/>
      <c r="H177" s="21" t="n"/>
      <c r="I177" s="21" t="n"/>
      <c r="J177" s="21" t="n"/>
      <c r="K177" s="21" t="n"/>
      <c r="L177" s="21" t="n"/>
      <c r="M177" s="21" t="n"/>
      <c r="N177" s="21" t="n"/>
      <c r="O177" s="21" t="n"/>
      <c r="P177" s="21" t="n"/>
      <c r="Q177" s="21" t="n"/>
      <c r="R177" s="21" t="n"/>
      <c r="S177" s="21" t="n"/>
      <c r="T177" s="21" t="n"/>
      <c r="U177" s="21" t="n"/>
      <c r="V177" s="21" t="n"/>
      <c r="W177" s="21" t="n"/>
      <c r="X177" s="21" t="n"/>
      <c r="Y177" s="21" t="n"/>
      <c r="Z177" s="21" t="n"/>
    </row>
    <row r="178" ht="15.75" customHeight="1" s="545">
      <c r="A178" s="21" t="n"/>
      <c r="B178" s="21" t="n"/>
      <c r="C178" s="21" t="n"/>
      <c r="D178" s="21" t="n"/>
      <c r="E178" s="21" t="n"/>
      <c r="F178" s="21" t="n"/>
      <c r="G178" s="21" t="n"/>
      <c r="H178" s="21" t="n"/>
      <c r="I178" s="21" t="n"/>
      <c r="J178" s="21" t="n"/>
      <c r="K178" s="21" t="n"/>
      <c r="L178" s="21" t="n"/>
      <c r="M178" s="21" t="n"/>
      <c r="N178" s="21" t="n"/>
      <c r="O178" s="21" t="n"/>
      <c r="P178" s="21" t="n"/>
      <c r="Q178" s="21" t="n"/>
      <c r="R178" s="21" t="n"/>
      <c r="S178" s="21" t="n"/>
      <c r="T178" s="21" t="n"/>
      <c r="U178" s="21" t="n"/>
      <c r="V178" s="21" t="n"/>
      <c r="W178" s="21" t="n"/>
      <c r="X178" s="21" t="n"/>
      <c r="Y178" s="21" t="n"/>
      <c r="Z178" s="21" t="n"/>
    </row>
    <row r="179" ht="15.75" customHeight="1" s="545">
      <c r="A179" s="21" t="n"/>
      <c r="B179" s="21" t="n"/>
      <c r="C179" s="21" t="n"/>
      <c r="D179" s="21" t="n"/>
      <c r="E179" s="21" t="n"/>
      <c r="F179" s="21" t="n"/>
      <c r="G179" s="21" t="n"/>
      <c r="H179" s="21" t="n"/>
      <c r="I179" s="21" t="n"/>
      <c r="J179" s="21" t="n"/>
      <c r="K179" s="21" t="n"/>
      <c r="L179" s="21" t="n"/>
      <c r="M179" s="21" t="n"/>
      <c r="N179" s="21" t="n"/>
      <c r="O179" s="21" t="n"/>
      <c r="P179" s="21" t="n"/>
      <c r="Q179" s="21" t="n"/>
      <c r="R179" s="21" t="n"/>
      <c r="S179" s="21" t="n"/>
      <c r="T179" s="21" t="n"/>
      <c r="U179" s="21" t="n"/>
      <c r="V179" s="21" t="n"/>
      <c r="W179" s="21" t="n"/>
      <c r="X179" s="21" t="n"/>
      <c r="Y179" s="21" t="n"/>
      <c r="Z179" s="21" t="n"/>
    </row>
    <row r="180" ht="15.75" customHeight="1" s="545">
      <c r="A180" s="21" t="n"/>
      <c r="B180" s="21" t="n"/>
      <c r="C180" s="21" t="n"/>
      <c r="D180" s="21" t="n"/>
      <c r="E180" s="21" t="n"/>
      <c r="F180" s="21" t="n"/>
      <c r="G180" s="21" t="n"/>
      <c r="H180" s="21" t="n"/>
      <c r="I180" s="21" t="n"/>
      <c r="J180" s="21" t="n"/>
      <c r="K180" s="21" t="n"/>
      <c r="L180" s="21" t="n"/>
      <c r="M180" s="21" t="n"/>
      <c r="N180" s="21" t="n"/>
      <c r="O180" s="21" t="n"/>
      <c r="P180" s="21" t="n"/>
      <c r="Q180" s="21" t="n"/>
      <c r="R180" s="21" t="n"/>
      <c r="S180" s="21" t="n"/>
      <c r="T180" s="21" t="n"/>
      <c r="U180" s="21" t="n"/>
      <c r="V180" s="21" t="n"/>
      <c r="W180" s="21" t="n"/>
      <c r="X180" s="21" t="n"/>
      <c r="Y180" s="21" t="n"/>
      <c r="Z180" s="21" t="n"/>
    </row>
    <row r="181" ht="15.75" customHeight="1" s="545">
      <c r="A181" s="21" t="n"/>
      <c r="B181" s="21" t="n"/>
      <c r="C181" s="21" t="n"/>
      <c r="D181" s="21" t="n"/>
      <c r="E181" s="21" t="n"/>
      <c r="F181" s="21" t="n"/>
      <c r="G181" s="21" t="n"/>
      <c r="H181" s="21" t="n"/>
      <c r="I181" s="21" t="n"/>
      <c r="J181" s="21" t="n"/>
      <c r="K181" s="21" t="n"/>
      <c r="L181" s="21" t="n"/>
      <c r="M181" s="21" t="n"/>
      <c r="N181" s="21" t="n"/>
      <c r="O181" s="21" t="n"/>
      <c r="P181" s="21" t="n"/>
      <c r="Q181" s="21" t="n"/>
      <c r="R181" s="21" t="n"/>
      <c r="S181" s="21" t="n"/>
      <c r="T181" s="21" t="n"/>
      <c r="U181" s="21" t="n"/>
      <c r="V181" s="21" t="n"/>
      <c r="W181" s="21" t="n"/>
      <c r="X181" s="21" t="n"/>
      <c r="Y181" s="21" t="n"/>
      <c r="Z181" s="21" t="n"/>
    </row>
    <row r="182" ht="15.75" customHeight="1" s="545">
      <c r="A182" s="21" t="n"/>
      <c r="B182" s="21" t="n"/>
      <c r="C182" s="21" t="n"/>
      <c r="D182" s="21" t="n"/>
      <c r="E182" s="21" t="n"/>
      <c r="F182" s="21" t="n"/>
      <c r="G182" s="21" t="n"/>
      <c r="H182" s="21" t="n"/>
      <c r="I182" s="21" t="n"/>
      <c r="J182" s="21" t="n"/>
      <c r="K182" s="21" t="n"/>
      <c r="L182" s="21" t="n"/>
      <c r="M182" s="21" t="n"/>
      <c r="N182" s="21" t="n"/>
      <c r="O182" s="21" t="n"/>
      <c r="P182" s="21" t="n"/>
      <c r="Q182" s="21" t="n"/>
      <c r="R182" s="21" t="n"/>
      <c r="S182" s="21" t="n"/>
      <c r="T182" s="21" t="n"/>
      <c r="U182" s="21" t="n"/>
      <c r="V182" s="21" t="n"/>
      <c r="W182" s="21" t="n"/>
      <c r="X182" s="21" t="n"/>
      <c r="Y182" s="21" t="n"/>
      <c r="Z182" s="21" t="n"/>
    </row>
    <row r="183" ht="15.75" customHeight="1" s="545">
      <c r="A183" s="21" t="n"/>
      <c r="B183" s="21" t="n"/>
      <c r="C183" s="21" t="n"/>
      <c r="D183" s="21" t="n"/>
      <c r="E183" s="21" t="n"/>
      <c r="F183" s="21" t="n"/>
      <c r="G183" s="21" t="n"/>
      <c r="H183" s="21" t="n"/>
      <c r="I183" s="21" t="n"/>
      <c r="J183" s="21" t="n"/>
      <c r="K183" s="21" t="n"/>
      <c r="L183" s="21" t="n"/>
      <c r="M183" s="21" t="n"/>
      <c r="N183" s="21" t="n"/>
      <c r="O183" s="21" t="n"/>
      <c r="P183" s="21" t="n"/>
      <c r="Q183" s="21" t="n"/>
      <c r="R183" s="21" t="n"/>
      <c r="S183" s="21" t="n"/>
      <c r="T183" s="21" t="n"/>
      <c r="U183" s="21" t="n"/>
      <c r="V183" s="21" t="n"/>
      <c r="W183" s="21" t="n"/>
      <c r="X183" s="21" t="n"/>
      <c r="Y183" s="21" t="n"/>
      <c r="Z183" s="21" t="n"/>
    </row>
    <row r="184" ht="15.75" customHeight="1" s="545">
      <c r="A184" s="21" t="n"/>
      <c r="B184" s="21" t="n"/>
      <c r="C184" s="21" t="n"/>
      <c r="D184" s="21" t="n"/>
      <c r="E184" s="21" t="n"/>
      <c r="F184" s="21" t="n"/>
      <c r="G184" s="21" t="n"/>
      <c r="H184" s="21" t="n"/>
      <c r="I184" s="21" t="n"/>
      <c r="J184" s="21" t="n"/>
      <c r="K184" s="21" t="n"/>
      <c r="L184" s="21" t="n"/>
      <c r="M184" s="21" t="n"/>
      <c r="N184" s="21" t="n"/>
      <c r="O184" s="21" t="n"/>
      <c r="P184" s="21" t="n"/>
      <c r="Q184" s="21" t="n"/>
      <c r="R184" s="21" t="n"/>
      <c r="S184" s="21" t="n"/>
      <c r="T184" s="21" t="n"/>
      <c r="U184" s="21" t="n"/>
      <c r="V184" s="21" t="n"/>
      <c r="W184" s="21" t="n"/>
      <c r="X184" s="21" t="n"/>
      <c r="Y184" s="21" t="n"/>
      <c r="Z184" s="21" t="n"/>
    </row>
    <row r="185" ht="15.75" customHeight="1" s="545">
      <c r="A185" s="21" t="n"/>
      <c r="B185" s="21" t="n"/>
      <c r="C185" s="21" t="n"/>
      <c r="D185" s="21" t="n"/>
      <c r="E185" s="21" t="n"/>
      <c r="F185" s="21" t="n"/>
      <c r="G185" s="21" t="n"/>
      <c r="H185" s="21" t="n"/>
      <c r="I185" s="21" t="n"/>
      <c r="J185" s="21" t="n"/>
      <c r="K185" s="21" t="n"/>
      <c r="L185" s="21" t="n"/>
      <c r="M185" s="21" t="n"/>
      <c r="N185" s="21" t="n"/>
      <c r="O185" s="21" t="n"/>
      <c r="P185" s="21" t="n"/>
      <c r="Q185" s="21" t="n"/>
      <c r="R185" s="21" t="n"/>
      <c r="S185" s="21" t="n"/>
      <c r="T185" s="21" t="n"/>
      <c r="U185" s="21" t="n"/>
      <c r="V185" s="21" t="n"/>
      <c r="W185" s="21" t="n"/>
      <c r="X185" s="21" t="n"/>
      <c r="Y185" s="21" t="n"/>
      <c r="Z185" s="21" t="n"/>
    </row>
    <row r="186" ht="15.75" customHeight="1" s="545">
      <c r="A186" s="21" t="n"/>
      <c r="B186" s="21" t="n"/>
      <c r="C186" s="21" t="n"/>
      <c r="D186" s="21" t="n"/>
      <c r="E186" s="21" t="n"/>
      <c r="F186" s="21" t="n"/>
      <c r="G186" s="21" t="n"/>
      <c r="H186" s="21" t="n"/>
      <c r="I186" s="21" t="n"/>
      <c r="J186" s="21" t="n"/>
      <c r="K186" s="21" t="n"/>
      <c r="L186" s="21" t="n"/>
      <c r="M186" s="21" t="n"/>
      <c r="N186" s="21" t="n"/>
      <c r="O186" s="21" t="n"/>
      <c r="P186" s="21" t="n"/>
      <c r="Q186" s="21" t="n"/>
      <c r="R186" s="21" t="n"/>
      <c r="S186" s="21" t="n"/>
      <c r="T186" s="21" t="n"/>
      <c r="U186" s="21" t="n"/>
      <c r="V186" s="21" t="n"/>
      <c r="W186" s="21" t="n"/>
      <c r="X186" s="21" t="n"/>
      <c r="Y186" s="21" t="n"/>
      <c r="Z186" s="21" t="n"/>
    </row>
    <row r="187" ht="15.75" customHeight="1" s="545">
      <c r="A187" s="21" t="n"/>
      <c r="B187" s="21" t="n"/>
      <c r="C187" s="21" t="n"/>
      <c r="D187" s="21" t="n"/>
      <c r="E187" s="21" t="n"/>
      <c r="F187" s="21" t="n"/>
      <c r="G187" s="21" t="n"/>
      <c r="H187" s="21" t="n"/>
      <c r="I187" s="21" t="n"/>
      <c r="J187" s="21" t="n"/>
      <c r="K187" s="21" t="n"/>
      <c r="L187" s="21" t="n"/>
      <c r="M187" s="21" t="n"/>
      <c r="N187" s="21" t="n"/>
      <c r="O187" s="21" t="n"/>
      <c r="P187" s="21" t="n"/>
      <c r="Q187" s="21" t="n"/>
      <c r="R187" s="21" t="n"/>
      <c r="S187" s="21" t="n"/>
      <c r="T187" s="21" t="n"/>
      <c r="U187" s="21" t="n"/>
      <c r="V187" s="21" t="n"/>
      <c r="W187" s="21" t="n"/>
      <c r="X187" s="21" t="n"/>
      <c r="Y187" s="21" t="n"/>
      <c r="Z187" s="21" t="n"/>
    </row>
    <row r="188" ht="15.75" customHeight="1" s="545">
      <c r="A188" s="21" t="n"/>
      <c r="B188" s="21" t="n"/>
      <c r="C188" s="21" t="n"/>
      <c r="D188" s="21" t="n"/>
      <c r="E188" s="21" t="n"/>
      <c r="F188" s="21" t="n"/>
      <c r="G188" s="21" t="n"/>
      <c r="H188" s="21" t="n"/>
      <c r="I188" s="21" t="n"/>
      <c r="J188" s="21" t="n"/>
      <c r="K188" s="21" t="n"/>
      <c r="L188" s="21" t="n"/>
      <c r="M188" s="21" t="n"/>
      <c r="N188" s="21" t="n"/>
      <c r="O188" s="21" t="n"/>
      <c r="P188" s="21" t="n"/>
      <c r="Q188" s="21" t="n"/>
      <c r="R188" s="21" t="n"/>
      <c r="S188" s="21" t="n"/>
      <c r="T188" s="21" t="n"/>
      <c r="U188" s="21" t="n"/>
      <c r="V188" s="21" t="n"/>
      <c r="W188" s="21" t="n"/>
      <c r="X188" s="21" t="n"/>
      <c r="Y188" s="21" t="n"/>
      <c r="Z188" s="21" t="n"/>
    </row>
    <row r="189" ht="15.75" customHeight="1" s="545">
      <c r="A189" s="21" t="n"/>
      <c r="B189" s="21" t="n"/>
      <c r="C189" s="21" t="n"/>
      <c r="D189" s="21" t="n"/>
      <c r="E189" s="21" t="n"/>
      <c r="F189" s="21" t="n"/>
      <c r="G189" s="21" t="n"/>
      <c r="H189" s="21" t="n"/>
      <c r="I189" s="21" t="n"/>
      <c r="J189" s="21" t="n"/>
      <c r="K189" s="21" t="n"/>
      <c r="L189" s="21" t="n"/>
      <c r="M189" s="21" t="n"/>
      <c r="N189" s="21" t="n"/>
      <c r="O189" s="21" t="n"/>
      <c r="P189" s="21" t="n"/>
      <c r="Q189" s="21" t="n"/>
      <c r="R189" s="21" t="n"/>
      <c r="S189" s="21" t="n"/>
      <c r="T189" s="21" t="n"/>
      <c r="U189" s="21" t="n"/>
      <c r="V189" s="21" t="n"/>
      <c r="W189" s="21" t="n"/>
      <c r="X189" s="21" t="n"/>
      <c r="Y189" s="21" t="n"/>
      <c r="Z189" s="21" t="n"/>
    </row>
    <row r="190" ht="15.75" customHeight="1" s="545">
      <c r="A190" s="21" t="n"/>
      <c r="B190" s="21" t="n"/>
      <c r="C190" s="21" t="n"/>
      <c r="D190" s="21" t="n"/>
      <c r="E190" s="21" t="n"/>
      <c r="F190" s="21" t="n"/>
      <c r="G190" s="21" t="n"/>
      <c r="H190" s="21" t="n"/>
      <c r="I190" s="21" t="n"/>
      <c r="J190" s="21" t="n"/>
      <c r="K190" s="21" t="n"/>
      <c r="L190" s="21" t="n"/>
      <c r="M190" s="21" t="n"/>
      <c r="N190" s="21" t="n"/>
      <c r="O190" s="21" t="n"/>
      <c r="P190" s="21" t="n"/>
      <c r="Q190" s="21" t="n"/>
      <c r="R190" s="21" t="n"/>
      <c r="S190" s="21" t="n"/>
      <c r="T190" s="21" t="n"/>
      <c r="U190" s="21" t="n"/>
      <c r="V190" s="21" t="n"/>
      <c r="W190" s="21" t="n"/>
      <c r="X190" s="21" t="n"/>
      <c r="Y190" s="21" t="n"/>
      <c r="Z190" s="21" t="n"/>
    </row>
    <row r="191" ht="15.75" customHeight="1" s="545">
      <c r="A191" s="21" t="n"/>
      <c r="B191" s="21" t="n"/>
      <c r="C191" s="21" t="n"/>
      <c r="D191" s="21" t="n"/>
      <c r="E191" s="21" t="n"/>
      <c r="F191" s="21" t="n"/>
      <c r="G191" s="21" t="n"/>
      <c r="H191" s="21" t="n"/>
      <c r="I191" s="21" t="n"/>
      <c r="J191" s="21" t="n"/>
      <c r="K191" s="21" t="n"/>
      <c r="L191" s="21" t="n"/>
      <c r="M191" s="21" t="n"/>
      <c r="N191" s="21" t="n"/>
      <c r="O191" s="21" t="n"/>
      <c r="P191" s="21" t="n"/>
      <c r="Q191" s="21" t="n"/>
      <c r="R191" s="21" t="n"/>
      <c r="S191" s="21" t="n"/>
      <c r="T191" s="21" t="n"/>
      <c r="U191" s="21" t="n"/>
      <c r="V191" s="21" t="n"/>
      <c r="W191" s="21" t="n"/>
      <c r="X191" s="21" t="n"/>
      <c r="Y191" s="21" t="n"/>
      <c r="Z191" s="21" t="n"/>
    </row>
    <row r="192" ht="15.75" customHeight="1" s="545">
      <c r="A192" s="21" t="n"/>
      <c r="B192" s="21" t="n"/>
      <c r="C192" s="21" t="n"/>
      <c r="D192" s="21" t="n"/>
      <c r="E192" s="21" t="n"/>
      <c r="F192" s="21" t="n"/>
      <c r="G192" s="21" t="n"/>
      <c r="H192" s="21" t="n"/>
      <c r="I192" s="21" t="n"/>
      <c r="J192" s="21" t="n"/>
      <c r="K192" s="21" t="n"/>
      <c r="L192" s="21" t="n"/>
      <c r="M192" s="21" t="n"/>
      <c r="N192" s="21" t="n"/>
      <c r="O192" s="21" t="n"/>
      <c r="P192" s="21" t="n"/>
      <c r="Q192" s="21" t="n"/>
      <c r="R192" s="21" t="n"/>
      <c r="S192" s="21" t="n"/>
      <c r="T192" s="21" t="n"/>
      <c r="U192" s="21" t="n"/>
      <c r="V192" s="21" t="n"/>
      <c r="W192" s="21" t="n"/>
      <c r="X192" s="21" t="n"/>
      <c r="Y192" s="21" t="n"/>
      <c r="Z192" s="21" t="n"/>
    </row>
    <row r="193" ht="15.75" customHeight="1" s="545">
      <c r="A193" s="21" t="n"/>
      <c r="B193" s="21" t="n"/>
      <c r="C193" s="21" t="n"/>
      <c r="D193" s="21" t="n"/>
      <c r="E193" s="21" t="n"/>
      <c r="F193" s="21" t="n"/>
      <c r="G193" s="21" t="n"/>
      <c r="H193" s="21" t="n"/>
      <c r="I193" s="21" t="n"/>
      <c r="J193" s="21" t="n"/>
      <c r="K193" s="21" t="n"/>
      <c r="L193" s="21" t="n"/>
      <c r="M193" s="21" t="n"/>
      <c r="N193" s="21" t="n"/>
      <c r="O193" s="21" t="n"/>
      <c r="P193" s="21" t="n"/>
      <c r="Q193" s="21" t="n"/>
      <c r="R193" s="21" t="n"/>
      <c r="S193" s="21" t="n"/>
      <c r="T193" s="21" t="n"/>
      <c r="U193" s="21" t="n"/>
      <c r="V193" s="21" t="n"/>
      <c r="W193" s="21" t="n"/>
      <c r="X193" s="21" t="n"/>
      <c r="Y193" s="21" t="n"/>
      <c r="Z193" s="21" t="n"/>
    </row>
    <row r="194" ht="15.75" customHeight="1" s="545">
      <c r="A194" s="21" t="n"/>
      <c r="B194" s="21" t="n"/>
      <c r="C194" s="21" t="n"/>
      <c r="D194" s="21" t="n"/>
      <c r="E194" s="21" t="n"/>
      <c r="F194" s="21" t="n"/>
      <c r="G194" s="21" t="n"/>
      <c r="H194" s="21" t="n"/>
      <c r="I194" s="21" t="n"/>
      <c r="J194" s="21" t="n"/>
      <c r="K194" s="21" t="n"/>
      <c r="L194" s="21" t="n"/>
      <c r="M194" s="21" t="n"/>
      <c r="N194" s="21" t="n"/>
      <c r="O194" s="21" t="n"/>
      <c r="P194" s="21" t="n"/>
      <c r="Q194" s="21" t="n"/>
      <c r="R194" s="21" t="n"/>
      <c r="S194" s="21" t="n"/>
      <c r="T194" s="21" t="n"/>
      <c r="U194" s="21" t="n"/>
      <c r="V194" s="21" t="n"/>
      <c r="W194" s="21" t="n"/>
      <c r="X194" s="21" t="n"/>
      <c r="Y194" s="21" t="n"/>
      <c r="Z194" s="21" t="n"/>
    </row>
    <row r="195" ht="15.75" customHeight="1" s="545">
      <c r="A195" s="21" t="n"/>
      <c r="B195" s="21" t="n"/>
      <c r="C195" s="21" t="n"/>
      <c r="D195" s="21" t="n"/>
      <c r="E195" s="21" t="n"/>
      <c r="F195" s="21" t="n"/>
      <c r="G195" s="21" t="n"/>
      <c r="H195" s="21" t="n"/>
      <c r="I195" s="21" t="n"/>
      <c r="J195" s="21" t="n"/>
      <c r="K195" s="21" t="n"/>
      <c r="L195" s="21" t="n"/>
      <c r="M195" s="21" t="n"/>
      <c r="N195" s="21" t="n"/>
      <c r="O195" s="21" t="n"/>
      <c r="P195" s="21" t="n"/>
      <c r="Q195" s="21" t="n"/>
      <c r="R195" s="21" t="n"/>
      <c r="S195" s="21" t="n"/>
      <c r="T195" s="21" t="n"/>
      <c r="U195" s="21" t="n"/>
      <c r="V195" s="21" t="n"/>
      <c r="W195" s="21" t="n"/>
      <c r="X195" s="21" t="n"/>
      <c r="Y195" s="21" t="n"/>
      <c r="Z195" s="21" t="n"/>
    </row>
    <row r="196" ht="15.75" customHeight="1" s="545">
      <c r="A196" s="21" t="n"/>
      <c r="B196" s="21" t="n"/>
      <c r="C196" s="21" t="n"/>
      <c r="D196" s="21" t="n"/>
      <c r="E196" s="21" t="n"/>
      <c r="F196" s="21" t="n"/>
      <c r="G196" s="21" t="n"/>
      <c r="H196" s="21" t="n"/>
      <c r="I196" s="21" t="n"/>
      <c r="J196" s="21" t="n"/>
      <c r="K196" s="21" t="n"/>
      <c r="L196" s="21" t="n"/>
      <c r="M196" s="21" t="n"/>
      <c r="N196" s="21" t="n"/>
      <c r="O196" s="21" t="n"/>
      <c r="P196" s="21" t="n"/>
      <c r="Q196" s="21" t="n"/>
      <c r="R196" s="21" t="n"/>
      <c r="S196" s="21" t="n"/>
      <c r="T196" s="21" t="n"/>
      <c r="U196" s="21" t="n"/>
      <c r="V196" s="21" t="n"/>
      <c r="W196" s="21" t="n"/>
      <c r="X196" s="21" t="n"/>
      <c r="Y196" s="21" t="n"/>
      <c r="Z196" s="21" t="n"/>
    </row>
    <row r="197" ht="15.75" customHeight="1" s="545">
      <c r="A197" s="21" t="n"/>
      <c r="B197" s="21" t="n"/>
      <c r="C197" s="21" t="n"/>
      <c r="D197" s="21" t="n"/>
      <c r="E197" s="21" t="n"/>
      <c r="F197" s="21" t="n"/>
      <c r="G197" s="21" t="n"/>
      <c r="H197" s="21" t="n"/>
      <c r="I197" s="21" t="n"/>
      <c r="J197" s="21" t="n"/>
      <c r="K197" s="21" t="n"/>
      <c r="L197" s="21" t="n"/>
      <c r="M197" s="21" t="n"/>
      <c r="N197" s="21" t="n"/>
      <c r="O197" s="21" t="n"/>
      <c r="P197" s="21" t="n"/>
      <c r="Q197" s="21" t="n"/>
      <c r="R197" s="21" t="n"/>
      <c r="S197" s="21" t="n"/>
      <c r="T197" s="21" t="n"/>
      <c r="U197" s="21" t="n"/>
      <c r="V197" s="21" t="n"/>
      <c r="W197" s="21" t="n"/>
      <c r="X197" s="21" t="n"/>
      <c r="Y197" s="21" t="n"/>
      <c r="Z197" s="21" t="n"/>
    </row>
    <row r="198" ht="15.75" customHeight="1" s="545">
      <c r="A198" s="21" t="n"/>
      <c r="B198" s="21" t="n"/>
      <c r="C198" s="21" t="n"/>
      <c r="D198" s="21" t="n"/>
      <c r="E198" s="21" t="n"/>
      <c r="F198" s="21" t="n"/>
      <c r="G198" s="21" t="n"/>
      <c r="H198" s="21" t="n"/>
      <c r="I198" s="21" t="n"/>
      <c r="J198" s="21" t="n"/>
      <c r="K198" s="21" t="n"/>
      <c r="L198" s="21" t="n"/>
      <c r="M198" s="21" t="n"/>
      <c r="N198" s="21" t="n"/>
      <c r="O198" s="21" t="n"/>
      <c r="P198" s="21" t="n"/>
      <c r="Q198" s="21" t="n"/>
      <c r="R198" s="21" t="n"/>
      <c r="S198" s="21" t="n"/>
      <c r="T198" s="21" t="n"/>
      <c r="U198" s="21" t="n"/>
      <c r="V198" s="21" t="n"/>
      <c r="W198" s="21" t="n"/>
      <c r="X198" s="21" t="n"/>
      <c r="Y198" s="21" t="n"/>
      <c r="Z198" s="21" t="n"/>
    </row>
    <row r="199" ht="15.75" customHeight="1" s="545">
      <c r="A199" s="21" t="n"/>
      <c r="B199" s="21" t="n"/>
      <c r="C199" s="21" t="n"/>
      <c r="D199" s="21" t="n"/>
      <c r="E199" s="21" t="n"/>
      <c r="F199" s="21" t="n"/>
      <c r="G199" s="21" t="n"/>
      <c r="H199" s="21" t="n"/>
      <c r="I199" s="21" t="n"/>
      <c r="J199" s="21" t="n"/>
      <c r="K199" s="21" t="n"/>
      <c r="L199" s="21" t="n"/>
      <c r="M199" s="21" t="n"/>
      <c r="N199" s="21" t="n"/>
      <c r="O199" s="21" t="n"/>
      <c r="P199" s="21" t="n"/>
      <c r="Q199" s="21" t="n"/>
      <c r="R199" s="21" t="n"/>
      <c r="S199" s="21" t="n"/>
      <c r="T199" s="21" t="n"/>
      <c r="U199" s="21" t="n"/>
      <c r="V199" s="21" t="n"/>
      <c r="W199" s="21" t="n"/>
      <c r="X199" s="21" t="n"/>
      <c r="Y199" s="21" t="n"/>
      <c r="Z199" s="21" t="n"/>
    </row>
    <row r="200" ht="15.75" customHeight="1" s="545">
      <c r="A200" s="21" t="n"/>
      <c r="B200" s="21" t="n"/>
      <c r="C200" s="21" t="n"/>
      <c r="D200" s="21" t="n"/>
      <c r="E200" s="21" t="n"/>
      <c r="F200" s="21" t="n"/>
      <c r="G200" s="21" t="n"/>
      <c r="H200" s="21" t="n"/>
      <c r="I200" s="21" t="n"/>
      <c r="J200" s="21" t="n"/>
      <c r="K200" s="21" t="n"/>
      <c r="L200" s="21" t="n"/>
      <c r="M200" s="21" t="n"/>
      <c r="N200" s="21" t="n"/>
      <c r="O200" s="21" t="n"/>
      <c r="P200" s="21" t="n"/>
      <c r="Q200" s="21" t="n"/>
      <c r="R200" s="21" t="n"/>
      <c r="S200" s="21" t="n"/>
      <c r="T200" s="21" t="n"/>
      <c r="U200" s="21" t="n"/>
      <c r="V200" s="21" t="n"/>
      <c r="W200" s="21" t="n"/>
      <c r="X200" s="21" t="n"/>
      <c r="Y200" s="21" t="n"/>
      <c r="Z200" s="21" t="n"/>
    </row>
    <row r="201" ht="15.75" customHeight="1" s="545">
      <c r="A201" s="21" t="n"/>
      <c r="B201" s="21" t="n"/>
      <c r="C201" s="21" t="n"/>
      <c r="D201" s="21" t="n"/>
      <c r="E201" s="21" t="n"/>
      <c r="F201" s="21" t="n"/>
      <c r="G201" s="21" t="n"/>
      <c r="H201" s="21" t="n"/>
      <c r="I201" s="21" t="n"/>
      <c r="J201" s="21" t="n"/>
      <c r="K201" s="21" t="n"/>
      <c r="L201" s="21" t="n"/>
      <c r="M201" s="21" t="n"/>
      <c r="N201" s="21" t="n"/>
      <c r="O201" s="21" t="n"/>
      <c r="P201" s="21" t="n"/>
      <c r="Q201" s="21" t="n"/>
      <c r="R201" s="21" t="n"/>
      <c r="S201" s="21" t="n"/>
      <c r="T201" s="21" t="n"/>
      <c r="U201" s="21" t="n"/>
      <c r="V201" s="21" t="n"/>
      <c r="W201" s="21" t="n"/>
      <c r="X201" s="21" t="n"/>
      <c r="Y201" s="21" t="n"/>
      <c r="Z201" s="21" t="n"/>
    </row>
    <row r="202" ht="15.75" customHeight="1" s="545">
      <c r="A202" s="21" t="n"/>
      <c r="B202" s="21" t="n"/>
      <c r="C202" s="21" t="n"/>
      <c r="D202" s="21" t="n"/>
      <c r="E202" s="21" t="n"/>
      <c r="F202" s="21" t="n"/>
      <c r="G202" s="21" t="n"/>
      <c r="H202" s="21" t="n"/>
      <c r="I202" s="21" t="n"/>
      <c r="J202" s="21" t="n"/>
      <c r="K202" s="21" t="n"/>
      <c r="L202" s="21" t="n"/>
      <c r="M202" s="21" t="n"/>
      <c r="N202" s="21" t="n"/>
      <c r="O202" s="21" t="n"/>
      <c r="P202" s="21" t="n"/>
      <c r="Q202" s="21" t="n"/>
      <c r="R202" s="21" t="n"/>
      <c r="S202" s="21" t="n"/>
      <c r="T202" s="21" t="n"/>
      <c r="U202" s="21" t="n"/>
      <c r="V202" s="21" t="n"/>
      <c r="W202" s="21" t="n"/>
      <c r="X202" s="21" t="n"/>
      <c r="Y202" s="21" t="n"/>
      <c r="Z202" s="21" t="n"/>
    </row>
    <row r="203" ht="15.75" customHeight="1" s="545">
      <c r="A203" s="21" t="n"/>
      <c r="B203" s="21" t="n"/>
      <c r="C203" s="21" t="n"/>
      <c r="D203" s="21" t="n"/>
      <c r="E203" s="21" t="n"/>
      <c r="F203" s="21" t="n"/>
      <c r="G203" s="21" t="n"/>
      <c r="H203" s="21" t="n"/>
      <c r="I203" s="21" t="n"/>
      <c r="J203" s="21" t="n"/>
      <c r="K203" s="21" t="n"/>
      <c r="L203" s="21" t="n"/>
      <c r="M203" s="21" t="n"/>
      <c r="N203" s="21" t="n"/>
      <c r="O203" s="21" t="n"/>
      <c r="P203" s="21" t="n"/>
      <c r="Q203" s="21" t="n"/>
      <c r="R203" s="21" t="n"/>
      <c r="S203" s="21" t="n"/>
      <c r="T203" s="21" t="n"/>
      <c r="U203" s="21" t="n"/>
      <c r="V203" s="21" t="n"/>
      <c r="W203" s="21" t="n"/>
      <c r="X203" s="21" t="n"/>
      <c r="Y203" s="21" t="n"/>
      <c r="Z203" s="21" t="n"/>
    </row>
    <row r="204" ht="15.75" customHeight="1" s="545">
      <c r="A204" s="21" t="n"/>
      <c r="B204" s="21" t="n"/>
      <c r="C204" s="21" t="n"/>
      <c r="D204" s="21" t="n"/>
      <c r="E204" s="21" t="n"/>
      <c r="F204" s="21" t="n"/>
      <c r="G204" s="21" t="n"/>
      <c r="H204" s="21" t="n"/>
      <c r="I204" s="21" t="n"/>
      <c r="J204" s="21" t="n"/>
      <c r="K204" s="21" t="n"/>
      <c r="L204" s="21" t="n"/>
      <c r="M204" s="21" t="n"/>
      <c r="N204" s="21" t="n"/>
      <c r="O204" s="21" t="n"/>
      <c r="P204" s="21" t="n"/>
      <c r="Q204" s="21" t="n"/>
      <c r="R204" s="21" t="n"/>
      <c r="S204" s="21" t="n"/>
      <c r="T204" s="21" t="n"/>
      <c r="U204" s="21" t="n"/>
      <c r="V204" s="21" t="n"/>
      <c r="W204" s="21" t="n"/>
      <c r="X204" s="21" t="n"/>
      <c r="Y204" s="21" t="n"/>
      <c r="Z204" s="21" t="n"/>
    </row>
    <row r="205" ht="15.75" customHeight="1" s="545">
      <c r="A205" s="21" t="n"/>
      <c r="B205" s="21" t="n"/>
      <c r="C205" s="21" t="n"/>
      <c r="D205" s="21" t="n"/>
      <c r="E205" s="21" t="n"/>
      <c r="F205" s="21" t="n"/>
      <c r="G205" s="21" t="n"/>
      <c r="H205" s="21" t="n"/>
      <c r="I205" s="21" t="n"/>
      <c r="J205" s="21" t="n"/>
      <c r="K205" s="21" t="n"/>
      <c r="L205" s="21" t="n"/>
      <c r="M205" s="21" t="n"/>
      <c r="N205" s="21" t="n"/>
      <c r="O205" s="21" t="n"/>
      <c r="P205" s="21" t="n"/>
      <c r="Q205" s="21" t="n"/>
      <c r="R205" s="21" t="n"/>
      <c r="S205" s="21" t="n"/>
      <c r="T205" s="21" t="n"/>
      <c r="U205" s="21" t="n"/>
      <c r="V205" s="21" t="n"/>
      <c r="W205" s="21" t="n"/>
      <c r="X205" s="21" t="n"/>
      <c r="Y205" s="21" t="n"/>
      <c r="Z205" s="21" t="n"/>
    </row>
    <row r="206" ht="15.75" customHeight="1" s="545">
      <c r="A206" s="21" t="n"/>
      <c r="B206" s="21" t="n"/>
      <c r="C206" s="21" t="n"/>
      <c r="D206" s="21" t="n"/>
      <c r="E206" s="21" t="n"/>
      <c r="F206" s="21" t="n"/>
      <c r="G206" s="21" t="n"/>
      <c r="H206" s="21" t="n"/>
      <c r="I206" s="21" t="n"/>
      <c r="J206" s="21" t="n"/>
      <c r="K206" s="21" t="n"/>
      <c r="L206" s="21" t="n"/>
      <c r="M206" s="21" t="n"/>
      <c r="N206" s="21" t="n"/>
      <c r="O206" s="21" t="n"/>
      <c r="P206" s="21" t="n"/>
      <c r="Q206" s="21" t="n"/>
      <c r="R206" s="21" t="n"/>
      <c r="S206" s="21" t="n"/>
      <c r="T206" s="21" t="n"/>
      <c r="U206" s="21" t="n"/>
      <c r="V206" s="21" t="n"/>
      <c r="W206" s="21" t="n"/>
      <c r="X206" s="21" t="n"/>
      <c r="Y206" s="21" t="n"/>
      <c r="Z206" s="21" t="n"/>
    </row>
    <row r="207" ht="15.75" customHeight="1" s="545">
      <c r="A207" s="21" t="n"/>
      <c r="B207" s="21" t="n"/>
      <c r="C207" s="21" t="n"/>
      <c r="D207" s="21" t="n"/>
      <c r="E207" s="21" t="n"/>
      <c r="F207" s="21" t="n"/>
      <c r="G207" s="21" t="n"/>
      <c r="H207" s="21" t="n"/>
      <c r="I207" s="21" t="n"/>
      <c r="J207" s="21" t="n"/>
      <c r="K207" s="21" t="n"/>
      <c r="L207" s="21" t="n"/>
      <c r="M207" s="21" t="n"/>
      <c r="N207" s="21" t="n"/>
      <c r="O207" s="21" t="n"/>
      <c r="P207" s="21" t="n"/>
      <c r="Q207" s="21" t="n"/>
      <c r="R207" s="21" t="n"/>
      <c r="S207" s="21" t="n"/>
      <c r="T207" s="21" t="n"/>
      <c r="U207" s="21" t="n"/>
      <c r="V207" s="21" t="n"/>
      <c r="W207" s="21" t="n"/>
      <c r="X207" s="21" t="n"/>
      <c r="Y207" s="21" t="n"/>
      <c r="Z207" s="21" t="n"/>
    </row>
    <row r="208" ht="15.75" customHeight="1" s="545">
      <c r="A208" s="21" t="n"/>
      <c r="B208" s="21" t="n"/>
      <c r="C208" s="21" t="n"/>
      <c r="D208" s="21" t="n"/>
      <c r="E208" s="21" t="n"/>
      <c r="F208" s="21" t="n"/>
      <c r="G208" s="21" t="n"/>
      <c r="H208" s="21" t="n"/>
      <c r="I208" s="21" t="n"/>
      <c r="J208" s="21" t="n"/>
      <c r="K208" s="21" t="n"/>
      <c r="L208" s="21" t="n"/>
      <c r="M208" s="21" t="n"/>
      <c r="N208" s="21" t="n"/>
      <c r="O208" s="21" t="n"/>
      <c r="P208" s="21" t="n"/>
      <c r="Q208" s="21" t="n"/>
      <c r="R208" s="21" t="n"/>
      <c r="S208" s="21" t="n"/>
      <c r="T208" s="21" t="n"/>
      <c r="U208" s="21" t="n"/>
      <c r="V208" s="21" t="n"/>
      <c r="W208" s="21" t="n"/>
      <c r="X208" s="21" t="n"/>
      <c r="Y208" s="21" t="n"/>
      <c r="Z208" s="21" t="n"/>
    </row>
    <row r="209" ht="15.75" customHeight="1" s="545">
      <c r="A209" s="21" t="n"/>
      <c r="B209" s="21" t="n"/>
      <c r="C209" s="21" t="n"/>
      <c r="D209" s="21" t="n"/>
      <c r="E209" s="21" t="n"/>
      <c r="F209" s="21" t="n"/>
      <c r="G209" s="21" t="n"/>
      <c r="H209" s="21" t="n"/>
      <c r="I209" s="21" t="n"/>
      <c r="J209" s="21" t="n"/>
      <c r="K209" s="21" t="n"/>
      <c r="L209" s="21" t="n"/>
      <c r="M209" s="21" t="n"/>
      <c r="N209" s="21" t="n"/>
      <c r="O209" s="21" t="n"/>
      <c r="P209" s="21" t="n"/>
      <c r="Q209" s="21" t="n"/>
      <c r="R209" s="21" t="n"/>
      <c r="S209" s="21" t="n"/>
      <c r="T209" s="21" t="n"/>
      <c r="U209" s="21" t="n"/>
      <c r="V209" s="21" t="n"/>
      <c r="W209" s="21" t="n"/>
      <c r="X209" s="21" t="n"/>
      <c r="Y209" s="21" t="n"/>
      <c r="Z209" s="21" t="n"/>
    </row>
    <row r="210" ht="15.75" customHeight="1" s="545">
      <c r="A210" s="21" t="n"/>
      <c r="B210" s="21" t="n"/>
      <c r="C210" s="21" t="n"/>
      <c r="D210" s="21" t="n"/>
      <c r="E210" s="21" t="n"/>
      <c r="F210" s="21" t="n"/>
      <c r="G210" s="21" t="n"/>
      <c r="H210" s="21" t="n"/>
      <c r="I210" s="21" t="n"/>
      <c r="J210" s="21" t="n"/>
      <c r="K210" s="21" t="n"/>
      <c r="L210" s="21" t="n"/>
      <c r="M210" s="21" t="n"/>
      <c r="N210" s="21" t="n"/>
      <c r="O210" s="21" t="n"/>
      <c r="P210" s="21" t="n"/>
      <c r="Q210" s="21" t="n"/>
      <c r="R210" s="21" t="n"/>
      <c r="S210" s="21" t="n"/>
      <c r="T210" s="21" t="n"/>
      <c r="U210" s="21" t="n"/>
      <c r="V210" s="21" t="n"/>
      <c r="W210" s="21" t="n"/>
      <c r="X210" s="21" t="n"/>
      <c r="Y210" s="21" t="n"/>
      <c r="Z210" s="21" t="n"/>
    </row>
    <row r="211" ht="15.75" customHeight="1" s="545">
      <c r="A211" s="21" t="n"/>
      <c r="B211" s="21" t="n"/>
      <c r="C211" s="21" t="n"/>
      <c r="D211" s="21" t="n"/>
      <c r="E211" s="21" t="n"/>
      <c r="F211" s="21" t="n"/>
      <c r="G211" s="21" t="n"/>
      <c r="H211" s="21" t="n"/>
      <c r="I211" s="21" t="n"/>
      <c r="J211" s="21" t="n"/>
      <c r="K211" s="21" t="n"/>
      <c r="L211" s="21" t="n"/>
      <c r="M211" s="21" t="n"/>
      <c r="N211" s="21" t="n"/>
      <c r="O211" s="21" t="n"/>
      <c r="P211" s="21" t="n"/>
      <c r="Q211" s="21" t="n"/>
      <c r="R211" s="21" t="n"/>
      <c r="S211" s="21" t="n"/>
      <c r="T211" s="21" t="n"/>
      <c r="U211" s="21" t="n"/>
      <c r="V211" s="21" t="n"/>
      <c r="W211" s="21" t="n"/>
      <c r="X211" s="21" t="n"/>
      <c r="Y211" s="21" t="n"/>
      <c r="Z211" s="21" t="n"/>
    </row>
    <row r="212" ht="15.75" customHeight="1" s="545">
      <c r="A212" s="21" t="n"/>
      <c r="B212" s="21" t="n"/>
      <c r="C212" s="21" t="n"/>
      <c r="D212" s="21" t="n"/>
      <c r="E212" s="21" t="n"/>
      <c r="F212" s="21" t="n"/>
      <c r="G212" s="21" t="n"/>
      <c r="H212" s="21" t="n"/>
      <c r="I212" s="21" t="n"/>
      <c r="J212" s="21" t="n"/>
      <c r="K212" s="21" t="n"/>
      <c r="L212" s="21" t="n"/>
      <c r="M212" s="21" t="n"/>
      <c r="N212" s="21" t="n"/>
      <c r="O212" s="21" t="n"/>
      <c r="P212" s="21" t="n"/>
      <c r="Q212" s="21" t="n"/>
      <c r="R212" s="21" t="n"/>
      <c r="S212" s="21" t="n"/>
      <c r="T212" s="21" t="n"/>
      <c r="U212" s="21" t="n"/>
      <c r="V212" s="21" t="n"/>
      <c r="W212" s="21" t="n"/>
      <c r="X212" s="21" t="n"/>
      <c r="Y212" s="21" t="n"/>
      <c r="Z212" s="21" t="n"/>
    </row>
    <row r="213" ht="15.75" customHeight="1" s="545">
      <c r="A213" s="21" t="n"/>
      <c r="B213" s="21" t="n"/>
      <c r="C213" s="21" t="n"/>
      <c r="D213" s="21" t="n"/>
      <c r="E213" s="21" t="n"/>
      <c r="F213" s="21" t="n"/>
      <c r="G213" s="21" t="n"/>
      <c r="H213" s="21" t="n"/>
      <c r="I213" s="21" t="n"/>
      <c r="J213" s="21" t="n"/>
      <c r="K213" s="21" t="n"/>
      <c r="L213" s="21" t="n"/>
      <c r="M213" s="21" t="n"/>
      <c r="N213" s="21" t="n"/>
      <c r="O213" s="21" t="n"/>
      <c r="P213" s="21" t="n"/>
      <c r="Q213" s="21" t="n"/>
      <c r="R213" s="21" t="n"/>
      <c r="S213" s="21" t="n"/>
      <c r="T213" s="21" t="n"/>
      <c r="U213" s="21" t="n"/>
      <c r="V213" s="21" t="n"/>
      <c r="W213" s="21" t="n"/>
      <c r="X213" s="21" t="n"/>
      <c r="Y213" s="21" t="n"/>
      <c r="Z213" s="21" t="n"/>
    </row>
    <row r="214" ht="15.75" customHeight="1" s="545">
      <c r="A214" s="21" t="n"/>
      <c r="B214" s="21" t="n"/>
      <c r="C214" s="21" t="n"/>
      <c r="D214" s="21" t="n"/>
      <c r="E214" s="21" t="n"/>
      <c r="F214" s="21" t="n"/>
      <c r="G214" s="21" t="n"/>
      <c r="H214" s="21" t="n"/>
      <c r="I214" s="21" t="n"/>
      <c r="J214" s="21" t="n"/>
      <c r="K214" s="21" t="n"/>
      <c r="L214" s="21" t="n"/>
      <c r="M214" s="21" t="n"/>
      <c r="N214" s="21" t="n"/>
      <c r="O214" s="21" t="n"/>
      <c r="P214" s="21" t="n"/>
      <c r="Q214" s="21" t="n"/>
      <c r="R214" s="21" t="n"/>
      <c r="S214" s="21" t="n"/>
      <c r="T214" s="21" t="n"/>
      <c r="U214" s="21" t="n"/>
      <c r="V214" s="21" t="n"/>
      <c r="W214" s="21" t="n"/>
      <c r="X214" s="21" t="n"/>
      <c r="Y214" s="21" t="n"/>
      <c r="Z214" s="21" t="n"/>
    </row>
    <row r="215" ht="15.75" customHeight="1" s="545">
      <c r="A215" s="21" t="n"/>
      <c r="B215" s="21" t="n"/>
      <c r="C215" s="21" t="n"/>
      <c r="D215" s="21" t="n"/>
      <c r="E215" s="21" t="n"/>
      <c r="F215" s="21" t="n"/>
      <c r="G215" s="21" t="n"/>
      <c r="H215" s="21" t="n"/>
      <c r="I215" s="21" t="n"/>
      <c r="J215" s="21" t="n"/>
      <c r="K215" s="21" t="n"/>
      <c r="L215" s="21" t="n"/>
      <c r="M215" s="21" t="n"/>
      <c r="N215" s="21" t="n"/>
      <c r="O215" s="21" t="n"/>
      <c r="P215" s="21" t="n"/>
      <c r="Q215" s="21" t="n"/>
      <c r="R215" s="21" t="n"/>
      <c r="S215" s="21" t="n"/>
      <c r="T215" s="21" t="n"/>
      <c r="U215" s="21" t="n"/>
      <c r="V215" s="21" t="n"/>
      <c r="W215" s="21" t="n"/>
      <c r="X215" s="21" t="n"/>
      <c r="Y215" s="21" t="n"/>
      <c r="Z215" s="21" t="n"/>
    </row>
    <row r="216" ht="15.75" customHeight="1" s="545">
      <c r="A216" s="21" t="n"/>
      <c r="B216" s="21" t="n"/>
      <c r="C216" s="21" t="n"/>
      <c r="D216" s="21" t="n"/>
      <c r="E216" s="21" t="n"/>
      <c r="F216" s="21" t="n"/>
      <c r="G216" s="21" t="n"/>
      <c r="H216" s="21" t="n"/>
      <c r="I216" s="21" t="n"/>
      <c r="J216" s="21" t="n"/>
      <c r="K216" s="21" t="n"/>
      <c r="L216" s="21" t="n"/>
      <c r="M216" s="21" t="n"/>
      <c r="N216" s="21" t="n"/>
      <c r="O216" s="21" t="n"/>
      <c r="P216" s="21" t="n"/>
      <c r="Q216" s="21" t="n"/>
      <c r="R216" s="21" t="n"/>
      <c r="S216" s="21" t="n"/>
      <c r="T216" s="21" t="n"/>
      <c r="U216" s="21" t="n"/>
      <c r="V216" s="21" t="n"/>
      <c r="W216" s="21" t="n"/>
      <c r="X216" s="21" t="n"/>
      <c r="Y216" s="21" t="n"/>
      <c r="Z216" s="21" t="n"/>
    </row>
    <row r="217" ht="15.75" customHeight="1" s="545">
      <c r="A217" s="21" t="n"/>
      <c r="B217" s="21" t="n"/>
      <c r="C217" s="21" t="n"/>
      <c r="D217" s="21" t="n"/>
      <c r="E217" s="21" t="n"/>
      <c r="F217" s="21" t="n"/>
      <c r="G217" s="21" t="n"/>
      <c r="H217" s="21" t="n"/>
      <c r="I217" s="21" t="n"/>
      <c r="J217" s="21" t="n"/>
      <c r="K217" s="21" t="n"/>
      <c r="L217" s="21" t="n"/>
      <c r="M217" s="21" t="n"/>
      <c r="N217" s="21" t="n"/>
      <c r="O217" s="21" t="n"/>
      <c r="P217" s="21" t="n"/>
      <c r="Q217" s="21" t="n"/>
      <c r="R217" s="21" t="n"/>
      <c r="S217" s="21" t="n"/>
      <c r="T217" s="21" t="n"/>
      <c r="U217" s="21" t="n"/>
      <c r="V217" s="21" t="n"/>
      <c r="W217" s="21" t="n"/>
      <c r="X217" s="21" t="n"/>
      <c r="Y217" s="21" t="n"/>
      <c r="Z217" s="21" t="n"/>
    </row>
    <row r="218" ht="15.75" customHeight="1" s="545">
      <c r="A218" s="21" t="n"/>
      <c r="B218" s="21" t="n"/>
      <c r="C218" s="21" t="n"/>
      <c r="D218" s="21" t="n"/>
      <c r="E218" s="21" t="n"/>
      <c r="F218" s="21" t="n"/>
      <c r="G218" s="21" t="n"/>
      <c r="H218" s="21" t="n"/>
      <c r="I218" s="21" t="n"/>
      <c r="J218" s="21" t="n"/>
      <c r="K218" s="21" t="n"/>
      <c r="L218" s="21" t="n"/>
      <c r="M218" s="21" t="n"/>
      <c r="N218" s="21" t="n"/>
      <c r="O218" s="21" t="n"/>
      <c r="P218" s="21" t="n"/>
      <c r="Q218" s="21" t="n"/>
      <c r="R218" s="21" t="n"/>
      <c r="S218" s="21" t="n"/>
      <c r="T218" s="21" t="n"/>
      <c r="U218" s="21" t="n"/>
      <c r="V218" s="21" t="n"/>
      <c r="W218" s="21" t="n"/>
      <c r="X218" s="21" t="n"/>
      <c r="Y218" s="21" t="n"/>
      <c r="Z218" s="21" t="n"/>
    </row>
    <row r="219" ht="15.75" customHeight="1" s="545">
      <c r="A219" s="21" t="n"/>
      <c r="B219" s="21" t="n"/>
      <c r="C219" s="21" t="n"/>
      <c r="D219" s="21" t="n"/>
      <c r="E219" s="21" t="n"/>
      <c r="F219" s="21" t="n"/>
      <c r="G219" s="21" t="n"/>
      <c r="H219" s="21" t="n"/>
      <c r="I219" s="21" t="n"/>
      <c r="J219" s="21" t="n"/>
      <c r="K219" s="21" t="n"/>
      <c r="L219" s="21" t="n"/>
      <c r="M219" s="21" t="n"/>
      <c r="N219" s="21" t="n"/>
      <c r="O219" s="21" t="n"/>
      <c r="P219" s="21" t="n"/>
      <c r="Q219" s="21" t="n"/>
      <c r="R219" s="21" t="n"/>
      <c r="S219" s="21" t="n"/>
      <c r="T219" s="21" t="n"/>
      <c r="U219" s="21" t="n"/>
      <c r="V219" s="21" t="n"/>
      <c r="W219" s="21" t="n"/>
      <c r="X219" s="21" t="n"/>
      <c r="Y219" s="21" t="n"/>
      <c r="Z219" s="21" t="n"/>
    </row>
    <row r="220" ht="15.75" customHeight="1" s="545">
      <c r="A220" s="21" t="n"/>
      <c r="B220" s="21" t="n"/>
      <c r="C220" s="21" t="n"/>
      <c r="D220" s="21" t="n"/>
      <c r="E220" s="21" t="n"/>
      <c r="F220" s="21" t="n"/>
      <c r="G220" s="21" t="n"/>
      <c r="H220" s="21" t="n"/>
      <c r="I220" s="21" t="n"/>
      <c r="J220" s="21" t="n"/>
      <c r="K220" s="21" t="n"/>
      <c r="L220" s="21" t="n"/>
      <c r="M220" s="21" t="n"/>
      <c r="N220" s="21" t="n"/>
      <c r="O220" s="21" t="n"/>
      <c r="P220" s="21" t="n"/>
      <c r="Q220" s="21" t="n"/>
      <c r="R220" s="21" t="n"/>
      <c r="S220" s="21" t="n"/>
      <c r="T220" s="21" t="n"/>
      <c r="U220" s="21" t="n"/>
      <c r="V220" s="21" t="n"/>
      <c r="W220" s="21" t="n"/>
      <c r="X220" s="21" t="n"/>
      <c r="Y220" s="21" t="n"/>
      <c r="Z220" s="21" t="n"/>
    </row>
    <row r="221" ht="15.75" customHeight="1" s="545">
      <c r="A221" s="21" t="n"/>
      <c r="B221" s="21" t="n"/>
      <c r="C221" s="21" t="n"/>
      <c r="D221" s="21" t="n"/>
      <c r="E221" s="21" t="n"/>
      <c r="F221" s="21" t="n"/>
      <c r="G221" s="21" t="n"/>
      <c r="H221" s="21" t="n"/>
      <c r="I221" s="21" t="n"/>
      <c r="J221" s="21" t="n"/>
      <c r="K221" s="21" t="n"/>
      <c r="L221" s="21" t="n"/>
      <c r="M221" s="21" t="n"/>
      <c r="N221" s="21" t="n"/>
      <c r="O221" s="21" t="n"/>
      <c r="P221" s="21" t="n"/>
      <c r="Q221" s="21" t="n"/>
      <c r="R221" s="21" t="n"/>
      <c r="S221" s="21" t="n"/>
      <c r="T221" s="21" t="n"/>
      <c r="U221" s="21" t="n"/>
      <c r="V221" s="21" t="n"/>
      <c r="W221" s="21" t="n"/>
      <c r="X221" s="21" t="n"/>
      <c r="Y221" s="21" t="n"/>
      <c r="Z221" s="21" t="n"/>
    </row>
    <row r="222" ht="15.75" customHeight="1" s="545">
      <c r="A222" s="21" t="n"/>
      <c r="B222" s="21" t="n"/>
      <c r="C222" s="21" t="n"/>
      <c r="D222" s="21" t="n"/>
      <c r="E222" s="21" t="n"/>
      <c r="F222" s="21" t="n"/>
      <c r="G222" s="21" t="n"/>
      <c r="H222" s="21" t="n"/>
      <c r="I222" s="21" t="n"/>
      <c r="J222" s="21" t="n"/>
      <c r="K222" s="21" t="n"/>
      <c r="L222" s="21" t="n"/>
      <c r="M222" s="21" t="n"/>
      <c r="N222" s="21" t="n"/>
      <c r="O222" s="21" t="n"/>
      <c r="P222" s="21" t="n"/>
      <c r="Q222" s="21" t="n"/>
      <c r="R222" s="21" t="n"/>
      <c r="S222" s="21" t="n"/>
      <c r="T222" s="21" t="n"/>
      <c r="U222" s="21" t="n"/>
      <c r="V222" s="21" t="n"/>
      <c r="W222" s="21" t="n"/>
      <c r="X222" s="21" t="n"/>
      <c r="Y222" s="21" t="n"/>
      <c r="Z222" s="21" t="n"/>
    </row>
    <row r="223" ht="15.75" customHeight="1" s="545">
      <c r="A223" s="21" t="n"/>
      <c r="B223" s="21" t="n"/>
      <c r="C223" s="21" t="n"/>
      <c r="D223" s="21" t="n"/>
      <c r="E223" s="21" t="n"/>
      <c r="F223" s="21" t="n"/>
      <c r="G223" s="21" t="n"/>
      <c r="H223" s="21" t="n"/>
      <c r="I223" s="21" t="n"/>
      <c r="J223" s="21" t="n"/>
      <c r="K223" s="21" t="n"/>
      <c r="L223" s="21" t="n"/>
      <c r="M223" s="21" t="n"/>
      <c r="N223" s="21" t="n"/>
      <c r="O223" s="21" t="n"/>
      <c r="P223" s="21" t="n"/>
      <c r="Q223" s="21" t="n"/>
      <c r="R223" s="21" t="n"/>
      <c r="S223" s="21" t="n"/>
      <c r="T223" s="21" t="n"/>
      <c r="U223" s="21" t="n"/>
      <c r="V223" s="21" t="n"/>
      <c r="W223" s="21" t="n"/>
      <c r="X223" s="21" t="n"/>
      <c r="Y223" s="21" t="n"/>
      <c r="Z223" s="21" t="n"/>
    </row>
    <row r="224" ht="15.75" customHeight="1" s="545">
      <c r="A224" s="21" t="n"/>
      <c r="B224" s="21" t="n"/>
      <c r="C224" s="21" t="n"/>
      <c r="D224" s="21" t="n"/>
      <c r="E224" s="21" t="n"/>
      <c r="F224" s="21" t="n"/>
      <c r="G224" s="21" t="n"/>
      <c r="H224" s="21" t="n"/>
      <c r="I224" s="21" t="n"/>
      <c r="J224" s="21" t="n"/>
      <c r="K224" s="21" t="n"/>
      <c r="L224" s="21" t="n"/>
      <c r="M224" s="21" t="n"/>
      <c r="N224" s="21" t="n"/>
      <c r="O224" s="21" t="n"/>
      <c r="P224" s="21" t="n"/>
      <c r="Q224" s="21" t="n"/>
      <c r="R224" s="21" t="n"/>
      <c r="S224" s="21" t="n"/>
      <c r="T224" s="21" t="n"/>
      <c r="U224" s="21" t="n"/>
      <c r="V224" s="21" t="n"/>
      <c r="W224" s="21" t="n"/>
      <c r="X224" s="21" t="n"/>
      <c r="Y224" s="21" t="n"/>
      <c r="Z224" s="21" t="n"/>
    </row>
    <row r="225" ht="15.75" customHeight="1" s="545">
      <c r="A225" s="21" t="n"/>
      <c r="B225" s="21" t="n"/>
      <c r="C225" s="21" t="n"/>
      <c r="D225" s="21" t="n"/>
      <c r="E225" s="21" t="n"/>
      <c r="F225" s="21" t="n"/>
      <c r="G225" s="21" t="n"/>
      <c r="H225" s="21" t="n"/>
      <c r="I225" s="21" t="n"/>
      <c r="J225" s="21" t="n"/>
      <c r="K225" s="21" t="n"/>
      <c r="L225" s="21" t="n"/>
      <c r="M225" s="21" t="n"/>
      <c r="N225" s="21" t="n"/>
      <c r="O225" s="21" t="n"/>
      <c r="P225" s="21" t="n"/>
      <c r="Q225" s="21" t="n"/>
      <c r="R225" s="21" t="n"/>
      <c r="S225" s="21" t="n"/>
      <c r="T225" s="21" t="n"/>
      <c r="U225" s="21" t="n"/>
      <c r="V225" s="21" t="n"/>
      <c r="W225" s="21" t="n"/>
      <c r="X225" s="21" t="n"/>
      <c r="Y225" s="21" t="n"/>
      <c r="Z225" s="21" t="n"/>
    </row>
    <row r="226" ht="15.75" customHeight="1" s="545">
      <c r="A226" s="21" t="n"/>
      <c r="B226" s="21" t="n"/>
      <c r="C226" s="21" t="n"/>
      <c r="D226" s="21" t="n"/>
      <c r="E226" s="21" t="n"/>
      <c r="F226" s="21" t="n"/>
      <c r="G226" s="21" t="n"/>
      <c r="H226" s="21" t="n"/>
      <c r="I226" s="21" t="n"/>
      <c r="J226" s="21" t="n"/>
      <c r="K226" s="21" t="n"/>
      <c r="L226" s="21" t="n"/>
      <c r="M226" s="21" t="n"/>
      <c r="N226" s="21" t="n"/>
      <c r="O226" s="21" t="n"/>
      <c r="P226" s="21" t="n"/>
      <c r="Q226" s="21" t="n"/>
      <c r="R226" s="21" t="n"/>
      <c r="S226" s="21" t="n"/>
      <c r="T226" s="21" t="n"/>
      <c r="U226" s="21" t="n"/>
      <c r="V226" s="21" t="n"/>
      <c r="W226" s="21" t="n"/>
      <c r="X226" s="21" t="n"/>
      <c r="Y226" s="21" t="n"/>
      <c r="Z226" s="21" t="n"/>
    </row>
    <row r="227" ht="15.75" customHeight="1" s="545">
      <c r="A227" s="21" t="n"/>
      <c r="B227" s="21" t="n"/>
      <c r="C227" s="21" t="n"/>
      <c r="D227" s="21" t="n"/>
      <c r="E227" s="21" t="n"/>
      <c r="F227" s="21" t="n"/>
      <c r="G227" s="21" t="n"/>
      <c r="H227" s="21" t="n"/>
      <c r="I227" s="21" t="n"/>
      <c r="J227" s="21" t="n"/>
      <c r="K227" s="21" t="n"/>
      <c r="L227" s="21" t="n"/>
      <c r="M227" s="21" t="n"/>
      <c r="N227" s="21" t="n"/>
      <c r="O227" s="21" t="n"/>
      <c r="P227" s="21" t="n"/>
      <c r="Q227" s="21" t="n"/>
      <c r="R227" s="21" t="n"/>
      <c r="S227" s="21" t="n"/>
      <c r="T227" s="21" t="n"/>
      <c r="U227" s="21" t="n"/>
      <c r="V227" s="21" t="n"/>
      <c r="W227" s="21" t="n"/>
      <c r="X227" s="21" t="n"/>
      <c r="Y227" s="21" t="n"/>
      <c r="Z227" s="21" t="n"/>
    </row>
    <row r="228" ht="15.75" customHeight="1" s="545">
      <c r="A228" s="21" t="n"/>
      <c r="B228" s="21" t="n"/>
      <c r="C228" s="21" t="n"/>
      <c r="D228" s="21" t="n"/>
      <c r="E228" s="21" t="n"/>
      <c r="F228" s="21" t="n"/>
      <c r="G228" s="21" t="n"/>
      <c r="H228" s="21" t="n"/>
      <c r="I228" s="21" t="n"/>
      <c r="J228" s="21" t="n"/>
      <c r="K228" s="21" t="n"/>
      <c r="L228" s="21" t="n"/>
      <c r="M228" s="21" t="n"/>
      <c r="N228" s="21" t="n"/>
      <c r="O228" s="21" t="n"/>
      <c r="P228" s="21" t="n"/>
      <c r="Q228" s="21" t="n"/>
      <c r="R228" s="21" t="n"/>
      <c r="S228" s="21" t="n"/>
      <c r="T228" s="21" t="n"/>
      <c r="U228" s="21" t="n"/>
      <c r="V228" s="21" t="n"/>
      <c r="W228" s="21" t="n"/>
      <c r="X228" s="21" t="n"/>
      <c r="Y228" s="21" t="n"/>
      <c r="Z228" s="21" t="n"/>
    </row>
    <row r="229" ht="15.75" customHeight="1" s="545">
      <c r="A229" s="21" t="n"/>
      <c r="B229" s="21" t="n"/>
      <c r="C229" s="21" t="n"/>
      <c r="D229" s="21" t="n"/>
      <c r="E229" s="21" t="n"/>
      <c r="F229" s="21" t="n"/>
      <c r="G229" s="21" t="n"/>
      <c r="H229" s="21" t="n"/>
      <c r="I229" s="21" t="n"/>
      <c r="J229" s="21" t="n"/>
      <c r="K229" s="21" t="n"/>
      <c r="L229" s="21" t="n"/>
      <c r="M229" s="21" t="n"/>
      <c r="N229" s="21" t="n"/>
      <c r="O229" s="21" t="n"/>
      <c r="P229" s="21" t="n"/>
      <c r="Q229" s="21" t="n"/>
      <c r="R229" s="21" t="n"/>
      <c r="S229" s="21" t="n"/>
      <c r="T229" s="21" t="n"/>
      <c r="U229" s="21" t="n"/>
      <c r="V229" s="21" t="n"/>
      <c r="W229" s="21" t="n"/>
      <c r="X229" s="21" t="n"/>
      <c r="Y229" s="21" t="n"/>
      <c r="Z229" s="21" t="n"/>
    </row>
    <row r="230" ht="15.75" customHeight="1" s="545">
      <c r="A230" s="21" t="n"/>
      <c r="B230" s="21" t="n"/>
      <c r="C230" s="21" t="n"/>
      <c r="D230" s="21" t="n"/>
      <c r="E230" s="21" t="n"/>
      <c r="F230" s="21" t="n"/>
      <c r="G230" s="21" t="n"/>
      <c r="H230" s="21" t="n"/>
      <c r="I230" s="21" t="n"/>
      <c r="J230" s="21" t="n"/>
      <c r="K230" s="21" t="n"/>
      <c r="L230" s="21" t="n"/>
      <c r="M230" s="21" t="n"/>
      <c r="N230" s="21" t="n"/>
      <c r="O230" s="21" t="n"/>
      <c r="P230" s="21" t="n"/>
      <c r="Q230" s="21" t="n"/>
      <c r="R230" s="21" t="n"/>
      <c r="S230" s="21" t="n"/>
      <c r="T230" s="21" t="n"/>
      <c r="U230" s="21" t="n"/>
      <c r="V230" s="21" t="n"/>
      <c r="W230" s="21" t="n"/>
      <c r="X230" s="21" t="n"/>
      <c r="Y230" s="21" t="n"/>
      <c r="Z230" s="21" t="n"/>
    </row>
    <row r="231" ht="15.75" customHeight="1" s="545">
      <c r="A231" s="21" t="n"/>
      <c r="B231" s="21" t="n"/>
      <c r="C231" s="21" t="n"/>
      <c r="D231" s="21" t="n"/>
      <c r="E231" s="21" t="n"/>
      <c r="F231" s="21" t="n"/>
      <c r="G231" s="21" t="n"/>
      <c r="H231" s="21" t="n"/>
      <c r="I231" s="21" t="n"/>
      <c r="J231" s="21" t="n"/>
      <c r="K231" s="21" t="n"/>
      <c r="L231" s="21" t="n"/>
      <c r="M231" s="21" t="n"/>
      <c r="N231" s="21" t="n"/>
      <c r="O231" s="21" t="n"/>
      <c r="P231" s="21" t="n"/>
      <c r="Q231" s="21" t="n"/>
      <c r="R231" s="21" t="n"/>
      <c r="S231" s="21" t="n"/>
      <c r="T231" s="21" t="n"/>
      <c r="U231" s="21" t="n"/>
      <c r="V231" s="21" t="n"/>
      <c r="W231" s="21" t="n"/>
      <c r="X231" s="21" t="n"/>
      <c r="Y231" s="21" t="n"/>
      <c r="Z231" s="21" t="n"/>
    </row>
    <row r="232" ht="15.75" customHeight="1" s="545">
      <c r="A232" s="21" t="n"/>
      <c r="B232" s="21" t="n"/>
      <c r="C232" s="21" t="n"/>
      <c r="D232" s="21" t="n"/>
      <c r="E232" s="21" t="n"/>
      <c r="F232" s="21" t="n"/>
      <c r="G232" s="21" t="n"/>
      <c r="H232" s="21" t="n"/>
      <c r="I232" s="21" t="n"/>
      <c r="J232" s="21" t="n"/>
      <c r="K232" s="21" t="n"/>
      <c r="L232" s="21" t="n"/>
      <c r="M232" s="21" t="n"/>
      <c r="N232" s="21" t="n"/>
      <c r="O232" s="21" t="n"/>
      <c r="P232" s="21" t="n"/>
      <c r="Q232" s="21" t="n"/>
      <c r="R232" s="21" t="n"/>
      <c r="S232" s="21" t="n"/>
      <c r="T232" s="21" t="n"/>
      <c r="U232" s="21" t="n"/>
      <c r="V232" s="21" t="n"/>
      <c r="W232" s="21" t="n"/>
      <c r="X232" s="21" t="n"/>
      <c r="Y232" s="21" t="n"/>
      <c r="Z232" s="21" t="n"/>
    </row>
    <row r="233" ht="15.75" customHeight="1" s="545">
      <c r="A233" s="21" t="n"/>
      <c r="B233" s="21" t="n"/>
      <c r="C233" s="21" t="n"/>
      <c r="D233" s="21" t="n"/>
      <c r="E233" s="21" t="n"/>
      <c r="F233" s="21" t="n"/>
      <c r="G233" s="21" t="n"/>
      <c r="H233" s="21" t="n"/>
      <c r="I233" s="21" t="n"/>
      <c r="J233" s="21" t="n"/>
      <c r="K233" s="21" t="n"/>
      <c r="L233" s="21" t="n"/>
      <c r="M233" s="21" t="n"/>
      <c r="N233" s="21" t="n"/>
      <c r="O233" s="21" t="n"/>
      <c r="P233" s="21" t="n"/>
      <c r="Q233" s="21" t="n"/>
      <c r="R233" s="21" t="n"/>
      <c r="S233" s="21" t="n"/>
      <c r="T233" s="21" t="n"/>
      <c r="U233" s="21" t="n"/>
      <c r="V233" s="21" t="n"/>
      <c r="W233" s="21" t="n"/>
      <c r="X233" s="21" t="n"/>
      <c r="Y233" s="21" t="n"/>
      <c r="Z233" s="21" t="n"/>
    </row>
    <row r="234" ht="15.75" customHeight="1" s="545">
      <c r="A234" s="21" t="n"/>
      <c r="B234" s="21" t="n"/>
      <c r="C234" s="21" t="n"/>
      <c r="D234" s="21" t="n"/>
      <c r="E234" s="21" t="n"/>
      <c r="F234" s="21" t="n"/>
      <c r="G234" s="21" t="n"/>
      <c r="H234" s="21" t="n"/>
      <c r="I234" s="21" t="n"/>
      <c r="J234" s="21" t="n"/>
      <c r="K234" s="21" t="n"/>
      <c r="L234" s="21" t="n"/>
      <c r="M234" s="21" t="n"/>
      <c r="N234" s="21" t="n"/>
      <c r="O234" s="21" t="n"/>
      <c r="P234" s="21" t="n"/>
      <c r="Q234" s="21" t="n"/>
      <c r="R234" s="21" t="n"/>
      <c r="S234" s="21" t="n"/>
      <c r="T234" s="21" t="n"/>
      <c r="U234" s="21" t="n"/>
      <c r="V234" s="21" t="n"/>
      <c r="W234" s="21" t="n"/>
      <c r="X234" s="21" t="n"/>
      <c r="Y234" s="21" t="n"/>
      <c r="Z234" s="21" t="n"/>
    </row>
    <row r="235" ht="15.75" customHeight="1" s="545">
      <c r="A235" s="21" t="n"/>
      <c r="B235" s="21" t="n"/>
      <c r="C235" s="21" t="n"/>
      <c r="D235" s="21" t="n"/>
      <c r="E235" s="21" t="n"/>
      <c r="F235" s="21" t="n"/>
      <c r="G235" s="21" t="n"/>
      <c r="H235" s="21" t="n"/>
      <c r="I235" s="21" t="n"/>
      <c r="J235" s="21" t="n"/>
      <c r="K235" s="21" t="n"/>
      <c r="L235" s="21" t="n"/>
      <c r="M235" s="21" t="n"/>
      <c r="N235" s="21" t="n"/>
      <c r="O235" s="21" t="n"/>
      <c r="P235" s="21" t="n"/>
      <c r="Q235" s="21" t="n"/>
      <c r="R235" s="21" t="n"/>
      <c r="S235" s="21" t="n"/>
      <c r="T235" s="21" t="n"/>
      <c r="U235" s="21" t="n"/>
      <c r="V235" s="21" t="n"/>
      <c r="W235" s="21" t="n"/>
      <c r="X235" s="21" t="n"/>
      <c r="Y235" s="21" t="n"/>
      <c r="Z235" s="21" t="n"/>
    </row>
    <row r="236" ht="15.75" customHeight="1" s="545">
      <c r="A236" s="21" t="n"/>
      <c r="B236" s="21" t="n"/>
      <c r="C236" s="21" t="n"/>
      <c r="D236" s="21" t="n"/>
      <c r="E236" s="21" t="n"/>
      <c r="F236" s="21" t="n"/>
      <c r="G236" s="21" t="n"/>
      <c r="H236" s="21" t="n"/>
      <c r="I236" s="21" t="n"/>
      <c r="J236" s="21" t="n"/>
      <c r="K236" s="21" t="n"/>
      <c r="L236" s="21" t="n"/>
      <c r="M236" s="21" t="n"/>
      <c r="N236" s="21" t="n"/>
      <c r="O236" s="21" t="n"/>
      <c r="P236" s="21" t="n"/>
      <c r="Q236" s="21" t="n"/>
      <c r="R236" s="21" t="n"/>
      <c r="S236" s="21" t="n"/>
      <c r="T236" s="21" t="n"/>
      <c r="U236" s="21" t="n"/>
      <c r="V236" s="21" t="n"/>
      <c r="W236" s="21" t="n"/>
      <c r="X236" s="21" t="n"/>
      <c r="Y236" s="21" t="n"/>
      <c r="Z236" s="21" t="n"/>
    </row>
    <row r="237" ht="15.75" customHeight="1" s="545">
      <c r="A237" s="21" t="n"/>
      <c r="B237" s="21" t="n"/>
      <c r="C237" s="21" t="n"/>
      <c r="D237" s="21" t="n"/>
      <c r="E237" s="21" t="n"/>
      <c r="F237" s="21" t="n"/>
      <c r="G237" s="21" t="n"/>
      <c r="H237" s="21" t="n"/>
      <c r="I237" s="21" t="n"/>
      <c r="J237" s="21" t="n"/>
      <c r="K237" s="21" t="n"/>
      <c r="L237" s="21" t="n"/>
      <c r="M237" s="21" t="n"/>
      <c r="N237" s="21" t="n"/>
      <c r="O237" s="21" t="n"/>
      <c r="P237" s="21" t="n"/>
      <c r="Q237" s="21" t="n"/>
      <c r="R237" s="21" t="n"/>
      <c r="S237" s="21" t="n"/>
      <c r="T237" s="21" t="n"/>
      <c r="U237" s="21" t="n"/>
      <c r="V237" s="21" t="n"/>
      <c r="W237" s="21" t="n"/>
      <c r="X237" s="21" t="n"/>
      <c r="Y237" s="21" t="n"/>
      <c r="Z237" s="21" t="n"/>
    </row>
    <row r="238" ht="15.75" customHeight="1" s="545">
      <c r="A238" s="21" t="n"/>
      <c r="B238" s="21" t="n"/>
      <c r="C238" s="21" t="n"/>
      <c r="D238" s="21" t="n"/>
      <c r="E238" s="21" t="n"/>
      <c r="F238" s="21" t="n"/>
      <c r="G238" s="21" t="n"/>
      <c r="H238" s="21" t="n"/>
      <c r="I238" s="21" t="n"/>
      <c r="J238" s="21" t="n"/>
      <c r="K238" s="21" t="n"/>
      <c r="L238" s="21" t="n"/>
      <c r="M238" s="21" t="n"/>
      <c r="N238" s="21" t="n"/>
      <c r="O238" s="21" t="n"/>
      <c r="P238" s="21" t="n"/>
      <c r="Q238" s="21" t="n"/>
      <c r="R238" s="21" t="n"/>
      <c r="S238" s="21" t="n"/>
      <c r="T238" s="21" t="n"/>
      <c r="U238" s="21" t="n"/>
      <c r="V238" s="21" t="n"/>
      <c r="W238" s="21" t="n"/>
      <c r="X238" s="21" t="n"/>
      <c r="Y238" s="21" t="n"/>
      <c r="Z238" s="21" t="n"/>
    </row>
    <row r="239" ht="15.75" customHeight="1" s="545">
      <c r="A239" s="21" t="n"/>
      <c r="B239" s="21" t="n"/>
      <c r="C239" s="21" t="n"/>
      <c r="D239" s="21" t="n"/>
      <c r="E239" s="21" t="n"/>
      <c r="F239" s="21" t="n"/>
      <c r="G239" s="21" t="n"/>
      <c r="H239" s="21" t="n"/>
      <c r="I239" s="21" t="n"/>
      <c r="J239" s="21" t="n"/>
      <c r="K239" s="21" t="n"/>
      <c r="L239" s="21" t="n"/>
      <c r="M239" s="21" t="n"/>
      <c r="N239" s="21" t="n"/>
      <c r="O239" s="21" t="n"/>
      <c r="P239" s="21" t="n"/>
      <c r="Q239" s="21" t="n"/>
      <c r="R239" s="21" t="n"/>
      <c r="S239" s="21" t="n"/>
      <c r="T239" s="21" t="n"/>
      <c r="U239" s="21" t="n"/>
      <c r="V239" s="21" t="n"/>
      <c r="W239" s="21" t="n"/>
      <c r="X239" s="21" t="n"/>
      <c r="Y239" s="21" t="n"/>
      <c r="Z239" s="21" t="n"/>
    </row>
    <row r="240" ht="15.75" customHeight="1" s="545">
      <c r="A240" s="21" t="n"/>
      <c r="B240" s="21" t="n"/>
      <c r="C240" s="21" t="n"/>
      <c r="D240" s="21" t="n"/>
      <c r="E240" s="21" t="n"/>
      <c r="F240" s="21" t="n"/>
      <c r="G240" s="21" t="n"/>
      <c r="H240" s="21" t="n"/>
      <c r="I240" s="21" t="n"/>
      <c r="J240" s="21" t="n"/>
      <c r="K240" s="21" t="n"/>
      <c r="L240" s="21" t="n"/>
      <c r="M240" s="21" t="n"/>
      <c r="N240" s="21" t="n"/>
      <c r="O240" s="21" t="n"/>
      <c r="P240" s="21" t="n"/>
      <c r="Q240" s="21" t="n"/>
      <c r="R240" s="21" t="n"/>
      <c r="S240" s="21" t="n"/>
      <c r="T240" s="21" t="n"/>
      <c r="U240" s="21" t="n"/>
      <c r="V240" s="21" t="n"/>
      <c r="W240" s="21" t="n"/>
      <c r="X240" s="21" t="n"/>
      <c r="Y240" s="21" t="n"/>
      <c r="Z240" s="21" t="n"/>
    </row>
    <row r="241" ht="15.75" customHeight="1" s="545">
      <c r="A241" s="21" t="n"/>
      <c r="B241" s="21" t="n"/>
      <c r="C241" s="21" t="n"/>
      <c r="D241" s="21" t="n"/>
      <c r="E241" s="21" t="n"/>
      <c r="F241" s="21" t="n"/>
      <c r="G241" s="21" t="n"/>
      <c r="H241" s="21" t="n"/>
      <c r="I241" s="21" t="n"/>
      <c r="J241" s="21" t="n"/>
      <c r="K241" s="21" t="n"/>
      <c r="L241" s="21" t="n"/>
      <c r="M241" s="21" t="n"/>
      <c r="N241" s="21" t="n"/>
      <c r="O241" s="21" t="n"/>
      <c r="P241" s="21" t="n"/>
      <c r="Q241" s="21" t="n"/>
      <c r="R241" s="21" t="n"/>
      <c r="S241" s="21" t="n"/>
      <c r="T241" s="21" t="n"/>
      <c r="U241" s="21" t="n"/>
      <c r="V241" s="21" t="n"/>
      <c r="W241" s="21" t="n"/>
      <c r="X241" s="21" t="n"/>
      <c r="Y241" s="21" t="n"/>
      <c r="Z241" s="21" t="n"/>
    </row>
    <row r="242" ht="15.75" customHeight="1" s="545">
      <c r="A242" s="21" t="n"/>
      <c r="B242" s="21" t="n"/>
      <c r="C242" s="21" t="n"/>
      <c r="D242" s="21" t="n"/>
      <c r="E242" s="21" t="n"/>
      <c r="F242" s="21" t="n"/>
      <c r="G242" s="21" t="n"/>
      <c r="H242" s="21" t="n"/>
      <c r="I242" s="21" t="n"/>
      <c r="J242" s="21" t="n"/>
      <c r="K242" s="21" t="n"/>
      <c r="L242" s="21" t="n"/>
      <c r="M242" s="21" t="n"/>
      <c r="N242" s="21" t="n"/>
      <c r="O242" s="21" t="n"/>
      <c r="P242" s="21" t="n"/>
      <c r="Q242" s="21" t="n"/>
      <c r="R242" s="21" t="n"/>
      <c r="S242" s="21" t="n"/>
      <c r="T242" s="21" t="n"/>
      <c r="U242" s="21" t="n"/>
      <c r="V242" s="21" t="n"/>
      <c r="W242" s="21" t="n"/>
      <c r="X242" s="21" t="n"/>
      <c r="Y242" s="21" t="n"/>
      <c r="Z242" s="21" t="n"/>
    </row>
    <row r="243" ht="15.75" customHeight="1" s="545">
      <c r="A243" s="21" t="n"/>
      <c r="B243" s="21" t="n"/>
      <c r="C243" s="21" t="n"/>
      <c r="D243" s="21" t="n"/>
      <c r="E243" s="21" t="n"/>
      <c r="F243" s="21" t="n"/>
      <c r="G243" s="21" t="n"/>
      <c r="H243" s="21" t="n"/>
      <c r="I243" s="21" t="n"/>
      <c r="J243" s="21" t="n"/>
      <c r="K243" s="21" t="n"/>
      <c r="L243" s="21" t="n"/>
      <c r="M243" s="21" t="n"/>
      <c r="N243" s="21" t="n"/>
      <c r="O243" s="21" t="n"/>
      <c r="P243" s="21" t="n"/>
      <c r="Q243" s="21" t="n"/>
      <c r="R243" s="21" t="n"/>
      <c r="S243" s="21" t="n"/>
      <c r="T243" s="21" t="n"/>
      <c r="U243" s="21" t="n"/>
      <c r="V243" s="21" t="n"/>
      <c r="W243" s="21" t="n"/>
      <c r="X243" s="21" t="n"/>
      <c r="Y243" s="21" t="n"/>
      <c r="Z243" s="21" t="n"/>
    </row>
    <row r="244" ht="15.75" customHeight="1" s="545">
      <c r="A244" s="19" t="n"/>
      <c r="B244" s="19" t="n"/>
      <c r="C244" s="19" t="n"/>
    </row>
    <row r="245" ht="15.75" customHeight="1" s="545">
      <c r="A245" s="19" t="n"/>
      <c r="B245" s="19" t="n"/>
      <c r="C245" s="19" t="n"/>
    </row>
    <row r="246" ht="15.75" customHeight="1" s="545">
      <c r="A246" s="19" t="n"/>
      <c r="B246" s="19" t="n"/>
      <c r="C246" s="19" t="n"/>
    </row>
    <row r="247" ht="15.75" customHeight="1" s="545">
      <c r="A247" s="19" t="n"/>
      <c r="B247" s="19" t="n"/>
      <c r="C247" s="19" t="n"/>
    </row>
    <row r="248" ht="15.75" customHeight="1" s="545">
      <c r="A248" s="19" t="n"/>
      <c r="B248" s="19" t="n"/>
      <c r="C248" s="19" t="n"/>
    </row>
    <row r="249" ht="15.75" customHeight="1" s="545">
      <c r="A249" s="19" t="n"/>
      <c r="B249" s="19" t="n"/>
      <c r="C249" s="19" t="n"/>
    </row>
    <row r="250" ht="15.75" customHeight="1" s="545">
      <c r="A250" s="19" t="n"/>
      <c r="B250" s="19" t="n"/>
      <c r="C250" s="19" t="n"/>
    </row>
    <row r="251" ht="15.75" customHeight="1" s="545">
      <c r="A251" s="19" t="n"/>
      <c r="B251" s="19" t="n"/>
      <c r="C251" s="19" t="n"/>
    </row>
    <row r="252" ht="15.75" customHeight="1" s="545">
      <c r="A252" s="19" t="n"/>
      <c r="B252" s="19" t="n"/>
      <c r="C252" s="19" t="n"/>
    </row>
    <row r="253" ht="15.75" customHeight="1" s="545">
      <c r="A253" s="19" t="n"/>
      <c r="B253" s="19" t="n"/>
      <c r="C253" s="19" t="n"/>
    </row>
    <row r="254" ht="15.75" customHeight="1" s="545">
      <c r="A254" s="19" t="n"/>
      <c r="B254" s="19" t="n"/>
      <c r="C254" s="19" t="n"/>
    </row>
    <row r="255" ht="15.75" customHeight="1" s="545">
      <c r="A255" s="19" t="n"/>
      <c r="B255" s="19" t="n"/>
      <c r="C255" s="19" t="n"/>
    </row>
    <row r="256" ht="15.75" customHeight="1" s="545">
      <c r="A256" s="19" t="n"/>
      <c r="B256" s="19" t="n"/>
      <c r="C256" s="19" t="n"/>
    </row>
    <row r="257" ht="15.75" customHeight="1" s="545">
      <c r="A257" s="19" t="n"/>
      <c r="B257" s="19" t="n"/>
      <c r="C257" s="19" t="n"/>
    </row>
    <row r="258" ht="15.75" customHeight="1" s="545">
      <c r="A258" s="19" t="n"/>
      <c r="B258" s="19" t="n"/>
      <c r="C258" s="19" t="n"/>
    </row>
    <row r="259" ht="15.75" customHeight="1" s="545">
      <c r="A259" s="19" t="n"/>
      <c r="B259" s="19" t="n"/>
      <c r="C259" s="19" t="n"/>
    </row>
    <row r="260" ht="15.75" customHeight="1" s="545">
      <c r="A260" s="19" t="n"/>
      <c r="B260" s="19" t="n"/>
      <c r="C260" s="19" t="n"/>
    </row>
    <row r="261" ht="15.75" customHeight="1" s="545">
      <c r="A261" s="19" t="n"/>
      <c r="B261" s="19" t="n"/>
      <c r="C261" s="19" t="n"/>
    </row>
    <row r="262" ht="15.75" customHeight="1" s="545">
      <c r="A262" s="19" t="n"/>
      <c r="B262" s="19" t="n"/>
      <c r="C262" s="19" t="n"/>
    </row>
    <row r="263" ht="15.75" customHeight="1" s="545">
      <c r="A263" s="19" t="n"/>
      <c r="B263" s="19" t="n"/>
      <c r="C263" s="19" t="n"/>
    </row>
    <row r="264" ht="15.75" customHeight="1" s="545">
      <c r="A264" s="19" t="n"/>
      <c r="B264" s="19" t="n"/>
      <c r="C264" s="19" t="n"/>
    </row>
    <row r="265" ht="15.75" customHeight="1" s="545">
      <c r="A265" s="19" t="n"/>
      <c r="B265" s="19" t="n"/>
      <c r="C265" s="19" t="n"/>
    </row>
    <row r="266" ht="15.75" customHeight="1" s="545">
      <c r="A266" s="19" t="n"/>
      <c r="B266" s="19" t="n"/>
      <c r="C266" s="19" t="n"/>
    </row>
    <row r="267" ht="15.75" customHeight="1" s="545">
      <c r="A267" s="19" t="n"/>
      <c r="B267" s="19" t="n"/>
      <c r="C267" s="19" t="n"/>
    </row>
    <row r="268" ht="15.75" customHeight="1" s="545">
      <c r="A268" s="19" t="n"/>
      <c r="B268" s="19" t="n"/>
      <c r="C268" s="19" t="n"/>
    </row>
    <row r="269" ht="15.75" customHeight="1" s="545">
      <c r="A269" s="19" t="n"/>
      <c r="B269" s="19" t="n"/>
      <c r="C269" s="19" t="n"/>
    </row>
    <row r="270" ht="15.75" customHeight="1" s="545">
      <c r="A270" s="19" t="n"/>
      <c r="B270" s="19" t="n"/>
      <c r="C270" s="19" t="n"/>
    </row>
    <row r="271" ht="15.75" customHeight="1" s="545">
      <c r="A271" s="19" t="n"/>
      <c r="B271" s="19" t="n"/>
      <c r="C271" s="19" t="n"/>
    </row>
    <row r="272" ht="15.75" customHeight="1" s="545">
      <c r="A272" s="19" t="n"/>
      <c r="B272" s="19" t="n"/>
      <c r="C272" s="19" t="n"/>
    </row>
    <row r="273" ht="15.75" customHeight="1" s="545">
      <c r="A273" s="19" t="n"/>
      <c r="B273" s="19" t="n"/>
      <c r="C273" s="19" t="n"/>
    </row>
    <row r="274" ht="15.75" customHeight="1" s="545">
      <c r="A274" s="19" t="n"/>
      <c r="B274" s="19" t="n"/>
      <c r="C274" s="19" t="n"/>
    </row>
    <row r="275" ht="15.75" customHeight="1" s="545">
      <c r="A275" s="19" t="n"/>
      <c r="B275" s="19" t="n"/>
      <c r="C275" s="19" t="n"/>
    </row>
    <row r="276" ht="15.75" customHeight="1" s="545">
      <c r="A276" s="19" t="n"/>
      <c r="B276" s="19" t="n"/>
      <c r="C276" s="19" t="n"/>
    </row>
    <row r="277" ht="15.75" customHeight="1" s="545">
      <c r="A277" s="19" t="n"/>
      <c r="B277" s="19" t="n"/>
      <c r="C277" s="19" t="n"/>
    </row>
    <row r="278" ht="15.75" customHeight="1" s="545">
      <c r="A278" s="19" t="n"/>
      <c r="B278" s="19" t="n"/>
      <c r="C278" s="19" t="n"/>
    </row>
    <row r="279" ht="15.75" customHeight="1" s="545">
      <c r="A279" s="19" t="n"/>
      <c r="B279" s="19" t="n"/>
      <c r="C279" s="19" t="n"/>
    </row>
    <row r="280" ht="15.75" customHeight="1" s="545">
      <c r="A280" s="19" t="n"/>
      <c r="B280" s="19" t="n"/>
      <c r="C280" s="19" t="n"/>
    </row>
    <row r="281" ht="15.75" customHeight="1" s="545">
      <c r="A281" s="19" t="n"/>
      <c r="B281" s="19" t="n"/>
      <c r="C281" s="19" t="n"/>
    </row>
    <row r="282" ht="15.75" customHeight="1" s="545">
      <c r="A282" s="19" t="n"/>
      <c r="B282" s="19" t="n"/>
      <c r="C282" s="19" t="n"/>
    </row>
    <row r="283" ht="15.75" customHeight="1" s="545">
      <c r="A283" s="19" t="n"/>
      <c r="B283" s="19" t="n"/>
      <c r="C283" s="19" t="n"/>
    </row>
    <row r="284" ht="15.75" customHeight="1" s="545">
      <c r="A284" s="19" t="n"/>
      <c r="B284" s="19" t="n"/>
      <c r="C284" s="19" t="n"/>
    </row>
    <row r="285" ht="15.75" customHeight="1" s="545">
      <c r="A285" s="19" t="n"/>
      <c r="B285" s="19" t="n"/>
      <c r="C285" s="19" t="n"/>
    </row>
    <row r="286" ht="15.75" customHeight="1" s="545">
      <c r="A286" s="19" t="n"/>
      <c r="B286" s="19" t="n"/>
      <c r="C286" s="19" t="n"/>
    </row>
    <row r="287" ht="15.75" customHeight="1" s="545">
      <c r="A287" s="19" t="n"/>
      <c r="B287" s="19" t="n"/>
      <c r="C287" s="19" t="n"/>
    </row>
    <row r="288" ht="15.75" customHeight="1" s="545">
      <c r="A288" s="19" t="n"/>
      <c r="B288" s="19" t="n"/>
      <c r="C288" s="19" t="n"/>
    </row>
    <row r="289" ht="15.75" customHeight="1" s="545">
      <c r="A289" s="19" t="n"/>
      <c r="B289" s="19" t="n"/>
      <c r="C289" s="19" t="n"/>
    </row>
    <row r="290" ht="15.75" customHeight="1" s="545">
      <c r="A290" s="19" t="n"/>
      <c r="B290" s="19" t="n"/>
      <c r="C290" s="19" t="n"/>
    </row>
    <row r="291" ht="15.75" customHeight="1" s="545">
      <c r="A291" s="19" t="n"/>
      <c r="B291" s="19" t="n"/>
      <c r="C291" s="19" t="n"/>
    </row>
    <row r="292" ht="15.75" customHeight="1" s="545">
      <c r="A292" s="19" t="n"/>
      <c r="B292" s="19" t="n"/>
      <c r="C292" s="19" t="n"/>
    </row>
    <row r="293" ht="15.75" customHeight="1" s="545">
      <c r="A293" s="19" t="n"/>
      <c r="B293" s="19" t="n"/>
      <c r="C293" s="19" t="n"/>
    </row>
    <row r="294" ht="15.75" customHeight="1" s="545">
      <c r="A294" s="19" t="n"/>
      <c r="B294" s="19" t="n"/>
      <c r="C294" s="19" t="n"/>
    </row>
    <row r="295" ht="15.75" customHeight="1" s="545">
      <c r="A295" s="19" t="n"/>
      <c r="B295" s="19" t="n"/>
      <c r="C295" s="19" t="n"/>
    </row>
    <row r="296" ht="15.75" customHeight="1" s="545">
      <c r="A296" s="19" t="n"/>
      <c r="B296" s="19" t="n"/>
      <c r="C296" s="19" t="n"/>
    </row>
    <row r="297" ht="15.75" customHeight="1" s="545">
      <c r="A297" s="19" t="n"/>
      <c r="B297" s="19" t="n"/>
      <c r="C297" s="19" t="n"/>
    </row>
    <row r="298" ht="15.75" customHeight="1" s="545">
      <c r="A298" s="19" t="n"/>
      <c r="B298" s="19" t="n"/>
      <c r="C298" s="19" t="n"/>
    </row>
    <row r="299" ht="15.75" customHeight="1" s="545">
      <c r="A299" s="19" t="n"/>
      <c r="B299" s="19" t="n"/>
      <c r="C299" s="19" t="n"/>
    </row>
    <row r="300" ht="15.75" customHeight="1" s="545">
      <c r="A300" s="19" t="n"/>
      <c r="B300" s="19" t="n"/>
      <c r="C300" s="19" t="n"/>
    </row>
    <row r="301" ht="15.75" customHeight="1" s="545">
      <c r="A301" s="19" t="n"/>
      <c r="B301" s="19" t="n"/>
      <c r="C301" s="19" t="n"/>
    </row>
    <row r="302" ht="15.75" customHeight="1" s="545">
      <c r="A302" s="19" t="n"/>
      <c r="B302" s="19" t="n"/>
      <c r="C302" s="19" t="n"/>
    </row>
    <row r="303" ht="15.75" customHeight="1" s="545">
      <c r="A303" s="19" t="n"/>
      <c r="B303" s="19" t="n"/>
      <c r="C303" s="19" t="n"/>
    </row>
    <row r="304" ht="15.75" customHeight="1" s="545">
      <c r="A304" s="19" t="n"/>
      <c r="B304" s="19" t="n"/>
      <c r="C304" s="19" t="n"/>
    </row>
    <row r="305" ht="15.75" customHeight="1" s="545">
      <c r="A305" s="19" t="n"/>
      <c r="B305" s="19" t="n"/>
      <c r="C305" s="19" t="n"/>
    </row>
    <row r="306" ht="15.75" customHeight="1" s="545">
      <c r="A306" s="19" t="n"/>
      <c r="B306" s="19" t="n"/>
      <c r="C306" s="19" t="n"/>
    </row>
    <row r="307" ht="15.75" customHeight="1" s="545">
      <c r="A307" s="19" t="n"/>
      <c r="B307" s="19" t="n"/>
      <c r="C307" s="19" t="n"/>
    </row>
    <row r="308" ht="15.75" customHeight="1" s="545">
      <c r="A308" s="19" t="n"/>
      <c r="B308" s="19" t="n"/>
      <c r="C308" s="19" t="n"/>
    </row>
    <row r="309" ht="15.75" customHeight="1" s="545">
      <c r="A309" s="19" t="n"/>
      <c r="B309" s="19" t="n"/>
      <c r="C309" s="19" t="n"/>
    </row>
    <row r="310" ht="15.75" customHeight="1" s="545">
      <c r="A310" s="19" t="n"/>
      <c r="B310" s="19" t="n"/>
      <c r="C310" s="19" t="n"/>
    </row>
    <row r="311" ht="15.75" customHeight="1" s="545">
      <c r="A311" s="19" t="n"/>
      <c r="B311" s="19" t="n"/>
      <c r="C311" s="19" t="n"/>
    </row>
    <row r="312" ht="15.75" customHeight="1" s="545">
      <c r="A312" s="19" t="n"/>
      <c r="B312" s="19" t="n"/>
      <c r="C312" s="19" t="n"/>
    </row>
    <row r="313" ht="15.75" customHeight="1" s="545">
      <c r="A313" s="19" t="n"/>
      <c r="B313" s="19" t="n"/>
      <c r="C313" s="19" t="n"/>
    </row>
    <row r="314" ht="15.75" customHeight="1" s="545">
      <c r="A314" s="19" t="n"/>
      <c r="B314" s="19" t="n"/>
      <c r="C314" s="19" t="n"/>
    </row>
    <row r="315" ht="15.75" customHeight="1" s="545">
      <c r="A315" s="19" t="n"/>
      <c r="B315" s="19" t="n"/>
      <c r="C315" s="19" t="n"/>
    </row>
    <row r="316" ht="15.75" customHeight="1" s="545">
      <c r="A316" s="19" t="n"/>
      <c r="B316" s="19" t="n"/>
      <c r="C316" s="19" t="n"/>
    </row>
    <row r="317" ht="15.75" customHeight="1" s="545">
      <c r="A317" s="19" t="n"/>
      <c r="B317" s="19" t="n"/>
      <c r="C317" s="19" t="n"/>
    </row>
    <row r="318" ht="15.75" customHeight="1" s="545">
      <c r="A318" s="19" t="n"/>
      <c r="B318" s="19" t="n"/>
      <c r="C318" s="19" t="n"/>
    </row>
    <row r="319" ht="15.75" customHeight="1" s="545">
      <c r="A319" s="19" t="n"/>
      <c r="B319" s="19" t="n"/>
      <c r="C319" s="19" t="n"/>
    </row>
    <row r="320" ht="15.75" customHeight="1" s="545">
      <c r="A320" s="19" t="n"/>
      <c r="B320" s="19" t="n"/>
      <c r="C320" s="19" t="n"/>
    </row>
    <row r="321" ht="15.75" customHeight="1" s="545">
      <c r="A321" s="19" t="n"/>
      <c r="B321" s="19" t="n"/>
      <c r="C321" s="19" t="n"/>
    </row>
    <row r="322" ht="15.75" customHeight="1" s="545">
      <c r="A322" s="19" t="n"/>
      <c r="B322" s="19" t="n"/>
      <c r="C322" s="19" t="n"/>
    </row>
    <row r="323" ht="15.75" customHeight="1" s="545">
      <c r="A323" s="19" t="n"/>
      <c r="B323" s="19" t="n"/>
      <c r="C323" s="19" t="n"/>
    </row>
    <row r="324" ht="15.75" customHeight="1" s="545">
      <c r="A324" s="19" t="n"/>
      <c r="B324" s="19" t="n"/>
      <c r="C324" s="19" t="n"/>
    </row>
    <row r="325" ht="15.75" customHeight="1" s="545">
      <c r="A325" s="19" t="n"/>
      <c r="B325" s="19" t="n"/>
      <c r="C325" s="19" t="n"/>
    </row>
    <row r="326" ht="15.75" customHeight="1" s="545">
      <c r="A326" s="19" t="n"/>
      <c r="B326" s="19" t="n"/>
      <c r="C326" s="19" t="n"/>
    </row>
    <row r="327" ht="15.75" customHeight="1" s="545">
      <c r="A327" s="19" t="n"/>
      <c r="B327" s="19" t="n"/>
      <c r="C327" s="19" t="n"/>
    </row>
    <row r="328" ht="15.75" customHeight="1" s="545">
      <c r="A328" s="19" t="n"/>
      <c r="B328" s="19" t="n"/>
      <c r="C328" s="19" t="n"/>
    </row>
    <row r="329" ht="15.75" customHeight="1" s="545">
      <c r="A329" s="19" t="n"/>
      <c r="B329" s="19" t="n"/>
      <c r="C329" s="19" t="n"/>
    </row>
    <row r="330" ht="15.75" customHeight="1" s="545">
      <c r="A330" s="19" t="n"/>
      <c r="B330" s="19" t="n"/>
      <c r="C330" s="19" t="n"/>
    </row>
    <row r="331" ht="15.75" customHeight="1" s="545">
      <c r="A331" s="19" t="n"/>
      <c r="B331" s="19" t="n"/>
      <c r="C331" s="19" t="n"/>
    </row>
    <row r="332" ht="15.75" customHeight="1" s="545">
      <c r="A332" s="19" t="n"/>
      <c r="B332" s="19" t="n"/>
      <c r="C332" s="19" t="n"/>
    </row>
    <row r="333" ht="15.75" customHeight="1" s="545">
      <c r="A333" s="19" t="n"/>
      <c r="B333" s="19" t="n"/>
      <c r="C333" s="19" t="n"/>
    </row>
    <row r="334" ht="15.75" customHeight="1" s="545">
      <c r="A334" s="19" t="n"/>
      <c r="B334" s="19" t="n"/>
      <c r="C334" s="19" t="n"/>
    </row>
    <row r="335" ht="15.75" customHeight="1" s="545">
      <c r="A335" s="19" t="n"/>
      <c r="B335" s="19" t="n"/>
      <c r="C335" s="19" t="n"/>
    </row>
    <row r="336" ht="15.75" customHeight="1" s="545">
      <c r="A336" s="19" t="n"/>
      <c r="B336" s="19" t="n"/>
      <c r="C336" s="19" t="n"/>
    </row>
    <row r="337" ht="15.75" customHeight="1" s="545">
      <c r="A337" s="19" t="n"/>
      <c r="B337" s="19" t="n"/>
      <c r="C337" s="19" t="n"/>
    </row>
    <row r="338" ht="15.75" customHeight="1" s="545">
      <c r="A338" s="19" t="n"/>
      <c r="B338" s="19" t="n"/>
      <c r="C338" s="19" t="n"/>
    </row>
    <row r="339" ht="15.75" customHeight="1" s="545">
      <c r="A339" s="19" t="n"/>
      <c r="B339" s="19" t="n"/>
      <c r="C339" s="19" t="n"/>
    </row>
    <row r="340" ht="15.75" customHeight="1" s="545">
      <c r="A340" s="19" t="n"/>
      <c r="B340" s="19" t="n"/>
      <c r="C340" s="19" t="n"/>
    </row>
    <row r="341" ht="15.75" customHeight="1" s="545">
      <c r="A341" s="19" t="n"/>
      <c r="B341" s="19" t="n"/>
      <c r="C341" s="19" t="n"/>
    </row>
    <row r="342" ht="15.75" customHeight="1" s="545">
      <c r="A342" s="19" t="n"/>
      <c r="B342" s="19" t="n"/>
      <c r="C342" s="19" t="n"/>
    </row>
    <row r="343" ht="15.75" customHeight="1" s="545">
      <c r="A343" s="19" t="n"/>
      <c r="B343" s="19" t="n"/>
      <c r="C343" s="19" t="n"/>
    </row>
    <row r="344" ht="15.75" customHeight="1" s="545">
      <c r="A344" s="19" t="n"/>
      <c r="B344" s="19" t="n"/>
      <c r="C344" s="19" t="n"/>
    </row>
    <row r="345" ht="15.75" customHeight="1" s="545">
      <c r="A345" s="19" t="n"/>
      <c r="B345" s="19" t="n"/>
      <c r="C345" s="19" t="n"/>
    </row>
    <row r="346" ht="15.75" customHeight="1" s="545">
      <c r="A346" s="19" t="n"/>
      <c r="B346" s="19" t="n"/>
      <c r="C346" s="19" t="n"/>
    </row>
    <row r="347" ht="15.75" customHeight="1" s="545">
      <c r="A347" s="19" t="n"/>
      <c r="B347" s="19" t="n"/>
      <c r="C347" s="19" t="n"/>
    </row>
    <row r="348" ht="15.75" customHeight="1" s="545">
      <c r="A348" s="19" t="n"/>
      <c r="B348" s="19" t="n"/>
      <c r="C348" s="19" t="n"/>
    </row>
    <row r="349" ht="15.75" customHeight="1" s="545">
      <c r="A349" s="19" t="n"/>
      <c r="B349" s="19" t="n"/>
      <c r="C349" s="19" t="n"/>
    </row>
    <row r="350" ht="15.75" customHeight="1" s="545">
      <c r="A350" s="19" t="n"/>
      <c r="B350" s="19" t="n"/>
      <c r="C350" s="19" t="n"/>
    </row>
    <row r="351" ht="15.75" customHeight="1" s="545">
      <c r="A351" s="19" t="n"/>
      <c r="B351" s="19" t="n"/>
      <c r="C351" s="19" t="n"/>
    </row>
    <row r="352" ht="15.75" customHeight="1" s="545">
      <c r="A352" s="19" t="n"/>
      <c r="B352" s="19" t="n"/>
      <c r="C352" s="19" t="n"/>
    </row>
    <row r="353" ht="15.75" customHeight="1" s="545">
      <c r="A353" s="19" t="n"/>
      <c r="B353" s="19" t="n"/>
      <c r="C353" s="19" t="n"/>
    </row>
    <row r="354" ht="15.75" customHeight="1" s="545">
      <c r="A354" s="19" t="n"/>
      <c r="B354" s="19" t="n"/>
      <c r="C354" s="19" t="n"/>
    </row>
    <row r="355" ht="15.75" customHeight="1" s="545">
      <c r="A355" s="19" t="n"/>
      <c r="B355" s="19" t="n"/>
      <c r="C355" s="19" t="n"/>
    </row>
    <row r="356" ht="15.75" customHeight="1" s="545">
      <c r="A356" s="19" t="n"/>
      <c r="B356" s="19" t="n"/>
      <c r="C356" s="19" t="n"/>
    </row>
    <row r="357" ht="15.75" customHeight="1" s="545">
      <c r="A357" s="19" t="n"/>
      <c r="B357" s="19" t="n"/>
      <c r="C357" s="19" t="n"/>
    </row>
    <row r="358" ht="15.75" customHeight="1" s="545">
      <c r="A358" s="19" t="n"/>
      <c r="B358" s="19" t="n"/>
      <c r="C358" s="19" t="n"/>
    </row>
    <row r="359" ht="15.75" customHeight="1" s="545">
      <c r="A359" s="19" t="n"/>
      <c r="B359" s="19" t="n"/>
      <c r="C359" s="19" t="n"/>
    </row>
    <row r="360" ht="15.75" customHeight="1" s="545">
      <c r="A360" s="19" t="n"/>
      <c r="B360" s="19" t="n"/>
      <c r="C360" s="19" t="n"/>
    </row>
    <row r="361" ht="15.75" customHeight="1" s="545">
      <c r="A361" s="19" t="n"/>
      <c r="B361" s="19" t="n"/>
      <c r="C361" s="19" t="n"/>
    </row>
    <row r="362" ht="15.75" customHeight="1" s="545">
      <c r="A362" s="19" t="n"/>
      <c r="B362" s="19" t="n"/>
      <c r="C362" s="19" t="n"/>
    </row>
    <row r="363" ht="15.75" customHeight="1" s="545">
      <c r="A363" s="19" t="n"/>
      <c r="B363" s="19" t="n"/>
      <c r="C363" s="19" t="n"/>
    </row>
    <row r="364" ht="15.75" customHeight="1" s="545">
      <c r="A364" s="19" t="n"/>
      <c r="B364" s="19" t="n"/>
      <c r="C364" s="19" t="n"/>
    </row>
    <row r="365" ht="15.75" customHeight="1" s="545">
      <c r="A365" s="19" t="n"/>
      <c r="B365" s="19" t="n"/>
      <c r="C365" s="19" t="n"/>
    </row>
    <row r="366" ht="15.75" customHeight="1" s="545">
      <c r="A366" s="19" t="n"/>
      <c r="B366" s="19" t="n"/>
      <c r="C366" s="19" t="n"/>
    </row>
    <row r="367" ht="15.75" customHeight="1" s="545">
      <c r="A367" s="19" t="n"/>
      <c r="B367" s="19" t="n"/>
      <c r="C367" s="19" t="n"/>
    </row>
    <row r="368" ht="15.75" customHeight="1" s="545">
      <c r="A368" s="19" t="n"/>
      <c r="B368" s="19" t="n"/>
      <c r="C368" s="19" t="n"/>
    </row>
    <row r="369" ht="15.75" customHeight="1" s="545">
      <c r="A369" s="19" t="n"/>
      <c r="B369" s="19" t="n"/>
      <c r="C369" s="19" t="n"/>
    </row>
    <row r="370" ht="15.75" customHeight="1" s="545">
      <c r="A370" s="19" t="n"/>
      <c r="B370" s="19" t="n"/>
      <c r="C370" s="19" t="n"/>
    </row>
    <row r="371" ht="15.75" customHeight="1" s="545">
      <c r="A371" s="19" t="n"/>
      <c r="B371" s="19" t="n"/>
      <c r="C371" s="19" t="n"/>
    </row>
    <row r="372" ht="15.75" customHeight="1" s="545">
      <c r="A372" s="19" t="n"/>
      <c r="B372" s="19" t="n"/>
      <c r="C372" s="19" t="n"/>
    </row>
    <row r="373" ht="15.75" customHeight="1" s="545">
      <c r="A373" s="19" t="n"/>
      <c r="B373" s="19" t="n"/>
      <c r="C373" s="19" t="n"/>
    </row>
    <row r="374" ht="15.75" customHeight="1" s="545">
      <c r="A374" s="19" t="n"/>
      <c r="B374" s="19" t="n"/>
      <c r="C374" s="19" t="n"/>
    </row>
    <row r="375" ht="15.75" customHeight="1" s="545">
      <c r="A375" s="19" t="n"/>
      <c r="B375" s="19" t="n"/>
      <c r="C375" s="19" t="n"/>
    </row>
    <row r="376" ht="15.75" customHeight="1" s="545">
      <c r="A376" s="19" t="n"/>
      <c r="B376" s="19" t="n"/>
      <c r="C376" s="19" t="n"/>
    </row>
    <row r="377" ht="15.75" customHeight="1" s="545">
      <c r="A377" s="19" t="n"/>
      <c r="B377" s="19" t="n"/>
      <c r="C377" s="19" t="n"/>
    </row>
    <row r="378" ht="15.75" customHeight="1" s="545">
      <c r="A378" s="19" t="n"/>
      <c r="B378" s="19" t="n"/>
      <c r="C378" s="19" t="n"/>
    </row>
    <row r="379" ht="15.75" customHeight="1" s="545">
      <c r="A379" s="19" t="n"/>
      <c r="B379" s="19" t="n"/>
      <c r="C379" s="19" t="n"/>
    </row>
    <row r="380" ht="15.75" customHeight="1" s="545">
      <c r="A380" s="19" t="n"/>
      <c r="B380" s="19" t="n"/>
      <c r="C380" s="19" t="n"/>
    </row>
    <row r="381" ht="15.75" customHeight="1" s="545">
      <c r="A381" s="19" t="n"/>
      <c r="B381" s="19" t="n"/>
      <c r="C381" s="19" t="n"/>
    </row>
    <row r="382" ht="15.75" customHeight="1" s="545">
      <c r="A382" s="19" t="n"/>
      <c r="B382" s="19" t="n"/>
      <c r="C382" s="19" t="n"/>
    </row>
    <row r="383" ht="15.75" customHeight="1" s="545">
      <c r="A383" s="19" t="n"/>
      <c r="B383" s="19" t="n"/>
      <c r="C383" s="19" t="n"/>
    </row>
    <row r="384" ht="15.75" customHeight="1" s="545">
      <c r="A384" s="19" t="n"/>
      <c r="B384" s="19" t="n"/>
      <c r="C384" s="19" t="n"/>
    </row>
    <row r="385" ht="15.75" customHeight="1" s="545">
      <c r="A385" s="19" t="n"/>
      <c r="B385" s="19" t="n"/>
      <c r="C385" s="19" t="n"/>
    </row>
    <row r="386" ht="15.75" customHeight="1" s="545">
      <c r="A386" s="19" t="n"/>
      <c r="B386" s="19" t="n"/>
      <c r="C386" s="19" t="n"/>
    </row>
    <row r="387" ht="15.75" customHeight="1" s="545">
      <c r="A387" s="19" t="n"/>
      <c r="B387" s="19" t="n"/>
      <c r="C387" s="19" t="n"/>
    </row>
    <row r="388" ht="15.75" customHeight="1" s="545">
      <c r="A388" s="19" t="n"/>
      <c r="B388" s="19" t="n"/>
      <c r="C388" s="19" t="n"/>
    </row>
    <row r="389" ht="15.75" customHeight="1" s="545">
      <c r="A389" s="19" t="n"/>
      <c r="B389" s="19" t="n"/>
      <c r="C389" s="19" t="n"/>
    </row>
    <row r="390" ht="15.75" customHeight="1" s="545">
      <c r="A390" s="19" t="n"/>
      <c r="B390" s="19" t="n"/>
      <c r="C390" s="19" t="n"/>
    </row>
    <row r="391" ht="15.75" customHeight="1" s="545">
      <c r="A391" s="19" t="n"/>
      <c r="B391" s="19" t="n"/>
      <c r="C391" s="19" t="n"/>
    </row>
    <row r="392" ht="15.75" customHeight="1" s="545">
      <c r="A392" s="19" t="n"/>
      <c r="B392" s="19" t="n"/>
      <c r="C392" s="19" t="n"/>
    </row>
    <row r="393" ht="15.75" customHeight="1" s="545">
      <c r="A393" s="19" t="n"/>
      <c r="B393" s="19" t="n"/>
      <c r="C393" s="19" t="n"/>
    </row>
    <row r="394" ht="15.75" customHeight="1" s="545">
      <c r="A394" s="19" t="n"/>
      <c r="B394" s="19" t="n"/>
      <c r="C394" s="19" t="n"/>
    </row>
    <row r="395" ht="15.75" customHeight="1" s="545">
      <c r="A395" s="19" t="n"/>
      <c r="B395" s="19" t="n"/>
      <c r="C395" s="19" t="n"/>
    </row>
    <row r="396" ht="15.75" customHeight="1" s="545">
      <c r="A396" s="19" t="n"/>
      <c r="B396" s="19" t="n"/>
      <c r="C396" s="19" t="n"/>
    </row>
    <row r="397" ht="15.75" customHeight="1" s="545">
      <c r="A397" s="19" t="n"/>
      <c r="B397" s="19" t="n"/>
      <c r="C397" s="19" t="n"/>
    </row>
    <row r="398" ht="15.75" customHeight="1" s="545">
      <c r="A398" s="19" t="n"/>
      <c r="B398" s="19" t="n"/>
      <c r="C398" s="19" t="n"/>
    </row>
    <row r="399" ht="15.75" customHeight="1" s="545">
      <c r="A399" s="19" t="n"/>
      <c r="B399" s="19" t="n"/>
      <c r="C399" s="19" t="n"/>
    </row>
    <row r="400" ht="15.75" customHeight="1" s="545">
      <c r="A400" s="19" t="n"/>
      <c r="B400" s="19" t="n"/>
      <c r="C400" s="19" t="n"/>
    </row>
    <row r="401" ht="15.75" customHeight="1" s="545">
      <c r="A401" s="19" t="n"/>
      <c r="B401" s="19" t="n"/>
      <c r="C401" s="19" t="n"/>
    </row>
    <row r="402" ht="15.75" customHeight="1" s="545">
      <c r="A402" s="19" t="n"/>
      <c r="B402" s="19" t="n"/>
      <c r="C402" s="19" t="n"/>
    </row>
    <row r="403" ht="15.75" customHeight="1" s="545">
      <c r="A403" s="19" t="n"/>
      <c r="B403" s="19" t="n"/>
      <c r="C403" s="19" t="n"/>
    </row>
    <row r="404" ht="15.75" customHeight="1" s="545">
      <c r="A404" s="19" t="n"/>
      <c r="B404" s="19" t="n"/>
      <c r="C404" s="19" t="n"/>
    </row>
    <row r="405" ht="15.75" customHeight="1" s="545">
      <c r="A405" s="19" t="n"/>
      <c r="B405" s="19" t="n"/>
      <c r="C405" s="19" t="n"/>
    </row>
    <row r="406" ht="15.75" customHeight="1" s="545">
      <c r="A406" s="19" t="n"/>
      <c r="B406" s="19" t="n"/>
      <c r="C406" s="19" t="n"/>
    </row>
    <row r="407" ht="15.75" customHeight="1" s="545">
      <c r="A407" s="19" t="n"/>
      <c r="B407" s="19" t="n"/>
      <c r="C407" s="19" t="n"/>
    </row>
    <row r="408" ht="15.75" customHeight="1" s="545">
      <c r="A408" s="19" t="n"/>
      <c r="B408" s="19" t="n"/>
      <c r="C408" s="19" t="n"/>
    </row>
    <row r="409" ht="15.75" customHeight="1" s="545">
      <c r="A409" s="19" t="n"/>
      <c r="B409" s="19" t="n"/>
      <c r="C409" s="19" t="n"/>
    </row>
    <row r="410" ht="15.75" customHeight="1" s="545">
      <c r="A410" s="19" t="n"/>
      <c r="B410" s="19" t="n"/>
      <c r="C410" s="19" t="n"/>
    </row>
    <row r="411" ht="15.75" customHeight="1" s="545">
      <c r="A411" s="19" t="n"/>
      <c r="B411" s="19" t="n"/>
      <c r="C411" s="19" t="n"/>
    </row>
    <row r="412" ht="15.75" customHeight="1" s="545">
      <c r="A412" s="19" t="n"/>
      <c r="B412" s="19" t="n"/>
      <c r="C412" s="19" t="n"/>
    </row>
    <row r="413" ht="15.75" customHeight="1" s="545">
      <c r="A413" s="19" t="n"/>
      <c r="B413" s="19" t="n"/>
      <c r="C413" s="19" t="n"/>
    </row>
    <row r="414" ht="15.75" customHeight="1" s="545">
      <c r="A414" s="19" t="n"/>
      <c r="B414" s="19" t="n"/>
      <c r="C414" s="19" t="n"/>
    </row>
    <row r="415" ht="15.75" customHeight="1" s="545">
      <c r="A415" s="19" t="n"/>
      <c r="B415" s="19" t="n"/>
      <c r="C415" s="19" t="n"/>
    </row>
    <row r="416" ht="15.75" customHeight="1" s="545">
      <c r="A416" s="19" t="n"/>
      <c r="B416" s="19" t="n"/>
      <c r="C416" s="19" t="n"/>
    </row>
    <row r="417" ht="15.75" customHeight="1" s="545">
      <c r="A417" s="19" t="n"/>
      <c r="B417" s="19" t="n"/>
      <c r="C417" s="19" t="n"/>
    </row>
    <row r="418" ht="15.75" customHeight="1" s="545">
      <c r="A418" s="19" t="n"/>
      <c r="B418" s="19" t="n"/>
      <c r="C418" s="19" t="n"/>
    </row>
    <row r="419" ht="15.75" customHeight="1" s="545">
      <c r="A419" s="19" t="n"/>
      <c r="B419" s="19" t="n"/>
      <c r="C419" s="19" t="n"/>
    </row>
    <row r="420" ht="15.75" customHeight="1" s="545">
      <c r="A420" s="19" t="n"/>
      <c r="B420" s="19" t="n"/>
      <c r="C420" s="19" t="n"/>
    </row>
    <row r="421" ht="15.75" customHeight="1" s="545">
      <c r="A421" s="19" t="n"/>
      <c r="B421" s="19" t="n"/>
      <c r="C421" s="19" t="n"/>
    </row>
    <row r="422" ht="15.75" customHeight="1" s="545">
      <c r="A422" s="19" t="n"/>
      <c r="B422" s="19" t="n"/>
      <c r="C422" s="19" t="n"/>
    </row>
    <row r="423" ht="15.75" customHeight="1" s="545">
      <c r="A423" s="19" t="n"/>
      <c r="B423" s="19" t="n"/>
      <c r="C423" s="19" t="n"/>
    </row>
    <row r="424" ht="15.75" customHeight="1" s="545">
      <c r="A424" s="19" t="n"/>
      <c r="B424" s="19" t="n"/>
      <c r="C424" s="19" t="n"/>
    </row>
    <row r="425" ht="15.75" customHeight="1" s="545">
      <c r="A425" s="19" t="n"/>
      <c r="B425" s="19" t="n"/>
      <c r="C425" s="19" t="n"/>
    </row>
    <row r="426" ht="15.75" customHeight="1" s="545">
      <c r="A426" s="19" t="n"/>
      <c r="B426" s="19" t="n"/>
      <c r="C426" s="19" t="n"/>
    </row>
    <row r="427" ht="15.75" customHeight="1" s="545">
      <c r="A427" s="19" t="n"/>
      <c r="B427" s="19" t="n"/>
      <c r="C427" s="19" t="n"/>
    </row>
    <row r="428" ht="15.75" customHeight="1" s="545">
      <c r="A428" s="19" t="n"/>
      <c r="B428" s="19" t="n"/>
      <c r="C428" s="19" t="n"/>
    </row>
    <row r="429" ht="15.75" customHeight="1" s="545">
      <c r="A429" s="19" t="n"/>
      <c r="B429" s="19" t="n"/>
      <c r="C429" s="19" t="n"/>
    </row>
    <row r="430" ht="15.75" customHeight="1" s="545">
      <c r="A430" s="19" t="n"/>
      <c r="B430" s="19" t="n"/>
      <c r="C430" s="19" t="n"/>
    </row>
    <row r="431" ht="15.75" customHeight="1" s="545">
      <c r="A431" s="19" t="n"/>
      <c r="B431" s="19" t="n"/>
      <c r="C431" s="19" t="n"/>
    </row>
    <row r="432" ht="15.75" customHeight="1" s="545">
      <c r="A432" s="19" t="n"/>
      <c r="B432" s="19" t="n"/>
      <c r="C432" s="19" t="n"/>
    </row>
    <row r="433" ht="15.75" customHeight="1" s="545">
      <c r="A433" s="19" t="n"/>
      <c r="B433" s="19" t="n"/>
      <c r="C433" s="19" t="n"/>
    </row>
    <row r="434" ht="15.75" customHeight="1" s="545">
      <c r="A434" s="19" t="n"/>
      <c r="B434" s="19" t="n"/>
      <c r="C434" s="19" t="n"/>
    </row>
    <row r="435" ht="15.75" customHeight="1" s="545">
      <c r="A435" s="19" t="n"/>
      <c r="B435" s="19" t="n"/>
      <c r="C435" s="19" t="n"/>
    </row>
    <row r="436" ht="15.75" customHeight="1" s="545">
      <c r="A436" s="19" t="n"/>
      <c r="B436" s="19" t="n"/>
      <c r="C436" s="19" t="n"/>
    </row>
    <row r="437" ht="15.75" customHeight="1" s="545">
      <c r="A437" s="19" t="n"/>
      <c r="B437" s="19" t="n"/>
      <c r="C437" s="19" t="n"/>
    </row>
    <row r="438" ht="15.75" customHeight="1" s="545">
      <c r="A438" s="19" t="n"/>
      <c r="B438" s="19" t="n"/>
      <c r="C438" s="19" t="n"/>
    </row>
    <row r="439" ht="15.75" customHeight="1" s="545">
      <c r="A439" s="19" t="n"/>
      <c r="B439" s="19" t="n"/>
      <c r="C439" s="19" t="n"/>
    </row>
    <row r="440" ht="15.75" customHeight="1" s="545">
      <c r="A440" s="19" t="n"/>
      <c r="B440" s="19" t="n"/>
      <c r="C440" s="19" t="n"/>
    </row>
    <row r="441" ht="15.75" customHeight="1" s="545">
      <c r="A441" s="19" t="n"/>
      <c r="B441" s="19" t="n"/>
      <c r="C441" s="19" t="n"/>
    </row>
    <row r="442" ht="15.75" customHeight="1" s="545">
      <c r="A442" s="19" t="n"/>
      <c r="B442" s="19" t="n"/>
      <c r="C442" s="19" t="n"/>
    </row>
    <row r="443" ht="15.75" customHeight="1" s="545">
      <c r="A443" s="19" t="n"/>
      <c r="B443" s="19" t="n"/>
      <c r="C443" s="19" t="n"/>
    </row>
    <row r="444" ht="15.75" customHeight="1" s="545">
      <c r="A444" s="19" t="n"/>
      <c r="B444" s="19" t="n"/>
      <c r="C444" s="19" t="n"/>
    </row>
    <row r="445" ht="15.75" customHeight="1" s="545">
      <c r="A445" s="19" t="n"/>
      <c r="B445" s="19" t="n"/>
      <c r="C445" s="19" t="n"/>
    </row>
    <row r="446" ht="15.75" customHeight="1" s="545">
      <c r="A446" s="19" t="n"/>
      <c r="B446" s="19" t="n"/>
      <c r="C446" s="19" t="n"/>
    </row>
    <row r="447" ht="15.75" customHeight="1" s="545">
      <c r="A447" s="19" t="n"/>
      <c r="B447" s="19" t="n"/>
      <c r="C447" s="19" t="n"/>
    </row>
    <row r="448" ht="15.75" customHeight="1" s="545">
      <c r="A448" s="19" t="n"/>
      <c r="B448" s="19" t="n"/>
      <c r="C448" s="19" t="n"/>
    </row>
    <row r="449" ht="15.75" customHeight="1" s="545">
      <c r="A449" s="19" t="n"/>
      <c r="B449" s="19" t="n"/>
      <c r="C449" s="19" t="n"/>
    </row>
    <row r="450" ht="15.75" customHeight="1" s="545">
      <c r="A450" s="19" t="n"/>
      <c r="B450" s="19" t="n"/>
      <c r="C450" s="19" t="n"/>
    </row>
    <row r="451" ht="15.75" customHeight="1" s="545">
      <c r="A451" s="19" t="n"/>
      <c r="B451" s="19" t="n"/>
      <c r="C451" s="19" t="n"/>
    </row>
    <row r="452" ht="15.75" customHeight="1" s="545">
      <c r="A452" s="19" t="n"/>
      <c r="B452" s="19" t="n"/>
      <c r="C452" s="19" t="n"/>
    </row>
    <row r="453" ht="15.75" customHeight="1" s="545">
      <c r="A453" s="19" t="n"/>
      <c r="B453" s="19" t="n"/>
      <c r="C453" s="19" t="n"/>
    </row>
    <row r="454" ht="15.75" customHeight="1" s="545">
      <c r="A454" s="19" t="n"/>
      <c r="B454" s="19" t="n"/>
      <c r="C454" s="19" t="n"/>
    </row>
    <row r="455" ht="15.75" customHeight="1" s="545">
      <c r="A455" s="19" t="n"/>
      <c r="B455" s="19" t="n"/>
      <c r="C455" s="19" t="n"/>
    </row>
    <row r="456" ht="15.75" customHeight="1" s="545">
      <c r="A456" s="19" t="n"/>
      <c r="B456" s="19" t="n"/>
      <c r="C456" s="19" t="n"/>
    </row>
    <row r="457" ht="15.75" customHeight="1" s="545">
      <c r="A457" s="19" t="n"/>
      <c r="B457" s="19" t="n"/>
      <c r="C457" s="19" t="n"/>
    </row>
    <row r="458" ht="15.75" customHeight="1" s="545">
      <c r="A458" s="19" t="n"/>
      <c r="B458" s="19" t="n"/>
      <c r="C458" s="19" t="n"/>
    </row>
    <row r="459" ht="15.75" customHeight="1" s="545">
      <c r="A459" s="19" t="n"/>
      <c r="B459" s="19" t="n"/>
      <c r="C459" s="19" t="n"/>
    </row>
    <row r="460" ht="15.75" customHeight="1" s="545">
      <c r="A460" s="19" t="n"/>
      <c r="B460" s="19" t="n"/>
      <c r="C460" s="19" t="n"/>
    </row>
    <row r="461" ht="15.75" customHeight="1" s="545">
      <c r="A461" s="19" t="n"/>
      <c r="B461" s="19" t="n"/>
      <c r="C461" s="19" t="n"/>
    </row>
    <row r="462" ht="15.75" customHeight="1" s="545">
      <c r="A462" s="19" t="n"/>
      <c r="B462" s="19" t="n"/>
      <c r="C462" s="19" t="n"/>
    </row>
    <row r="463" ht="15.75" customHeight="1" s="545">
      <c r="A463" s="19" t="n"/>
      <c r="B463" s="19" t="n"/>
      <c r="C463" s="19" t="n"/>
    </row>
    <row r="464" ht="15.75" customHeight="1" s="545">
      <c r="A464" s="19" t="n"/>
      <c r="B464" s="19" t="n"/>
      <c r="C464" s="19" t="n"/>
    </row>
    <row r="465" ht="15.75" customHeight="1" s="545">
      <c r="A465" s="19" t="n"/>
      <c r="B465" s="19" t="n"/>
      <c r="C465" s="19" t="n"/>
    </row>
    <row r="466" ht="15.75" customHeight="1" s="545">
      <c r="A466" s="19" t="n"/>
      <c r="B466" s="19" t="n"/>
      <c r="C466" s="19" t="n"/>
    </row>
    <row r="467" ht="15.75" customHeight="1" s="545">
      <c r="A467" s="19" t="n"/>
      <c r="B467" s="19" t="n"/>
      <c r="C467" s="19" t="n"/>
    </row>
    <row r="468" ht="15.75" customHeight="1" s="545">
      <c r="A468" s="19" t="n"/>
      <c r="B468" s="19" t="n"/>
      <c r="C468" s="19" t="n"/>
    </row>
    <row r="469" ht="15.75" customHeight="1" s="545">
      <c r="A469" s="19" t="n"/>
      <c r="B469" s="19" t="n"/>
      <c r="C469" s="19" t="n"/>
    </row>
    <row r="470" ht="15.75" customHeight="1" s="545">
      <c r="A470" s="19" t="n"/>
      <c r="B470" s="19" t="n"/>
      <c r="C470" s="19" t="n"/>
    </row>
    <row r="471" ht="15.75" customHeight="1" s="545">
      <c r="A471" s="19" t="n"/>
      <c r="B471" s="19" t="n"/>
      <c r="C471" s="19" t="n"/>
    </row>
    <row r="472" ht="15.75" customHeight="1" s="545">
      <c r="A472" s="19" t="n"/>
      <c r="B472" s="19" t="n"/>
      <c r="C472" s="19" t="n"/>
    </row>
    <row r="473" ht="15.75" customHeight="1" s="545">
      <c r="A473" s="19" t="n"/>
      <c r="B473" s="19" t="n"/>
      <c r="C473" s="19" t="n"/>
    </row>
    <row r="474" ht="15.75" customHeight="1" s="545">
      <c r="A474" s="19" t="n"/>
      <c r="B474" s="19" t="n"/>
      <c r="C474" s="19" t="n"/>
    </row>
    <row r="475" ht="15.75" customHeight="1" s="545">
      <c r="A475" s="19" t="n"/>
      <c r="B475" s="19" t="n"/>
      <c r="C475" s="19" t="n"/>
    </row>
    <row r="476" ht="15.75" customHeight="1" s="545">
      <c r="A476" s="19" t="n"/>
      <c r="B476" s="19" t="n"/>
      <c r="C476" s="19" t="n"/>
    </row>
    <row r="477" ht="15.75" customHeight="1" s="545">
      <c r="A477" s="19" t="n"/>
      <c r="B477" s="19" t="n"/>
      <c r="C477" s="19" t="n"/>
    </row>
    <row r="478" ht="15.75" customHeight="1" s="545">
      <c r="A478" s="19" t="n"/>
      <c r="B478" s="19" t="n"/>
      <c r="C478" s="19" t="n"/>
    </row>
    <row r="479" ht="15.75" customHeight="1" s="545">
      <c r="A479" s="19" t="n"/>
      <c r="B479" s="19" t="n"/>
      <c r="C479" s="19" t="n"/>
    </row>
    <row r="480" ht="15.75" customHeight="1" s="545">
      <c r="A480" s="19" t="n"/>
      <c r="B480" s="19" t="n"/>
      <c r="C480" s="19" t="n"/>
    </row>
    <row r="481" ht="15.75" customHeight="1" s="545">
      <c r="A481" s="19" t="n"/>
      <c r="B481" s="19" t="n"/>
      <c r="C481" s="19" t="n"/>
    </row>
    <row r="482" ht="15.75" customHeight="1" s="545">
      <c r="A482" s="19" t="n"/>
      <c r="B482" s="19" t="n"/>
      <c r="C482" s="19" t="n"/>
    </row>
    <row r="483" ht="15.75" customHeight="1" s="545">
      <c r="A483" s="19" t="n"/>
      <c r="B483" s="19" t="n"/>
      <c r="C483" s="19" t="n"/>
    </row>
    <row r="484" ht="15.75" customHeight="1" s="545">
      <c r="A484" s="19" t="n"/>
      <c r="B484" s="19" t="n"/>
      <c r="C484" s="19" t="n"/>
    </row>
    <row r="485" ht="15.75" customHeight="1" s="545">
      <c r="A485" s="19" t="n"/>
      <c r="B485" s="19" t="n"/>
      <c r="C485" s="19" t="n"/>
    </row>
    <row r="486" ht="15.75" customHeight="1" s="545">
      <c r="A486" s="19" t="n"/>
      <c r="B486" s="19" t="n"/>
      <c r="C486" s="19" t="n"/>
    </row>
    <row r="487" ht="15.75" customHeight="1" s="545">
      <c r="A487" s="19" t="n"/>
      <c r="B487" s="19" t="n"/>
      <c r="C487" s="19" t="n"/>
    </row>
    <row r="488" ht="15.75" customHeight="1" s="545">
      <c r="A488" s="19" t="n"/>
      <c r="B488" s="19" t="n"/>
      <c r="C488" s="19" t="n"/>
    </row>
    <row r="489" ht="15.75" customHeight="1" s="545">
      <c r="A489" s="19" t="n"/>
      <c r="B489" s="19" t="n"/>
      <c r="C489" s="19" t="n"/>
    </row>
    <row r="490" ht="15.75" customHeight="1" s="545">
      <c r="A490" s="19" t="n"/>
      <c r="B490" s="19" t="n"/>
      <c r="C490" s="19" t="n"/>
    </row>
    <row r="491" ht="15.75" customHeight="1" s="545">
      <c r="A491" s="19" t="n"/>
      <c r="B491" s="19" t="n"/>
      <c r="C491" s="19" t="n"/>
    </row>
    <row r="492" ht="15.75" customHeight="1" s="545">
      <c r="A492" s="19" t="n"/>
      <c r="B492" s="19" t="n"/>
      <c r="C492" s="19" t="n"/>
    </row>
    <row r="493" ht="15.75" customHeight="1" s="545">
      <c r="A493" s="19" t="n"/>
      <c r="B493" s="19" t="n"/>
      <c r="C493" s="19" t="n"/>
    </row>
    <row r="494" ht="15.75" customHeight="1" s="545">
      <c r="A494" s="19" t="n"/>
      <c r="B494" s="19" t="n"/>
      <c r="C494" s="19" t="n"/>
    </row>
    <row r="495" ht="15.75" customHeight="1" s="545">
      <c r="A495" s="19" t="n"/>
      <c r="B495" s="19" t="n"/>
      <c r="C495" s="19" t="n"/>
    </row>
    <row r="496" ht="15.75" customHeight="1" s="545">
      <c r="A496" s="19" t="n"/>
      <c r="B496" s="19" t="n"/>
      <c r="C496" s="19" t="n"/>
    </row>
    <row r="497" ht="15.75" customHeight="1" s="545">
      <c r="A497" s="19" t="n"/>
      <c r="B497" s="19" t="n"/>
      <c r="C497" s="19" t="n"/>
    </row>
    <row r="498" ht="15.75" customHeight="1" s="545">
      <c r="A498" s="19" t="n"/>
      <c r="B498" s="19" t="n"/>
      <c r="C498" s="19" t="n"/>
    </row>
    <row r="499" ht="15.75" customHeight="1" s="545">
      <c r="A499" s="19" t="n"/>
      <c r="B499" s="19" t="n"/>
      <c r="C499" s="19" t="n"/>
    </row>
    <row r="500" ht="15.75" customHeight="1" s="545">
      <c r="A500" s="19" t="n"/>
      <c r="B500" s="19" t="n"/>
      <c r="C500" s="19" t="n"/>
    </row>
    <row r="501" ht="15.75" customHeight="1" s="545">
      <c r="A501" s="19" t="n"/>
      <c r="B501" s="19" t="n"/>
      <c r="C501" s="19" t="n"/>
    </row>
    <row r="502" ht="15.75" customHeight="1" s="545">
      <c r="A502" s="19" t="n"/>
      <c r="B502" s="19" t="n"/>
      <c r="C502" s="19" t="n"/>
    </row>
    <row r="503" ht="15.75" customHeight="1" s="545">
      <c r="A503" s="19" t="n"/>
      <c r="B503" s="19" t="n"/>
      <c r="C503" s="19" t="n"/>
    </row>
    <row r="504" ht="15.75" customHeight="1" s="545">
      <c r="A504" s="19" t="n"/>
      <c r="B504" s="19" t="n"/>
      <c r="C504" s="19" t="n"/>
    </row>
    <row r="505" ht="15.75" customHeight="1" s="545">
      <c r="A505" s="19" t="n"/>
      <c r="B505" s="19" t="n"/>
      <c r="C505" s="19" t="n"/>
    </row>
    <row r="506" ht="15.75" customHeight="1" s="545">
      <c r="A506" s="19" t="n"/>
      <c r="B506" s="19" t="n"/>
      <c r="C506" s="19" t="n"/>
    </row>
    <row r="507" ht="15.75" customHeight="1" s="545">
      <c r="A507" s="19" t="n"/>
      <c r="B507" s="19" t="n"/>
      <c r="C507" s="19" t="n"/>
    </row>
    <row r="508" ht="15.75" customHeight="1" s="545">
      <c r="A508" s="19" t="n"/>
      <c r="B508" s="19" t="n"/>
      <c r="C508" s="19" t="n"/>
    </row>
    <row r="509" ht="15.75" customHeight="1" s="545">
      <c r="A509" s="19" t="n"/>
      <c r="B509" s="19" t="n"/>
      <c r="C509" s="19" t="n"/>
    </row>
    <row r="510" ht="15.75" customHeight="1" s="545">
      <c r="A510" s="19" t="n"/>
      <c r="B510" s="19" t="n"/>
      <c r="C510" s="19" t="n"/>
    </row>
    <row r="511" ht="15.75" customHeight="1" s="545">
      <c r="A511" s="19" t="n"/>
      <c r="B511" s="19" t="n"/>
      <c r="C511" s="19" t="n"/>
    </row>
    <row r="512" ht="15.75" customHeight="1" s="545">
      <c r="A512" s="19" t="n"/>
      <c r="B512" s="19" t="n"/>
      <c r="C512" s="19" t="n"/>
    </row>
    <row r="513" ht="15.75" customHeight="1" s="545">
      <c r="A513" s="19" t="n"/>
      <c r="B513" s="19" t="n"/>
      <c r="C513" s="19" t="n"/>
    </row>
    <row r="514" ht="15.75" customHeight="1" s="545">
      <c r="A514" s="19" t="n"/>
      <c r="B514" s="19" t="n"/>
      <c r="C514" s="19" t="n"/>
    </row>
    <row r="515" ht="15.75" customHeight="1" s="545">
      <c r="A515" s="19" t="n"/>
      <c r="B515" s="19" t="n"/>
      <c r="C515" s="19" t="n"/>
    </row>
    <row r="516" ht="15.75" customHeight="1" s="545">
      <c r="A516" s="19" t="n"/>
      <c r="B516" s="19" t="n"/>
      <c r="C516" s="19" t="n"/>
    </row>
    <row r="517" ht="15.75" customHeight="1" s="545">
      <c r="A517" s="19" t="n"/>
      <c r="B517" s="19" t="n"/>
      <c r="C517" s="19" t="n"/>
    </row>
    <row r="518" ht="15.75" customHeight="1" s="545">
      <c r="A518" s="19" t="n"/>
      <c r="B518" s="19" t="n"/>
      <c r="C518" s="19" t="n"/>
    </row>
    <row r="519" ht="15.75" customHeight="1" s="545">
      <c r="A519" s="19" t="n"/>
      <c r="B519" s="19" t="n"/>
      <c r="C519" s="19" t="n"/>
    </row>
    <row r="520" ht="15.75" customHeight="1" s="545">
      <c r="A520" s="19" t="n"/>
      <c r="B520" s="19" t="n"/>
      <c r="C520" s="19" t="n"/>
    </row>
    <row r="521" ht="15.75" customHeight="1" s="545">
      <c r="A521" s="19" t="n"/>
      <c r="B521" s="19" t="n"/>
      <c r="C521" s="19" t="n"/>
    </row>
    <row r="522" ht="15.75" customHeight="1" s="545">
      <c r="A522" s="19" t="n"/>
      <c r="B522" s="19" t="n"/>
      <c r="C522" s="19" t="n"/>
    </row>
    <row r="523" ht="15.75" customHeight="1" s="545">
      <c r="A523" s="19" t="n"/>
      <c r="B523" s="19" t="n"/>
      <c r="C523" s="19" t="n"/>
    </row>
    <row r="524" ht="15.75" customHeight="1" s="545">
      <c r="A524" s="19" t="n"/>
      <c r="B524" s="19" t="n"/>
      <c r="C524" s="19" t="n"/>
    </row>
    <row r="525" ht="15.75" customHeight="1" s="545">
      <c r="A525" s="19" t="n"/>
      <c r="B525" s="19" t="n"/>
      <c r="C525" s="19" t="n"/>
    </row>
    <row r="526" ht="15.75" customHeight="1" s="545">
      <c r="A526" s="19" t="n"/>
      <c r="B526" s="19" t="n"/>
      <c r="C526" s="19" t="n"/>
    </row>
    <row r="527" ht="15.75" customHeight="1" s="545">
      <c r="A527" s="19" t="n"/>
      <c r="B527" s="19" t="n"/>
      <c r="C527" s="19" t="n"/>
    </row>
    <row r="528" ht="15.75" customHeight="1" s="545">
      <c r="A528" s="19" t="n"/>
      <c r="B528" s="19" t="n"/>
      <c r="C528" s="19" t="n"/>
    </row>
    <row r="529" ht="15.75" customHeight="1" s="545">
      <c r="A529" s="19" t="n"/>
      <c r="B529" s="19" t="n"/>
      <c r="C529" s="19" t="n"/>
    </row>
    <row r="530" ht="15.75" customHeight="1" s="545">
      <c r="A530" s="19" t="n"/>
      <c r="B530" s="19" t="n"/>
      <c r="C530" s="19" t="n"/>
    </row>
    <row r="531" ht="15.75" customHeight="1" s="545">
      <c r="A531" s="19" t="n"/>
      <c r="B531" s="19" t="n"/>
      <c r="C531" s="19" t="n"/>
    </row>
    <row r="532" ht="15.75" customHeight="1" s="545">
      <c r="A532" s="19" t="n"/>
      <c r="B532" s="19" t="n"/>
      <c r="C532" s="19" t="n"/>
    </row>
    <row r="533" ht="15.75" customHeight="1" s="545">
      <c r="A533" s="19" t="n"/>
      <c r="B533" s="19" t="n"/>
      <c r="C533" s="19" t="n"/>
    </row>
    <row r="534" ht="15.75" customHeight="1" s="545">
      <c r="A534" s="19" t="n"/>
      <c r="B534" s="19" t="n"/>
      <c r="C534" s="19" t="n"/>
    </row>
    <row r="535" ht="15.75" customHeight="1" s="545">
      <c r="A535" s="19" t="n"/>
      <c r="B535" s="19" t="n"/>
      <c r="C535" s="19" t="n"/>
    </row>
    <row r="536" ht="15.75" customHeight="1" s="545">
      <c r="A536" s="19" t="n"/>
      <c r="B536" s="19" t="n"/>
      <c r="C536" s="19" t="n"/>
    </row>
    <row r="537" ht="15.75" customHeight="1" s="545">
      <c r="A537" s="19" t="n"/>
      <c r="B537" s="19" t="n"/>
      <c r="C537" s="19" t="n"/>
    </row>
    <row r="538" ht="15.75" customHeight="1" s="545">
      <c r="A538" s="19" t="n"/>
      <c r="B538" s="19" t="n"/>
      <c r="C538" s="19" t="n"/>
    </row>
    <row r="539" ht="15.75" customHeight="1" s="545">
      <c r="A539" s="19" t="n"/>
      <c r="B539" s="19" t="n"/>
      <c r="C539" s="19" t="n"/>
    </row>
    <row r="540" ht="15.75" customHeight="1" s="545">
      <c r="A540" s="19" t="n"/>
      <c r="B540" s="19" t="n"/>
      <c r="C540" s="19" t="n"/>
    </row>
    <row r="541" ht="15.75" customHeight="1" s="545">
      <c r="A541" s="19" t="n"/>
      <c r="B541" s="19" t="n"/>
      <c r="C541" s="19" t="n"/>
    </row>
    <row r="542" ht="15.75" customHeight="1" s="545">
      <c r="A542" s="19" t="n"/>
      <c r="B542" s="19" t="n"/>
      <c r="C542" s="19" t="n"/>
    </row>
    <row r="543" ht="15.75" customHeight="1" s="545">
      <c r="A543" s="19" t="n"/>
      <c r="B543" s="19" t="n"/>
      <c r="C543" s="19" t="n"/>
    </row>
    <row r="544" ht="15.75" customHeight="1" s="545">
      <c r="A544" s="19" t="n"/>
      <c r="B544" s="19" t="n"/>
      <c r="C544" s="19" t="n"/>
    </row>
    <row r="545" ht="15.75" customHeight="1" s="545">
      <c r="A545" s="19" t="n"/>
      <c r="B545" s="19" t="n"/>
      <c r="C545" s="19" t="n"/>
    </row>
    <row r="546" ht="15.75" customHeight="1" s="545">
      <c r="A546" s="19" t="n"/>
      <c r="B546" s="19" t="n"/>
      <c r="C546" s="19" t="n"/>
    </row>
    <row r="547" ht="15.75" customHeight="1" s="545">
      <c r="A547" s="19" t="n"/>
      <c r="B547" s="19" t="n"/>
      <c r="C547" s="19" t="n"/>
    </row>
    <row r="548" ht="15.75" customHeight="1" s="545">
      <c r="A548" s="19" t="n"/>
      <c r="B548" s="19" t="n"/>
      <c r="C548" s="19" t="n"/>
    </row>
    <row r="549" ht="15.75" customHeight="1" s="545">
      <c r="A549" s="19" t="n"/>
      <c r="B549" s="19" t="n"/>
      <c r="C549" s="19" t="n"/>
    </row>
    <row r="550" ht="15.75" customHeight="1" s="545">
      <c r="A550" s="19" t="n"/>
      <c r="B550" s="19" t="n"/>
      <c r="C550" s="19" t="n"/>
    </row>
    <row r="551" ht="15.75" customHeight="1" s="545">
      <c r="A551" s="19" t="n"/>
      <c r="B551" s="19" t="n"/>
      <c r="C551" s="19" t="n"/>
    </row>
    <row r="552" ht="15.75" customHeight="1" s="545">
      <c r="A552" s="19" t="n"/>
      <c r="B552" s="19" t="n"/>
      <c r="C552" s="19" t="n"/>
    </row>
    <row r="553" ht="15.75" customHeight="1" s="545">
      <c r="A553" s="19" t="n"/>
      <c r="B553" s="19" t="n"/>
      <c r="C553" s="19" t="n"/>
    </row>
    <row r="554" ht="15.75" customHeight="1" s="545">
      <c r="A554" s="19" t="n"/>
      <c r="B554" s="19" t="n"/>
      <c r="C554" s="19" t="n"/>
    </row>
    <row r="555" ht="15.75" customHeight="1" s="545">
      <c r="A555" s="19" t="n"/>
      <c r="B555" s="19" t="n"/>
      <c r="C555" s="19" t="n"/>
    </row>
    <row r="556" ht="15.75" customHeight="1" s="545">
      <c r="A556" s="19" t="n"/>
      <c r="B556" s="19" t="n"/>
      <c r="C556" s="19" t="n"/>
    </row>
    <row r="557" ht="15.75" customHeight="1" s="545">
      <c r="A557" s="19" t="n"/>
      <c r="B557" s="19" t="n"/>
      <c r="C557" s="19" t="n"/>
    </row>
    <row r="558" ht="15.75" customHeight="1" s="545">
      <c r="A558" s="19" t="n"/>
      <c r="B558" s="19" t="n"/>
      <c r="C558" s="19" t="n"/>
    </row>
    <row r="559" ht="15.75" customHeight="1" s="545">
      <c r="A559" s="19" t="n"/>
      <c r="B559" s="19" t="n"/>
      <c r="C559" s="19" t="n"/>
    </row>
    <row r="560" ht="15.75" customHeight="1" s="545">
      <c r="A560" s="19" t="n"/>
      <c r="B560" s="19" t="n"/>
      <c r="C560" s="19" t="n"/>
    </row>
    <row r="561" ht="15.75" customHeight="1" s="545">
      <c r="A561" s="19" t="n"/>
      <c r="B561" s="19" t="n"/>
      <c r="C561" s="19" t="n"/>
    </row>
    <row r="562" ht="15.75" customHeight="1" s="545">
      <c r="A562" s="19" t="n"/>
      <c r="B562" s="19" t="n"/>
      <c r="C562" s="19" t="n"/>
    </row>
    <row r="563" ht="15.75" customHeight="1" s="545">
      <c r="A563" s="19" t="n"/>
      <c r="B563" s="19" t="n"/>
      <c r="C563" s="19" t="n"/>
    </row>
    <row r="564" ht="15.75" customHeight="1" s="545">
      <c r="A564" s="19" t="n"/>
      <c r="B564" s="19" t="n"/>
      <c r="C564" s="19" t="n"/>
    </row>
    <row r="565" ht="15.75" customHeight="1" s="545">
      <c r="A565" s="19" t="n"/>
      <c r="B565" s="19" t="n"/>
      <c r="C565" s="19" t="n"/>
    </row>
    <row r="566" ht="15.75" customHeight="1" s="545">
      <c r="A566" s="19" t="n"/>
      <c r="B566" s="19" t="n"/>
      <c r="C566" s="19" t="n"/>
    </row>
    <row r="567" ht="15.75" customHeight="1" s="545">
      <c r="A567" s="19" t="n"/>
      <c r="B567" s="19" t="n"/>
      <c r="C567" s="19" t="n"/>
    </row>
    <row r="568" ht="15.75" customHeight="1" s="545">
      <c r="A568" s="19" t="n"/>
      <c r="B568" s="19" t="n"/>
      <c r="C568" s="19" t="n"/>
    </row>
    <row r="569" ht="15.75" customHeight="1" s="545">
      <c r="A569" s="19" t="n"/>
      <c r="B569" s="19" t="n"/>
      <c r="C569" s="19" t="n"/>
    </row>
    <row r="570" ht="15.75" customHeight="1" s="545">
      <c r="A570" s="19" t="n"/>
      <c r="B570" s="19" t="n"/>
      <c r="C570" s="19" t="n"/>
    </row>
    <row r="571" ht="15.75" customHeight="1" s="545">
      <c r="A571" s="19" t="n"/>
      <c r="B571" s="19" t="n"/>
      <c r="C571" s="19" t="n"/>
    </row>
    <row r="572" ht="15.75" customHeight="1" s="545">
      <c r="A572" s="19" t="n"/>
      <c r="B572" s="19" t="n"/>
      <c r="C572" s="19" t="n"/>
    </row>
    <row r="573" ht="15.75" customHeight="1" s="545">
      <c r="A573" s="19" t="n"/>
      <c r="B573" s="19" t="n"/>
      <c r="C573" s="19" t="n"/>
    </row>
    <row r="574" ht="15.75" customHeight="1" s="545">
      <c r="A574" s="19" t="n"/>
      <c r="B574" s="19" t="n"/>
      <c r="C574" s="19" t="n"/>
    </row>
    <row r="575" ht="15.75" customHeight="1" s="545">
      <c r="A575" s="19" t="n"/>
      <c r="B575" s="19" t="n"/>
      <c r="C575" s="19" t="n"/>
    </row>
    <row r="576" ht="15.75" customHeight="1" s="545">
      <c r="A576" s="19" t="n"/>
      <c r="B576" s="19" t="n"/>
      <c r="C576" s="19" t="n"/>
    </row>
    <row r="577" ht="15.75" customHeight="1" s="545">
      <c r="A577" s="19" t="n"/>
      <c r="B577" s="19" t="n"/>
      <c r="C577" s="19" t="n"/>
    </row>
    <row r="578" ht="15.75" customHeight="1" s="545">
      <c r="A578" s="19" t="n"/>
      <c r="B578" s="19" t="n"/>
      <c r="C578" s="19" t="n"/>
    </row>
    <row r="579" ht="15.75" customHeight="1" s="545">
      <c r="A579" s="19" t="n"/>
      <c r="B579" s="19" t="n"/>
      <c r="C579" s="19" t="n"/>
    </row>
    <row r="580" ht="15.75" customHeight="1" s="545">
      <c r="A580" s="19" t="n"/>
      <c r="B580" s="19" t="n"/>
      <c r="C580" s="19" t="n"/>
    </row>
    <row r="581" ht="15.75" customHeight="1" s="545">
      <c r="A581" s="19" t="n"/>
      <c r="B581" s="19" t="n"/>
      <c r="C581" s="19" t="n"/>
    </row>
    <row r="582" ht="15.75" customHeight="1" s="545">
      <c r="A582" s="19" t="n"/>
      <c r="B582" s="19" t="n"/>
      <c r="C582" s="19" t="n"/>
    </row>
    <row r="583" ht="15.75" customHeight="1" s="545">
      <c r="A583" s="19" t="n"/>
      <c r="B583" s="19" t="n"/>
      <c r="C583" s="19" t="n"/>
    </row>
    <row r="584" ht="15.75" customHeight="1" s="545">
      <c r="A584" s="19" t="n"/>
      <c r="B584" s="19" t="n"/>
      <c r="C584" s="19" t="n"/>
    </row>
    <row r="585" ht="15.75" customHeight="1" s="545">
      <c r="A585" s="19" t="n"/>
      <c r="B585" s="19" t="n"/>
      <c r="C585" s="19" t="n"/>
    </row>
    <row r="586" ht="15.75" customHeight="1" s="545">
      <c r="A586" s="19" t="n"/>
      <c r="B586" s="19" t="n"/>
      <c r="C586" s="19" t="n"/>
    </row>
    <row r="587" ht="15.75" customHeight="1" s="545">
      <c r="A587" s="19" t="n"/>
      <c r="B587" s="19" t="n"/>
      <c r="C587" s="19" t="n"/>
    </row>
    <row r="588" ht="15.75" customHeight="1" s="545">
      <c r="A588" s="19" t="n"/>
      <c r="B588" s="19" t="n"/>
      <c r="C588" s="19" t="n"/>
    </row>
    <row r="589" ht="15.75" customHeight="1" s="545">
      <c r="A589" s="19" t="n"/>
      <c r="B589" s="19" t="n"/>
      <c r="C589" s="19" t="n"/>
    </row>
    <row r="590" ht="15.75" customHeight="1" s="545">
      <c r="A590" s="19" t="n"/>
      <c r="B590" s="19" t="n"/>
      <c r="C590" s="19" t="n"/>
    </row>
    <row r="591" ht="15.75" customHeight="1" s="545">
      <c r="A591" s="19" t="n"/>
      <c r="B591" s="19" t="n"/>
      <c r="C591" s="19" t="n"/>
    </row>
    <row r="592" ht="15.75" customHeight="1" s="545">
      <c r="A592" s="19" t="n"/>
      <c r="B592" s="19" t="n"/>
      <c r="C592" s="19" t="n"/>
    </row>
    <row r="593" ht="15.75" customHeight="1" s="545">
      <c r="A593" s="19" t="n"/>
      <c r="B593" s="19" t="n"/>
      <c r="C593" s="19" t="n"/>
    </row>
    <row r="594" ht="15.75" customHeight="1" s="545">
      <c r="A594" s="19" t="n"/>
      <c r="B594" s="19" t="n"/>
      <c r="C594" s="19" t="n"/>
    </row>
    <row r="595" ht="15.75" customHeight="1" s="545">
      <c r="A595" s="19" t="n"/>
      <c r="B595" s="19" t="n"/>
      <c r="C595" s="19" t="n"/>
    </row>
    <row r="596" ht="15.75" customHeight="1" s="545">
      <c r="A596" s="19" t="n"/>
      <c r="B596" s="19" t="n"/>
      <c r="C596" s="19" t="n"/>
    </row>
    <row r="597" ht="15.75" customHeight="1" s="545">
      <c r="A597" s="19" t="n"/>
      <c r="B597" s="19" t="n"/>
      <c r="C597" s="19" t="n"/>
    </row>
    <row r="598" ht="15.75" customHeight="1" s="545">
      <c r="A598" s="19" t="n"/>
      <c r="B598" s="19" t="n"/>
      <c r="C598" s="19" t="n"/>
    </row>
    <row r="599" ht="15.75" customHeight="1" s="545">
      <c r="A599" s="19" t="n"/>
      <c r="B599" s="19" t="n"/>
      <c r="C599" s="19" t="n"/>
    </row>
    <row r="600" ht="15.75" customHeight="1" s="545">
      <c r="A600" s="19" t="n"/>
      <c r="B600" s="19" t="n"/>
      <c r="C600" s="19" t="n"/>
    </row>
    <row r="601" ht="15.75" customHeight="1" s="545">
      <c r="A601" s="19" t="n"/>
      <c r="B601" s="19" t="n"/>
      <c r="C601" s="19" t="n"/>
    </row>
    <row r="602" ht="15.75" customHeight="1" s="545">
      <c r="A602" s="19" t="n"/>
      <c r="B602" s="19" t="n"/>
      <c r="C602" s="19" t="n"/>
    </row>
    <row r="603" ht="15.75" customHeight="1" s="545">
      <c r="A603" s="19" t="n"/>
      <c r="B603" s="19" t="n"/>
      <c r="C603" s="19" t="n"/>
    </row>
    <row r="604" ht="15.75" customHeight="1" s="545">
      <c r="A604" s="19" t="n"/>
      <c r="B604" s="19" t="n"/>
      <c r="C604" s="19" t="n"/>
    </row>
    <row r="605" ht="15.75" customHeight="1" s="545">
      <c r="A605" s="19" t="n"/>
      <c r="B605" s="19" t="n"/>
      <c r="C605" s="19" t="n"/>
    </row>
    <row r="606" ht="15.75" customHeight="1" s="545">
      <c r="A606" s="19" t="n"/>
      <c r="B606" s="19" t="n"/>
      <c r="C606" s="19" t="n"/>
    </row>
    <row r="607" ht="15.75" customHeight="1" s="545">
      <c r="A607" s="19" t="n"/>
      <c r="B607" s="19" t="n"/>
      <c r="C607" s="19" t="n"/>
    </row>
    <row r="608" ht="15.75" customHeight="1" s="545">
      <c r="A608" s="19" t="n"/>
      <c r="B608" s="19" t="n"/>
      <c r="C608" s="19" t="n"/>
    </row>
    <row r="609" ht="15.75" customHeight="1" s="545">
      <c r="A609" s="19" t="n"/>
      <c r="B609" s="19" t="n"/>
      <c r="C609" s="19" t="n"/>
    </row>
    <row r="610" ht="15.75" customHeight="1" s="545">
      <c r="A610" s="19" t="n"/>
      <c r="B610" s="19" t="n"/>
      <c r="C610" s="19" t="n"/>
    </row>
    <row r="611" ht="15.75" customHeight="1" s="545">
      <c r="A611" s="19" t="n"/>
      <c r="B611" s="19" t="n"/>
      <c r="C611" s="19" t="n"/>
    </row>
    <row r="612" ht="15.75" customHeight="1" s="545">
      <c r="A612" s="19" t="n"/>
      <c r="B612" s="19" t="n"/>
      <c r="C612" s="19" t="n"/>
    </row>
    <row r="613" ht="15.75" customHeight="1" s="545">
      <c r="A613" s="19" t="n"/>
      <c r="B613" s="19" t="n"/>
      <c r="C613" s="19" t="n"/>
    </row>
    <row r="614" ht="15.75" customHeight="1" s="545">
      <c r="A614" s="19" t="n"/>
      <c r="B614" s="19" t="n"/>
      <c r="C614" s="19" t="n"/>
    </row>
    <row r="615" ht="15.75" customHeight="1" s="545">
      <c r="A615" s="19" t="n"/>
      <c r="B615" s="19" t="n"/>
      <c r="C615" s="19" t="n"/>
    </row>
    <row r="616" ht="15.75" customHeight="1" s="545">
      <c r="A616" s="19" t="n"/>
      <c r="B616" s="19" t="n"/>
      <c r="C616" s="19" t="n"/>
    </row>
    <row r="617" ht="15.75" customHeight="1" s="545">
      <c r="A617" s="19" t="n"/>
      <c r="B617" s="19" t="n"/>
      <c r="C617" s="19" t="n"/>
    </row>
    <row r="618" ht="15.75" customHeight="1" s="545">
      <c r="A618" s="19" t="n"/>
      <c r="B618" s="19" t="n"/>
      <c r="C618" s="19" t="n"/>
    </row>
    <row r="619" ht="15.75" customHeight="1" s="545">
      <c r="A619" s="19" t="n"/>
      <c r="B619" s="19" t="n"/>
      <c r="C619" s="19" t="n"/>
    </row>
    <row r="620" ht="15.75" customHeight="1" s="545">
      <c r="A620" s="19" t="n"/>
      <c r="B620" s="19" t="n"/>
      <c r="C620" s="19" t="n"/>
    </row>
    <row r="621" ht="15.75" customHeight="1" s="545">
      <c r="A621" s="19" t="n"/>
      <c r="B621" s="19" t="n"/>
      <c r="C621" s="19" t="n"/>
    </row>
    <row r="622" ht="15.75" customHeight="1" s="545">
      <c r="A622" s="19" t="n"/>
      <c r="B622" s="19" t="n"/>
      <c r="C622" s="19" t="n"/>
    </row>
    <row r="623" ht="15.75" customHeight="1" s="545">
      <c r="A623" s="19" t="n"/>
      <c r="B623" s="19" t="n"/>
      <c r="C623" s="19" t="n"/>
    </row>
    <row r="624" ht="15.75" customHeight="1" s="545">
      <c r="A624" s="19" t="n"/>
      <c r="B624" s="19" t="n"/>
      <c r="C624" s="19" t="n"/>
    </row>
    <row r="625" ht="15.75" customHeight="1" s="545">
      <c r="A625" s="19" t="n"/>
      <c r="B625" s="19" t="n"/>
      <c r="C625" s="19" t="n"/>
    </row>
    <row r="626" ht="15.75" customHeight="1" s="545">
      <c r="A626" s="19" t="n"/>
      <c r="B626" s="19" t="n"/>
      <c r="C626" s="19" t="n"/>
    </row>
    <row r="627" ht="15.75" customHeight="1" s="545">
      <c r="A627" s="19" t="n"/>
      <c r="B627" s="19" t="n"/>
      <c r="C627" s="19" t="n"/>
    </row>
    <row r="628" ht="15.75" customHeight="1" s="545">
      <c r="A628" s="19" t="n"/>
      <c r="B628" s="19" t="n"/>
      <c r="C628" s="19" t="n"/>
    </row>
    <row r="629" ht="15.75" customHeight="1" s="545">
      <c r="A629" s="19" t="n"/>
      <c r="B629" s="19" t="n"/>
      <c r="C629" s="19" t="n"/>
    </row>
    <row r="630" ht="15.75" customHeight="1" s="545">
      <c r="A630" s="19" t="n"/>
      <c r="B630" s="19" t="n"/>
      <c r="C630" s="19" t="n"/>
    </row>
    <row r="631" ht="15.75" customHeight="1" s="545">
      <c r="A631" s="19" t="n"/>
      <c r="B631" s="19" t="n"/>
      <c r="C631" s="19" t="n"/>
    </row>
    <row r="632" ht="15.75" customHeight="1" s="545">
      <c r="A632" s="19" t="n"/>
      <c r="B632" s="19" t="n"/>
      <c r="C632" s="19" t="n"/>
    </row>
    <row r="633" ht="15.75" customHeight="1" s="545">
      <c r="A633" s="19" t="n"/>
      <c r="B633" s="19" t="n"/>
      <c r="C633" s="19" t="n"/>
    </row>
    <row r="634" ht="15.75" customHeight="1" s="545">
      <c r="A634" s="19" t="n"/>
      <c r="B634" s="19" t="n"/>
      <c r="C634" s="19" t="n"/>
    </row>
    <row r="635" ht="15.75" customHeight="1" s="545">
      <c r="A635" s="19" t="n"/>
      <c r="B635" s="19" t="n"/>
      <c r="C635" s="19" t="n"/>
    </row>
    <row r="636" ht="15.75" customHeight="1" s="545">
      <c r="A636" s="19" t="n"/>
      <c r="B636" s="19" t="n"/>
      <c r="C636" s="19" t="n"/>
    </row>
    <row r="637" ht="15.75" customHeight="1" s="545">
      <c r="A637" s="19" t="n"/>
      <c r="B637" s="19" t="n"/>
      <c r="C637" s="19" t="n"/>
    </row>
    <row r="638" ht="15.75" customHeight="1" s="545">
      <c r="A638" s="19" t="n"/>
      <c r="B638" s="19" t="n"/>
      <c r="C638" s="19" t="n"/>
    </row>
    <row r="639" ht="15.75" customHeight="1" s="545">
      <c r="A639" s="19" t="n"/>
      <c r="B639" s="19" t="n"/>
      <c r="C639" s="19" t="n"/>
    </row>
    <row r="640" ht="15.75" customHeight="1" s="545">
      <c r="A640" s="19" t="n"/>
      <c r="B640" s="19" t="n"/>
      <c r="C640" s="19" t="n"/>
    </row>
    <row r="641" ht="15.75" customHeight="1" s="545">
      <c r="A641" s="19" t="n"/>
      <c r="B641" s="19" t="n"/>
      <c r="C641" s="19" t="n"/>
    </row>
    <row r="642" ht="15.75" customHeight="1" s="545">
      <c r="A642" s="19" t="n"/>
      <c r="B642" s="19" t="n"/>
      <c r="C642" s="19" t="n"/>
    </row>
    <row r="643" ht="15.75" customHeight="1" s="545">
      <c r="A643" s="19" t="n"/>
      <c r="B643" s="19" t="n"/>
      <c r="C643" s="19" t="n"/>
    </row>
    <row r="644" ht="15.75" customHeight="1" s="545">
      <c r="A644" s="19" t="n"/>
      <c r="B644" s="19" t="n"/>
      <c r="C644" s="19" t="n"/>
    </row>
    <row r="645" ht="15.75" customHeight="1" s="545">
      <c r="A645" s="19" t="n"/>
      <c r="B645" s="19" t="n"/>
      <c r="C645" s="19" t="n"/>
    </row>
    <row r="646" ht="15.75" customHeight="1" s="545">
      <c r="A646" s="19" t="n"/>
      <c r="B646" s="19" t="n"/>
      <c r="C646" s="19" t="n"/>
    </row>
    <row r="647" ht="15.75" customHeight="1" s="545">
      <c r="A647" s="19" t="n"/>
      <c r="B647" s="19" t="n"/>
      <c r="C647" s="19" t="n"/>
    </row>
    <row r="648" ht="15.75" customHeight="1" s="545">
      <c r="A648" s="19" t="n"/>
      <c r="B648" s="19" t="n"/>
      <c r="C648" s="19" t="n"/>
    </row>
    <row r="649" ht="15.75" customHeight="1" s="545">
      <c r="A649" s="19" t="n"/>
      <c r="B649" s="19" t="n"/>
      <c r="C649" s="19" t="n"/>
    </row>
    <row r="650" ht="15.75" customHeight="1" s="545">
      <c r="A650" s="19" t="n"/>
      <c r="B650" s="19" t="n"/>
      <c r="C650" s="19" t="n"/>
    </row>
    <row r="651" ht="15.75" customHeight="1" s="545">
      <c r="A651" s="19" t="n"/>
      <c r="B651" s="19" t="n"/>
      <c r="C651" s="19" t="n"/>
    </row>
    <row r="652" ht="15.75" customHeight="1" s="545">
      <c r="A652" s="19" t="n"/>
      <c r="B652" s="19" t="n"/>
      <c r="C652" s="19" t="n"/>
    </row>
    <row r="653" ht="15.75" customHeight="1" s="545">
      <c r="A653" s="19" t="n"/>
      <c r="B653" s="19" t="n"/>
      <c r="C653" s="19" t="n"/>
    </row>
    <row r="654" ht="15.75" customHeight="1" s="545">
      <c r="A654" s="19" t="n"/>
      <c r="B654" s="19" t="n"/>
      <c r="C654" s="19" t="n"/>
    </row>
    <row r="655" ht="15.75" customHeight="1" s="545">
      <c r="A655" s="19" t="n"/>
      <c r="B655" s="19" t="n"/>
      <c r="C655" s="19" t="n"/>
    </row>
    <row r="656" ht="15.75" customHeight="1" s="545">
      <c r="A656" s="19" t="n"/>
      <c r="B656" s="19" t="n"/>
      <c r="C656" s="19" t="n"/>
    </row>
    <row r="657" ht="15.75" customHeight="1" s="545">
      <c r="A657" s="19" t="n"/>
      <c r="B657" s="19" t="n"/>
      <c r="C657" s="19" t="n"/>
    </row>
    <row r="658" ht="15.75" customHeight="1" s="545">
      <c r="A658" s="19" t="n"/>
      <c r="B658" s="19" t="n"/>
      <c r="C658" s="19" t="n"/>
    </row>
    <row r="659" ht="15.75" customHeight="1" s="545">
      <c r="A659" s="19" t="n"/>
      <c r="B659" s="19" t="n"/>
      <c r="C659" s="19" t="n"/>
    </row>
    <row r="660" ht="15.75" customHeight="1" s="545">
      <c r="A660" s="19" t="n"/>
      <c r="B660" s="19" t="n"/>
      <c r="C660" s="19" t="n"/>
    </row>
    <row r="661" ht="15.75" customHeight="1" s="545">
      <c r="A661" s="19" t="n"/>
      <c r="B661" s="19" t="n"/>
      <c r="C661" s="19" t="n"/>
    </row>
    <row r="662" ht="15.75" customHeight="1" s="545">
      <c r="A662" s="19" t="n"/>
      <c r="B662" s="19" t="n"/>
      <c r="C662" s="19" t="n"/>
    </row>
    <row r="663" ht="15.75" customHeight="1" s="545">
      <c r="A663" s="19" t="n"/>
      <c r="B663" s="19" t="n"/>
      <c r="C663" s="19" t="n"/>
    </row>
    <row r="664" ht="15.75" customHeight="1" s="545">
      <c r="A664" s="19" t="n"/>
      <c r="B664" s="19" t="n"/>
      <c r="C664" s="19" t="n"/>
    </row>
    <row r="665" ht="15.75" customHeight="1" s="545">
      <c r="A665" s="19" t="n"/>
      <c r="B665" s="19" t="n"/>
      <c r="C665" s="19" t="n"/>
    </row>
    <row r="666" ht="15.75" customHeight="1" s="545">
      <c r="A666" s="19" t="n"/>
      <c r="B666" s="19" t="n"/>
      <c r="C666" s="19" t="n"/>
    </row>
    <row r="667" ht="15.75" customHeight="1" s="545">
      <c r="A667" s="19" t="n"/>
      <c r="B667" s="19" t="n"/>
      <c r="C667" s="19" t="n"/>
    </row>
    <row r="668" ht="15.75" customHeight="1" s="545">
      <c r="A668" s="19" t="n"/>
      <c r="B668" s="19" t="n"/>
      <c r="C668" s="19" t="n"/>
    </row>
    <row r="669" ht="15.75" customHeight="1" s="545">
      <c r="A669" s="19" t="n"/>
      <c r="B669" s="19" t="n"/>
      <c r="C669" s="19" t="n"/>
    </row>
    <row r="670" ht="15.75" customHeight="1" s="545">
      <c r="A670" s="19" t="n"/>
      <c r="B670" s="19" t="n"/>
      <c r="C670" s="19" t="n"/>
    </row>
    <row r="671" ht="15.75" customHeight="1" s="545">
      <c r="A671" s="19" t="n"/>
      <c r="B671" s="19" t="n"/>
      <c r="C671" s="19" t="n"/>
    </row>
    <row r="672" ht="15.75" customHeight="1" s="545">
      <c r="A672" s="19" t="n"/>
      <c r="B672" s="19" t="n"/>
      <c r="C672" s="19" t="n"/>
    </row>
    <row r="673" ht="15.75" customHeight="1" s="545">
      <c r="A673" s="19" t="n"/>
      <c r="B673" s="19" t="n"/>
      <c r="C673" s="19" t="n"/>
    </row>
    <row r="674" ht="15.75" customHeight="1" s="545">
      <c r="A674" s="19" t="n"/>
      <c r="B674" s="19" t="n"/>
      <c r="C674" s="19" t="n"/>
    </row>
    <row r="675" ht="15.75" customHeight="1" s="545">
      <c r="A675" s="19" t="n"/>
      <c r="B675" s="19" t="n"/>
      <c r="C675" s="19" t="n"/>
    </row>
    <row r="676" ht="15.75" customHeight="1" s="545">
      <c r="A676" s="19" t="n"/>
      <c r="B676" s="19" t="n"/>
      <c r="C676" s="19" t="n"/>
    </row>
    <row r="677" ht="15.75" customHeight="1" s="545">
      <c r="A677" s="19" t="n"/>
      <c r="B677" s="19" t="n"/>
      <c r="C677" s="19" t="n"/>
    </row>
    <row r="678" ht="15.75" customHeight="1" s="545">
      <c r="A678" s="19" t="n"/>
      <c r="B678" s="19" t="n"/>
      <c r="C678" s="19" t="n"/>
    </row>
    <row r="679" ht="15.75" customHeight="1" s="545">
      <c r="A679" s="19" t="n"/>
      <c r="B679" s="19" t="n"/>
      <c r="C679" s="19" t="n"/>
    </row>
    <row r="680" ht="15.75" customHeight="1" s="545">
      <c r="A680" s="19" t="n"/>
      <c r="B680" s="19" t="n"/>
      <c r="C680" s="19" t="n"/>
    </row>
    <row r="681" ht="15.75" customHeight="1" s="545">
      <c r="A681" s="19" t="n"/>
      <c r="B681" s="19" t="n"/>
      <c r="C681" s="19" t="n"/>
    </row>
    <row r="682" ht="15.75" customHeight="1" s="545">
      <c r="A682" s="19" t="n"/>
      <c r="B682" s="19" t="n"/>
      <c r="C682" s="19" t="n"/>
    </row>
    <row r="683" ht="15.75" customHeight="1" s="545">
      <c r="A683" s="19" t="n"/>
      <c r="B683" s="19" t="n"/>
      <c r="C683" s="19" t="n"/>
    </row>
    <row r="684" ht="15.75" customHeight="1" s="545">
      <c r="A684" s="19" t="n"/>
      <c r="B684" s="19" t="n"/>
      <c r="C684" s="19" t="n"/>
    </row>
    <row r="685" ht="15.75" customHeight="1" s="545">
      <c r="A685" s="19" t="n"/>
      <c r="B685" s="19" t="n"/>
      <c r="C685" s="19" t="n"/>
    </row>
    <row r="686" ht="15.75" customHeight="1" s="545">
      <c r="A686" s="19" t="n"/>
      <c r="B686" s="19" t="n"/>
      <c r="C686" s="19" t="n"/>
    </row>
    <row r="687" ht="15.75" customHeight="1" s="545">
      <c r="A687" s="19" t="n"/>
      <c r="B687" s="19" t="n"/>
      <c r="C687" s="19" t="n"/>
    </row>
    <row r="688" ht="15.75" customHeight="1" s="545">
      <c r="A688" s="19" t="n"/>
      <c r="B688" s="19" t="n"/>
      <c r="C688" s="19" t="n"/>
    </row>
    <row r="689" ht="15.75" customHeight="1" s="545">
      <c r="A689" s="19" t="n"/>
      <c r="B689" s="19" t="n"/>
      <c r="C689" s="19" t="n"/>
    </row>
    <row r="690" ht="15.75" customHeight="1" s="545">
      <c r="A690" s="19" t="n"/>
      <c r="B690" s="19" t="n"/>
      <c r="C690" s="19" t="n"/>
    </row>
    <row r="691" ht="15.75" customHeight="1" s="545">
      <c r="A691" s="19" t="n"/>
      <c r="B691" s="19" t="n"/>
      <c r="C691" s="19" t="n"/>
    </row>
    <row r="692" ht="15.75" customHeight="1" s="545">
      <c r="A692" s="19" t="n"/>
      <c r="B692" s="19" t="n"/>
      <c r="C692" s="19" t="n"/>
    </row>
    <row r="693" ht="15.75" customHeight="1" s="545">
      <c r="A693" s="19" t="n"/>
      <c r="B693" s="19" t="n"/>
      <c r="C693" s="19" t="n"/>
    </row>
    <row r="694" ht="15.75" customHeight="1" s="545">
      <c r="A694" s="19" t="n"/>
      <c r="B694" s="19" t="n"/>
      <c r="C694" s="19" t="n"/>
    </row>
    <row r="695" ht="15.75" customHeight="1" s="545">
      <c r="A695" s="19" t="n"/>
      <c r="B695" s="19" t="n"/>
      <c r="C695" s="19" t="n"/>
    </row>
    <row r="696" ht="15.75" customHeight="1" s="545">
      <c r="A696" s="19" t="n"/>
      <c r="B696" s="19" t="n"/>
      <c r="C696" s="19" t="n"/>
    </row>
    <row r="697" ht="15.75" customHeight="1" s="545">
      <c r="A697" s="19" t="n"/>
      <c r="B697" s="19" t="n"/>
      <c r="C697" s="19" t="n"/>
    </row>
    <row r="698" ht="15.75" customHeight="1" s="545">
      <c r="A698" s="19" t="n"/>
      <c r="B698" s="19" t="n"/>
      <c r="C698" s="19" t="n"/>
    </row>
    <row r="699" ht="15.75" customHeight="1" s="545">
      <c r="A699" s="19" t="n"/>
      <c r="B699" s="19" t="n"/>
      <c r="C699" s="19" t="n"/>
    </row>
    <row r="700" ht="15.75" customHeight="1" s="545">
      <c r="A700" s="19" t="n"/>
      <c r="B700" s="19" t="n"/>
      <c r="C700" s="19" t="n"/>
    </row>
    <row r="701" ht="15.75" customHeight="1" s="545">
      <c r="A701" s="19" t="n"/>
      <c r="B701" s="19" t="n"/>
      <c r="C701" s="19" t="n"/>
    </row>
    <row r="702" ht="15.75" customHeight="1" s="545">
      <c r="A702" s="19" t="n"/>
      <c r="B702" s="19" t="n"/>
      <c r="C702" s="19" t="n"/>
    </row>
    <row r="703" ht="15.75" customHeight="1" s="545">
      <c r="A703" s="19" t="n"/>
      <c r="B703" s="19" t="n"/>
      <c r="C703" s="19" t="n"/>
    </row>
    <row r="704" ht="15.75" customHeight="1" s="545">
      <c r="A704" s="19" t="n"/>
      <c r="B704" s="19" t="n"/>
      <c r="C704" s="19" t="n"/>
    </row>
    <row r="705" ht="15.75" customHeight="1" s="545">
      <c r="A705" s="19" t="n"/>
      <c r="B705" s="19" t="n"/>
      <c r="C705" s="19" t="n"/>
    </row>
    <row r="706" ht="15.75" customHeight="1" s="545">
      <c r="A706" s="19" t="n"/>
      <c r="B706" s="19" t="n"/>
      <c r="C706" s="19" t="n"/>
    </row>
    <row r="707" ht="15.75" customHeight="1" s="545">
      <c r="A707" s="19" t="n"/>
      <c r="B707" s="19" t="n"/>
      <c r="C707" s="19" t="n"/>
    </row>
    <row r="708" ht="15.75" customHeight="1" s="545">
      <c r="A708" s="19" t="n"/>
      <c r="B708" s="19" t="n"/>
      <c r="C708" s="19" t="n"/>
    </row>
    <row r="709" ht="15.75" customHeight="1" s="545">
      <c r="A709" s="19" t="n"/>
      <c r="B709" s="19" t="n"/>
      <c r="C709" s="19" t="n"/>
    </row>
    <row r="710" ht="15.75" customHeight="1" s="545">
      <c r="A710" s="19" t="n"/>
      <c r="B710" s="19" t="n"/>
      <c r="C710" s="19" t="n"/>
    </row>
    <row r="711" ht="15.75" customHeight="1" s="545">
      <c r="A711" s="19" t="n"/>
      <c r="B711" s="19" t="n"/>
      <c r="C711" s="19" t="n"/>
    </row>
    <row r="712" ht="15.75" customHeight="1" s="545">
      <c r="A712" s="19" t="n"/>
      <c r="B712" s="19" t="n"/>
      <c r="C712" s="19" t="n"/>
    </row>
    <row r="713" ht="15.75" customHeight="1" s="545">
      <c r="A713" s="19" t="n"/>
      <c r="B713" s="19" t="n"/>
      <c r="C713" s="19" t="n"/>
    </row>
    <row r="714" ht="15.75" customHeight="1" s="545">
      <c r="A714" s="19" t="n"/>
      <c r="B714" s="19" t="n"/>
      <c r="C714" s="19" t="n"/>
    </row>
    <row r="715" ht="15.75" customHeight="1" s="545">
      <c r="A715" s="19" t="n"/>
      <c r="B715" s="19" t="n"/>
      <c r="C715" s="19" t="n"/>
    </row>
    <row r="716" ht="15.75" customHeight="1" s="545">
      <c r="A716" s="19" t="n"/>
      <c r="B716" s="19" t="n"/>
      <c r="C716" s="19" t="n"/>
    </row>
    <row r="717" ht="15.75" customHeight="1" s="545">
      <c r="A717" s="19" t="n"/>
      <c r="B717" s="19" t="n"/>
      <c r="C717" s="19" t="n"/>
    </row>
    <row r="718" ht="15.75" customHeight="1" s="545">
      <c r="A718" s="19" t="n"/>
      <c r="B718" s="19" t="n"/>
      <c r="C718" s="19" t="n"/>
    </row>
    <row r="719" ht="15.75" customHeight="1" s="545">
      <c r="A719" s="19" t="n"/>
      <c r="B719" s="19" t="n"/>
      <c r="C719" s="19" t="n"/>
    </row>
    <row r="720" ht="15.75" customHeight="1" s="545">
      <c r="A720" s="19" t="n"/>
      <c r="B720" s="19" t="n"/>
      <c r="C720" s="19" t="n"/>
    </row>
    <row r="721" ht="15.75" customHeight="1" s="545">
      <c r="A721" s="19" t="n"/>
      <c r="B721" s="19" t="n"/>
      <c r="C721" s="19" t="n"/>
    </row>
    <row r="722" ht="15.75" customHeight="1" s="545">
      <c r="A722" s="19" t="n"/>
      <c r="B722" s="19" t="n"/>
      <c r="C722" s="19" t="n"/>
    </row>
    <row r="723" ht="15.75" customHeight="1" s="545">
      <c r="A723" s="19" t="n"/>
      <c r="B723" s="19" t="n"/>
      <c r="C723" s="19" t="n"/>
    </row>
    <row r="724" ht="15.75" customHeight="1" s="545">
      <c r="A724" s="19" t="n"/>
      <c r="B724" s="19" t="n"/>
      <c r="C724" s="19" t="n"/>
    </row>
    <row r="725" ht="15.75" customHeight="1" s="545">
      <c r="A725" s="19" t="n"/>
      <c r="B725" s="19" t="n"/>
      <c r="C725" s="19" t="n"/>
    </row>
    <row r="726" ht="15.75" customHeight="1" s="545">
      <c r="A726" s="19" t="n"/>
      <c r="B726" s="19" t="n"/>
      <c r="C726" s="19" t="n"/>
    </row>
    <row r="727" ht="15.75" customHeight="1" s="545">
      <c r="A727" s="19" t="n"/>
      <c r="B727" s="19" t="n"/>
      <c r="C727" s="19" t="n"/>
    </row>
    <row r="728" ht="15.75" customHeight="1" s="545">
      <c r="A728" s="19" t="n"/>
      <c r="B728" s="19" t="n"/>
      <c r="C728" s="19" t="n"/>
    </row>
    <row r="729" ht="15.75" customHeight="1" s="545">
      <c r="A729" s="19" t="n"/>
      <c r="B729" s="19" t="n"/>
      <c r="C729" s="19" t="n"/>
    </row>
    <row r="730" ht="15.75" customHeight="1" s="545">
      <c r="A730" s="19" t="n"/>
      <c r="B730" s="19" t="n"/>
      <c r="C730" s="19" t="n"/>
    </row>
    <row r="731" ht="15.75" customHeight="1" s="545">
      <c r="A731" s="19" t="n"/>
      <c r="B731" s="19" t="n"/>
      <c r="C731" s="19" t="n"/>
    </row>
    <row r="732" ht="15.75" customHeight="1" s="545">
      <c r="A732" s="19" t="n"/>
      <c r="B732" s="19" t="n"/>
      <c r="C732" s="19" t="n"/>
    </row>
    <row r="733" ht="15.75" customHeight="1" s="545">
      <c r="A733" s="19" t="n"/>
      <c r="B733" s="19" t="n"/>
      <c r="C733" s="19" t="n"/>
    </row>
    <row r="734" ht="15.75" customHeight="1" s="545">
      <c r="A734" s="19" t="n"/>
      <c r="B734" s="19" t="n"/>
      <c r="C734" s="19" t="n"/>
    </row>
    <row r="735" ht="15.75" customHeight="1" s="545">
      <c r="A735" s="19" t="n"/>
      <c r="B735" s="19" t="n"/>
      <c r="C735" s="19" t="n"/>
    </row>
    <row r="736" ht="15.75" customHeight="1" s="545">
      <c r="A736" s="19" t="n"/>
      <c r="B736" s="19" t="n"/>
      <c r="C736" s="19" t="n"/>
    </row>
    <row r="737" ht="15.75" customHeight="1" s="545">
      <c r="A737" s="19" t="n"/>
      <c r="B737" s="19" t="n"/>
      <c r="C737" s="19" t="n"/>
    </row>
    <row r="738" ht="15.75" customHeight="1" s="545">
      <c r="A738" s="19" t="n"/>
      <c r="B738" s="19" t="n"/>
      <c r="C738" s="19" t="n"/>
    </row>
    <row r="739" ht="15.75" customHeight="1" s="545">
      <c r="A739" s="19" t="n"/>
      <c r="B739" s="19" t="n"/>
      <c r="C739" s="19" t="n"/>
    </row>
    <row r="740" ht="15.75" customHeight="1" s="545">
      <c r="A740" s="19" t="n"/>
      <c r="B740" s="19" t="n"/>
      <c r="C740" s="19" t="n"/>
    </row>
    <row r="741" ht="15.75" customHeight="1" s="545">
      <c r="A741" s="19" t="n"/>
      <c r="B741" s="19" t="n"/>
      <c r="C741" s="19" t="n"/>
    </row>
    <row r="742" ht="15.75" customHeight="1" s="545">
      <c r="A742" s="19" t="n"/>
      <c r="B742" s="19" t="n"/>
      <c r="C742" s="19" t="n"/>
    </row>
    <row r="743" ht="15.75" customHeight="1" s="545">
      <c r="A743" s="19" t="n"/>
      <c r="B743" s="19" t="n"/>
      <c r="C743" s="19" t="n"/>
    </row>
    <row r="744" ht="15.75" customHeight="1" s="545">
      <c r="A744" s="19" t="n"/>
      <c r="B744" s="19" t="n"/>
      <c r="C744" s="19" t="n"/>
    </row>
    <row r="745" ht="15.75" customHeight="1" s="545">
      <c r="A745" s="19" t="n"/>
      <c r="B745" s="19" t="n"/>
      <c r="C745" s="19" t="n"/>
    </row>
    <row r="746" ht="15.75" customHeight="1" s="545">
      <c r="A746" s="19" t="n"/>
      <c r="B746" s="19" t="n"/>
      <c r="C746" s="19" t="n"/>
    </row>
    <row r="747" ht="15.75" customHeight="1" s="545">
      <c r="A747" s="19" t="n"/>
      <c r="B747" s="19" t="n"/>
      <c r="C747" s="19" t="n"/>
    </row>
    <row r="748" ht="15.75" customHeight="1" s="545">
      <c r="A748" s="19" t="n"/>
      <c r="B748" s="19" t="n"/>
      <c r="C748" s="19" t="n"/>
    </row>
    <row r="749" ht="15.75" customHeight="1" s="545">
      <c r="A749" s="19" t="n"/>
      <c r="B749" s="19" t="n"/>
      <c r="C749" s="19" t="n"/>
    </row>
    <row r="750" ht="15.75" customHeight="1" s="545">
      <c r="A750" s="19" t="n"/>
      <c r="B750" s="19" t="n"/>
      <c r="C750" s="19" t="n"/>
    </row>
    <row r="751" ht="15.75" customHeight="1" s="545">
      <c r="A751" s="19" t="n"/>
      <c r="B751" s="19" t="n"/>
      <c r="C751" s="19" t="n"/>
    </row>
    <row r="752" ht="15.75" customHeight="1" s="545">
      <c r="A752" s="19" t="n"/>
      <c r="B752" s="19" t="n"/>
      <c r="C752" s="19" t="n"/>
    </row>
    <row r="753" ht="15.75" customHeight="1" s="545">
      <c r="A753" s="19" t="n"/>
      <c r="B753" s="19" t="n"/>
      <c r="C753" s="19" t="n"/>
    </row>
    <row r="754" ht="15.75" customHeight="1" s="545">
      <c r="A754" s="19" t="n"/>
      <c r="B754" s="19" t="n"/>
      <c r="C754" s="19" t="n"/>
    </row>
    <row r="755" ht="15.75" customHeight="1" s="545">
      <c r="A755" s="19" t="n"/>
      <c r="B755" s="19" t="n"/>
      <c r="C755" s="19" t="n"/>
    </row>
    <row r="756" ht="15.75" customHeight="1" s="545">
      <c r="A756" s="19" t="n"/>
      <c r="B756" s="19" t="n"/>
      <c r="C756" s="19" t="n"/>
    </row>
    <row r="757" ht="15.75" customHeight="1" s="545">
      <c r="A757" s="19" t="n"/>
      <c r="B757" s="19" t="n"/>
      <c r="C757" s="19" t="n"/>
    </row>
    <row r="758" ht="15.75" customHeight="1" s="545">
      <c r="A758" s="19" t="n"/>
      <c r="B758" s="19" t="n"/>
      <c r="C758" s="19" t="n"/>
    </row>
    <row r="759" ht="15.75" customHeight="1" s="545">
      <c r="A759" s="19" t="n"/>
      <c r="B759" s="19" t="n"/>
      <c r="C759" s="19" t="n"/>
    </row>
    <row r="760" ht="15.75" customHeight="1" s="545">
      <c r="A760" s="19" t="n"/>
      <c r="B760" s="19" t="n"/>
      <c r="C760" s="19" t="n"/>
    </row>
    <row r="761" ht="15.75" customHeight="1" s="545">
      <c r="A761" s="19" t="n"/>
      <c r="B761" s="19" t="n"/>
      <c r="C761" s="19" t="n"/>
    </row>
    <row r="762" ht="15.75" customHeight="1" s="545">
      <c r="A762" s="19" t="n"/>
      <c r="B762" s="19" t="n"/>
      <c r="C762" s="19" t="n"/>
    </row>
    <row r="763" ht="15.75" customHeight="1" s="545">
      <c r="A763" s="19" t="n"/>
      <c r="B763" s="19" t="n"/>
      <c r="C763" s="19" t="n"/>
    </row>
    <row r="764" ht="15.75" customHeight="1" s="545">
      <c r="A764" s="19" t="n"/>
      <c r="B764" s="19" t="n"/>
      <c r="C764" s="19" t="n"/>
    </row>
    <row r="765" ht="15.75" customHeight="1" s="545">
      <c r="A765" s="19" t="n"/>
      <c r="B765" s="19" t="n"/>
      <c r="C765" s="19" t="n"/>
    </row>
    <row r="766" ht="15.75" customHeight="1" s="545">
      <c r="A766" s="19" t="n"/>
      <c r="B766" s="19" t="n"/>
      <c r="C766" s="19" t="n"/>
    </row>
    <row r="767" ht="15.75" customHeight="1" s="545">
      <c r="A767" s="19" t="n"/>
      <c r="B767" s="19" t="n"/>
      <c r="C767" s="19" t="n"/>
    </row>
    <row r="768" ht="15.75" customHeight="1" s="545">
      <c r="A768" s="19" t="n"/>
      <c r="B768" s="19" t="n"/>
      <c r="C768" s="19" t="n"/>
    </row>
    <row r="769" ht="15.75" customHeight="1" s="545">
      <c r="A769" s="19" t="n"/>
      <c r="B769" s="19" t="n"/>
      <c r="C769" s="19" t="n"/>
    </row>
    <row r="770" ht="15.75" customHeight="1" s="545">
      <c r="A770" s="19" t="n"/>
      <c r="B770" s="19" t="n"/>
      <c r="C770" s="19" t="n"/>
    </row>
    <row r="771" ht="15.75" customHeight="1" s="545">
      <c r="A771" s="19" t="n"/>
      <c r="B771" s="19" t="n"/>
      <c r="C771" s="19" t="n"/>
    </row>
    <row r="772" ht="15.75" customHeight="1" s="545">
      <c r="A772" s="19" t="n"/>
      <c r="B772" s="19" t="n"/>
      <c r="C772" s="19" t="n"/>
    </row>
    <row r="773" ht="15.75" customHeight="1" s="545">
      <c r="A773" s="19" t="n"/>
      <c r="B773" s="19" t="n"/>
      <c r="C773" s="19" t="n"/>
    </row>
    <row r="774" ht="15.75" customHeight="1" s="545">
      <c r="A774" s="19" t="n"/>
      <c r="B774" s="19" t="n"/>
      <c r="C774" s="19" t="n"/>
    </row>
    <row r="775" ht="15.75" customHeight="1" s="545">
      <c r="A775" s="19" t="n"/>
      <c r="B775" s="19" t="n"/>
      <c r="C775" s="19" t="n"/>
    </row>
    <row r="776" ht="15.75" customHeight="1" s="545">
      <c r="A776" s="19" t="n"/>
      <c r="B776" s="19" t="n"/>
      <c r="C776" s="19" t="n"/>
    </row>
    <row r="777" ht="15.75" customHeight="1" s="545">
      <c r="A777" s="19" t="n"/>
      <c r="B777" s="19" t="n"/>
      <c r="C777" s="19" t="n"/>
    </row>
    <row r="778" ht="15.75" customHeight="1" s="545">
      <c r="A778" s="19" t="n"/>
      <c r="B778" s="19" t="n"/>
      <c r="C778" s="19" t="n"/>
    </row>
    <row r="779" ht="15.75" customHeight="1" s="545">
      <c r="A779" s="19" t="n"/>
      <c r="B779" s="19" t="n"/>
      <c r="C779" s="19" t="n"/>
    </row>
    <row r="780" ht="15.75" customHeight="1" s="545">
      <c r="A780" s="19" t="n"/>
      <c r="B780" s="19" t="n"/>
      <c r="C780" s="19" t="n"/>
    </row>
    <row r="781" ht="15.75" customHeight="1" s="545">
      <c r="A781" s="19" t="n"/>
      <c r="B781" s="19" t="n"/>
      <c r="C781" s="19" t="n"/>
    </row>
    <row r="782" ht="15.75" customHeight="1" s="545">
      <c r="A782" s="19" t="n"/>
      <c r="B782" s="19" t="n"/>
      <c r="C782" s="19" t="n"/>
    </row>
    <row r="783" ht="15.75" customHeight="1" s="545">
      <c r="A783" s="19" t="n"/>
      <c r="B783" s="19" t="n"/>
      <c r="C783" s="19" t="n"/>
    </row>
    <row r="784" ht="15.75" customHeight="1" s="545">
      <c r="A784" s="19" t="n"/>
      <c r="B784" s="19" t="n"/>
      <c r="C784" s="19" t="n"/>
    </row>
    <row r="785" ht="15.75" customHeight="1" s="545">
      <c r="A785" s="19" t="n"/>
      <c r="B785" s="19" t="n"/>
      <c r="C785" s="19" t="n"/>
    </row>
    <row r="786" ht="15.75" customHeight="1" s="545">
      <c r="A786" s="19" t="n"/>
      <c r="B786" s="19" t="n"/>
      <c r="C786" s="19" t="n"/>
    </row>
    <row r="787" ht="15.75" customHeight="1" s="545">
      <c r="A787" s="19" t="n"/>
      <c r="B787" s="19" t="n"/>
      <c r="C787" s="19" t="n"/>
    </row>
    <row r="788" ht="15.75" customHeight="1" s="545">
      <c r="A788" s="19" t="n"/>
      <c r="B788" s="19" t="n"/>
      <c r="C788" s="19" t="n"/>
    </row>
    <row r="789" ht="15.75" customHeight="1" s="545">
      <c r="A789" s="19" t="n"/>
      <c r="B789" s="19" t="n"/>
      <c r="C789" s="19" t="n"/>
    </row>
    <row r="790" ht="15.75" customHeight="1" s="545">
      <c r="A790" s="19" t="n"/>
      <c r="B790" s="19" t="n"/>
      <c r="C790" s="19" t="n"/>
    </row>
    <row r="791" ht="15.75" customHeight="1" s="545">
      <c r="A791" s="19" t="n"/>
      <c r="B791" s="19" t="n"/>
      <c r="C791" s="19" t="n"/>
    </row>
    <row r="792" ht="15.75" customHeight="1" s="545">
      <c r="A792" s="19" t="n"/>
      <c r="B792" s="19" t="n"/>
      <c r="C792" s="19" t="n"/>
    </row>
    <row r="793" ht="15.75" customHeight="1" s="545">
      <c r="A793" s="19" t="n"/>
      <c r="B793" s="19" t="n"/>
      <c r="C793" s="19" t="n"/>
    </row>
    <row r="794" ht="15.75" customHeight="1" s="545">
      <c r="A794" s="19" t="n"/>
      <c r="B794" s="19" t="n"/>
      <c r="C794" s="19" t="n"/>
    </row>
    <row r="795" ht="15.75" customHeight="1" s="545">
      <c r="A795" s="19" t="n"/>
      <c r="B795" s="19" t="n"/>
      <c r="C795" s="19" t="n"/>
    </row>
    <row r="796" ht="15.75" customHeight="1" s="545">
      <c r="A796" s="19" t="n"/>
      <c r="B796" s="19" t="n"/>
      <c r="C796" s="19" t="n"/>
    </row>
    <row r="797" ht="15.75" customHeight="1" s="545">
      <c r="A797" s="19" t="n"/>
      <c r="B797" s="19" t="n"/>
      <c r="C797" s="19" t="n"/>
    </row>
    <row r="798" ht="15.75" customHeight="1" s="545">
      <c r="A798" s="19" t="n"/>
      <c r="B798" s="19" t="n"/>
      <c r="C798" s="19" t="n"/>
    </row>
    <row r="799" ht="15.75" customHeight="1" s="545">
      <c r="A799" s="19" t="n"/>
      <c r="B799" s="19" t="n"/>
      <c r="C799" s="19" t="n"/>
    </row>
    <row r="800" ht="15.75" customHeight="1" s="545">
      <c r="A800" s="19" t="n"/>
      <c r="B800" s="19" t="n"/>
      <c r="C800" s="19" t="n"/>
    </row>
    <row r="801" ht="15.75" customHeight="1" s="545">
      <c r="A801" s="19" t="n"/>
      <c r="B801" s="19" t="n"/>
      <c r="C801" s="19" t="n"/>
    </row>
    <row r="802" ht="15.75" customHeight="1" s="545">
      <c r="A802" s="19" t="n"/>
      <c r="B802" s="19" t="n"/>
      <c r="C802" s="19" t="n"/>
    </row>
    <row r="803" ht="15.75" customHeight="1" s="545">
      <c r="A803" s="19" t="n"/>
      <c r="B803" s="19" t="n"/>
      <c r="C803" s="19" t="n"/>
    </row>
    <row r="804" ht="15.75" customHeight="1" s="545">
      <c r="A804" s="19" t="n"/>
      <c r="B804" s="19" t="n"/>
      <c r="C804" s="19" t="n"/>
    </row>
    <row r="805" ht="15.75" customHeight="1" s="545">
      <c r="A805" s="19" t="n"/>
      <c r="B805" s="19" t="n"/>
      <c r="C805" s="19" t="n"/>
    </row>
    <row r="806" ht="15.75" customHeight="1" s="545">
      <c r="A806" s="19" t="n"/>
      <c r="B806" s="19" t="n"/>
      <c r="C806" s="19" t="n"/>
    </row>
    <row r="807" ht="15.75" customHeight="1" s="545">
      <c r="A807" s="19" t="n"/>
      <c r="B807" s="19" t="n"/>
      <c r="C807" s="19" t="n"/>
    </row>
    <row r="808" ht="15.75" customHeight="1" s="545">
      <c r="A808" s="19" t="n"/>
      <c r="B808" s="19" t="n"/>
      <c r="C808" s="19" t="n"/>
    </row>
    <row r="809" ht="15.75" customHeight="1" s="545">
      <c r="A809" s="19" t="n"/>
      <c r="B809" s="19" t="n"/>
      <c r="C809" s="19" t="n"/>
    </row>
    <row r="810" ht="15.75" customHeight="1" s="545">
      <c r="A810" s="19" t="n"/>
      <c r="B810" s="19" t="n"/>
      <c r="C810" s="19" t="n"/>
    </row>
    <row r="811" ht="15.75" customHeight="1" s="545">
      <c r="A811" s="19" t="n"/>
      <c r="B811" s="19" t="n"/>
      <c r="C811" s="19" t="n"/>
    </row>
    <row r="812" ht="15.75" customHeight="1" s="545">
      <c r="A812" s="19" t="n"/>
      <c r="B812" s="19" t="n"/>
      <c r="C812" s="19" t="n"/>
    </row>
    <row r="813" ht="15.75" customHeight="1" s="545">
      <c r="A813" s="19" t="n"/>
      <c r="B813" s="19" t="n"/>
      <c r="C813" s="19" t="n"/>
    </row>
    <row r="814" ht="15.75" customHeight="1" s="545">
      <c r="A814" s="19" t="n"/>
      <c r="B814" s="19" t="n"/>
      <c r="C814" s="19" t="n"/>
    </row>
    <row r="815" ht="15.75" customHeight="1" s="545">
      <c r="A815" s="19" t="n"/>
      <c r="B815" s="19" t="n"/>
      <c r="C815" s="19" t="n"/>
    </row>
    <row r="816" ht="15.75" customHeight="1" s="545">
      <c r="A816" s="19" t="n"/>
      <c r="B816" s="19" t="n"/>
      <c r="C816" s="19" t="n"/>
    </row>
    <row r="817" ht="15.75" customHeight="1" s="545">
      <c r="A817" s="19" t="n"/>
      <c r="B817" s="19" t="n"/>
      <c r="C817" s="19" t="n"/>
    </row>
    <row r="818" ht="15.75" customHeight="1" s="545">
      <c r="A818" s="19" t="n"/>
      <c r="B818" s="19" t="n"/>
      <c r="C818" s="19" t="n"/>
    </row>
    <row r="819" ht="15.75" customHeight="1" s="545">
      <c r="A819" s="19" t="n"/>
      <c r="B819" s="19" t="n"/>
      <c r="C819" s="19" t="n"/>
    </row>
    <row r="820" ht="15.75" customHeight="1" s="545">
      <c r="A820" s="19" t="n"/>
      <c r="B820" s="19" t="n"/>
      <c r="C820" s="19" t="n"/>
    </row>
    <row r="821" ht="15.75" customHeight="1" s="545">
      <c r="A821" s="19" t="n"/>
      <c r="B821" s="19" t="n"/>
      <c r="C821" s="19" t="n"/>
    </row>
    <row r="822" ht="15.75" customHeight="1" s="545">
      <c r="A822" s="19" t="n"/>
      <c r="B822" s="19" t="n"/>
      <c r="C822" s="19" t="n"/>
    </row>
    <row r="823" ht="15.75" customHeight="1" s="545">
      <c r="A823" s="19" t="n"/>
      <c r="B823" s="19" t="n"/>
      <c r="C823" s="19" t="n"/>
    </row>
    <row r="824" ht="15.75" customHeight="1" s="545">
      <c r="A824" s="19" t="n"/>
      <c r="B824" s="19" t="n"/>
      <c r="C824" s="19" t="n"/>
    </row>
    <row r="825" ht="15.75" customHeight="1" s="545">
      <c r="A825" s="19" t="n"/>
      <c r="B825" s="19" t="n"/>
      <c r="C825" s="19" t="n"/>
    </row>
    <row r="826" ht="15.75" customHeight="1" s="545">
      <c r="A826" s="19" t="n"/>
      <c r="B826" s="19" t="n"/>
      <c r="C826" s="19" t="n"/>
    </row>
    <row r="827" ht="15.75" customHeight="1" s="545">
      <c r="A827" s="19" t="n"/>
      <c r="B827" s="19" t="n"/>
      <c r="C827" s="19" t="n"/>
    </row>
    <row r="828" ht="15.75" customHeight="1" s="545">
      <c r="A828" s="19" t="n"/>
      <c r="B828" s="19" t="n"/>
      <c r="C828" s="19" t="n"/>
    </row>
    <row r="829" ht="15.75" customHeight="1" s="545">
      <c r="A829" s="19" t="n"/>
      <c r="B829" s="19" t="n"/>
      <c r="C829" s="19" t="n"/>
    </row>
    <row r="830" ht="15.75" customHeight="1" s="545">
      <c r="A830" s="19" t="n"/>
      <c r="B830" s="19" t="n"/>
      <c r="C830" s="19" t="n"/>
    </row>
    <row r="831" ht="15.75" customHeight="1" s="545">
      <c r="A831" s="19" t="n"/>
      <c r="B831" s="19" t="n"/>
      <c r="C831" s="19" t="n"/>
    </row>
    <row r="832" ht="15.75" customHeight="1" s="545">
      <c r="A832" s="19" t="n"/>
      <c r="B832" s="19" t="n"/>
      <c r="C832" s="19" t="n"/>
    </row>
    <row r="833" ht="15.75" customHeight="1" s="545">
      <c r="A833" s="19" t="n"/>
      <c r="B833" s="19" t="n"/>
      <c r="C833" s="19" t="n"/>
    </row>
    <row r="834" ht="15.75" customHeight="1" s="545">
      <c r="A834" s="19" t="n"/>
      <c r="B834" s="19" t="n"/>
      <c r="C834" s="19" t="n"/>
    </row>
    <row r="835" ht="15.75" customHeight="1" s="545">
      <c r="A835" s="19" t="n"/>
      <c r="B835" s="19" t="n"/>
      <c r="C835" s="19" t="n"/>
    </row>
    <row r="836" ht="15.75" customHeight="1" s="545">
      <c r="A836" s="19" t="n"/>
      <c r="B836" s="19" t="n"/>
      <c r="C836" s="19" t="n"/>
    </row>
    <row r="837" ht="15.75" customHeight="1" s="545">
      <c r="A837" s="19" t="n"/>
      <c r="B837" s="19" t="n"/>
      <c r="C837" s="19" t="n"/>
    </row>
    <row r="838" ht="15.75" customHeight="1" s="545">
      <c r="A838" s="19" t="n"/>
      <c r="B838" s="19" t="n"/>
      <c r="C838" s="19" t="n"/>
    </row>
    <row r="839" ht="15.75" customHeight="1" s="545">
      <c r="A839" s="19" t="n"/>
      <c r="B839" s="19" t="n"/>
      <c r="C839" s="19" t="n"/>
    </row>
    <row r="840" ht="15.75" customHeight="1" s="545">
      <c r="A840" s="19" t="n"/>
      <c r="B840" s="19" t="n"/>
      <c r="C840" s="19" t="n"/>
    </row>
    <row r="841" ht="15.75" customHeight="1" s="545">
      <c r="A841" s="19" t="n"/>
      <c r="B841" s="19" t="n"/>
      <c r="C841" s="19" t="n"/>
    </row>
    <row r="842" ht="15.75" customHeight="1" s="545">
      <c r="A842" s="19" t="n"/>
      <c r="B842" s="19" t="n"/>
      <c r="C842" s="19" t="n"/>
    </row>
    <row r="843" ht="15.75" customHeight="1" s="545">
      <c r="A843" s="19" t="n"/>
      <c r="B843" s="19" t="n"/>
      <c r="C843" s="19" t="n"/>
    </row>
    <row r="844" ht="15.75" customHeight="1" s="545">
      <c r="A844" s="19" t="n"/>
      <c r="B844" s="19" t="n"/>
      <c r="C844" s="19" t="n"/>
    </row>
    <row r="845" ht="15.75" customHeight="1" s="545">
      <c r="A845" s="19" t="n"/>
      <c r="B845" s="19" t="n"/>
      <c r="C845" s="19" t="n"/>
    </row>
    <row r="846" ht="15.75" customHeight="1" s="545">
      <c r="A846" s="19" t="n"/>
      <c r="B846" s="19" t="n"/>
      <c r="C846" s="19" t="n"/>
    </row>
    <row r="847" ht="15.75" customHeight="1" s="545">
      <c r="A847" s="19" t="n"/>
      <c r="B847" s="19" t="n"/>
      <c r="C847" s="19" t="n"/>
    </row>
    <row r="848" ht="15.75" customHeight="1" s="545">
      <c r="A848" s="19" t="n"/>
      <c r="B848" s="19" t="n"/>
      <c r="C848" s="19" t="n"/>
    </row>
    <row r="849" ht="15.75" customHeight="1" s="545">
      <c r="A849" s="19" t="n"/>
      <c r="B849" s="19" t="n"/>
      <c r="C849" s="19" t="n"/>
    </row>
    <row r="850" ht="15.75" customHeight="1" s="545">
      <c r="A850" s="19" t="n"/>
      <c r="B850" s="19" t="n"/>
      <c r="C850" s="19" t="n"/>
    </row>
    <row r="851" ht="15.75" customHeight="1" s="545">
      <c r="A851" s="19" t="n"/>
      <c r="B851" s="19" t="n"/>
      <c r="C851" s="19" t="n"/>
    </row>
    <row r="852" ht="15.75" customHeight="1" s="545">
      <c r="A852" s="19" t="n"/>
      <c r="B852" s="19" t="n"/>
      <c r="C852" s="19" t="n"/>
    </row>
    <row r="853" ht="15.75" customHeight="1" s="545">
      <c r="A853" s="19" t="n"/>
      <c r="B853" s="19" t="n"/>
      <c r="C853" s="19" t="n"/>
    </row>
    <row r="854" ht="15.75" customHeight="1" s="545">
      <c r="A854" s="19" t="n"/>
      <c r="B854" s="19" t="n"/>
      <c r="C854" s="19" t="n"/>
    </row>
    <row r="855" ht="15.75" customHeight="1" s="545">
      <c r="A855" s="19" t="n"/>
      <c r="B855" s="19" t="n"/>
      <c r="C855" s="19" t="n"/>
    </row>
    <row r="856" ht="15.75" customHeight="1" s="545">
      <c r="A856" s="19" t="n"/>
      <c r="B856" s="19" t="n"/>
      <c r="C856" s="19" t="n"/>
    </row>
    <row r="857" ht="15.75" customHeight="1" s="545">
      <c r="A857" s="19" t="n"/>
      <c r="B857" s="19" t="n"/>
      <c r="C857" s="19" t="n"/>
    </row>
    <row r="858" ht="15.75" customHeight="1" s="545">
      <c r="A858" s="19" t="n"/>
      <c r="B858" s="19" t="n"/>
      <c r="C858" s="19" t="n"/>
    </row>
    <row r="859" ht="15.75" customHeight="1" s="545">
      <c r="A859" s="19" t="n"/>
      <c r="B859" s="19" t="n"/>
      <c r="C859" s="19" t="n"/>
    </row>
    <row r="860" ht="15.75" customHeight="1" s="545">
      <c r="A860" s="19" t="n"/>
      <c r="B860" s="19" t="n"/>
      <c r="C860" s="19" t="n"/>
    </row>
    <row r="861" ht="15.75" customHeight="1" s="545">
      <c r="A861" s="19" t="n"/>
      <c r="B861" s="19" t="n"/>
      <c r="C861" s="19" t="n"/>
    </row>
    <row r="862" ht="15.75" customHeight="1" s="545">
      <c r="A862" s="19" t="n"/>
      <c r="B862" s="19" t="n"/>
      <c r="C862" s="19" t="n"/>
    </row>
    <row r="863" ht="15.75" customHeight="1" s="545">
      <c r="A863" s="19" t="n"/>
      <c r="B863" s="19" t="n"/>
      <c r="C863" s="19" t="n"/>
    </row>
    <row r="864" ht="15.75" customHeight="1" s="545">
      <c r="A864" s="19" t="n"/>
      <c r="B864" s="19" t="n"/>
      <c r="C864" s="19" t="n"/>
    </row>
    <row r="865" ht="15.75" customHeight="1" s="545">
      <c r="A865" s="19" t="n"/>
      <c r="B865" s="19" t="n"/>
      <c r="C865" s="19" t="n"/>
    </row>
    <row r="866" ht="15.75" customHeight="1" s="545">
      <c r="A866" s="19" t="n"/>
      <c r="B866" s="19" t="n"/>
      <c r="C866" s="19" t="n"/>
    </row>
    <row r="867" ht="15.75" customHeight="1" s="545">
      <c r="A867" s="19" t="n"/>
      <c r="B867" s="19" t="n"/>
      <c r="C867" s="19" t="n"/>
    </row>
    <row r="868" ht="15.75" customHeight="1" s="545">
      <c r="A868" s="19" t="n"/>
      <c r="B868" s="19" t="n"/>
      <c r="C868" s="19" t="n"/>
    </row>
    <row r="869" ht="15.75" customHeight="1" s="545">
      <c r="A869" s="19" t="n"/>
      <c r="B869" s="19" t="n"/>
      <c r="C869" s="19" t="n"/>
    </row>
    <row r="870" ht="15.75" customHeight="1" s="545">
      <c r="A870" s="19" t="n"/>
      <c r="B870" s="19" t="n"/>
      <c r="C870" s="19" t="n"/>
    </row>
    <row r="871" ht="15.75" customHeight="1" s="545">
      <c r="A871" s="19" t="n"/>
      <c r="B871" s="19" t="n"/>
      <c r="C871" s="19" t="n"/>
    </row>
    <row r="872" ht="15.75" customHeight="1" s="545">
      <c r="A872" s="19" t="n"/>
      <c r="B872" s="19" t="n"/>
      <c r="C872" s="19" t="n"/>
    </row>
    <row r="873" ht="15.75" customHeight="1" s="545">
      <c r="A873" s="19" t="n"/>
      <c r="B873" s="19" t="n"/>
      <c r="C873" s="19" t="n"/>
    </row>
    <row r="874" ht="15.75" customHeight="1" s="545">
      <c r="A874" s="19" t="n"/>
      <c r="B874" s="19" t="n"/>
      <c r="C874" s="19" t="n"/>
    </row>
    <row r="875" ht="15.75" customHeight="1" s="545">
      <c r="A875" s="19" t="n"/>
      <c r="B875" s="19" t="n"/>
      <c r="C875" s="19" t="n"/>
    </row>
    <row r="876" ht="15.75" customHeight="1" s="545">
      <c r="A876" s="19" t="n"/>
      <c r="B876" s="19" t="n"/>
      <c r="C876" s="19" t="n"/>
    </row>
    <row r="877" ht="15.75" customHeight="1" s="545">
      <c r="A877" s="19" t="n"/>
      <c r="B877" s="19" t="n"/>
      <c r="C877" s="19" t="n"/>
    </row>
    <row r="878" ht="15.75" customHeight="1" s="545">
      <c r="A878" s="19" t="n"/>
      <c r="B878" s="19" t="n"/>
      <c r="C878" s="19" t="n"/>
    </row>
    <row r="879" ht="15.75" customHeight="1" s="545">
      <c r="A879" s="19" t="n"/>
      <c r="B879" s="19" t="n"/>
      <c r="C879" s="19" t="n"/>
    </row>
    <row r="880" ht="15.75" customHeight="1" s="545">
      <c r="A880" s="19" t="n"/>
      <c r="B880" s="19" t="n"/>
      <c r="C880" s="19" t="n"/>
    </row>
    <row r="881" ht="15.75" customHeight="1" s="545">
      <c r="A881" s="19" t="n"/>
      <c r="B881" s="19" t="n"/>
      <c r="C881" s="19" t="n"/>
    </row>
    <row r="882" ht="15.75" customHeight="1" s="545">
      <c r="A882" s="19" t="n"/>
      <c r="B882" s="19" t="n"/>
      <c r="C882" s="19" t="n"/>
    </row>
    <row r="883" ht="15.75" customHeight="1" s="545">
      <c r="A883" s="19" t="n"/>
      <c r="B883" s="19" t="n"/>
      <c r="C883" s="19" t="n"/>
    </row>
    <row r="884" ht="15.75" customHeight="1" s="545">
      <c r="A884" s="19" t="n"/>
      <c r="B884" s="19" t="n"/>
      <c r="C884" s="19" t="n"/>
    </row>
    <row r="885" ht="15.75" customHeight="1" s="545">
      <c r="A885" s="19" t="n"/>
      <c r="B885" s="19" t="n"/>
      <c r="C885" s="19" t="n"/>
    </row>
    <row r="886" ht="15.75" customHeight="1" s="545">
      <c r="A886" s="19" t="n"/>
      <c r="B886" s="19" t="n"/>
      <c r="C886" s="19" t="n"/>
    </row>
    <row r="887" ht="15.75" customHeight="1" s="545">
      <c r="A887" s="19" t="n"/>
      <c r="B887" s="19" t="n"/>
      <c r="C887" s="19" t="n"/>
    </row>
    <row r="888" ht="15.75" customHeight="1" s="545">
      <c r="A888" s="19" t="n"/>
      <c r="B888" s="19" t="n"/>
      <c r="C888" s="19" t="n"/>
    </row>
    <row r="889" ht="15.75" customHeight="1" s="545">
      <c r="A889" s="19" t="n"/>
      <c r="B889" s="19" t="n"/>
      <c r="C889" s="19" t="n"/>
    </row>
    <row r="890" ht="15.75" customHeight="1" s="545">
      <c r="A890" s="19" t="n"/>
      <c r="B890" s="19" t="n"/>
      <c r="C890" s="19" t="n"/>
    </row>
    <row r="891" ht="15.75" customHeight="1" s="545">
      <c r="A891" s="19" t="n"/>
      <c r="B891" s="19" t="n"/>
      <c r="C891" s="19" t="n"/>
    </row>
    <row r="892" ht="15.75" customHeight="1" s="545">
      <c r="A892" s="19" t="n"/>
      <c r="B892" s="19" t="n"/>
      <c r="C892" s="19" t="n"/>
    </row>
    <row r="893" ht="15.75" customHeight="1" s="545">
      <c r="A893" s="19" t="n"/>
      <c r="B893" s="19" t="n"/>
      <c r="C893" s="19" t="n"/>
    </row>
    <row r="894" ht="15.75" customHeight="1" s="545">
      <c r="A894" s="19" t="n"/>
      <c r="B894" s="19" t="n"/>
      <c r="C894" s="19" t="n"/>
    </row>
    <row r="895" ht="15.75" customHeight="1" s="545">
      <c r="A895" s="19" t="n"/>
      <c r="B895" s="19" t="n"/>
      <c r="C895" s="19" t="n"/>
    </row>
    <row r="896" ht="15.75" customHeight="1" s="545">
      <c r="A896" s="19" t="n"/>
      <c r="B896" s="19" t="n"/>
      <c r="C896" s="19" t="n"/>
    </row>
    <row r="897" ht="15.75" customHeight="1" s="545">
      <c r="A897" s="19" t="n"/>
      <c r="B897" s="19" t="n"/>
      <c r="C897" s="19" t="n"/>
    </row>
    <row r="898" ht="15.75" customHeight="1" s="545">
      <c r="A898" s="19" t="n"/>
      <c r="B898" s="19" t="n"/>
      <c r="C898" s="19" t="n"/>
    </row>
    <row r="899" ht="15.75" customHeight="1" s="545">
      <c r="A899" s="19" t="n"/>
      <c r="B899" s="19" t="n"/>
      <c r="C899" s="19" t="n"/>
    </row>
    <row r="900" ht="15.75" customHeight="1" s="545">
      <c r="A900" s="19" t="n"/>
      <c r="B900" s="19" t="n"/>
      <c r="C900" s="19" t="n"/>
    </row>
    <row r="901" ht="15.75" customHeight="1" s="545">
      <c r="A901" s="19" t="n"/>
      <c r="B901" s="19" t="n"/>
      <c r="C901" s="19" t="n"/>
    </row>
    <row r="902" ht="15.75" customHeight="1" s="545">
      <c r="A902" s="19" t="n"/>
      <c r="B902" s="19" t="n"/>
      <c r="C902" s="19" t="n"/>
    </row>
    <row r="903" ht="15.75" customHeight="1" s="545">
      <c r="A903" s="19" t="n"/>
      <c r="B903" s="19" t="n"/>
      <c r="C903" s="19" t="n"/>
    </row>
    <row r="904" ht="15.75" customHeight="1" s="545">
      <c r="A904" s="19" t="n"/>
      <c r="B904" s="19" t="n"/>
      <c r="C904" s="19" t="n"/>
    </row>
    <row r="905" ht="15.75" customHeight="1" s="545">
      <c r="A905" s="19" t="n"/>
      <c r="B905" s="19" t="n"/>
      <c r="C905" s="19" t="n"/>
    </row>
    <row r="906" ht="15.75" customHeight="1" s="545">
      <c r="A906" s="19" t="n"/>
      <c r="B906" s="19" t="n"/>
      <c r="C906" s="19" t="n"/>
    </row>
    <row r="907" ht="15.75" customHeight="1" s="545">
      <c r="A907" s="19" t="n"/>
      <c r="B907" s="19" t="n"/>
      <c r="C907" s="19" t="n"/>
    </row>
    <row r="908" ht="15.75" customHeight="1" s="545">
      <c r="A908" s="19" t="n"/>
      <c r="B908" s="19" t="n"/>
      <c r="C908" s="19" t="n"/>
    </row>
    <row r="909" ht="15.75" customHeight="1" s="545">
      <c r="A909" s="19" t="n"/>
      <c r="B909" s="19" t="n"/>
      <c r="C909" s="19" t="n"/>
    </row>
    <row r="910" ht="15.75" customHeight="1" s="545">
      <c r="A910" s="19" t="n"/>
      <c r="B910" s="19" t="n"/>
      <c r="C910" s="19" t="n"/>
    </row>
    <row r="911" ht="15.75" customHeight="1" s="545">
      <c r="A911" s="19" t="n"/>
      <c r="B911" s="19" t="n"/>
      <c r="C911" s="19" t="n"/>
    </row>
    <row r="912" ht="15.75" customHeight="1" s="545">
      <c r="A912" s="19" t="n"/>
      <c r="B912" s="19" t="n"/>
      <c r="C912" s="19" t="n"/>
    </row>
    <row r="913" ht="15.75" customHeight="1" s="545">
      <c r="A913" s="19" t="n"/>
      <c r="B913" s="19" t="n"/>
      <c r="C913" s="19" t="n"/>
    </row>
    <row r="914" ht="15.75" customHeight="1" s="545">
      <c r="A914" s="19" t="n"/>
      <c r="B914" s="19" t="n"/>
      <c r="C914" s="19" t="n"/>
    </row>
    <row r="915" ht="15.75" customHeight="1" s="545">
      <c r="A915" s="19" t="n"/>
      <c r="B915" s="19" t="n"/>
      <c r="C915" s="19" t="n"/>
    </row>
    <row r="916" ht="15.75" customHeight="1" s="545">
      <c r="A916" s="19" t="n"/>
      <c r="B916" s="19" t="n"/>
      <c r="C916" s="19" t="n"/>
    </row>
    <row r="917" ht="15.75" customHeight="1" s="545">
      <c r="A917" s="19" t="n"/>
      <c r="B917" s="19" t="n"/>
      <c r="C917" s="19" t="n"/>
    </row>
    <row r="918" ht="15.75" customHeight="1" s="545">
      <c r="A918" s="19" t="n"/>
      <c r="B918" s="19" t="n"/>
      <c r="C918" s="19" t="n"/>
    </row>
    <row r="919" ht="15.75" customHeight="1" s="545">
      <c r="A919" s="19" t="n"/>
      <c r="B919" s="19" t="n"/>
      <c r="C919" s="19" t="n"/>
    </row>
    <row r="920" ht="15.75" customHeight="1" s="545">
      <c r="A920" s="19" t="n"/>
      <c r="B920" s="19" t="n"/>
      <c r="C920" s="19" t="n"/>
    </row>
    <row r="921" ht="15.75" customHeight="1" s="545">
      <c r="A921" s="19" t="n"/>
      <c r="B921" s="19" t="n"/>
      <c r="C921" s="19" t="n"/>
    </row>
    <row r="922" ht="15.75" customHeight="1" s="545">
      <c r="A922" s="19" t="n"/>
      <c r="B922" s="19" t="n"/>
      <c r="C922" s="19" t="n"/>
    </row>
    <row r="923" ht="15.75" customHeight="1" s="545">
      <c r="A923" s="19" t="n"/>
      <c r="B923" s="19" t="n"/>
      <c r="C923" s="19" t="n"/>
    </row>
    <row r="924" ht="15.75" customHeight="1" s="545">
      <c r="A924" s="19" t="n"/>
      <c r="B924" s="19" t="n"/>
      <c r="C924" s="19" t="n"/>
    </row>
    <row r="925" ht="15.75" customHeight="1" s="545">
      <c r="A925" s="19" t="n"/>
      <c r="B925" s="19" t="n"/>
      <c r="C925" s="19" t="n"/>
    </row>
    <row r="926" ht="15.75" customHeight="1" s="545">
      <c r="A926" s="19" t="n"/>
      <c r="B926" s="19" t="n"/>
      <c r="C926" s="19" t="n"/>
    </row>
    <row r="927" ht="15.75" customHeight="1" s="545">
      <c r="A927" s="19" t="n"/>
      <c r="B927" s="19" t="n"/>
      <c r="C927" s="19" t="n"/>
    </row>
    <row r="928" ht="15.75" customHeight="1" s="545">
      <c r="A928" s="19" t="n"/>
      <c r="B928" s="19" t="n"/>
      <c r="C928" s="19" t="n"/>
    </row>
    <row r="929" ht="15.75" customHeight="1" s="545">
      <c r="A929" s="19" t="n"/>
      <c r="B929" s="19" t="n"/>
      <c r="C929" s="19" t="n"/>
    </row>
    <row r="930" ht="15.75" customHeight="1" s="545">
      <c r="A930" s="19" t="n"/>
      <c r="B930" s="19" t="n"/>
      <c r="C930" s="19" t="n"/>
    </row>
    <row r="931" ht="15.75" customHeight="1" s="545">
      <c r="A931" s="19" t="n"/>
      <c r="B931" s="19" t="n"/>
      <c r="C931" s="19" t="n"/>
    </row>
    <row r="932" ht="15.75" customHeight="1" s="545">
      <c r="A932" s="19" t="n"/>
      <c r="B932" s="19" t="n"/>
      <c r="C932" s="19" t="n"/>
    </row>
    <row r="933" ht="15.75" customHeight="1" s="545">
      <c r="A933" s="19" t="n"/>
      <c r="B933" s="19" t="n"/>
      <c r="C933" s="19" t="n"/>
    </row>
    <row r="934" ht="15.75" customHeight="1" s="545">
      <c r="A934" s="19" t="n"/>
      <c r="B934" s="19" t="n"/>
      <c r="C934" s="19" t="n"/>
    </row>
    <row r="935" ht="15.75" customHeight="1" s="545">
      <c r="A935" s="19" t="n"/>
      <c r="B935" s="19" t="n"/>
      <c r="C935" s="19" t="n"/>
    </row>
    <row r="936" ht="15.75" customHeight="1" s="545">
      <c r="A936" s="19" t="n"/>
      <c r="B936" s="19" t="n"/>
      <c r="C936" s="19" t="n"/>
    </row>
    <row r="937" ht="15.75" customHeight="1" s="545">
      <c r="A937" s="19" t="n"/>
      <c r="B937" s="19" t="n"/>
      <c r="C937" s="19" t="n"/>
    </row>
    <row r="938" ht="15.75" customHeight="1" s="545">
      <c r="A938" s="19" t="n"/>
      <c r="B938" s="19" t="n"/>
      <c r="C938" s="19" t="n"/>
    </row>
    <row r="939" ht="15.75" customHeight="1" s="545">
      <c r="A939" s="19" t="n"/>
      <c r="B939" s="19" t="n"/>
      <c r="C939" s="19" t="n"/>
    </row>
    <row r="940" ht="15.75" customHeight="1" s="545">
      <c r="A940" s="19" t="n"/>
      <c r="B940" s="19" t="n"/>
      <c r="C940" s="19" t="n"/>
    </row>
    <row r="941" ht="15.75" customHeight="1" s="545">
      <c r="A941" s="19" t="n"/>
      <c r="B941" s="19" t="n"/>
      <c r="C941" s="19" t="n"/>
    </row>
    <row r="942" ht="15.75" customHeight="1" s="545">
      <c r="A942" s="19" t="n"/>
      <c r="B942" s="19" t="n"/>
      <c r="C942" s="19" t="n"/>
    </row>
    <row r="943" ht="15.75" customHeight="1" s="545">
      <c r="A943" s="19" t="n"/>
      <c r="B943" s="19" t="n"/>
      <c r="C943" s="19" t="n"/>
    </row>
    <row r="944" ht="15.75" customHeight="1" s="545">
      <c r="A944" s="19" t="n"/>
      <c r="B944" s="19" t="n"/>
      <c r="C944" s="19" t="n"/>
    </row>
    <row r="945" ht="15.75" customHeight="1" s="545">
      <c r="A945" s="19" t="n"/>
      <c r="B945" s="19" t="n"/>
      <c r="C945" s="19" t="n"/>
    </row>
    <row r="946" ht="15.75" customHeight="1" s="545">
      <c r="A946" s="19" t="n"/>
      <c r="B946" s="19" t="n"/>
      <c r="C946" s="19" t="n"/>
    </row>
    <row r="947" ht="15.75" customHeight="1" s="545">
      <c r="A947" s="19" t="n"/>
      <c r="B947" s="19" t="n"/>
      <c r="C947" s="19" t="n"/>
    </row>
    <row r="948" ht="15.75" customHeight="1" s="545">
      <c r="A948" s="19" t="n"/>
      <c r="B948" s="19" t="n"/>
      <c r="C948" s="19" t="n"/>
    </row>
    <row r="949" ht="15.75" customHeight="1" s="545">
      <c r="A949" s="19" t="n"/>
      <c r="B949" s="19" t="n"/>
      <c r="C949" s="19" t="n"/>
    </row>
    <row r="950" ht="15.75" customHeight="1" s="545">
      <c r="A950" s="19" t="n"/>
      <c r="B950" s="19" t="n"/>
      <c r="C950" s="19" t="n"/>
    </row>
    <row r="951" ht="15.75" customHeight="1" s="545">
      <c r="A951" s="19" t="n"/>
      <c r="B951" s="19" t="n"/>
      <c r="C951" s="19" t="n"/>
    </row>
    <row r="952" ht="15.75" customHeight="1" s="545">
      <c r="A952" s="19" t="n"/>
      <c r="B952" s="19" t="n"/>
      <c r="C952" s="19" t="n"/>
    </row>
    <row r="953" ht="15.75" customHeight="1" s="545">
      <c r="A953" s="19" t="n"/>
      <c r="B953" s="19" t="n"/>
      <c r="C953" s="19" t="n"/>
    </row>
    <row r="954" ht="15.75" customHeight="1" s="545">
      <c r="A954" s="19" t="n"/>
      <c r="B954" s="19" t="n"/>
      <c r="C954" s="19" t="n"/>
    </row>
    <row r="955" ht="15.75" customHeight="1" s="545">
      <c r="A955" s="19" t="n"/>
      <c r="B955" s="19" t="n"/>
      <c r="C955" s="19" t="n"/>
    </row>
    <row r="956" ht="15.75" customHeight="1" s="545">
      <c r="A956" s="19" t="n"/>
      <c r="B956" s="19" t="n"/>
      <c r="C956" s="19" t="n"/>
    </row>
    <row r="957" ht="15.75" customHeight="1" s="545">
      <c r="A957" s="19" t="n"/>
      <c r="B957" s="19" t="n"/>
      <c r="C957" s="19" t="n"/>
    </row>
    <row r="958" ht="15.75" customHeight="1" s="545">
      <c r="A958" s="19" t="n"/>
      <c r="B958" s="19" t="n"/>
      <c r="C958" s="19" t="n"/>
    </row>
    <row r="959" ht="15.75" customHeight="1" s="545">
      <c r="A959" s="19" t="n"/>
      <c r="B959" s="19" t="n"/>
      <c r="C959" s="19" t="n"/>
    </row>
    <row r="960" ht="15.75" customHeight="1" s="545">
      <c r="A960" s="19" t="n"/>
      <c r="B960" s="19" t="n"/>
      <c r="C960" s="19" t="n"/>
    </row>
    <row r="961" ht="15.75" customHeight="1" s="545">
      <c r="A961" s="19" t="n"/>
      <c r="B961" s="19" t="n"/>
      <c r="C961" s="19" t="n"/>
    </row>
    <row r="962" ht="15.75" customHeight="1" s="545">
      <c r="A962" s="19" t="n"/>
      <c r="B962" s="19" t="n"/>
      <c r="C962" s="19" t="n"/>
    </row>
    <row r="963" ht="15.75" customHeight="1" s="545">
      <c r="A963" s="19" t="n"/>
      <c r="B963" s="19" t="n"/>
      <c r="C963" s="19" t="n"/>
    </row>
    <row r="964" ht="15.75" customHeight="1" s="545">
      <c r="A964" s="19" t="n"/>
      <c r="B964" s="19" t="n"/>
      <c r="C964" s="19" t="n"/>
    </row>
    <row r="965" ht="15.75" customHeight="1" s="545">
      <c r="A965" s="19" t="n"/>
      <c r="B965" s="19" t="n"/>
      <c r="C965" s="19" t="n"/>
    </row>
    <row r="966" ht="15.75" customHeight="1" s="545">
      <c r="A966" s="19" t="n"/>
      <c r="B966" s="19" t="n"/>
      <c r="C966" s="19" t="n"/>
    </row>
    <row r="967" ht="15.75" customHeight="1" s="545">
      <c r="A967" s="19" t="n"/>
      <c r="B967" s="19" t="n"/>
      <c r="C967" s="19" t="n"/>
    </row>
    <row r="968" ht="15.75" customHeight="1" s="545">
      <c r="A968" s="19" t="n"/>
      <c r="B968" s="19" t="n"/>
      <c r="C968" s="19" t="n"/>
    </row>
    <row r="969" ht="15.75" customHeight="1" s="545">
      <c r="A969" s="19" t="n"/>
      <c r="B969" s="19" t="n"/>
      <c r="C969" s="19" t="n"/>
    </row>
    <row r="970" ht="15.75" customHeight="1" s="545">
      <c r="A970" s="19" t="n"/>
      <c r="B970" s="19" t="n"/>
      <c r="C970" s="19" t="n"/>
    </row>
    <row r="971" ht="15.75" customHeight="1" s="545">
      <c r="A971" s="19" t="n"/>
      <c r="B971" s="19" t="n"/>
      <c r="C971" s="19" t="n"/>
    </row>
    <row r="972" ht="15.75" customHeight="1" s="545">
      <c r="A972" s="19" t="n"/>
      <c r="B972" s="19" t="n"/>
      <c r="C972" s="19" t="n"/>
    </row>
    <row r="973" ht="15.75" customHeight="1" s="545">
      <c r="A973" s="19" t="n"/>
      <c r="B973" s="19" t="n"/>
      <c r="C973" s="19" t="n"/>
    </row>
    <row r="974" ht="15.75" customHeight="1" s="545">
      <c r="A974" s="19" t="n"/>
      <c r="B974" s="19" t="n"/>
      <c r="C974" s="19" t="n"/>
    </row>
    <row r="975" ht="15.75" customHeight="1" s="545">
      <c r="A975" s="19" t="n"/>
      <c r="B975" s="19" t="n"/>
      <c r="C975" s="19" t="n"/>
    </row>
    <row r="976" ht="15.75" customHeight="1" s="545">
      <c r="A976" s="19" t="n"/>
      <c r="B976" s="19" t="n"/>
      <c r="C976" s="19" t="n"/>
    </row>
    <row r="977" ht="15.75" customHeight="1" s="545">
      <c r="A977" s="19" t="n"/>
      <c r="B977" s="19" t="n"/>
      <c r="C977" s="19" t="n"/>
    </row>
    <row r="978" ht="15.75" customHeight="1" s="545">
      <c r="A978" s="19" t="n"/>
      <c r="B978" s="19" t="n"/>
      <c r="C978" s="19" t="n"/>
    </row>
    <row r="979" ht="15.75" customHeight="1" s="545">
      <c r="A979" s="19" t="n"/>
      <c r="B979" s="19" t="n"/>
      <c r="C979" s="19" t="n"/>
    </row>
    <row r="980" ht="15.75" customHeight="1" s="545">
      <c r="A980" s="19" t="n"/>
      <c r="B980" s="19" t="n"/>
      <c r="C980" s="19" t="n"/>
    </row>
    <row r="981" ht="15.75" customHeight="1" s="545">
      <c r="A981" s="19" t="n"/>
      <c r="B981" s="19" t="n"/>
      <c r="C981" s="19" t="n"/>
    </row>
    <row r="982" ht="15.75" customHeight="1" s="545">
      <c r="A982" s="19" t="n"/>
      <c r="B982" s="19" t="n"/>
      <c r="C982" s="19" t="n"/>
    </row>
    <row r="983" ht="15.75" customHeight="1" s="545">
      <c r="A983" s="19" t="n"/>
      <c r="B983" s="19" t="n"/>
      <c r="C983" s="19" t="n"/>
    </row>
    <row r="984" ht="15.75" customHeight="1" s="545">
      <c r="A984" s="19" t="n"/>
      <c r="B984" s="19" t="n"/>
      <c r="C984" s="19" t="n"/>
    </row>
    <row r="985" ht="15.75" customHeight="1" s="545">
      <c r="A985" s="19" t="n"/>
      <c r="B985" s="19" t="n"/>
      <c r="C985" s="19" t="n"/>
    </row>
    <row r="986" ht="15.75" customHeight="1" s="545">
      <c r="A986" s="19" t="n"/>
      <c r="B986" s="19" t="n"/>
      <c r="C986" s="19" t="n"/>
    </row>
    <row r="987" ht="15.75" customHeight="1" s="545">
      <c r="A987" s="19" t="n"/>
      <c r="B987" s="19" t="n"/>
      <c r="C987" s="19" t="n"/>
    </row>
    <row r="988" ht="15.75" customHeight="1" s="545">
      <c r="A988" s="19" t="n"/>
      <c r="B988" s="19" t="n"/>
      <c r="C988" s="19" t="n"/>
    </row>
    <row r="989" ht="15.75" customHeight="1" s="545">
      <c r="A989" s="19" t="n"/>
      <c r="B989" s="19" t="n"/>
      <c r="C989" s="19" t="n"/>
    </row>
    <row r="990" ht="15.75" customHeight="1" s="545">
      <c r="A990" s="19" t="n"/>
      <c r="B990" s="19" t="n"/>
      <c r="C990" s="19" t="n"/>
    </row>
    <row r="991" ht="15.75" customHeight="1" s="545">
      <c r="A991" s="19" t="n"/>
      <c r="B991" s="19" t="n"/>
      <c r="C991" s="19" t="n"/>
    </row>
    <row r="992" ht="15.75" customHeight="1" s="545">
      <c r="A992" s="19" t="n"/>
      <c r="B992" s="19" t="n"/>
      <c r="C992" s="19" t="n"/>
    </row>
    <row r="993" ht="15.75" customHeight="1" s="545">
      <c r="A993" s="19" t="n"/>
      <c r="B993" s="19" t="n"/>
      <c r="C993" s="19" t="n"/>
    </row>
    <row r="994" ht="15.75" customHeight="1" s="545">
      <c r="A994" s="19" t="n"/>
      <c r="B994" s="19" t="n"/>
      <c r="C994" s="19" t="n"/>
    </row>
    <row r="995" ht="15.75" customHeight="1" s="545">
      <c r="A995" s="19" t="n"/>
      <c r="B995" s="19" t="n"/>
      <c r="C995" s="19" t="n"/>
    </row>
    <row r="996" ht="15.75" customHeight="1" s="545">
      <c r="A996" s="19" t="n"/>
      <c r="B996" s="19" t="n"/>
      <c r="C996" s="19" t="n"/>
    </row>
    <row r="997" ht="15.75" customHeight="1" s="545">
      <c r="A997" s="19" t="n"/>
      <c r="B997" s="19" t="n"/>
      <c r="C997" s="19" t="n"/>
    </row>
    <row r="998" ht="15.75" customHeight="1" s="545">
      <c r="A998" s="19" t="n"/>
      <c r="B998" s="19" t="n"/>
      <c r="C998" s="19" t="n"/>
    </row>
    <row r="999" ht="15.75" customHeight="1" s="545">
      <c r="A999" s="19" t="n"/>
      <c r="B999" s="19" t="n"/>
      <c r="C999" s="19" t="n"/>
    </row>
    <row r="1000" ht="15.75" customHeight="1" s="545">
      <c r="A1000" s="19" t="n"/>
      <c r="B1000" s="19" t="n"/>
      <c r="C1000" s="19" t="n"/>
    </row>
  </sheetData>
  <mergeCells count="1">
    <mergeCell ref="A36:C36"/>
  </mergeCells>
  <pageMargins left="0.25" right="0.25" top="0.75" bottom="0.75"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2026-04-26T08:18:21Z</dcterms:created>
  <dcterms:modified xmlns:dcterms="http://purl.org/dc/terms/" xmlns:xsi="http://www.w3.org/2001/XMLSchema-instance" xsi:type="dcterms:W3CDTF">2026-09-11T21:00:32Z</dcterms:modified>
  <cp:lastModifiedBy>André Petrov</cp:lastModifiedBy>
</cp:coreProperties>
</file>